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3" autoFilterDateGrouping="1"/>
  </bookViews>
  <sheets>
    <sheet name="Raw_data" sheetId="1" state="visible" r:id="rId1"/>
    <sheet name="Lists" sheetId="2" state="hidden" r:id="rId2"/>
    <sheet name="Model" sheetId="3" state="hidden" r:id="rId3"/>
    <sheet name="Dashboard" sheetId="4" state="visible" r:id="rId4"/>
  </sheets>
  <definedNames>
    <definedName name="_xlnm._FilterDatabase" localSheetId="0" hidden="1">'Raw_data'!$A$1:$AQ$636</definedName>
  </definedNames>
  <calcPr calcId="124519" fullCalcOnLoad="1" forceFullCalc="1"/>
</workbook>
</file>

<file path=xl/styles.xml><?xml version="1.0" encoding="utf-8"?>
<styleSheet xmlns="http://schemas.openxmlformats.org/spreadsheetml/2006/main">
  <numFmts count="3">
    <numFmt numFmtId="164" formatCode="yyyy-mm-dd h:mm:ss"/>
    <numFmt numFmtId="165" formatCode="0.0%"/>
    <numFmt numFmtId="166" formatCode="yyyy-mm-dd"/>
  </numFmts>
  <fonts count="5">
    <font>
      <name val="Calibri"/>
      <family val="2"/>
      <color theme="1"/>
      <sz val="11"/>
      <scheme val="minor"/>
    </font>
    <font>
      <b val="1"/>
      <color rgb="00FFFFFF"/>
    </font>
    <font>
      <b val="1"/>
      <color rgb="001F4E78"/>
      <sz val="18"/>
    </font>
    <font>
      <b val="1"/>
      <color rgb="001F4E78"/>
    </font>
    <font>
      <b val="1"/>
    </font>
  </fonts>
  <fills count="4">
    <fill>
      <patternFill/>
    </fill>
    <fill>
      <patternFill patternType="gray125"/>
    </fill>
    <fill>
      <patternFill patternType="solid">
        <fgColor rgb="001F4E78"/>
        <bgColor rgb="001F4E78"/>
      </patternFill>
    </fill>
    <fill>
      <patternFill patternType="solid">
        <fgColor rgb="00E8F1FA"/>
        <bgColor rgb="00E8F1FA"/>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9" fontId="0" fillId="0" borderId="0" pivotButton="0" quotePrefix="0" xfId="0"/>
    <xf numFmtId="0" fontId="2" fillId="0" borderId="0" pivotButton="0" quotePrefix="0" xfId="0"/>
    <xf numFmtId="0" fontId="3" fillId="0" borderId="0" pivotButton="0" quotePrefix="0" xfId="0"/>
    <xf numFmtId="0" fontId="0" fillId="3" borderId="0" pivotButton="0" quotePrefix="0" xfId="0"/>
    <xf numFmtId="0" fontId="4" fillId="0" borderId="0" pivotButton="0" quotePrefix="0" xfId="0"/>
    <xf numFmtId="2" fontId="0" fillId="0" borderId="0" pivotButton="0" quotePrefix="0" xfId="0"/>
    <xf numFmtId="165" fontId="0" fillId="0" borderId="0" pivotButton="0" quotePrefix="0" xfId="0"/>
    <xf numFmtId="0" fontId="1" fillId="2" borderId="0" pivotButton="0" quotePrefix="0" xfId="0"/>
    <xf numFmtId="166" fontId="0" fillId="0" borderId="0" pivotButton="0" quotePrefix="0" xfId="0"/>
  </cellXfs>
  <cellStyles count="1">
    <cellStyle name="Normal" xfId="0" builtinId="0" hidden="0"/>
  </cellStyles>
  <dxfs count="2">
    <dxf>
      <fill>
        <patternFill patternType="solid">
          <fgColor rgb="00E2F0D9"/>
          <bgColor rgb="00E2F0D9"/>
        </patternFill>
      </fill>
    </dxf>
    <dxf>
      <fill>
        <patternFill patternType="solid">
          <fgColor rgb="00D9E1F2"/>
          <bgColor rgb="00D9E1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2"/>
  <chart>
    <title>
      <tx>
        <rich>
          <a:bodyPr/>
          <a:p>
            <a:pPr>
              <a:defRPr/>
            </a:pPr>
            <a:r>
              <a:t>Since Entry Coverage Distribution</a:t>
            </a:r>
          </a:p>
        </rich>
      </tx>
    </title>
    <plotArea>
      <pieChart>
        <varyColors val="1"/>
        <ser>
          <idx val="0"/>
          <order val="0"/>
          <tx>
            <strRef>
              <f>'Dashboard'!B13</f>
            </strRef>
          </tx>
          <spPr>
            <a:ln>
              <a:prstDash val="solid"/>
            </a:ln>
          </spPr>
          <dPt>
            <idx val="0"/>
            <spPr>
              <a:solidFill>
                <a:srgbClr val="4F81BD"/>
              </a:solidFill>
              <a:ln>
                <a:solidFill>
                  <a:srgbClr val="4F81BD"/>
                </a:solidFill>
                <a:prstDash val="solid"/>
              </a:ln>
            </spPr>
          </dPt>
          <dPt>
            <idx val="1"/>
            <spPr>
              <a:solidFill>
                <a:srgbClr val="C0504D"/>
              </a:solidFill>
              <a:ln>
                <a:solidFill>
                  <a:srgbClr val="C0504D"/>
                </a:solidFill>
                <a:prstDash val="solid"/>
              </a:ln>
            </spPr>
          </dPt>
          <dPt>
            <idx val="2"/>
            <spPr>
              <a:solidFill>
                <a:srgbClr val="9BBB59"/>
              </a:solidFill>
              <a:ln>
                <a:solidFill>
                  <a:srgbClr val="9BBB59"/>
                </a:solidFill>
                <a:prstDash val="solid"/>
              </a:ln>
            </spPr>
          </dPt>
          <dPt>
            <idx val="3"/>
            <spPr>
              <a:solidFill>
                <a:srgbClr val="8064A2"/>
              </a:solidFill>
              <a:ln>
                <a:solidFill>
                  <a:srgbClr val="8064A2"/>
                </a:solidFill>
                <a:prstDash val="solid"/>
              </a:ln>
            </spPr>
          </dPt>
          <dLbls>
            <showVal val="0"/>
            <showCatName val="0"/>
            <showSerName val="0"/>
            <showPercent val="0"/>
          </dLbls>
          <cat>
            <numRef>
              <f>'Dashboard'!$A$14:$A$17</f>
            </numRef>
          </cat>
          <val>
            <numRef>
              <f>'Dashboard'!$B$14:$B$17</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Before Entry Coverage Distribution</a:t>
            </a:r>
          </a:p>
        </rich>
      </tx>
    </title>
    <plotArea>
      <pieChart>
        <varyColors val="1"/>
        <ser>
          <idx val="0"/>
          <order val="0"/>
          <tx>
            <strRef>
              <f>'Dashboard'!E13</f>
            </strRef>
          </tx>
          <spPr>
            <a:ln>
              <a:prstDash val="solid"/>
            </a:ln>
          </spPr>
          <dPt>
            <idx val="0"/>
            <spPr>
              <a:solidFill>
                <a:srgbClr val="4F81BD"/>
              </a:solidFill>
              <a:ln>
                <a:solidFill>
                  <a:srgbClr val="4F81BD"/>
                </a:solidFill>
                <a:prstDash val="solid"/>
              </a:ln>
            </spPr>
          </dPt>
          <dPt>
            <idx val="1"/>
            <spPr>
              <a:solidFill>
                <a:srgbClr val="C0504D"/>
              </a:solidFill>
              <a:ln>
                <a:solidFill>
                  <a:srgbClr val="C0504D"/>
                </a:solidFill>
                <a:prstDash val="solid"/>
              </a:ln>
            </spPr>
          </dPt>
          <dPt>
            <idx val="2"/>
            <spPr>
              <a:solidFill>
                <a:srgbClr val="9BBB59"/>
              </a:solidFill>
              <a:ln>
                <a:solidFill>
                  <a:srgbClr val="9BBB59"/>
                </a:solidFill>
                <a:prstDash val="solid"/>
              </a:ln>
            </spPr>
          </dPt>
          <dPt>
            <idx val="3"/>
            <spPr>
              <a:solidFill>
                <a:srgbClr val="8064A2"/>
              </a:solidFill>
              <a:ln>
                <a:solidFill>
                  <a:srgbClr val="8064A2"/>
                </a:solidFill>
                <a:prstDash val="solid"/>
              </a:ln>
            </spPr>
          </dPt>
          <dLbls>
            <showVal val="0"/>
            <showCatName val="0"/>
            <showSerName val="0"/>
            <showPercent val="0"/>
          </dLbls>
          <cat>
            <numRef>
              <f>'Dashboard'!$D$14:$D$17</f>
            </numRef>
          </cat>
          <val>
            <numRef>
              <f>'Dashboard'!$E$14:$E$17</f>
            </numRef>
          </val>
        </ser>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style val="12"/>
  <chart>
    <title>
      <tx>
        <rich>
          <a:bodyPr/>
          <a:p>
            <a:pPr>
              <a:defRPr/>
            </a:pPr>
            <a:r>
              <a:t>Top 10 Segment Low Coverage Rate</a:t>
            </a:r>
          </a:p>
        </rich>
      </tx>
    </title>
    <plotArea>
      <barChart>
        <barDir val="col"/>
        <grouping val="clustered"/>
        <ser>
          <idx val="0"/>
          <order val="0"/>
          <tx>
            <strRef>
              <f>'Dashboard'!B22</f>
            </strRef>
          </tx>
          <spPr>
            <a:solidFill>
              <a:srgbClr val="9BBB59"/>
            </a:solidFill>
            <a:ln>
              <a:solidFill>
                <a:srgbClr val="76923C"/>
              </a:solidFill>
              <a:prstDash val="solid"/>
            </a:ln>
          </spPr>
          <dLbls>
            <numFmt formatCode="0.0%"/>
            <showVal val="1"/>
            <showCatName val="0"/>
            <showSerName val="0"/>
            <showPercent val="0"/>
          </dLbls>
          <cat>
            <numRef>
              <f>'Dashboard'!$X$23:$X$32</f>
            </numRef>
          </cat>
          <val>
            <numRef>
              <f>'Dashboard'!$B$23:$B$32</f>
            </numRef>
          </val>
        </ser>
        <gapWidth val="150"/>
        <axId val="10"/>
        <axId val="100"/>
      </barChart>
      <catAx>
        <axId val="10"/>
        <scaling>
          <orientation val="minMax"/>
        </scaling>
        <axPos val="l"/>
        <title>
          <tx>
            <rich>
              <a:bodyPr/>
              <a:p>
                <a:pPr>
                  <a:defRPr/>
                </a:pPr>
                <a:r>
                  <a:t>Segment</a:t>
                </a:r>
              </a:p>
            </rich>
          </tx>
        </title>
        <majorTickMark val="none"/>
        <minorTickMark val="none"/>
        <crossAx val="100"/>
        <lblOffset val="100"/>
      </catAx>
      <valAx>
        <axId val="100"/>
        <scaling>
          <orientation val="minMax"/>
          <max val="1"/>
          <min val="0"/>
        </scaling>
        <axPos val="l"/>
        <majorGridlines/>
        <title>
          <tx>
            <rich>
              <a:bodyPr/>
              <a:p>
                <a:pPr>
                  <a:defRPr/>
                </a:pPr>
                <a:r>
                  <a:t>Low coverage rate</a:t>
                </a:r>
              </a:p>
            </rich>
          </tx>
        </title>
        <numFmt formatCode="0%" sourceLinked="0"/>
        <majorTickMark val="none"/>
        <minorTickMark val="none"/>
        <crossAx val="10"/>
      </valAx>
    </plotArea>
    <legend>
      <legendPos val="r"/>
    </legend>
    <plotVisOnly val="0"/>
    <dispBlanksAs val="gap"/>
  </chart>
</chartSpace>
</file>

<file path=xl/comments/comment1.xml><?xml version="1.0" encoding="utf-8"?>
<comments xmlns="http://schemas.openxmlformats.org/spreadsheetml/2006/main">
  <authors>
    <author>Codex</author>
  </authors>
  <commentList>
    <comment ref="A3" authorId="0" shapeId="0">
      <text>
        <t>Choose whether ratio-based charts use Weighted or Absolute metrics.</t>
      </text>
    </comment>
    <comment ref="A4" authorId="0" shapeId="0">
      <text>
        <t>Filter to one Department or keep All.</t>
      </text>
    </comment>
    <comment ref="A5" authorId="0" shapeId="0">
      <text>
        <t>Filter to one Team or keep All.</t>
      </text>
    </comment>
    <comment ref="H5" authorId="0" shapeId="0">
      <text>
        <t>Count of filtered consultants whose oldest ongoing engagement started at least 24 months ago.</t>
      </text>
    </comment>
    <comment ref="A6" authorId="0" shapeId="0">
      <text>
        <t>Filter to one Unit or keep All.</t>
      </text>
    </comment>
    <comment ref="D6" authorId="0" shapeId="0">
      <text>
        <t>Median weighted coverage ratio since entry date for currently filtered consultants.</t>
      </text>
    </comment>
    <comment ref="H6" authorId="0" shapeId="0">
      <text>
        <t>Count of filtered consultants with at least one invalid-date engagement.</t>
      </text>
    </comment>
    <comment ref="A7" authorId="0" shapeId="0">
      <text>
        <t>Filter to one Legal Entity or keep All.</t>
      </text>
    </comment>
    <comment ref="D7" authorId="0" shapeId="0">
      <text>
        <t>Median absolute coverage ratio since entry date for currently filtered consultants.</t>
      </text>
    </comment>
    <comment ref="H7" authorId="0" shapeId="0">
      <text>
        <t>A consultant is counted as an anomaly when at least one of these applies: (1) Since-entry coverage is below 0.50 and there is either an ongoing engagement older than 24 months or at least one invalid-date engagement, or (2) Work experience since is later than entry date. This helps spot likely profile maintenance or timeline issues.</t>
      </text>
    </comment>
    <comment ref="A8" authorId="0" shapeId="0">
      <text>
        <t>Filter to one Office Location or keep All.</t>
      </text>
    </comment>
    <comment ref="D8" authorId="0" shapeId="0">
      <text>
        <t>Median weighted coverage ratio before entry date for currently filtered consultants.</t>
      </text>
    </comment>
    <comment ref="A9" authorId="0" shapeId="0">
      <text>
        <t>Filter by Lead owner or keep All.</t>
      </text>
    </comment>
    <comment ref="D9" authorId="0" shapeId="0">
      <text>
        <t>Median absolute coverage ratio before entry date for currently filtered consultants.</t>
      </text>
    </comment>
    <comment ref="A10" authorId="0" shapeId="0">
      <text>
        <t>Filter availability bucket (Yes/No/-) or keep All.</t>
      </text>
    </comment>
    <comment ref="A11" authorId="0" shapeId="0">
      <text>
        <t>Choose the dimension used in the Top 10 segment chart.</t>
      </text>
    </comment>
    <comment ref="A14" authorId="0" shapeId="0">
      <text>
        <t>Consultants with since-entry coverage ratio below 0.30 (less than 30% covered).</t>
      </text>
    </comment>
    <comment ref="D14" authorId="0" shapeId="0">
      <text>
        <t>Consultants with before-entry coverage ratio below 0.30 (less than 30% covered).</t>
      </text>
    </comment>
    <comment ref="A15" authorId="0" shapeId="0">
      <text>
        <t>Consultants with since-entry coverage ratio from 0.30 up to 0.49.</t>
      </text>
    </comment>
    <comment ref="D15" authorId="0" shapeId="0">
      <text>
        <t>Consultants with before-entry coverage ratio from 0.30 up to 0.49.</t>
      </text>
    </comment>
    <comment ref="A16" authorId="0" shapeId="0">
      <text>
        <t>Consultants with since-entry coverage ratio from 0.50 up to 0.79.</t>
      </text>
    </comment>
    <comment ref="D16" authorId="0" shapeId="0">
      <text>
        <t>Consultants with before-entry coverage ratio from 0.50 up to 0.79.</t>
      </text>
    </comment>
    <comment ref="A17" authorId="0" shapeId="0">
      <text>
        <t>Consultants with since-entry coverage ratio at or above 0.80.</t>
      </text>
    </comment>
    <comment ref="D17" authorId="0" shapeId="0">
      <text>
        <t>Consultants with before-entry coverage ratio at or above 0.80.</t>
      </text>
    </comment>
    <comment ref="A21" authorId="0" shapeId="0">
      <text>
        <t>Low coverage in this chart means coverage ratio below 0.50. That combines both low bands: &lt;0.30 and 0.30-0.49.</t>
      </text>
    </comment>
    <comment ref="A35" authorId="0" shapeId="0">
      <text>
        <t>This list is sorted anomaly-first. The same anomaly logic is used as above: low since-entry coverage (&lt;0.50) with stale ongoing and/or invalid dates, or work-experience-since after entry date.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2</row>
      <rowOff>0</rowOff>
    </from>
    <ext cx="4500000" cy="3311999"/>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21</row>
      <rowOff>0</rowOff>
    </from>
    <ext cx="4500000" cy="3311999"/>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40</row>
      <rowOff>0</rowOff>
    </from>
    <ext cx="5940000" cy="414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Q6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23" customWidth="1" min="7" max="7"/>
    <col width="19" customWidth="1" min="8" max="8"/>
    <col width="32" customWidth="1" min="9" max="9"/>
    <col width="21" customWidth="1" min="10" max="10"/>
    <col width="38" customWidth="1" min="11" max="11"/>
    <col width="37" customWidth="1" min="12" max="12"/>
    <col width="35" customWidth="1" min="13" max="13"/>
    <col width="26" customWidth="1" min="14" max="14"/>
    <col width="29" customWidth="1" min="15" max="15"/>
    <col width="29" customWidth="1" min="16" max="16"/>
    <col width="29" customWidth="1" min="17" max="17"/>
    <col width="37" customWidth="1" min="18" max="18"/>
    <col width="37" customWidth="1" min="19" max="19"/>
    <col width="20" customWidth="1" min="20" max="20"/>
    <col width="20" customWidth="1" min="21" max="21"/>
    <col width="30" customWidth="1" min="22" max="22"/>
    <col width="30" customWidth="1" min="23" max="23"/>
    <col width="30" customWidth="1" min="24" max="24"/>
    <col width="38" customWidth="1" min="25" max="25"/>
    <col width="38" customWidth="1" min="26" max="26"/>
    <col width="20" customWidth="1" min="27" max="27"/>
    <col width="20" customWidth="1" min="28" max="28"/>
    <col width="23" customWidth="1" min="29" max="29"/>
    <col width="34" customWidth="1" min="30" max="30"/>
    <col width="38" customWidth="1" min="31" max="31"/>
    <col width="14" customWidth="1" min="32" max="32"/>
    <col width="16" customWidth="1" min="33" max="33"/>
    <col width="14" customWidth="1" min="34" max="34"/>
    <col width="22" customWidth="1" min="35" max="35"/>
    <col width="25" customWidth="1" min="36" max="36"/>
    <col width="22" customWidth="1" min="37" max="37"/>
    <col width="12" customWidth="1" min="38" max="38"/>
    <col width="12" customWidth="1" min="39" max="39"/>
    <col width="12" customWidth="1" min="40" max="40"/>
    <col width="14" customWidth="1" min="41" max="41"/>
    <col width="12" customWidth="1" min="42" max="42"/>
    <col width="12" customWidth="1" min="43" max="43"/>
  </cols>
  <sheetData>
    <row r="1">
      <c r="A1" s="1" t="inlineStr">
        <is>
          <t>External</t>
        </is>
      </c>
      <c r="B1" s="1" t="inlineStr">
        <is>
          <t>Mat</t>
        </is>
      </c>
      <c r="C1" s="1" t="inlineStr">
        <is>
          <t>Url</t>
        </is>
      </c>
      <c r="D1" s="1" t="inlineStr">
        <is>
          <t>Full name</t>
        </is>
      </c>
      <c r="E1" s="1" t="inlineStr">
        <is>
          <t>Email</t>
        </is>
      </c>
      <c r="F1" s="1" t="inlineStr">
        <is>
          <t>Entry date</t>
        </is>
      </c>
      <c r="G1" s="1" t="inlineStr">
        <is>
          <t>Work experience since</t>
        </is>
      </c>
      <c r="H1" s="1" t="inlineStr">
        <is>
          <t>Total engagements</t>
        </is>
      </c>
      <c r="I1" s="1" t="inlineStr">
        <is>
          <t>Engagements with invalid dates</t>
        </is>
      </c>
      <c r="J1" s="1" t="inlineStr">
        <is>
          <t>Ongoing engagements</t>
        </is>
      </c>
      <c r="K1" s="1" t="inlineStr">
        <is>
          <t>Oldest ongoing engagement start date</t>
        </is>
      </c>
      <c r="L1" s="1" t="inlineStr">
        <is>
          <t>Last finished engagement start date</t>
        </is>
      </c>
      <c r="M1" s="1" t="inlineStr">
        <is>
          <t>Last finished engagement end date</t>
        </is>
      </c>
      <c r="N1" s="1" t="inlineStr">
        <is>
          <t>Is profile photo missing</t>
        </is>
      </c>
      <c r="O1" s="1" t="inlineStr">
        <is>
          <t>Months since entry baseline</t>
        </is>
      </c>
      <c r="P1" s="1" t="inlineStr">
        <is>
          <t>Absolute months since entry</t>
        </is>
      </c>
      <c r="Q1" s="1" t="inlineStr">
        <is>
          <t>Weighted months since entry</t>
        </is>
      </c>
      <c r="R1" s="1" t="inlineStr">
        <is>
          <t>Absolute missing months since entry</t>
        </is>
      </c>
      <c r="S1" s="1" t="inlineStr">
        <is>
          <t>Weighted missing months since entry</t>
        </is>
      </c>
      <c r="T1" s="1" t="inlineStr">
        <is>
          <t>Absolute coverage ratio since entry</t>
        </is>
      </c>
      <c r="U1" s="1" t="inlineStr">
        <is>
          <t>Weighted coverage ratio since entry</t>
        </is>
      </c>
      <c r="V1" s="1" t="inlineStr">
        <is>
          <t>Months before entry baseline</t>
        </is>
      </c>
      <c r="W1" s="1" t="inlineStr">
        <is>
          <t>Absolute months before entry</t>
        </is>
      </c>
      <c r="X1" s="1" t="inlineStr">
        <is>
          <t>Weighted months before entry</t>
        </is>
      </c>
      <c r="Y1" s="1" t="inlineStr">
        <is>
          <t>Absolute missing months before entry</t>
        </is>
      </c>
      <c r="Z1" s="1" t="inlineStr">
        <is>
          <t>Weighted missing months before entry</t>
        </is>
      </c>
      <c r="AA1" s="1" t="inlineStr">
        <is>
          <t>Absolute coverage ratio before entry</t>
        </is>
      </c>
      <c r="AB1" s="1" t="inlineStr">
        <is>
          <t>Weighted coverage ratio before entry</t>
        </is>
      </c>
      <c r="AC1" s="1" t="inlineStr">
        <is>
          <t>Is entry date missing</t>
        </is>
      </c>
      <c r="AD1" s="1" t="inlineStr">
        <is>
          <t>Is work experience since missing</t>
        </is>
      </c>
      <c r="AE1" s="1" t="inlineStr">
        <is>
          <t>Is work experience since after entry date</t>
        </is>
      </c>
      <c r="AF1" s="1" t="inlineStr">
        <is>
          <t>Is available</t>
        </is>
      </c>
      <c r="AG1" s="1" t="inlineStr">
        <is>
          <t>Available from</t>
        </is>
      </c>
      <c r="AH1" s="1" t="inlineStr">
        <is>
          <t>Available to</t>
        </is>
      </c>
      <c r="AI1" s="1" t="inlineStr">
        <is>
          <t>Is willing to travel</t>
        </is>
      </c>
      <c r="AJ1" s="1" t="inlineStr">
        <is>
          <t>Available days per week</t>
        </is>
      </c>
      <c r="AK1" s="1" t="inlineStr">
        <is>
          <t>Availability comment</t>
        </is>
      </c>
      <c r="AL1" s="1" t="inlineStr">
        <is>
          <t>Department</t>
        </is>
      </c>
      <c r="AM1" s="1" t="inlineStr">
        <is>
          <t>Team</t>
        </is>
      </c>
      <c r="AN1" s="1" t="inlineStr">
        <is>
          <t>Unit</t>
        </is>
      </c>
      <c r="AO1" s="1" t="inlineStr">
        <is>
          <t>Legal entity</t>
        </is>
      </c>
      <c r="AP1" s="1" t="inlineStr">
        <is>
          <t>Location</t>
        </is>
      </c>
      <c r="AQ1" s="1" t="inlineStr">
        <is>
          <t>Lead</t>
        </is>
      </c>
    </row>
    <row r="2">
      <c r="A2" t="inlineStr">
        <is>
          <t>2221</t>
        </is>
      </c>
      <c r="B2" t="inlineStr">
        <is>
          <t>594F6B</t>
        </is>
      </c>
      <c r="C2" t="inlineStr">
        <is>
          <t>https://app.matchical.com/Consulting/ConsultantDetail?ConsultantId=81c0d4c6-ad00-4890-a981-23b344efe2f7</t>
        </is>
      </c>
      <c r="D2" t="inlineStr">
        <is>
          <t>Abdulsalam Ginebas</t>
        </is>
      </c>
      <c r="E2" t="inlineStr">
        <is>
          <t>abdulsalam.ginebas@bridging-it.de</t>
        </is>
      </c>
      <c r="F2" s="2" t="n">
        <v>43282</v>
      </c>
      <c r="G2" s="2" t="n">
        <v>40330</v>
      </c>
      <c r="H2" t="n">
        <v>9</v>
      </c>
      <c r="I2" t="n">
        <v>0</v>
      </c>
      <c r="J2" t="n">
        <v>0</v>
      </c>
      <c r="L2" s="2" t="n">
        <v>45748</v>
      </c>
      <c r="M2" s="2" t="n">
        <v>46021</v>
      </c>
      <c r="N2" t="b">
        <v>0</v>
      </c>
      <c r="O2" t="n">
        <v>92</v>
      </c>
      <c r="P2" t="n">
        <v>171</v>
      </c>
      <c r="Q2" t="n">
        <v>91</v>
      </c>
      <c r="R2">
        <f>ROUND(O2-P2,2)</f>
        <v/>
      </c>
      <c r="S2">
        <f>ROUND(O2-Q2,2)</f>
        <v/>
      </c>
      <c r="T2" s="3">
        <f>IFERROR(P2/O2,"")</f>
        <v/>
      </c>
      <c r="U2" s="3">
        <f>IFERROR(Q2/O2,"")</f>
        <v/>
      </c>
      <c r="V2" t="n">
        <v>97</v>
      </c>
      <c r="W2" t="n">
        <v>29</v>
      </c>
      <c r="X2" t="n">
        <v>29</v>
      </c>
      <c r="Y2">
        <f>ROUND(V2-W2,2)</f>
        <v/>
      </c>
      <c r="Z2">
        <f>ROUND(V2-X2,2)</f>
        <v/>
      </c>
      <c r="AA2" s="3">
        <f>IFERROR(W2/V2,"")</f>
        <v/>
      </c>
      <c r="AB2" s="3">
        <f>IFERROR(X2/V2,"")</f>
        <v/>
      </c>
      <c r="AC2" t="b">
        <v>0</v>
      </c>
      <c r="AD2" t="b">
        <v>0</v>
      </c>
      <c r="AE2" t="b">
        <v>0</v>
      </c>
      <c r="AF2" t="inlineStr">
        <is>
          <t>No</t>
        </is>
      </c>
      <c r="AI2" t="b">
        <v>0</v>
      </c>
      <c r="AJ2" t="n">
        <v>0</v>
      </c>
      <c r="AK2" t="inlineStr">
        <is>
          <t>- Software Architect
Focus on international projects in the context of AWS, Analytics, Security, Mobility</t>
        </is>
      </c>
      <c r="AL2" t="inlineStr">
        <is>
          <t>ES Enterprise Solutions (Gina H.)</t>
        </is>
      </c>
      <c r="AM2" t="inlineStr">
        <is>
          <t>DA Data &amp; AI Solutions (Ralf Fi.)</t>
        </is>
      </c>
      <c r="AN2" t="inlineStr">
        <is>
          <t>PA Platform &amp; Application Solutions (Thomas K.)</t>
        </is>
      </c>
      <c r="AO2" t="inlineStr">
        <is>
          <t>bridgingIT GmbH</t>
        </is>
      </c>
      <c r="AP2" t="inlineStr">
        <is>
          <t>Stuttgart</t>
        </is>
      </c>
      <c r="AQ2" t="inlineStr">
        <is>
          <t>Ralf Fischer</t>
        </is>
      </c>
    </row>
    <row r="3">
      <c r="A3" t="inlineStr">
        <is>
          <t>1208</t>
        </is>
      </c>
      <c r="B3" t="inlineStr">
        <is>
          <t>C085E2</t>
        </is>
      </c>
      <c r="C3" t="inlineStr">
        <is>
          <t>https://app.matchical.com/Consulting/ConsultantDetail?ConsultantId=0d3173bb-0ead-4fb6-8eab-b9083e90c3e1</t>
        </is>
      </c>
      <c r="D3" t="inlineStr">
        <is>
          <t>Adam Birkstedt</t>
        </is>
      </c>
      <c r="E3" t="inlineStr">
        <is>
          <t>adam.birkstedt@bridging-it.de</t>
        </is>
      </c>
      <c r="F3" s="2" t="n">
        <v>41183</v>
      </c>
      <c r="G3" s="2" t="n">
        <v>41187</v>
      </c>
      <c r="H3" t="n">
        <v>11</v>
      </c>
      <c r="I3" t="n">
        <v>0</v>
      </c>
      <c r="J3" t="n">
        <v>2</v>
      </c>
      <c r="K3" s="2" t="n">
        <v>41760</v>
      </c>
      <c r="L3" s="2" t="n">
        <v>41334</v>
      </c>
      <c r="M3" s="2" t="n">
        <v>43829</v>
      </c>
      <c r="N3" t="b">
        <v>0</v>
      </c>
      <c r="O3" t="n">
        <v>161</v>
      </c>
      <c r="P3" t="n">
        <v>583.97</v>
      </c>
      <c r="Q3" t="n">
        <v>160.79</v>
      </c>
      <c r="R3">
        <f>ROUND(O3-P3,2)</f>
        <v/>
      </c>
      <c r="S3">
        <f>ROUND(O3-Q3,2)</f>
        <v/>
      </c>
      <c r="T3" s="3">
        <f>IFERROR(P3/O3,"")</f>
        <v/>
      </c>
      <c r="U3" s="3">
        <f>IFERROR(Q3/O3,"")</f>
        <v/>
      </c>
      <c r="V3" t="n">
        <v>0</v>
      </c>
      <c r="W3" t="n">
        <v>0</v>
      </c>
      <c r="X3" t="n">
        <v>0</v>
      </c>
      <c r="Y3">
        <f>ROUND(V3-W3,2)</f>
        <v/>
      </c>
      <c r="Z3">
        <f>ROUND(V3-X3,2)</f>
        <v/>
      </c>
      <c r="AA3" s="3">
        <f>IFERROR(W3/V3,"")</f>
        <v/>
      </c>
      <c r="AB3" s="3">
        <f>IFERROR(X3/V3,"")</f>
        <v/>
      </c>
      <c r="AC3" t="b">
        <v>0</v>
      </c>
      <c r="AD3" t="b">
        <v>0</v>
      </c>
      <c r="AE3" t="b">
        <v>1</v>
      </c>
      <c r="AF3" t="inlineStr">
        <is>
          <t>No</t>
        </is>
      </c>
      <c r="AI3" t="b">
        <v>0</v>
      </c>
      <c r="AJ3" t="n">
        <v>0</v>
      </c>
      <c r="AK3" t="inlineStr">
        <is>
          <t>
</t>
        </is>
      </c>
      <c r="AL3" t="inlineStr">
        <is>
          <t>A&amp;SE Analytics &amp; Software Engineering (Philip R.)</t>
        </is>
      </c>
      <c r="AM3" t="inlineStr">
        <is>
          <t>FH Fullstack Heroes (Lars P.)</t>
        </is>
      </c>
      <c r="AN3" t="inlineStr">
        <is>
          <t>FUN Fullstack Ninjas (Stefan Z.)</t>
        </is>
      </c>
      <c r="AO3" t="inlineStr">
        <is>
          <t>bridgingIT GmbH</t>
        </is>
      </c>
      <c r="AP3" t="inlineStr">
        <is>
          <t>Mannheim</t>
        </is>
      </c>
      <c r="AQ3" t="inlineStr">
        <is>
          <t>Lars Preschke</t>
        </is>
      </c>
    </row>
    <row r="4">
      <c r="A4" t="inlineStr">
        <is>
          <t>10058</t>
        </is>
      </c>
      <c r="B4" t="inlineStr">
        <is>
          <t>201440</t>
        </is>
      </c>
      <c r="C4" t="inlineStr">
        <is>
          <t>https://app.matchical.com/Consulting/ConsultantDetail?ConsultantId=bdfa7b90-c6cb-4737-938e-acb11e9d5c1f</t>
        </is>
      </c>
      <c r="D4" t="inlineStr">
        <is>
          <t>Adrian Josef Krolczyk</t>
        </is>
      </c>
      <c r="E4" t="inlineStr">
        <is>
          <t>adrian.krolczyk@fastahead.com</t>
        </is>
      </c>
      <c r="F4" s="2" t="n">
        <v>44958</v>
      </c>
      <c r="G4" s="2" t="n">
        <v>39052</v>
      </c>
      <c r="H4" t="n">
        <v>9</v>
      </c>
      <c r="I4" t="n">
        <v>0</v>
      </c>
      <c r="J4" t="n">
        <v>0</v>
      </c>
      <c r="L4" s="2" t="n">
        <v>45761</v>
      </c>
      <c r="M4" s="2" t="n">
        <v>46022</v>
      </c>
      <c r="N4" t="b">
        <v>0</v>
      </c>
      <c r="O4" t="n">
        <v>37</v>
      </c>
      <c r="P4" t="n">
        <v>59</v>
      </c>
      <c r="Q4" t="n">
        <v>35</v>
      </c>
      <c r="R4">
        <f>ROUND(O4-P4,2)</f>
        <v/>
      </c>
      <c r="S4">
        <f>ROUND(O4-Q4,2)</f>
        <v/>
      </c>
      <c r="T4" s="3">
        <f>IFERROR(P4/O4,"")</f>
        <v/>
      </c>
      <c r="U4" s="3">
        <f>IFERROR(Q4/O4,"")</f>
        <v/>
      </c>
      <c r="V4" t="n">
        <v>194</v>
      </c>
      <c r="W4" t="n">
        <v>97</v>
      </c>
      <c r="X4" t="n">
        <v>97</v>
      </c>
      <c r="Y4">
        <f>ROUND(V4-W4,2)</f>
        <v/>
      </c>
      <c r="Z4">
        <f>ROUND(V4-X4,2)</f>
        <v/>
      </c>
      <c r="AA4" s="3">
        <f>IFERROR(W4/V4,"")</f>
        <v/>
      </c>
      <c r="AB4" s="3">
        <f>IFERROR(X4/V4,"")</f>
        <v/>
      </c>
      <c r="AC4" t="b">
        <v>0</v>
      </c>
      <c r="AD4" t="b">
        <v>0</v>
      </c>
      <c r="AE4" t="b">
        <v>0</v>
      </c>
      <c r="AF4" t="inlineStr">
        <is>
          <t>No</t>
        </is>
      </c>
      <c r="AI4" t="b">
        <v>1</v>
      </c>
      <c r="AJ4" t="n">
        <v>0</v>
      </c>
      <c r="AK4" t="inlineStr">
        <is>
          <t>The project end date is fixed with the handover of activities. In the meantime, another project can already start (ramp-up).</t>
        </is>
      </c>
      <c r="AL4" t="inlineStr">
        <is>
          <t>ORG fastahead GmbH &amp; Co. KG</t>
        </is>
      </c>
      <c r="AM4" t="inlineStr">
        <is>
          <t>Business-driven Architectures (Dr. C. Gitte)</t>
        </is>
      </c>
      <c r="AN4" t="inlineStr">
        <is>
          <t>fah Tim Thierfelder</t>
        </is>
      </c>
      <c r="AO4" t="inlineStr">
        <is>
          <t>fastahead GmbH &amp; Co. KG</t>
        </is>
      </c>
      <c r="AP4" t="inlineStr">
        <is>
          <t>Berlin</t>
        </is>
      </c>
      <c r="AQ4" t="inlineStr">
        <is>
          <t>Christian Gitte</t>
        </is>
      </c>
    </row>
    <row r="5">
      <c r="A5" t="inlineStr">
        <is>
          <t>3249</t>
        </is>
      </c>
      <c r="B5" t="inlineStr">
        <is>
          <t>D167A3</t>
        </is>
      </c>
      <c r="C5" t="inlineStr">
        <is>
          <t>https://app.matchical.com/Consulting/ConsultantDetail?ConsultantId=a0d832f3-d590-4d40-ade1-db1aba8fbea2</t>
        </is>
      </c>
      <c r="D5" t="inlineStr">
        <is>
          <t>Adrian Knorr</t>
        </is>
      </c>
      <c r="E5" t="inlineStr">
        <is>
          <t>adrian.knorr@bridging-it.de</t>
        </is>
      </c>
      <c r="F5" s="2" t="n">
        <v>44669</v>
      </c>
      <c r="G5" s="2" t="n">
        <v>41518</v>
      </c>
      <c r="H5" t="n">
        <v>8</v>
      </c>
      <c r="I5" t="n">
        <v>0</v>
      </c>
      <c r="J5" t="n">
        <v>0</v>
      </c>
      <c r="L5" s="2" t="n">
        <v>45658</v>
      </c>
      <c r="M5" s="2" t="n">
        <v>46022</v>
      </c>
      <c r="N5" t="b">
        <v>0</v>
      </c>
      <c r="O5" t="n">
        <v>46</v>
      </c>
      <c r="P5" t="n">
        <v>53</v>
      </c>
      <c r="Q5" t="n">
        <v>42</v>
      </c>
      <c r="R5">
        <f>ROUND(O5-P5,2)</f>
        <v/>
      </c>
      <c r="S5">
        <f>ROUND(O5-Q5,2)</f>
        <v/>
      </c>
      <c r="T5" s="3">
        <f>IFERROR(P5/O5,"")</f>
        <v/>
      </c>
      <c r="U5" s="3">
        <f>IFERROR(Q5/O5,"")</f>
        <v/>
      </c>
      <c r="V5" t="n">
        <v>104</v>
      </c>
      <c r="W5" t="n">
        <v>118</v>
      </c>
      <c r="X5" t="n">
        <v>90</v>
      </c>
      <c r="Y5">
        <f>ROUND(V5-W5,2)</f>
        <v/>
      </c>
      <c r="Z5">
        <f>ROUND(V5-X5,2)</f>
        <v/>
      </c>
      <c r="AA5" s="3">
        <f>IFERROR(W5/V5,"")</f>
        <v/>
      </c>
      <c r="AB5" s="3">
        <f>IFERROR(X5/V5,"")</f>
        <v/>
      </c>
      <c r="AC5" t="b">
        <v>0</v>
      </c>
      <c r="AD5" t="b">
        <v>0</v>
      </c>
      <c r="AE5" t="b">
        <v>0</v>
      </c>
      <c r="AF5" t="inlineStr">
        <is>
          <t>No</t>
        </is>
      </c>
      <c r="AI5" t="b">
        <v>1</v>
      </c>
      <c r="AJ5" t="n">
        <v>0</v>
      </c>
      <c r="AK5" t="inlineStr">
        <is>
          <t>Adrian is an experienced business analyst and product manager with experience in UI/UX and AI. Adrian is actively seeking a project in the AI field and also brings the necessary knowledge for it.</t>
        </is>
      </c>
      <c r="AL5" t="inlineStr">
        <is>
          <t>ORG bIT</t>
        </is>
      </c>
      <c r="AM5" t="inlineStr">
        <is>
          <t>BAPO - BA and Product Ownership (Edgar K.)</t>
        </is>
      </c>
      <c r="AN5" t="inlineStr">
        <is>
          <t>ABC Analysing Business &amp; Collaboration (Edgar K.)</t>
        </is>
      </c>
      <c r="AO5" t="inlineStr">
        <is>
          <t>bridgingIT GmbH</t>
        </is>
      </c>
      <c r="AP5" t="inlineStr">
        <is>
          <t>Frankfurt</t>
        </is>
      </c>
      <c r="AQ5" t="inlineStr">
        <is>
          <t>Edgar Kauz</t>
        </is>
      </c>
    </row>
    <row r="6">
      <c r="A6" t="inlineStr">
        <is>
          <t>8663</t>
        </is>
      </c>
      <c r="B6" t="inlineStr">
        <is>
          <t>87292E</t>
        </is>
      </c>
      <c r="C6" t="inlineStr">
        <is>
          <t>https://app.matchical.com/Consulting/ConsultantDetail?ConsultantId=8afb61cd-046f-4995-b171-7cfdf8099644</t>
        </is>
      </c>
      <c r="D6" t="inlineStr">
        <is>
          <t>Adrian Roser</t>
        </is>
      </c>
      <c r="E6" t="inlineStr">
        <is>
          <t>adrian.roser@crafting-it.de</t>
        </is>
      </c>
      <c r="F6" s="2" t="n">
        <v>44197</v>
      </c>
      <c r="G6" s="2" t="n">
        <v>43344</v>
      </c>
      <c r="H6" t="n">
        <v>23</v>
      </c>
      <c r="I6" t="n">
        <v>0</v>
      </c>
      <c r="J6" t="n">
        <v>0</v>
      </c>
      <c r="L6" s="2" t="n">
        <v>45658</v>
      </c>
      <c r="M6" s="2" t="n">
        <v>45838</v>
      </c>
      <c r="N6" t="b">
        <v>0</v>
      </c>
      <c r="O6" t="n">
        <v>62</v>
      </c>
      <c r="P6" t="n">
        <v>257.97</v>
      </c>
      <c r="Q6" t="n">
        <v>54.99</v>
      </c>
      <c r="R6">
        <f>ROUND(O6-P6,2)</f>
        <v/>
      </c>
      <c r="S6">
        <f>ROUND(O6-Q6,2)</f>
        <v/>
      </c>
      <c r="T6" s="3">
        <f>IFERROR(P6/O6,"")</f>
        <v/>
      </c>
      <c r="U6" s="3">
        <f>IFERROR(Q6/O6,"")</f>
        <v/>
      </c>
      <c r="V6" t="n">
        <v>28</v>
      </c>
      <c r="W6" t="n">
        <v>0.03</v>
      </c>
      <c r="X6" t="n">
        <v>0.01</v>
      </c>
      <c r="Y6">
        <f>ROUND(V6-W6,2)</f>
        <v/>
      </c>
      <c r="Z6">
        <f>ROUND(V6-X6,2)</f>
        <v/>
      </c>
      <c r="AA6" s="3">
        <f>IFERROR(W6/V6,"")</f>
        <v/>
      </c>
      <c r="AB6" s="3">
        <f>IFERROR(X6/V6,"")</f>
        <v/>
      </c>
      <c r="AC6" t="b">
        <v>0</v>
      </c>
      <c r="AD6" t="b">
        <v>0</v>
      </c>
      <c r="AE6" t="b">
        <v>0</v>
      </c>
      <c r="AF6" t="inlineStr">
        <is>
          <t>No</t>
        </is>
      </c>
      <c r="AI6" t="b">
        <v>1</v>
      </c>
      <c r="AJ6" t="n">
        <v>0</v>
      </c>
      <c r="AK6" t="inlineStr"/>
      <c r="AL6" t="inlineStr">
        <is>
          <t>ORG cIT</t>
        </is>
      </c>
      <c r="AM6" t="inlineStr">
        <is>
          <t>cIT AMS / GIS Services (Michael B.)</t>
        </is>
      </c>
      <c r="AN6" t="inlineStr">
        <is>
          <t>cIT Service Delivery Magdeburg (Steffen A.)</t>
        </is>
      </c>
      <c r="AO6" t="inlineStr">
        <is>
          <t>craftingIT GmbH</t>
        </is>
      </c>
      <c r="AP6" t="inlineStr">
        <is>
          <t>Karlsruhe</t>
        </is>
      </c>
      <c r="AQ6" t="inlineStr">
        <is>
          <t>Michael Buchter</t>
        </is>
      </c>
    </row>
    <row r="7">
      <c r="A7" t="inlineStr">
        <is>
          <t>2064</t>
        </is>
      </c>
      <c r="B7" t="inlineStr">
        <is>
          <t>F8F6B0</t>
        </is>
      </c>
      <c r="C7" t="inlineStr">
        <is>
          <t>https://app.matchical.com/Consulting/ConsultantDetail?ConsultantId=c20648d7-9db2-4d22-bcb1-28e927b563da</t>
        </is>
      </c>
      <c r="D7" t="inlineStr">
        <is>
          <t>Afshan Tabbasum</t>
        </is>
      </c>
      <c r="E7" t="inlineStr">
        <is>
          <t>afshan.tabbasum@bridging-it.de</t>
        </is>
      </c>
      <c r="F7" s="2" t="n">
        <v>41275</v>
      </c>
      <c r="G7" s="2" t="n">
        <v>39934</v>
      </c>
      <c r="H7" t="n">
        <v>51</v>
      </c>
      <c r="I7" t="n">
        <v>0</v>
      </c>
      <c r="J7" t="n">
        <v>3</v>
      </c>
      <c r="K7" s="2" t="n">
        <v>44347</v>
      </c>
      <c r="L7" s="2" t="n">
        <v>45839</v>
      </c>
      <c r="M7" s="2" t="n">
        <v>46022</v>
      </c>
      <c r="N7" t="b">
        <v>0</v>
      </c>
      <c r="O7" t="n">
        <v>158</v>
      </c>
      <c r="P7" t="n">
        <v>557</v>
      </c>
      <c r="Q7" t="n">
        <v>157.77</v>
      </c>
      <c r="R7">
        <f>ROUND(O7-P7,2)</f>
        <v/>
      </c>
      <c r="S7">
        <f>ROUND(O7-Q7,2)</f>
        <v/>
      </c>
      <c r="T7" s="3">
        <f>IFERROR(P7/O7,"")</f>
        <v/>
      </c>
      <c r="U7" s="3">
        <f>IFERROR(Q7/O7,"")</f>
        <v/>
      </c>
      <c r="V7" t="n">
        <v>44</v>
      </c>
      <c r="W7" t="n">
        <v>57.01</v>
      </c>
      <c r="X7" t="n">
        <v>38.01</v>
      </c>
      <c r="Y7">
        <f>ROUND(V7-W7,2)</f>
        <v/>
      </c>
      <c r="Z7">
        <f>ROUND(V7-X7,2)</f>
        <v/>
      </c>
      <c r="AA7" s="3">
        <f>IFERROR(W7/V7,"")</f>
        <v/>
      </c>
      <c r="AB7" s="3">
        <f>IFERROR(X7/V7,"")</f>
        <v/>
      </c>
      <c r="AC7" t="b">
        <v>0</v>
      </c>
      <c r="AD7" t="b">
        <v>0</v>
      </c>
      <c r="AE7" t="b">
        <v>0</v>
      </c>
      <c r="AF7" t="inlineStr">
        <is>
          <t>No</t>
        </is>
      </c>
      <c r="AI7" t="b">
        <v>0</v>
      </c>
      <c r="AJ7" t="n">
        <v>0</v>
      </c>
      <c r="AK7" t="inlineStr">
        <is>
          <t>* Microsoft 365 Power Platform, Power Apps and Power Automate
* Microsoft Adaptive Cards Development
* K2 Workflow Development</t>
        </is>
      </c>
      <c r="AL7" t="inlineStr">
        <is>
          <t>ES Enterprise Solutions (Gina H.)</t>
        </is>
      </c>
      <c r="AM7" t="inlineStr">
        <is>
          <t>PE Platform Engineering (Thomas K.)</t>
        </is>
      </c>
      <c r="AN7" t="inlineStr">
        <is>
          <t>PA Platform &amp; Application Solutions (Thomas K.)</t>
        </is>
      </c>
      <c r="AO7" t="inlineStr">
        <is>
          <t>bridgingIT GmbH</t>
        </is>
      </c>
      <c r="AP7" t="inlineStr">
        <is>
          <t>Stuttgart</t>
        </is>
      </c>
      <c r="AQ7" t="inlineStr">
        <is>
          <t>Thomas Kiri</t>
        </is>
      </c>
    </row>
    <row r="8">
      <c r="A8" t="inlineStr">
        <is>
          <t>10052</t>
        </is>
      </c>
      <c r="B8" t="inlineStr">
        <is>
          <t>48C410</t>
        </is>
      </c>
      <c r="C8" t="inlineStr">
        <is>
          <t>https://app.matchical.com/Consulting/ConsultantDetail?ConsultantId=1b3c0d4f-857b-47c6-907f-57d01862cd86</t>
        </is>
      </c>
      <c r="D8" t="inlineStr">
        <is>
          <t>Ahmad Kamhieh</t>
        </is>
      </c>
      <c r="E8" t="inlineStr">
        <is>
          <t>ahmad.kamhieh@bridging-it.de</t>
        </is>
      </c>
      <c r="F8" s="2" t="n">
        <v>44958</v>
      </c>
      <c r="G8" s="2" t="n">
        <v>44409</v>
      </c>
      <c r="H8" t="n">
        <v>14</v>
      </c>
      <c r="I8" t="n">
        <v>0</v>
      </c>
      <c r="J8" t="n">
        <v>0</v>
      </c>
      <c r="L8" s="2" t="n">
        <v>45414</v>
      </c>
      <c r="M8" s="2" t="n">
        <v>45504</v>
      </c>
      <c r="N8" t="b">
        <v>0</v>
      </c>
      <c r="O8" t="n">
        <v>37</v>
      </c>
      <c r="P8" t="n">
        <v>54.64</v>
      </c>
      <c r="Q8" t="n">
        <v>19.32</v>
      </c>
      <c r="R8">
        <f>ROUND(O8-P8,2)</f>
        <v/>
      </c>
      <c r="S8">
        <f>ROUND(O8-Q8,2)</f>
        <v/>
      </c>
      <c r="T8" s="3">
        <f>IFERROR(P8/O8,"")</f>
        <v/>
      </c>
      <c r="U8" s="3">
        <f>IFERROR(Q8/O8,"")</f>
        <v/>
      </c>
      <c r="V8" t="n">
        <v>18</v>
      </c>
      <c r="W8" t="n">
        <v>15.36</v>
      </c>
      <c r="X8" t="n">
        <v>12.68</v>
      </c>
      <c r="Y8">
        <f>ROUND(V8-W8,2)</f>
        <v/>
      </c>
      <c r="Z8">
        <f>ROUND(V8-X8,2)</f>
        <v/>
      </c>
      <c r="AA8" s="3">
        <f>IFERROR(W8/V8,"")</f>
        <v/>
      </c>
      <c r="AB8" s="3">
        <f>IFERROR(X8/V8,"")</f>
        <v/>
      </c>
      <c r="AC8" t="b">
        <v>0</v>
      </c>
      <c r="AD8" t="b">
        <v>0</v>
      </c>
      <c r="AE8" t="b">
        <v>0</v>
      </c>
      <c r="AF8" t="inlineStr">
        <is>
          <t>Yes</t>
        </is>
      </c>
      <c r="AG8" s="2" t="n">
        <v>46174</v>
      </c>
      <c r="AI8" t="b">
        <v>0</v>
      </c>
      <c r="AJ8" t="n">
        <v>1.82</v>
      </c>
      <c r="AK8" t="inlineStr">
        <is>
          <t>Fullstack (.NET and Angular) Developer
Leads at: TKE, SPIE JSS, KVNO</t>
        </is>
      </c>
      <c r="AL8" t="inlineStr">
        <is>
          <t>ES Enterprise Solutions (Gina H.)</t>
        </is>
      </c>
      <c r="AM8" t="inlineStr">
        <is>
          <t>IEM .Net II (Aleksandar B.)</t>
        </is>
      </c>
      <c r="AN8" t="inlineStr">
        <is>
          <t>IEJ Individualentwicklung JAVA (Dominik S.)</t>
        </is>
      </c>
      <c r="AO8" t="inlineStr">
        <is>
          <t>bridgingIT GmbH</t>
        </is>
      </c>
      <c r="AP8" t="inlineStr">
        <is>
          <t>Stuttgart</t>
        </is>
      </c>
      <c r="AQ8" t="inlineStr">
        <is>
          <t>Aleksandar Blagojevic</t>
        </is>
      </c>
    </row>
    <row r="9">
      <c r="A9" t="inlineStr">
        <is>
          <t>10430</t>
        </is>
      </c>
      <c r="B9" t="inlineStr">
        <is>
          <t>3A0086</t>
        </is>
      </c>
      <c r="C9" t="inlineStr">
        <is>
          <t>https://app.matchical.com/Consulting/ConsultantDetail?ConsultantId=ec49d130-9afa-4329-883f-4e918e6e1bfe</t>
        </is>
      </c>
      <c r="D9" t="inlineStr">
        <is>
          <t>Ahmad Osman</t>
        </is>
      </c>
      <c r="E9" t="inlineStr">
        <is>
          <t>ahmad.osman@bridging-it.de</t>
        </is>
      </c>
      <c r="F9" s="2" t="n">
        <v>46054</v>
      </c>
      <c r="G9" s="2" t="n">
        <v>41275</v>
      </c>
      <c r="H9" t="n">
        <v>8</v>
      </c>
      <c r="I9" t="n">
        <v>0</v>
      </c>
      <c r="J9" t="n">
        <v>0</v>
      </c>
      <c r="L9" s="2" t="n">
        <v>44926</v>
      </c>
      <c r="M9" s="2" t="n">
        <v>46052</v>
      </c>
      <c r="N9" t="b">
        <v>0</v>
      </c>
      <c r="O9" t="n">
        <v>1</v>
      </c>
      <c r="P9" t="n">
        <v>0</v>
      </c>
      <c r="Q9" t="n">
        <v>0</v>
      </c>
      <c r="R9">
        <f>ROUND(O9-P9,2)</f>
        <v/>
      </c>
      <c r="S9">
        <f>ROUND(O9-Q9,2)</f>
        <v/>
      </c>
      <c r="T9" s="3">
        <f>IFERROR(P9/O9,"")</f>
        <v/>
      </c>
      <c r="U9" s="3">
        <f>IFERROR(Q9/O9,"")</f>
        <v/>
      </c>
      <c r="V9" t="n">
        <v>157</v>
      </c>
      <c r="W9" t="n">
        <v>183.92</v>
      </c>
      <c r="X9" t="n">
        <v>154.94</v>
      </c>
      <c r="Y9">
        <f>ROUND(V9-W9,2)</f>
        <v/>
      </c>
      <c r="Z9">
        <f>ROUND(V9-X9,2)</f>
        <v/>
      </c>
      <c r="AA9" s="3">
        <f>IFERROR(W9/V9,"")</f>
        <v/>
      </c>
      <c r="AB9" s="3">
        <f>IFERROR(X9/V9,"")</f>
        <v/>
      </c>
      <c r="AC9" t="b">
        <v>0</v>
      </c>
      <c r="AD9" t="b">
        <v>0</v>
      </c>
      <c r="AE9" t="b">
        <v>0</v>
      </c>
      <c r="AF9" t="inlineStr">
        <is>
          <t>Yes</t>
        </is>
      </c>
      <c r="AG9" s="2" t="n">
        <v>46062</v>
      </c>
      <c r="AI9" t="b">
        <v>1</v>
      </c>
      <c r="AJ9" t="n">
        <v>5</v>
      </c>
      <c r="AK9" t="inlineStr"/>
      <c r="AL9" t="inlineStr">
        <is>
          <t>IT - Information Technology (HH)</t>
        </is>
      </c>
      <c r="AM9" t="inlineStr">
        <is>
          <t>CRM I - Platform Solutions &amp; CRM (Fortunato D. D.)</t>
        </is>
      </c>
      <c r="AN9" t="inlineStr">
        <is>
          <t>BAA HH (Torben H.)</t>
        </is>
      </c>
      <c r="AO9" t="inlineStr">
        <is>
          <t>bridgingIT GmbH</t>
        </is>
      </c>
      <c r="AP9" t="inlineStr">
        <is>
          <t>Hamburg</t>
        </is>
      </c>
      <c r="AQ9" t="inlineStr">
        <is>
          <t>Fortunato Di Donato</t>
        </is>
      </c>
    </row>
    <row r="10">
      <c r="A10" t="inlineStr">
        <is>
          <t>10044</t>
        </is>
      </c>
      <c r="B10" t="inlineStr">
        <is>
          <t>2CE8C5</t>
        </is>
      </c>
      <c r="C10" t="inlineStr">
        <is>
          <t>https://app.matchical.com/Consulting/ConsultantDetail?ConsultantId=609d0e65-d3d2-486c-a4de-ad31eb1e1a1d</t>
        </is>
      </c>
      <c r="D10" t="inlineStr">
        <is>
          <t>Akash Saraswat</t>
        </is>
      </c>
      <c r="E10" t="inlineStr">
        <is>
          <t>akash.saraswat@bridging-it.de</t>
        </is>
      </c>
      <c r="F10" s="2" t="n">
        <v>44986</v>
      </c>
      <c r="G10" s="2" t="n">
        <v>43831</v>
      </c>
      <c r="H10" t="n">
        <v>10</v>
      </c>
      <c r="I10" t="n">
        <v>0</v>
      </c>
      <c r="J10" t="n">
        <v>2</v>
      </c>
      <c r="K10" s="2" t="n">
        <v>45292</v>
      </c>
      <c r="L10" s="2" t="n">
        <v>45658</v>
      </c>
      <c r="M10" s="2" t="n">
        <v>46022</v>
      </c>
      <c r="N10" t="b">
        <v>0</v>
      </c>
      <c r="O10" t="n">
        <v>36</v>
      </c>
      <c r="P10" t="n">
        <v>105</v>
      </c>
      <c r="Q10" t="n">
        <v>35</v>
      </c>
      <c r="R10">
        <f>ROUND(O10-P10,2)</f>
        <v/>
      </c>
      <c r="S10">
        <f>ROUND(O10-Q10,2)</f>
        <v/>
      </c>
      <c r="T10" s="3">
        <f>IFERROR(P10/O10,"")</f>
        <v/>
      </c>
      <c r="U10" s="3">
        <f>IFERROR(Q10/O10,"")</f>
        <v/>
      </c>
      <c r="V10" t="n">
        <v>38</v>
      </c>
      <c r="W10" t="n">
        <v>72.97</v>
      </c>
      <c r="X10" t="n">
        <v>37.95</v>
      </c>
      <c r="Y10">
        <f>ROUND(V10-W10,2)</f>
        <v/>
      </c>
      <c r="Z10">
        <f>ROUND(V10-X10,2)</f>
        <v/>
      </c>
      <c r="AA10" s="3">
        <f>IFERROR(W10/V10,"")</f>
        <v/>
      </c>
      <c r="AB10" s="3">
        <f>IFERROR(X10/V10,"")</f>
        <v/>
      </c>
      <c r="AC10" t="b">
        <v>0</v>
      </c>
      <c r="AD10" t="b">
        <v>0</v>
      </c>
      <c r="AE10" t="b">
        <v>0</v>
      </c>
      <c r="AF10" t="inlineStr">
        <is>
          <t>No</t>
        </is>
      </c>
      <c r="AI10" t="b">
        <v>1</v>
      </c>
      <c r="AJ10" t="n">
        <v>0</v>
      </c>
      <c r="AK10" t="inlineStr">
        <is>
          <t>Experience with process digitization and low-code, as well as BI (primarily SAP Analytics Cloud, and Power BI), dashboard design, and process design.</t>
        </is>
      </c>
      <c r="AL10" t="inlineStr">
        <is>
          <t>DO Digital Organizations (Michael H.)</t>
        </is>
      </c>
      <c r="AM10" t="inlineStr">
        <is>
          <t>PD Process Digitalization II (Ralf Fr.)</t>
        </is>
      </c>
      <c r="AN10" t="inlineStr">
        <is>
          <t>DP Digital Processes (Hermann L.)</t>
        </is>
      </c>
      <c r="AO10" t="inlineStr">
        <is>
          <t>bridgingIT GmbH</t>
        </is>
      </c>
      <c r="AP10" t="inlineStr">
        <is>
          <t>Stuttgart</t>
        </is>
      </c>
      <c r="AQ10" t="inlineStr">
        <is>
          <t>Ralf Frotscher</t>
        </is>
      </c>
    </row>
    <row r="11">
      <c r="A11" t="inlineStr">
        <is>
          <t>2136</t>
        </is>
      </c>
      <c r="B11" t="inlineStr">
        <is>
          <t>75F54F</t>
        </is>
      </c>
      <c r="C11" t="inlineStr">
        <is>
          <t>https://app.matchical.com/Consulting/ConsultantDetail?ConsultantId=25ffe9cd-2779-4db8-b1fc-6e8cb3ac0a50</t>
        </is>
      </c>
      <c r="D11" t="inlineStr">
        <is>
          <t>Aleksandar Blagojevic</t>
        </is>
      </c>
      <c r="E11" t="inlineStr">
        <is>
          <t>aleksandar.blagojevic@bridging-it.de</t>
        </is>
      </c>
      <c r="F11" s="2" t="n">
        <v>42401</v>
      </c>
      <c r="G11" s="2" t="n">
        <v>38412</v>
      </c>
      <c r="H11" t="n">
        <v>26</v>
      </c>
      <c r="I11" t="n">
        <v>0</v>
      </c>
      <c r="J11" t="n">
        <v>0</v>
      </c>
      <c r="L11" s="2" t="n">
        <v>44787</v>
      </c>
      <c r="M11" s="2" t="n">
        <v>45077</v>
      </c>
      <c r="N11" t="b">
        <v>0</v>
      </c>
      <c r="O11" t="n">
        <v>121</v>
      </c>
      <c r="P11" t="n">
        <v>167</v>
      </c>
      <c r="Q11" t="n">
        <v>88</v>
      </c>
      <c r="R11">
        <f>ROUND(O11-P11,2)</f>
        <v/>
      </c>
      <c r="S11">
        <f>ROUND(O11-Q11,2)</f>
        <v/>
      </c>
      <c r="T11" s="3">
        <f>IFERROR(P11/O11,"")</f>
        <v/>
      </c>
      <c r="U11" s="3">
        <f>IFERROR(Q11/O11,"")</f>
        <v/>
      </c>
      <c r="V11" t="n">
        <v>131</v>
      </c>
      <c r="W11" t="n">
        <v>117</v>
      </c>
      <c r="X11" t="n">
        <v>76</v>
      </c>
      <c r="Y11">
        <f>ROUND(V11-W11,2)</f>
        <v/>
      </c>
      <c r="Z11">
        <f>ROUND(V11-X11,2)</f>
        <v/>
      </c>
      <c r="AA11" s="3">
        <f>IFERROR(W11/V11,"")</f>
        <v/>
      </c>
      <c r="AB11" s="3">
        <f>IFERROR(X11/V11,"")</f>
        <v/>
      </c>
      <c r="AC11" t="b">
        <v>0</v>
      </c>
      <c r="AD11" t="b">
        <v>0</v>
      </c>
      <c r="AE11" t="b">
        <v>0</v>
      </c>
      <c r="AF11" t="inlineStr">
        <is>
          <t>No</t>
        </is>
      </c>
      <c r="AI11" t="b">
        <v>0</v>
      </c>
      <c r="AJ11" t="n">
        <v>5</v>
      </c>
      <c r="AK11" t="inlineStr"/>
      <c r="AL11" t="inlineStr">
        <is>
          <t>ES Enterprise Solutions (Gina H.)</t>
        </is>
      </c>
      <c r="AM11" t="inlineStr">
        <is>
          <t>IEM .Net II (Aleksandar B.)</t>
        </is>
      </c>
      <c r="AN11" t="inlineStr">
        <is>
          <t>IEJ Individualentwicklung JAVA (Dominik S.)</t>
        </is>
      </c>
      <c r="AO11" t="inlineStr">
        <is>
          <t>bridgingIT GmbH</t>
        </is>
      </c>
      <c r="AP11" t="inlineStr">
        <is>
          <t>Stuttgart</t>
        </is>
      </c>
      <c r="AQ11" t="inlineStr">
        <is>
          <t>Dominik Schadow</t>
        </is>
      </c>
    </row>
    <row r="12">
      <c r="A12" t="inlineStr">
        <is>
          <t>10299</t>
        </is>
      </c>
      <c r="B12" t="inlineStr">
        <is>
          <t>8734EF</t>
        </is>
      </c>
      <c r="C12" t="inlineStr">
        <is>
          <t>https://app.matchical.com/Consulting/ConsultantDetail?ConsultantId=ac32b51f-8c73-497e-857a-f2829db9398f</t>
        </is>
      </c>
      <c r="D12" t="inlineStr">
        <is>
          <t>Aleksandar Bozic</t>
        </is>
      </c>
      <c r="E12" t="inlineStr">
        <is>
          <t>aleksandar.bozic@bridging-it.de</t>
        </is>
      </c>
      <c r="F12" s="2" t="n">
        <v>45536</v>
      </c>
      <c r="G12" s="2" t="n">
        <v>44562</v>
      </c>
      <c r="H12" t="n">
        <v>7</v>
      </c>
      <c r="I12" t="n">
        <v>0</v>
      </c>
      <c r="J12" t="n">
        <v>0</v>
      </c>
      <c r="L12" s="2" t="n">
        <v>45607</v>
      </c>
      <c r="M12" s="2" t="n">
        <v>46022</v>
      </c>
      <c r="N12" t="b">
        <v>0</v>
      </c>
      <c r="O12" t="n">
        <v>18</v>
      </c>
      <c r="P12" t="n">
        <v>14</v>
      </c>
      <c r="Q12" t="n">
        <v>14</v>
      </c>
      <c r="R12">
        <f>ROUND(O12-P12,2)</f>
        <v/>
      </c>
      <c r="S12">
        <f>ROUND(O12-Q12,2)</f>
        <v/>
      </c>
      <c r="T12" s="3">
        <f>IFERROR(P12/O12,"")</f>
        <v/>
      </c>
      <c r="U12" s="3">
        <f>IFERROR(Q12/O12,"")</f>
        <v/>
      </c>
      <c r="V12" t="n">
        <v>32</v>
      </c>
      <c r="W12" t="n">
        <v>95</v>
      </c>
      <c r="X12" t="n">
        <v>31</v>
      </c>
      <c r="Y12">
        <f>ROUND(V12-W12,2)</f>
        <v/>
      </c>
      <c r="Z12">
        <f>ROUND(V12-X12,2)</f>
        <v/>
      </c>
      <c r="AA12" s="3">
        <f>IFERROR(W12/V12,"")</f>
        <v/>
      </c>
      <c r="AB12" s="3">
        <f>IFERROR(X12/V12,"")</f>
        <v/>
      </c>
      <c r="AC12" t="b">
        <v>0</v>
      </c>
      <c r="AD12" t="b">
        <v>0</v>
      </c>
      <c r="AE12" t="b">
        <v>0</v>
      </c>
      <c r="AF12" t="inlineStr">
        <is>
          <t>Yes</t>
        </is>
      </c>
      <c r="AG12" s="2" t="n">
        <v>46143</v>
      </c>
      <c r="AI12" t="b">
        <v>1</v>
      </c>
      <c r="AJ12" t="n">
        <v>5</v>
      </c>
      <c r="AK12" t="inlineStr"/>
      <c r="AL12" t="inlineStr">
        <is>
          <t>IT - Information Technology (Sebastian L.)</t>
        </is>
      </c>
      <c r="AM12" t="inlineStr">
        <is>
          <t>P&amp;P - Processes &amp; Platforms (Bernd O.)</t>
        </is>
      </c>
      <c r="AN12" t="inlineStr">
        <is>
          <t>P&amp;DE - Platforms &amp; Digital Ecosystems (David S.)</t>
        </is>
      </c>
      <c r="AO12" t="inlineStr">
        <is>
          <t>bridgingIT GmbH</t>
        </is>
      </c>
      <c r="AP12" t="inlineStr">
        <is>
          <t>Mannheim</t>
        </is>
      </c>
      <c r="AQ12" t="inlineStr">
        <is>
          <t>Bernd Opitz</t>
        </is>
      </c>
    </row>
    <row r="13">
      <c r="A13" t="inlineStr">
        <is>
          <t>10273</t>
        </is>
      </c>
      <c r="B13" t="inlineStr">
        <is>
          <t>A7182D</t>
        </is>
      </c>
      <c r="C13" t="inlineStr">
        <is>
          <t>https://app.matchical.com/Consulting/ConsultantDetail?ConsultantId=e17d68c8-49df-4439-a5f1-5da226881413</t>
        </is>
      </c>
      <c r="D13" t="inlineStr">
        <is>
          <t>Alex Befort</t>
        </is>
      </c>
      <c r="E13" t="inlineStr">
        <is>
          <t>alex.befort@bridging-it.de</t>
        </is>
      </c>
      <c r="F13" s="2" t="n">
        <v>45352</v>
      </c>
      <c r="G13" s="2" t="n">
        <v>42552</v>
      </c>
      <c r="H13" t="n">
        <v>9</v>
      </c>
      <c r="I13" t="n">
        <v>0</v>
      </c>
      <c r="J13" t="n">
        <v>0</v>
      </c>
      <c r="L13" s="2" t="n">
        <v>45404</v>
      </c>
      <c r="M13" s="2" t="n">
        <v>46021</v>
      </c>
      <c r="N13" t="b">
        <v>0</v>
      </c>
      <c r="O13" t="n">
        <v>24</v>
      </c>
      <c r="P13" t="n">
        <v>21.67</v>
      </c>
      <c r="Q13" t="n">
        <v>21.67</v>
      </c>
      <c r="R13">
        <f>ROUND(O13-P13,2)</f>
        <v/>
      </c>
      <c r="S13">
        <f>ROUND(O13-Q13,2)</f>
        <v/>
      </c>
      <c r="T13" s="3">
        <f>IFERROR(P13/O13,"")</f>
        <v/>
      </c>
      <c r="U13" s="3">
        <f>IFERROR(Q13/O13,"")</f>
        <v/>
      </c>
      <c r="V13" t="n">
        <v>92</v>
      </c>
      <c r="W13" t="n">
        <v>94.97</v>
      </c>
      <c r="X13" t="n">
        <v>83.97</v>
      </c>
      <c r="Y13">
        <f>ROUND(V13-W13,2)</f>
        <v/>
      </c>
      <c r="Z13">
        <f>ROUND(V13-X13,2)</f>
        <v/>
      </c>
      <c r="AA13" s="3">
        <f>IFERROR(W13/V13,"")</f>
        <v/>
      </c>
      <c r="AB13" s="3">
        <f>IFERROR(X13/V13,"")</f>
        <v/>
      </c>
      <c r="AC13" t="b">
        <v>0</v>
      </c>
      <c r="AD13" t="b">
        <v>0</v>
      </c>
      <c r="AE13" t="b">
        <v>0</v>
      </c>
      <c r="AF13" t="inlineStr">
        <is>
          <t>No</t>
        </is>
      </c>
      <c r="AI13" t="b">
        <v>1</v>
      </c>
      <c r="AJ13" t="n">
        <v>0</v>
      </c>
      <c r="AK13" t="inlineStr"/>
      <c r="AL13" t="inlineStr">
        <is>
          <t>ORG bIT</t>
        </is>
      </c>
      <c r="AM13" t="inlineStr">
        <is>
          <t>SE Software Engineering Frankfurt (Sebastian F.)</t>
        </is>
      </c>
      <c r="AN13" t="inlineStr">
        <is>
          <t>ES Enterprise Solutions (Dominik H.)</t>
        </is>
      </c>
      <c r="AO13" t="inlineStr">
        <is>
          <t>bridgingIT GmbH</t>
        </is>
      </c>
      <c r="AP13" t="inlineStr">
        <is>
          <t>Frankfurt</t>
        </is>
      </c>
      <c r="AQ13" t="inlineStr">
        <is>
          <t>Sebastian Fischer</t>
        </is>
      </c>
    </row>
    <row r="14">
      <c r="A14" t="inlineStr">
        <is>
          <t>2311</t>
        </is>
      </c>
      <c r="B14" t="inlineStr">
        <is>
          <t>043588</t>
        </is>
      </c>
      <c r="C14" t="inlineStr">
        <is>
          <t>https://app.matchical.com/Consulting/ConsultantDetail?ConsultantId=01ccef19-031b-4be5-8f8e-7fbfaece0176</t>
        </is>
      </c>
      <c r="D14" t="inlineStr">
        <is>
          <t>Alexander Bloch</t>
        </is>
      </c>
      <c r="E14" t="inlineStr">
        <is>
          <t>alexander.bloch@bridging-it.de</t>
        </is>
      </c>
      <c r="F14" s="2" t="n">
        <v>44682</v>
      </c>
      <c r="G14" s="2" t="n">
        <v>44682</v>
      </c>
      <c r="H14" t="n">
        <v>15</v>
      </c>
      <c r="I14" t="n">
        <v>0</v>
      </c>
      <c r="J14" t="n">
        <v>2</v>
      </c>
      <c r="K14" s="2" t="n">
        <v>44682</v>
      </c>
      <c r="L14" s="2" t="n">
        <v>45658</v>
      </c>
      <c r="M14" s="2" t="n">
        <v>46052</v>
      </c>
      <c r="N14" t="b">
        <v>0</v>
      </c>
      <c r="O14" t="n">
        <v>46</v>
      </c>
      <c r="P14" t="n">
        <v>177</v>
      </c>
      <c r="Q14" t="n">
        <v>45.83</v>
      </c>
      <c r="R14">
        <f>ROUND(O14-P14,2)</f>
        <v/>
      </c>
      <c r="S14">
        <f>ROUND(O14-Q14,2)</f>
        <v/>
      </c>
      <c r="T14" s="3">
        <f>IFERROR(P14/O14,"")</f>
        <v/>
      </c>
      <c r="U14" s="3">
        <f>IFERROR(Q14/O14,"")</f>
        <v/>
      </c>
      <c r="V14" t="n">
        <v>0</v>
      </c>
      <c r="W14" t="n">
        <v>0</v>
      </c>
      <c r="X14" t="n">
        <v>0</v>
      </c>
      <c r="Y14">
        <f>ROUND(V14-W14,2)</f>
        <v/>
      </c>
      <c r="Z14">
        <f>ROUND(V14-X14,2)</f>
        <v/>
      </c>
      <c r="AA14" s="3">
        <f>IFERROR(W14/V14,"")</f>
        <v/>
      </c>
      <c r="AB14" s="3">
        <f>IFERROR(X14/V14,"")</f>
        <v/>
      </c>
      <c r="AC14" t="b">
        <v>0</v>
      </c>
      <c r="AD14" t="b">
        <v>0</v>
      </c>
      <c r="AE14" t="b">
        <v>0</v>
      </c>
      <c r="AF14" t="inlineStr">
        <is>
          <t>No</t>
        </is>
      </c>
      <c r="AI14" t="b">
        <v>1</v>
      </c>
      <c r="AJ14" t="n">
        <v>0</v>
      </c>
      <c r="AK14" t="inlineStr">
        <is>
          <t>Focus areas in IT security, cloud security, and cloud technologies.</t>
        </is>
      </c>
      <c r="AL14" t="inlineStr">
        <is>
          <t>IT Information Technology (Hauke G.)</t>
        </is>
      </c>
      <c r="AM14" t="inlineStr">
        <is>
          <t>ITS IT Security (Erhan N.)</t>
        </is>
      </c>
      <c r="AN14" t="inlineStr">
        <is>
          <t>GRC IT-GRC (Erhan N.)</t>
        </is>
      </c>
      <c r="AO14" t="inlineStr">
        <is>
          <t>bridgingIT GmbH</t>
        </is>
      </c>
      <c r="AP14" t="inlineStr">
        <is>
          <t>Stuttgart</t>
        </is>
      </c>
      <c r="AQ14" t="inlineStr">
        <is>
          <t>Erhan Nurdogan</t>
        </is>
      </c>
    </row>
    <row r="15">
      <c r="A15" t="inlineStr">
        <is>
          <t>10413</t>
        </is>
      </c>
      <c r="B15" t="inlineStr">
        <is>
          <t>45C492</t>
        </is>
      </c>
      <c r="C15" t="inlineStr">
        <is>
          <t>https://app.matchical.com/Consulting/ConsultantDetail?ConsultantId=221f5fc7-f67a-43f7-85e5-7bf6f590c1d0</t>
        </is>
      </c>
      <c r="D15" t="inlineStr">
        <is>
          <t>Alexander Celik</t>
        </is>
      </c>
      <c r="E15" t="inlineStr">
        <is>
          <t>alexander.celik@bridging-it.de</t>
        </is>
      </c>
      <c r="F15" s="2" t="n">
        <v>46023</v>
      </c>
      <c r="G15" s="2" t="n">
        <v>39661</v>
      </c>
      <c r="H15" t="n">
        <v>2</v>
      </c>
      <c r="I15" t="n">
        <v>0</v>
      </c>
      <c r="J15" t="n">
        <v>0</v>
      </c>
      <c r="L15" s="2" t="n">
        <v>45747</v>
      </c>
      <c r="M15" s="2" t="n">
        <v>46021</v>
      </c>
      <c r="N15" t="b">
        <v>0</v>
      </c>
      <c r="O15" t="n">
        <v>2</v>
      </c>
      <c r="P15" t="n">
        <v>0</v>
      </c>
      <c r="Q15" t="n">
        <v>0</v>
      </c>
      <c r="R15">
        <f>ROUND(O15-P15,2)</f>
        <v/>
      </c>
      <c r="S15">
        <f>ROUND(O15-Q15,2)</f>
        <v/>
      </c>
      <c r="T15" s="3">
        <f>IFERROR(P15/O15,"")</f>
        <v/>
      </c>
      <c r="U15" s="3">
        <f>IFERROR(Q15/O15,"")</f>
        <v/>
      </c>
      <c r="V15" t="n">
        <v>209</v>
      </c>
      <c r="W15" t="n">
        <v>42</v>
      </c>
      <c r="X15" t="n">
        <v>42</v>
      </c>
      <c r="Y15">
        <f>ROUND(V15-W15,2)</f>
        <v/>
      </c>
      <c r="Z15">
        <f>ROUND(V15-X15,2)</f>
        <v/>
      </c>
      <c r="AA15" s="3">
        <f>IFERROR(W15/V15,"")</f>
        <v/>
      </c>
      <c r="AB15" s="3">
        <f>IFERROR(X15/V15,"")</f>
        <v/>
      </c>
      <c r="AC15" t="b">
        <v>0</v>
      </c>
      <c r="AD15" t="b">
        <v>0</v>
      </c>
      <c r="AE15" t="b">
        <v>0</v>
      </c>
      <c r="AF15" t="inlineStr">
        <is>
          <t>Yes</t>
        </is>
      </c>
      <c r="AG15" s="2" t="n">
        <v>46113</v>
      </c>
      <c r="AI15" t="b">
        <v>0</v>
      </c>
      <c r="AJ15" t="n">
        <v>5</v>
      </c>
      <c r="AK15" t="inlineStr"/>
      <c r="AL15" t="inlineStr">
        <is>
          <t>IT - Information Technology (HH)</t>
        </is>
      </c>
      <c r="AM15" t="inlineStr">
        <is>
          <t>TM - Transition Management (Christoph W.)</t>
        </is>
      </c>
      <c r="AN15" t="inlineStr">
        <is>
          <t>MWT HH (Udo P.)</t>
        </is>
      </c>
      <c r="AO15" t="inlineStr">
        <is>
          <t>bridgingIT GmbH</t>
        </is>
      </c>
      <c r="AP15" t="inlineStr">
        <is>
          <t>Hamburg</t>
        </is>
      </c>
      <c r="AQ15" t="inlineStr">
        <is>
          <t>Christoph Wudtke</t>
        </is>
      </c>
    </row>
    <row r="16">
      <c r="A16" t="inlineStr">
        <is>
          <t>3220</t>
        </is>
      </c>
      <c r="B16" t="inlineStr">
        <is>
          <t>040D65</t>
        </is>
      </c>
      <c r="C16" t="inlineStr">
        <is>
          <t>https://app.matchical.com/Consulting/ConsultantDetail?ConsultantId=5353bccf-0e19-4f9f-b1db-1278b9ae1cbf</t>
        </is>
      </c>
      <c r="D16" t="inlineStr">
        <is>
          <t>Alexander Galesky</t>
        </is>
      </c>
      <c r="E16" t="inlineStr">
        <is>
          <t>alexander.galesky@bridging-it.de</t>
        </is>
      </c>
      <c r="F16" s="2" t="n">
        <v>44242</v>
      </c>
      <c r="G16" s="2" t="n">
        <v>33848</v>
      </c>
      <c r="H16" t="n">
        <v>3</v>
      </c>
      <c r="I16" t="n">
        <v>0</v>
      </c>
      <c r="J16" t="n">
        <v>1</v>
      </c>
      <c r="K16" s="2" t="n">
        <v>43466</v>
      </c>
      <c r="L16" s="2" t="n">
        <v>43709</v>
      </c>
      <c r="M16" s="2" t="n">
        <v>43922</v>
      </c>
      <c r="N16" t="b">
        <v>0</v>
      </c>
      <c r="O16" t="n">
        <v>60</v>
      </c>
      <c r="P16" t="n">
        <v>59.74</v>
      </c>
      <c r="Q16" t="n">
        <v>57.28</v>
      </c>
      <c r="R16">
        <f>ROUND(O16-P16,2)</f>
        <v/>
      </c>
      <c r="S16">
        <f>ROUND(O16-Q16,2)</f>
        <v/>
      </c>
      <c r="T16" s="3">
        <f>IFERROR(P16/O16,"")</f>
        <v/>
      </c>
      <c r="U16" s="3">
        <f>IFERROR(Q16/O16,"")</f>
        <v/>
      </c>
      <c r="V16" t="n">
        <v>341</v>
      </c>
      <c r="W16" t="n">
        <v>35.26</v>
      </c>
      <c r="X16" t="n">
        <v>30.72</v>
      </c>
      <c r="Y16">
        <f>ROUND(V16-W16,2)</f>
        <v/>
      </c>
      <c r="Z16">
        <f>ROUND(V16-X16,2)</f>
        <v/>
      </c>
      <c r="AA16" s="3">
        <f>IFERROR(W16/V16,"")</f>
        <v/>
      </c>
      <c r="AB16" s="3">
        <f>IFERROR(X16/V16,"")</f>
        <v/>
      </c>
      <c r="AC16" t="b">
        <v>0</v>
      </c>
      <c r="AD16" t="b">
        <v>0</v>
      </c>
      <c r="AE16" t="b">
        <v>0</v>
      </c>
      <c r="AF16" t="inlineStr">
        <is>
          <t>No</t>
        </is>
      </c>
      <c r="AG16" s="2" t="n">
        <v>44317</v>
      </c>
      <c r="AH16" s="2" t="n">
        <v>44561</v>
      </c>
      <c r="AI16" t="b">
        <v>0</v>
      </c>
      <c r="AJ16" t="n">
        <v>5</v>
      </c>
      <c r="AK16" t="inlineStr">
        <is>
          <t>Alex's topics: GDPR, PL, DBs, Siebel CRM, Automic Automation ONE, OneTrust</t>
        </is>
      </c>
      <c r="AL16" t="inlineStr">
        <is>
          <t>ORG bIT</t>
        </is>
      </c>
      <c r="AM16" t="inlineStr">
        <is>
          <t>Life Science Solutions FFM1 (Holger B.)</t>
        </is>
      </c>
      <c r="AN16" t="inlineStr">
        <is>
          <t>CC Life Science Solutions (Sabine S.)</t>
        </is>
      </c>
      <c r="AO16" t="inlineStr">
        <is>
          <t>bridgingIT GmbH</t>
        </is>
      </c>
      <c r="AP16" t="inlineStr">
        <is>
          <t>Frankfurt</t>
        </is>
      </c>
      <c r="AQ16" t="inlineStr">
        <is>
          <t>Holger Bohlen</t>
        </is>
      </c>
    </row>
    <row r="17">
      <c r="A17" t="inlineStr">
        <is>
          <t>8241</t>
        </is>
      </c>
      <c r="B17" t="inlineStr">
        <is>
          <t>46AECD</t>
        </is>
      </c>
      <c r="C17" t="inlineStr">
        <is>
          <t>https://app.matchical.com/Consulting/ConsultantDetail?ConsultantId=4f3787e9-29ce-4cd4-9884-d9a6748620a3</t>
        </is>
      </c>
      <c r="D17" t="inlineStr">
        <is>
          <t>Alexander Jende</t>
        </is>
      </c>
      <c r="E17" t="inlineStr">
        <is>
          <t>alexander.jende@crafting-it.de</t>
        </is>
      </c>
      <c r="F17" s="2" t="n">
        <v>42856</v>
      </c>
      <c r="G17" s="2" t="n">
        <v>36069</v>
      </c>
      <c r="H17" t="n">
        <v>2</v>
      </c>
      <c r="I17" t="n">
        <v>0</v>
      </c>
      <c r="J17" t="n">
        <v>0</v>
      </c>
      <c r="L17" s="2" t="n">
        <v>45292</v>
      </c>
      <c r="M17" s="2" t="n">
        <v>45657</v>
      </c>
      <c r="N17" t="b">
        <v>0</v>
      </c>
      <c r="O17" t="n">
        <v>106</v>
      </c>
      <c r="P17" t="n">
        <v>22</v>
      </c>
      <c r="Q17" t="n">
        <v>22</v>
      </c>
      <c r="R17">
        <f>ROUND(O17-P17,2)</f>
        <v/>
      </c>
      <c r="S17">
        <f>ROUND(O17-Q17,2)</f>
        <v/>
      </c>
      <c r="T17" s="3">
        <f>IFERROR(P17/O17,"")</f>
        <v/>
      </c>
      <c r="U17" s="3">
        <f>IFERROR(Q17/O17,"")</f>
        <v/>
      </c>
      <c r="V17" t="n">
        <v>223</v>
      </c>
      <c r="W17" t="n">
        <v>0</v>
      </c>
      <c r="X17" t="n">
        <v>0</v>
      </c>
      <c r="Y17">
        <f>ROUND(V17-W17,2)</f>
        <v/>
      </c>
      <c r="Z17">
        <f>ROUND(V17-X17,2)</f>
        <v/>
      </c>
      <c r="AA17" s="3">
        <f>IFERROR(W17/V17,"")</f>
        <v/>
      </c>
      <c r="AB17" s="3">
        <f>IFERROR(X17/V17,"")</f>
        <v/>
      </c>
      <c r="AC17" t="b">
        <v>0</v>
      </c>
      <c r="AD17" t="b">
        <v>0</v>
      </c>
      <c r="AE17" t="b">
        <v>0</v>
      </c>
      <c r="AF17" t="inlineStr">
        <is>
          <t>No</t>
        </is>
      </c>
      <c r="AI17" t="b">
        <v>1</v>
      </c>
      <c r="AJ17" t="n">
        <v>0</v>
      </c>
      <c r="AK17" t="inlineStr"/>
      <c r="AL17" t="inlineStr">
        <is>
          <t>ORG cIT 2</t>
        </is>
      </c>
      <c r="AM17" t="inlineStr">
        <is>
          <t>LS Lokation Magdeburg</t>
        </is>
      </c>
      <c r="AN17" t="inlineStr">
        <is>
          <t>LS Lokation Magdeburg (Alexander J.)</t>
        </is>
      </c>
      <c r="AO17" t="inlineStr">
        <is>
          <t>craftingIT GmbH</t>
        </is>
      </c>
      <c r="AP17" t="inlineStr">
        <is>
          <t>Magdeburg</t>
        </is>
      </c>
      <c r="AQ17" t="inlineStr">
        <is>
          <t>Christian Kobl</t>
        </is>
      </c>
    </row>
    <row r="18">
      <c r="A18" t="inlineStr">
        <is>
          <t>10390</t>
        </is>
      </c>
      <c r="B18" t="inlineStr">
        <is>
          <t>4267DA</t>
        </is>
      </c>
      <c r="C18" t="inlineStr">
        <is>
          <t>https://app.matchical.com/Consulting/ConsultantDetail?ConsultantId=7ce6750c-3db0-4359-b087-9566472115e4</t>
        </is>
      </c>
      <c r="D18" t="inlineStr">
        <is>
          <t>Alexander Käther</t>
        </is>
      </c>
      <c r="E18" t="inlineStr">
        <is>
          <t>alexander.kaether@bridging-it.de</t>
        </is>
      </c>
      <c r="F18" s="2" t="n">
        <v>45901</v>
      </c>
      <c r="H18" t="n">
        <v>3</v>
      </c>
      <c r="I18" t="n">
        <v>0</v>
      </c>
      <c r="J18" t="n">
        <v>0</v>
      </c>
      <c r="L18" s="2" t="n">
        <v>45412</v>
      </c>
      <c r="M18" s="2" t="n">
        <v>45746</v>
      </c>
      <c r="N18" t="b">
        <v>0</v>
      </c>
      <c r="O18" t="n">
        <v>6</v>
      </c>
      <c r="P18" t="n">
        <v>0</v>
      </c>
      <c r="Q18" t="n">
        <v>0</v>
      </c>
      <c r="R18">
        <f>ROUND(O18-P18,2)</f>
        <v/>
      </c>
      <c r="S18">
        <f>ROUND(O18-Q18,2)</f>
        <v/>
      </c>
      <c r="T18" s="3">
        <f>IFERROR(P18/O18,"")</f>
        <v/>
      </c>
      <c r="U18" s="3">
        <f>IFERROR(Q18/O18,"")</f>
        <v/>
      </c>
      <c r="V18" t="n">
        <v>1508</v>
      </c>
      <c r="W18" t="n">
        <v>58</v>
      </c>
      <c r="X18" t="n">
        <v>58</v>
      </c>
      <c r="Y18">
        <f>ROUND(V18-W18,2)</f>
        <v/>
      </c>
      <c r="Z18">
        <f>ROUND(V18-X18,2)</f>
        <v/>
      </c>
      <c r="AA18" s="3">
        <f>IFERROR(W18/V18,"")</f>
        <v/>
      </c>
      <c r="AB18" s="3">
        <f>IFERROR(X18/V18,"")</f>
        <v/>
      </c>
      <c r="AC18" t="b">
        <v>0</v>
      </c>
      <c r="AD18" t="b">
        <v>0</v>
      </c>
      <c r="AE18" t="b">
        <v>0</v>
      </c>
      <c r="AF18" t="inlineStr">
        <is>
          <t>Yes</t>
        </is>
      </c>
      <c r="AG18" s="2" t="n">
        <v>46143</v>
      </c>
      <c r="AI18" t="b">
        <v>1</v>
      </c>
      <c r="AJ18" t="n">
        <v>1.59</v>
      </c>
      <c r="AK18" t="inlineStr">
        <is>
          <t>Experienced IT project manager and Product Owner with a strong focus on hands-on IT implementation. In IT initiatives involving transformation projects with a strategic component, he is at home just as in end-to-end deployments of new software with innovative UI/UX. Alexander Käther operates confidently in both business and IT, effectively bridging the gap between the two.</t>
        </is>
      </c>
      <c r="AL18" t="inlineStr">
        <is>
          <t>IT Information Technology (Hauke G.)</t>
        </is>
      </c>
      <c r="AM18" t="inlineStr">
        <is>
          <t>AM IT-Architecture Management (Wilfried W.)</t>
        </is>
      </c>
      <c r="AN18" t="inlineStr">
        <is>
          <t>ITM IT-Management (Jörg M.)</t>
        </is>
      </c>
      <c r="AO18" t="inlineStr">
        <is>
          <t>bridgingIT GmbH</t>
        </is>
      </c>
      <c r="AP18" t="inlineStr">
        <is>
          <t>Stuttgart</t>
        </is>
      </c>
      <c r="AQ18" t="inlineStr">
        <is>
          <t>Wilfried Wessel</t>
        </is>
      </c>
    </row>
    <row r="19">
      <c r="A19" t="inlineStr">
        <is>
          <t>10148</t>
        </is>
      </c>
      <c r="B19" t="inlineStr">
        <is>
          <t>BA4C90</t>
        </is>
      </c>
      <c r="C19" t="inlineStr">
        <is>
          <t>https://app.matchical.com/Consulting/ConsultantDetail?ConsultantId=4fc60955-ce30-4a69-b133-251d5aba3c20</t>
        </is>
      </c>
      <c r="D19" t="inlineStr">
        <is>
          <t>Alexander Mai</t>
        </is>
      </c>
      <c r="E19" t="inlineStr">
        <is>
          <t>alexander.mai@bridging-it.de</t>
        </is>
      </c>
      <c r="F19" s="2" t="n">
        <v>45061</v>
      </c>
      <c r="G19" s="2" t="n">
        <v>43525</v>
      </c>
      <c r="H19" t="n">
        <v>7</v>
      </c>
      <c r="I19" t="n">
        <v>0</v>
      </c>
      <c r="J19" t="n">
        <v>1</v>
      </c>
      <c r="K19" s="2" t="n">
        <v>45657</v>
      </c>
      <c r="L19" s="2" t="n">
        <v>45761</v>
      </c>
      <c r="M19" s="2" t="n">
        <v>45869</v>
      </c>
      <c r="N19" t="b">
        <v>0</v>
      </c>
      <c r="O19" t="n">
        <v>33</v>
      </c>
      <c r="P19" t="n">
        <v>41.46</v>
      </c>
      <c r="Q19" t="n">
        <v>33.38</v>
      </c>
      <c r="R19">
        <f>ROUND(O19-P19,2)</f>
        <v/>
      </c>
      <c r="S19">
        <f>ROUND(O19-Q19,2)</f>
        <v/>
      </c>
      <c r="T19" s="3">
        <f>IFERROR(P19/O19,"")</f>
        <v/>
      </c>
      <c r="U19" s="3">
        <f>IFERROR(Q19/O19,"")</f>
        <v/>
      </c>
      <c r="V19" t="n">
        <v>50</v>
      </c>
      <c r="W19" t="n">
        <v>40.5</v>
      </c>
      <c r="X19" t="n">
        <v>40.5</v>
      </c>
      <c r="Y19">
        <f>ROUND(V19-W19,2)</f>
        <v/>
      </c>
      <c r="Z19">
        <f>ROUND(V19-X19,2)</f>
        <v/>
      </c>
      <c r="AA19" s="3">
        <f>IFERROR(W19/V19,"")</f>
        <v/>
      </c>
      <c r="AB19" s="3">
        <f>IFERROR(X19/V19,"")</f>
        <v/>
      </c>
      <c r="AC19" t="b">
        <v>0</v>
      </c>
      <c r="AD19" t="b">
        <v>0</v>
      </c>
      <c r="AE19" t="b">
        <v>0</v>
      </c>
      <c r="AF19" t="inlineStr">
        <is>
          <t>Yes</t>
        </is>
      </c>
      <c r="AG19" s="2" t="n">
        <v>46082</v>
      </c>
      <c r="AI19" t="b">
        <v>1</v>
      </c>
      <c r="AJ19" t="n">
        <v>0.05</v>
      </c>
      <c r="AK19" t="inlineStr">
        <is>
          <t>I have a project, but I would like to switch if a more technical project becomes available. Kubernetes is the main focus.</t>
        </is>
      </c>
      <c r="AL19" t="inlineStr">
        <is>
          <t>IT - Information Technology (Sebastian L.)</t>
        </is>
      </c>
      <c r="AM19" t="inlineStr">
        <is>
          <t>DOE DevOps Enablement (Florian W.)</t>
        </is>
      </c>
      <c r="AN19" t="inlineStr">
        <is>
          <t>C&amp;DO - Cloud &amp; DevOps (Sebastian L.)</t>
        </is>
      </c>
      <c r="AO19" t="inlineStr">
        <is>
          <t>bridgingIT GmbH</t>
        </is>
      </c>
      <c r="AP19" t="inlineStr">
        <is>
          <t>Mannheim</t>
        </is>
      </c>
      <c r="AQ19" t="inlineStr">
        <is>
          <t>Florian Wendel</t>
        </is>
      </c>
    </row>
    <row r="20">
      <c r="A20" t="inlineStr">
        <is>
          <t>7048</t>
        </is>
      </c>
      <c r="B20" t="inlineStr">
        <is>
          <t>A7B3EC</t>
        </is>
      </c>
      <c r="C20" t="inlineStr">
        <is>
          <t>https://app.matchical.com/Consulting/ConsultantDetail?ConsultantId=360ab819-fb0d-4dcc-99b1-b8168d2b77ff</t>
        </is>
      </c>
      <c r="D20" t="inlineStr">
        <is>
          <t>Alexander Neben</t>
        </is>
      </c>
      <c r="E20" t="inlineStr">
        <is>
          <t>alexander.neben@bridging-it.de</t>
        </is>
      </c>
      <c r="F20" s="2" t="n">
        <v>44805</v>
      </c>
      <c r="G20" s="2" t="n">
        <v>41183</v>
      </c>
      <c r="H20" t="n">
        <v>6</v>
      </c>
      <c r="I20" t="n">
        <v>0</v>
      </c>
      <c r="J20" t="n">
        <v>1</v>
      </c>
      <c r="K20" s="2" t="n">
        <v>44886</v>
      </c>
      <c r="L20" s="2" t="n">
        <v>44817</v>
      </c>
      <c r="M20" s="2" t="n">
        <v>46021</v>
      </c>
      <c r="N20" t="b">
        <v>0</v>
      </c>
      <c r="O20" t="n">
        <v>42</v>
      </c>
      <c r="P20" t="n">
        <v>79</v>
      </c>
      <c r="Q20" t="n">
        <v>41.79</v>
      </c>
      <c r="R20">
        <f>ROUND(O20-P20,2)</f>
        <v/>
      </c>
      <c r="S20">
        <f>ROUND(O20-Q20,2)</f>
        <v/>
      </c>
      <c r="T20" s="3">
        <f>IFERROR(P20/O20,"")</f>
        <v/>
      </c>
      <c r="U20" s="3">
        <f>IFERROR(Q20/O20,"")</f>
        <v/>
      </c>
      <c r="V20" t="n">
        <v>119</v>
      </c>
      <c r="W20" t="n">
        <v>108</v>
      </c>
      <c r="X20" t="n">
        <v>77</v>
      </c>
      <c r="Y20">
        <f>ROUND(V20-W20,2)</f>
        <v/>
      </c>
      <c r="Z20">
        <f>ROUND(V20-X20,2)</f>
        <v/>
      </c>
      <c r="AA20" s="3">
        <f>IFERROR(W20/V20,"")</f>
        <v/>
      </c>
      <c r="AB20" s="3">
        <f>IFERROR(X20/V20,"")</f>
        <v/>
      </c>
      <c r="AC20" t="b">
        <v>0</v>
      </c>
      <c r="AD20" t="b">
        <v>0</v>
      </c>
      <c r="AE20" t="b">
        <v>0</v>
      </c>
      <c r="AF20" t="inlineStr">
        <is>
          <t>Yes</t>
        </is>
      </c>
      <c r="AG20" s="2" t="n">
        <v>46059</v>
      </c>
      <c r="AH20" s="2" t="n">
        <v>46072</v>
      </c>
      <c r="AI20" t="b">
        <v>1</v>
      </c>
      <c r="AJ20" t="n">
        <v>5</v>
      </c>
      <c r="AK20" t="inlineStr"/>
      <c r="AL20" t="inlineStr">
        <is>
          <t>ORG bIT</t>
        </is>
      </c>
      <c r="AM20" t="inlineStr">
        <is>
          <t>SHH Standort Hamburg (Claudia P.)</t>
        </is>
      </c>
      <c r="AN20" t="inlineStr">
        <is>
          <t>SHH Standort Hamburg (Claudia P)</t>
        </is>
      </c>
      <c r="AO20" t="inlineStr">
        <is>
          <t>bridgingIT GmbH</t>
        </is>
      </c>
      <c r="AP20" t="inlineStr">
        <is>
          <t>Hamburg</t>
        </is>
      </c>
      <c r="AQ20" t="inlineStr">
        <is>
          <t>Claudia Peters</t>
        </is>
      </c>
    </row>
    <row r="21">
      <c r="A21" t="inlineStr">
        <is>
          <t>10434</t>
        </is>
      </c>
      <c r="B21" t="inlineStr">
        <is>
          <t>4165F5</t>
        </is>
      </c>
      <c r="C21" t="inlineStr">
        <is>
          <t>https://app.matchical.com/Consulting/ConsultantDetail?ConsultantId=b1ed7480-989d-45c2-b1b6-73bac484600b</t>
        </is>
      </c>
      <c r="D21" t="inlineStr">
        <is>
          <t>Alexander Schulte</t>
        </is>
      </c>
      <c r="E21" t="inlineStr">
        <is>
          <t>alexander.schulte@bridging-it.de</t>
        </is>
      </c>
      <c r="F21" s="2" t="n">
        <v>46054</v>
      </c>
      <c r="G21" s="2" t="n">
        <v>40391</v>
      </c>
      <c r="H21" t="n">
        <v>8</v>
      </c>
      <c r="I21" t="n">
        <v>0</v>
      </c>
      <c r="J21" t="n">
        <v>0</v>
      </c>
      <c r="L21" s="2" t="n">
        <v>45107</v>
      </c>
      <c r="M21" s="2" t="n">
        <v>45656</v>
      </c>
      <c r="N21" t="b">
        <v>0</v>
      </c>
      <c r="O21" t="n">
        <v>1</v>
      </c>
      <c r="P21" t="n">
        <v>0</v>
      </c>
      <c r="Q21" t="n">
        <v>0</v>
      </c>
      <c r="R21">
        <f>ROUND(O21-P21,2)</f>
        <v/>
      </c>
      <c r="S21">
        <f>ROUND(O21-Q21,2)</f>
        <v/>
      </c>
      <c r="T21" s="3">
        <f>IFERROR(P21/O21,"")</f>
        <v/>
      </c>
      <c r="U21" s="3">
        <f>IFERROR(Q21/O21,"")</f>
        <v/>
      </c>
      <c r="V21" t="n">
        <v>186</v>
      </c>
      <c r="W21" t="n">
        <v>93</v>
      </c>
      <c r="X21" t="n">
        <v>70</v>
      </c>
      <c r="Y21">
        <f>ROUND(V21-W21,2)</f>
        <v/>
      </c>
      <c r="Z21">
        <f>ROUND(V21-X21,2)</f>
        <v/>
      </c>
      <c r="AA21" s="3">
        <f>IFERROR(W21/V21,"")</f>
        <v/>
      </c>
      <c r="AB21" s="3">
        <f>IFERROR(X21/V21,"")</f>
        <v/>
      </c>
      <c r="AC21" t="b">
        <v>0</v>
      </c>
      <c r="AD21" t="b">
        <v>0</v>
      </c>
      <c r="AE21" t="b">
        <v>0</v>
      </c>
      <c r="AF21" t="inlineStr">
        <is>
          <t>Yes</t>
        </is>
      </c>
      <c r="AG21" s="2" t="n">
        <v>46054</v>
      </c>
      <c r="AI21" t="b">
        <v>1</v>
      </c>
      <c r="AJ21" t="n">
        <v>5</v>
      </c>
      <c r="AK21" t="inlineStr"/>
      <c r="AL21" t="inlineStr">
        <is>
          <t>IT - Information Technology (HH)</t>
        </is>
      </c>
      <c r="AM21" t="inlineStr">
        <is>
          <t>IPM - IT PM (Peter T.)</t>
        </is>
      </c>
      <c r="AN21" t="inlineStr">
        <is>
          <t>MWT HH (Udo P.)</t>
        </is>
      </c>
      <c r="AO21" t="inlineStr">
        <is>
          <t>bridgingIT GmbH</t>
        </is>
      </c>
      <c r="AP21" t="inlineStr">
        <is>
          <t>Hamburg</t>
        </is>
      </c>
      <c r="AQ21" t="inlineStr">
        <is>
          <t>Peter Triftshäuser</t>
        </is>
      </c>
    </row>
    <row r="22">
      <c r="A22" t="inlineStr">
        <is>
          <t>10065</t>
        </is>
      </c>
      <c r="B22" t="inlineStr">
        <is>
          <t>986EA5</t>
        </is>
      </c>
      <c r="C22" t="inlineStr">
        <is>
          <t>https://app.matchical.com/Consulting/ConsultantDetail?ConsultantId=35086c7e-da1f-4f51-8fed-75d05a5930f3</t>
        </is>
      </c>
      <c r="D22" t="inlineStr">
        <is>
          <t>Alexander Wittmann</t>
        </is>
      </c>
      <c r="E22" t="inlineStr">
        <is>
          <t>alexander.wittmann@bridging-it.de</t>
        </is>
      </c>
      <c r="F22" s="2" t="n">
        <v>44958</v>
      </c>
      <c r="G22" s="2" t="n">
        <v>42795</v>
      </c>
      <c r="H22" t="n">
        <v>11</v>
      </c>
      <c r="I22" t="n">
        <v>0</v>
      </c>
      <c r="J22" t="n">
        <v>3</v>
      </c>
      <c r="K22" s="2" t="n">
        <v>45626</v>
      </c>
      <c r="L22" s="2" t="n">
        <v>45550</v>
      </c>
      <c r="M22" s="2" t="n">
        <v>45746</v>
      </c>
      <c r="N22" t="b">
        <v>0</v>
      </c>
      <c r="O22" t="n">
        <v>37</v>
      </c>
      <c r="P22" t="n">
        <v>77</v>
      </c>
      <c r="Q22" t="n">
        <v>35</v>
      </c>
      <c r="R22">
        <f>ROUND(O22-P22,2)</f>
        <v/>
      </c>
      <c r="S22">
        <f>ROUND(O22-Q22,2)</f>
        <v/>
      </c>
      <c r="T22" s="3">
        <f>IFERROR(P22/O22,"")</f>
        <v/>
      </c>
      <c r="U22" s="3">
        <f>IFERROR(Q22/O22,"")</f>
        <v/>
      </c>
      <c r="V22" t="n">
        <v>71</v>
      </c>
      <c r="W22" t="n">
        <v>87</v>
      </c>
      <c r="X22" t="n">
        <v>54</v>
      </c>
      <c r="Y22">
        <f>ROUND(V22-W22,2)</f>
        <v/>
      </c>
      <c r="Z22">
        <f>ROUND(V22-X22,2)</f>
        <v/>
      </c>
      <c r="AA22" s="3">
        <f>IFERROR(W22/V22,"")</f>
        <v/>
      </c>
      <c r="AB22" s="3">
        <f>IFERROR(X22/V22,"")</f>
        <v/>
      </c>
      <c r="AC22" t="b">
        <v>0</v>
      </c>
      <c r="AD22" t="b">
        <v>0</v>
      </c>
      <c r="AE22" t="b">
        <v>0</v>
      </c>
      <c r="AF22" t="inlineStr">
        <is>
          <t>No</t>
        </is>
      </c>
      <c r="AI22" t="b">
        <v>1</v>
      </c>
      <c r="AJ22" t="n">
        <v>0</v>
      </c>
      <c r="AK22" t="inlineStr">
        <is>
          <t>DevOps, cloud architecture, development experience</t>
        </is>
      </c>
      <c r="AL22" t="inlineStr">
        <is>
          <t>IT - Information Technology (Sebastian L.)</t>
        </is>
      </c>
      <c r="AM22" t="inlineStr">
        <is>
          <t>DOE DevOps Enablement (Florian W.)</t>
        </is>
      </c>
      <c r="AN22" t="inlineStr">
        <is>
          <t>C&amp;DO - Cloud &amp; DevOps (Sebastian L.)</t>
        </is>
      </c>
      <c r="AO22" t="inlineStr">
        <is>
          <t>bridgingIT GmbH</t>
        </is>
      </c>
      <c r="AP22" t="inlineStr">
        <is>
          <t>Mannheim</t>
        </is>
      </c>
      <c r="AQ22" t="inlineStr">
        <is>
          <t>Florian Wendel</t>
        </is>
      </c>
    </row>
    <row r="23">
      <c r="A23" t="inlineStr">
        <is>
          <t>10333</t>
        </is>
      </c>
      <c r="B23" t="inlineStr">
        <is>
          <t>B90484</t>
        </is>
      </c>
      <c r="C23" t="inlineStr">
        <is>
          <t>https://app.matchical.com/Consulting/ConsultantDetail?ConsultantId=65e11dc6-ed62-4cbe-8468-42c99a28c7cc</t>
        </is>
      </c>
      <c r="D23" t="inlineStr">
        <is>
          <t>Alexandra Schwarz</t>
        </is>
      </c>
      <c r="E23" t="inlineStr">
        <is>
          <t>alexandra.schwarz@bridging-it.de</t>
        </is>
      </c>
      <c r="F23" s="2" t="n">
        <v>45566</v>
      </c>
      <c r="G23" s="2" t="n">
        <v>43617</v>
      </c>
      <c r="H23" t="n">
        <v>9</v>
      </c>
      <c r="I23" t="n">
        <v>0</v>
      </c>
      <c r="J23" t="n">
        <v>1</v>
      </c>
      <c r="K23" s="2" t="n">
        <v>45596</v>
      </c>
      <c r="L23" s="2" t="n">
        <v>45151</v>
      </c>
      <c r="M23" s="2" t="n">
        <v>45401</v>
      </c>
      <c r="N23" t="b">
        <v>0</v>
      </c>
      <c r="O23" t="n">
        <v>17</v>
      </c>
      <c r="P23" t="n">
        <v>16</v>
      </c>
      <c r="Q23" t="n">
        <v>16</v>
      </c>
      <c r="R23">
        <f>ROUND(O23-P23,2)</f>
        <v/>
      </c>
      <c r="S23">
        <f>ROUND(O23-Q23,2)</f>
        <v/>
      </c>
      <c r="T23" s="3">
        <f>IFERROR(P23/O23,"")</f>
        <v/>
      </c>
      <c r="U23" s="3">
        <f>IFERROR(Q23/O23,"")</f>
        <v/>
      </c>
      <c r="V23" t="n">
        <v>64</v>
      </c>
      <c r="W23" t="n">
        <v>57</v>
      </c>
      <c r="X23" t="n">
        <v>55.5</v>
      </c>
      <c r="Y23">
        <f>ROUND(V23-W23,2)</f>
        <v/>
      </c>
      <c r="Z23">
        <f>ROUND(V23-X23,2)</f>
        <v/>
      </c>
      <c r="AA23" s="3">
        <f>IFERROR(W23/V23,"")</f>
        <v/>
      </c>
      <c r="AB23" s="3">
        <f>IFERROR(X23/V23,"")</f>
        <v/>
      </c>
      <c r="AC23" t="b">
        <v>0</v>
      </c>
      <c r="AD23" t="b">
        <v>0</v>
      </c>
      <c r="AE23" t="b">
        <v>0</v>
      </c>
      <c r="AF23" t="inlineStr">
        <is>
          <t>No</t>
        </is>
      </c>
      <c r="AI23" t="b">
        <v>1</v>
      </c>
      <c r="AJ23" t="n">
        <v>0</v>
      </c>
      <c r="AK23" t="inlineStr"/>
      <c r="AL23" t="inlineStr">
        <is>
          <t>ORG bIT</t>
        </is>
      </c>
      <c r="AM23" t="inlineStr">
        <is>
          <t>BABC - BA and Business Complexity (Karola B.)</t>
        </is>
      </c>
      <c r="AN23" t="inlineStr">
        <is>
          <t>ABC Analysing Business &amp; Collaboration (Edgar K.)</t>
        </is>
      </c>
      <c r="AO23" t="inlineStr">
        <is>
          <t>bridgingIT GmbH</t>
        </is>
      </c>
      <c r="AP23" t="inlineStr">
        <is>
          <t>Frankfurt</t>
        </is>
      </c>
      <c r="AQ23" t="inlineStr">
        <is>
          <t>Karola Bischof</t>
        </is>
      </c>
    </row>
    <row r="24">
      <c r="A24" t="inlineStr">
        <is>
          <t>1500</t>
        </is>
      </c>
      <c r="B24" t="inlineStr">
        <is>
          <t>5DBECD</t>
        </is>
      </c>
      <c r="C24" t="inlineStr">
        <is>
          <t>https://app.matchical.com/Consulting/ConsultantDetail?ConsultantId=50a1aae9-ac3c-44f3-a7b8-ed53e0be1801</t>
        </is>
      </c>
      <c r="D24" t="inlineStr">
        <is>
          <t>Alexandra Welter</t>
        </is>
      </c>
      <c r="E24" t="inlineStr">
        <is>
          <t>alexandra.welter@bridging-it.de</t>
        </is>
      </c>
      <c r="F24" s="2" t="n">
        <v>44652</v>
      </c>
      <c r="G24" s="2" t="n">
        <v>42917</v>
      </c>
      <c r="H24" t="n">
        <v>7</v>
      </c>
      <c r="I24" t="n">
        <v>0</v>
      </c>
      <c r="J24" t="n">
        <v>0</v>
      </c>
      <c r="L24" s="2" t="n">
        <v>45839</v>
      </c>
      <c r="M24" s="2" t="n">
        <v>45930</v>
      </c>
      <c r="N24" t="b">
        <v>0</v>
      </c>
      <c r="O24" t="n">
        <v>47</v>
      </c>
      <c r="P24" t="n">
        <v>53.92</v>
      </c>
      <c r="Q24" t="n">
        <v>42.23</v>
      </c>
      <c r="R24">
        <f>ROUND(O24-P24,2)</f>
        <v/>
      </c>
      <c r="S24">
        <f>ROUND(O24-Q24,2)</f>
        <v/>
      </c>
      <c r="T24" s="3">
        <f>IFERROR(P24/O24,"")</f>
        <v/>
      </c>
      <c r="U24" s="3">
        <f>IFERROR(Q24/O24,"")</f>
        <v/>
      </c>
      <c r="V24" t="n">
        <v>57</v>
      </c>
      <c r="W24" t="n">
        <v>67.06</v>
      </c>
      <c r="X24" t="n">
        <v>57</v>
      </c>
      <c r="Y24">
        <f>ROUND(V24-W24,2)</f>
        <v/>
      </c>
      <c r="Z24">
        <f>ROUND(V24-X24,2)</f>
        <v/>
      </c>
      <c r="AA24" s="3">
        <f>IFERROR(W24/V24,"")</f>
        <v/>
      </c>
      <c r="AB24" s="3">
        <f>IFERROR(X24/V24,"")</f>
        <v/>
      </c>
      <c r="AC24" t="b">
        <v>0</v>
      </c>
      <c r="AD24" t="b">
        <v>0</v>
      </c>
      <c r="AE24" t="b">
        <v>0</v>
      </c>
      <c r="AF24" t="inlineStr">
        <is>
          <t>Yes</t>
        </is>
      </c>
      <c r="AG24" s="2" t="n">
        <v>46113</v>
      </c>
      <c r="AI24" t="b">
        <v>1</v>
      </c>
      <c r="AJ24" t="n">
        <v>5</v>
      </c>
      <c r="AK24" t="inlineStr">
        <is>
          <t>Alex has extensive experience in agile and traditional project management, rollout and interim management, as well as in organizational and change management — particularly in the retail and life sciences industries.</t>
        </is>
      </c>
      <c r="AL24" t="inlineStr">
        <is>
          <t>T&amp;A - Transformation &amp; Agility (Arne K.)</t>
        </is>
      </c>
      <c r="AM24" t="inlineStr">
        <is>
          <t>P&amp;OS - Processes &amp; Organizational Str. (Raina B.)</t>
        </is>
      </c>
      <c r="AN24" t="inlineStr">
        <is>
          <t>TB - Transforming Business (Arne K.)</t>
        </is>
      </c>
      <c r="AO24" t="inlineStr">
        <is>
          <t>bridgingIT GmbH</t>
        </is>
      </c>
      <c r="AP24" t="inlineStr">
        <is>
          <t>Mannheim</t>
        </is>
      </c>
      <c r="AQ24" t="inlineStr">
        <is>
          <t>Raina Beck</t>
        </is>
      </c>
    </row>
    <row r="25">
      <c r="A25" t="inlineStr">
        <is>
          <t>10269</t>
        </is>
      </c>
      <c r="B25" t="inlineStr">
        <is>
          <t>00AD2B</t>
        </is>
      </c>
      <c r="C25" t="inlineStr">
        <is>
          <t>https://app.matchical.com/Consulting/ConsultantDetail?ConsultantId=5631ca75-1d76-4afa-81c7-905e09b62c79</t>
        </is>
      </c>
      <c r="D25" t="inlineStr">
        <is>
          <t>Alexej Walther</t>
        </is>
      </c>
      <c r="E25" t="inlineStr">
        <is>
          <t>alexej.walther@bridging-it.de</t>
        </is>
      </c>
      <c r="F25" s="2" t="n">
        <v>45413</v>
      </c>
      <c r="G25" s="2" t="n">
        <v>42186</v>
      </c>
      <c r="H25" t="n">
        <v>18</v>
      </c>
      <c r="I25" t="n">
        <v>0</v>
      </c>
      <c r="J25" t="n">
        <v>2</v>
      </c>
      <c r="K25" s="2" t="n">
        <v>45412</v>
      </c>
      <c r="L25" s="2" t="n">
        <v>45445</v>
      </c>
      <c r="M25" s="2" t="n">
        <v>45534</v>
      </c>
      <c r="N25" t="b">
        <v>0</v>
      </c>
      <c r="O25" t="n">
        <v>22</v>
      </c>
      <c r="P25" t="n">
        <v>40.97</v>
      </c>
      <c r="Q25" t="n">
        <v>20.98</v>
      </c>
      <c r="R25">
        <f>ROUND(O25-P25,2)</f>
        <v/>
      </c>
      <c r="S25">
        <f>ROUND(O25-Q25,2)</f>
        <v/>
      </c>
      <c r="T25" s="3">
        <f>IFERROR(P25/O25,"")</f>
        <v/>
      </c>
      <c r="U25" s="3">
        <f>IFERROR(Q25/O25,"")</f>
        <v/>
      </c>
      <c r="V25" t="n">
        <v>106</v>
      </c>
      <c r="W25" t="n">
        <v>259.03</v>
      </c>
      <c r="X25" t="n">
        <v>80.02</v>
      </c>
      <c r="Y25">
        <f>ROUND(V25-W25,2)</f>
        <v/>
      </c>
      <c r="Z25">
        <f>ROUND(V25-X25,2)</f>
        <v/>
      </c>
      <c r="AA25" s="3">
        <f>IFERROR(W25/V25,"")</f>
        <v/>
      </c>
      <c r="AB25" s="3">
        <f>IFERROR(X25/V25,"")</f>
        <v/>
      </c>
      <c r="AC25" t="b">
        <v>0</v>
      </c>
      <c r="AD25" t="b">
        <v>0</v>
      </c>
      <c r="AE25" t="b">
        <v>0</v>
      </c>
      <c r="AF25" t="inlineStr">
        <is>
          <t>No</t>
        </is>
      </c>
      <c r="AI25" t="b">
        <v>1</v>
      </c>
      <c r="AJ25" t="n">
        <v>0</v>
      </c>
      <c r="AK25" t="inlineStr"/>
      <c r="AL25" t="inlineStr">
        <is>
          <t>IT Information Technology (Hauke G.)</t>
        </is>
      </c>
      <c r="AM25" t="inlineStr">
        <is>
          <t>CT Cloud Technology II (Marc L.)</t>
        </is>
      </c>
      <c r="AN25" t="inlineStr">
        <is>
          <t>TC Technology &amp; Cloud (Martin S.)</t>
        </is>
      </c>
      <c r="AO25" t="inlineStr">
        <is>
          <t>bridgingIT GmbH</t>
        </is>
      </c>
      <c r="AP25" t="inlineStr">
        <is>
          <t>Stuttgart</t>
        </is>
      </c>
      <c r="AQ25" t="inlineStr">
        <is>
          <t>Marc Leunig</t>
        </is>
      </c>
    </row>
    <row r="26">
      <c r="A26" t="inlineStr">
        <is>
          <t>10129</t>
        </is>
      </c>
      <c r="B26" t="inlineStr">
        <is>
          <t>C58D1E</t>
        </is>
      </c>
      <c r="C26" t="inlineStr">
        <is>
          <t>https://app.matchical.com/Consulting/ConsultantDetail?ConsultantId=2aa0b085-d204-4627-8c3e-2e1a8973b6f0</t>
        </is>
      </c>
      <c r="D26" t="inlineStr">
        <is>
          <t>Ali Karaarslan</t>
        </is>
      </c>
      <c r="E26" t="inlineStr">
        <is>
          <t>ali.karaarslan@bridging-it.de</t>
        </is>
      </c>
      <c r="F26" s="2" t="n">
        <v>45047</v>
      </c>
      <c r="G26" s="2" t="n">
        <v>43922</v>
      </c>
      <c r="H26" t="n">
        <v>5</v>
      </c>
      <c r="I26" t="n">
        <v>0</v>
      </c>
      <c r="J26" t="n">
        <v>0</v>
      </c>
      <c r="L26" s="2" t="n">
        <v>45396</v>
      </c>
      <c r="M26" s="2" t="n">
        <v>45656</v>
      </c>
      <c r="N26" t="b">
        <v>0</v>
      </c>
      <c r="O26" t="n">
        <v>34</v>
      </c>
      <c r="P26" t="n">
        <v>31.97</v>
      </c>
      <c r="Q26" t="n">
        <v>22.98</v>
      </c>
      <c r="R26">
        <f>ROUND(O26-P26,2)</f>
        <v/>
      </c>
      <c r="S26">
        <f>ROUND(O26-Q26,2)</f>
        <v/>
      </c>
      <c r="T26" s="3">
        <f>IFERROR(P26/O26,"")</f>
        <v/>
      </c>
      <c r="U26" s="3">
        <f>IFERROR(Q26/O26,"")</f>
        <v/>
      </c>
      <c r="V26" t="n">
        <v>37</v>
      </c>
      <c r="W26" t="n">
        <v>30</v>
      </c>
      <c r="X26" t="n">
        <v>29.99</v>
      </c>
      <c r="Y26">
        <f>ROUND(V26-W26,2)</f>
        <v/>
      </c>
      <c r="Z26">
        <f>ROUND(V26-X26,2)</f>
        <v/>
      </c>
      <c r="AA26" s="3">
        <f>IFERROR(W26/V26,"")</f>
        <v/>
      </c>
      <c r="AB26" s="3">
        <f>IFERROR(X26/V26,"")</f>
        <v/>
      </c>
      <c r="AC26" t="b">
        <v>0</v>
      </c>
      <c r="AD26" t="b">
        <v>0</v>
      </c>
      <c r="AE26" t="b">
        <v>0</v>
      </c>
      <c r="AF26" t="inlineStr">
        <is>
          <t>No</t>
        </is>
      </c>
      <c r="AI26" t="b">
        <v>1</v>
      </c>
      <c r="AJ26" t="n">
        <v>0</v>
      </c>
      <c r="AK26" t="inlineStr"/>
      <c r="AL26" t="inlineStr">
        <is>
          <t>ORG bIT</t>
        </is>
      </c>
      <c r="AM26" t="inlineStr">
        <is>
          <t>SE Software Engineering Frankfurt (Steffen F.)</t>
        </is>
      </c>
      <c r="AN26" t="inlineStr">
        <is>
          <t>ES Enterprise Solutions (Dominik H.)</t>
        </is>
      </c>
      <c r="AO26" t="inlineStr">
        <is>
          <t>bridgingIT GmbH</t>
        </is>
      </c>
      <c r="AP26" t="inlineStr">
        <is>
          <t>Frankfurt</t>
        </is>
      </c>
      <c r="AQ26" t="inlineStr">
        <is>
          <t>Steffen Flick</t>
        </is>
      </c>
    </row>
    <row r="27">
      <c r="A27" t="inlineStr">
        <is>
          <t>9570</t>
        </is>
      </c>
      <c r="B27" t="inlineStr">
        <is>
          <t>5A6FD1</t>
        </is>
      </c>
      <c r="C27" t="inlineStr">
        <is>
          <t>https://app.matchical.com/Consulting/ConsultantDetail?ConsultantId=3d36865e-1d68-4b82-8f9f-6190cdda7e3b</t>
        </is>
      </c>
      <c r="D27" t="inlineStr">
        <is>
          <t>Alwina Bonk</t>
        </is>
      </c>
      <c r="E27" t="inlineStr">
        <is>
          <t>alwina.bonk@leistungen.de</t>
        </is>
      </c>
      <c r="F27" s="2" t="n">
        <v>43374</v>
      </c>
      <c r="H27" t="n">
        <v>0</v>
      </c>
      <c r="I27" t="n">
        <v>0</v>
      </c>
      <c r="J27" t="n">
        <v>0</v>
      </c>
      <c r="N27" t="b">
        <v>1</v>
      </c>
      <c r="O27" t="n">
        <v>89</v>
      </c>
      <c r="P27" t="n">
        <v>0</v>
      </c>
      <c r="Q27" t="n">
        <v>0</v>
      </c>
      <c r="R27">
        <f>ROUND(O27-P27,2)</f>
        <v/>
      </c>
      <c r="S27">
        <f>ROUND(O27-Q27,2)</f>
        <v/>
      </c>
      <c r="T27" s="3">
        <f>IFERROR(P27/O27,"")</f>
        <v/>
      </c>
      <c r="U27" s="3">
        <f>IFERROR(Q27/O27,"")</f>
        <v/>
      </c>
      <c r="V27" t="n">
        <v>1425</v>
      </c>
      <c r="W27" t="n">
        <v>0</v>
      </c>
      <c r="X27" t="n">
        <v>0</v>
      </c>
      <c r="Y27">
        <f>ROUND(V27-W27,2)</f>
        <v/>
      </c>
      <c r="Z27">
        <f>ROUND(V27-X27,2)</f>
        <v/>
      </c>
      <c r="AA27" s="3">
        <f>IFERROR(W27/V27,"")</f>
        <v/>
      </c>
      <c r="AB27" s="3">
        <f>IFERROR(X27/V27,"")</f>
        <v/>
      </c>
      <c r="AC27" t="b">
        <v>0</v>
      </c>
      <c r="AD27" t="b">
        <v>0</v>
      </c>
      <c r="AE27" t="b">
        <v>0</v>
      </c>
      <c r="AF27" t="inlineStr">
        <is>
          <t>No</t>
        </is>
      </c>
      <c r="AI27" t="b">
        <v>1</v>
      </c>
      <c r="AJ27" t="n">
        <v>0</v>
      </c>
      <c r="AK27" t="inlineStr"/>
      <c r="AL27" t="inlineStr">
        <is>
          <t>Geschäftsleitung und Support</t>
        </is>
      </c>
      <c r="AM27" t="inlineStr">
        <is>
          <t>Support Externe Partner</t>
        </is>
      </c>
      <c r="AN27" t="inlineStr">
        <is>
          <t>Frank Wallner</t>
        </is>
      </c>
      <c r="AO27" t="inlineStr">
        <is>
          <t>bridgingIT GmbH</t>
        </is>
      </c>
      <c r="AP27" t="inlineStr">
        <is>
          <t>Mannheim</t>
        </is>
      </c>
      <c r="AQ27" t="inlineStr">
        <is>
          <t>Nina Beckenbach</t>
        </is>
      </c>
    </row>
    <row r="28">
      <c r="A28" t="inlineStr">
        <is>
          <t>10340</t>
        </is>
      </c>
      <c r="B28" t="inlineStr">
        <is>
          <t>9617C1</t>
        </is>
      </c>
      <c r="C28" t="inlineStr">
        <is>
          <t>https://app.matchical.com/Consulting/ConsultantDetail?ConsultantId=a8566670-a574-40b4-894e-61297b3d2201</t>
        </is>
      </c>
      <c r="D28" t="inlineStr">
        <is>
          <t>Amadou Wolfgang Cisse</t>
        </is>
      </c>
      <c r="E28" t="inlineStr">
        <is>
          <t>amadou.cisse@bridging-it.de</t>
        </is>
      </c>
      <c r="F28" s="2" t="n">
        <v>45597</v>
      </c>
      <c r="H28" t="n">
        <v>10</v>
      </c>
      <c r="I28" t="n">
        <v>0</v>
      </c>
      <c r="J28" t="n">
        <v>1</v>
      </c>
      <c r="K28" s="2" t="n">
        <v>44804</v>
      </c>
      <c r="L28" s="2" t="n">
        <v>45719</v>
      </c>
      <c r="M28" s="2" t="n">
        <v>45807</v>
      </c>
      <c r="N28" t="b">
        <v>0</v>
      </c>
      <c r="O28" t="n">
        <v>16</v>
      </c>
      <c r="P28" t="n">
        <v>22.46</v>
      </c>
      <c r="Q28" t="n">
        <v>15.09</v>
      </c>
      <c r="R28">
        <f>ROUND(O28-P28,2)</f>
        <v/>
      </c>
      <c r="S28">
        <f>ROUND(O28-Q28,2)</f>
        <v/>
      </c>
      <c r="T28" s="3">
        <f>IFERROR(P28/O28,"")</f>
        <v/>
      </c>
      <c r="U28" s="3">
        <f>IFERROR(Q28/O28,"")</f>
        <v/>
      </c>
      <c r="V28" t="n">
        <v>1498</v>
      </c>
      <c r="W28" t="n">
        <v>88.54000000000001</v>
      </c>
      <c r="X28" t="n">
        <v>46.91</v>
      </c>
      <c r="Y28">
        <f>ROUND(V28-W28,2)</f>
        <v/>
      </c>
      <c r="Z28">
        <f>ROUND(V28-X28,2)</f>
        <v/>
      </c>
      <c r="AA28" s="3">
        <f>IFERROR(W28/V28,"")</f>
        <v/>
      </c>
      <c r="AB28" s="3">
        <f>IFERROR(X28/V28,"")</f>
        <v/>
      </c>
      <c r="AC28" t="b">
        <v>0</v>
      </c>
      <c r="AD28" t="b">
        <v>0</v>
      </c>
      <c r="AE28" t="b">
        <v>0</v>
      </c>
      <c r="AF28" t="inlineStr">
        <is>
          <t>Yes</t>
        </is>
      </c>
      <c r="AG28" s="2" t="n">
        <v>46143</v>
      </c>
      <c r="AI28" t="b">
        <v>1</v>
      </c>
      <c r="AJ28" t="n">
        <v>5</v>
      </c>
      <c r="AK28" t="inlineStr"/>
      <c r="AL28" t="inlineStr">
        <is>
          <t>ORG bIT Bayern</t>
        </is>
      </c>
      <c r="AM28" t="inlineStr">
        <is>
          <t>DSA Data Solutions &amp; AI (Philip R.)</t>
        </is>
      </c>
      <c r="AN28" t="inlineStr">
        <is>
          <t>BPD Business Processes &amp; Data Engineering(Arne K.)</t>
        </is>
      </c>
      <c r="AO28" t="inlineStr">
        <is>
          <t>bridgingIT GmbH</t>
        </is>
      </c>
      <c r="AP28" t="inlineStr">
        <is>
          <t>München</t>
        </is>
      </c>
      <c r="AQ28" t="inlineStr">
        <is>
          <t>Philip Rausch</t>
        </is>
      </c>
    </row>
    <row r="29">
      <c r="A29" t="inlineStr">
        <is>
          <t>10369</t>
        </is>
      </c>
      <c r="B29" t="inlineStr">
        <is>
          <t>26A2E7</t>
        </is>
      </c>
      <c r="C29" t="inlineStr">
        <is>
          <t>https://app.matchical.com/Consulting/ConsultantDetail?ConsultantId=3078fbb8-d547-457a-adba-64739b9b6e67</t>
        </is>
      </c>
      <c r="D29" t="inlineStr">
        <is>
          <t>Amin Ataei</t>
        </is>
      </c>
      <c r="E29" t="inlineStr">
        <is>
          <t>amin.ataei@bridging-it.de</t>
        </is>
      </c>
      <c r="F29" s="2" t="n">
        <v>45839</v>
      </c>
      <c r="G29" s="2" t="n">
        <v>44197</v>
      </c>
      <c r="H29" t="n">
        <v>5</v>
      </c>
      <c r="I29" t="n">
        <v>0</v>
      </c>
      <c r="J29" t="n">
        <v>0</v>
      </c>
      <c r="L29" s="2" t="n">
        <v>44865</v>
      </c>
      <c r="M29" s="2" t="n">
        <v>45715</v>
      </c>
      <c r="N29" t="b">
        <v>0</v>
      </c>
      <c r="O29" t="n">
        <v>8</v>
      </c>
      <c r="P29" t="n">
        <v>10.68</v>
      </c>
      <c r="Q29" t="n">
        <v>7.82</v>
      </c>
      <c r="R29">
        <f>ROUND(O29-P29,2)</f>
        <v/>
      </c>
      <c r="S29">
        <f>ROUND(O29-Q29,2)</f>
        <v/>
      </c>
      <c r="T29" s="3">
        <f>IFERROR(P29/O29,"")</f>
        <v/>
      </c>
      <c r="U29" s="3">
        <f>IFERROR(Q29/O29,"")</f>
        <v/>
      </c>
      <c r="V29" t="n">
        <v>54</v>
      </c>
      <c r="W29" t="n">
        <v>48</v>
      </c>
      <c r="X29" t="n">
        <v>45.49</v>
      </c>
      <c r="Y29">
        <f>ROUND(V29-W29,2)</f>
        <v/>
      </c>
      <c r="Z29">
        <f>ROUND(V29-X29,2)</f>
        <v/>
      </c>
      <c r="AA29" s="3">
        <f>IFERROR(W29/V29,"")</f>
        <v/>
      </c>
      <c r="AB29" s="3">
        <f>IFERROR(X29/V29,"")</f>
        <v/>
      </c>
      <c r="AC29" t="b">
        <v>0</v>
      </c>
      <c r="AD29" t="b">
        <v>0</v>
      </c>
      <c r="AE29" t="b">
        <v>0</v>
      </c>
      <c r="AF29" t="inlineStr">
        <is>
          <t>Yes</t>
        </is>
      </c>
      <c r="AG29" s="2" t="n">
        <v>46113</v>
      </c>
      <c r="AI29" t="b">
        <v>0</v>
      </c>
      <c r="AJ29" t="n">
        <v>5</v>
      </c>
      <c r="AK29" t="inlineStr">
        <is>
          <t>Cloud &amp; DevOps Engineer with a focus on Microsoft Azure, automation, and Infrastructure as Code (IaC). Strong expertise in the development and implementation of cloud architectures, CI/CD pipelines, and IT security. Extensive experience with Terraform, PowerShell, and Docker. Passionate about cloud automation and DevOps culture.</t>
        </is>
      </c>
      <c r="AL29" t="inlineStr">
        <is>
          <t>IT - Information Technology (Sebastian L.)</t>
        </is>
      </c>
      <c r="AM29" t="inlineStr">
        <is>
          <t>DOE DevOps Enablement (Florian W.)</t>
        </is>
      </c>
      <c r="AN29" t="inlineStr">
        <is>
          <t>C&amp;DO - Cloud &amp; DevOps (Sebastian L.)</t>
        </is>
      </c>
      <c r="AO29" t="inlineStr">
        <is>
          <t>bridgingIT GmbH</t>
        </is>
      </c>
      <c r="AP29" t="inlineStr">
        <is>
          <t>Mannheim</t>
        </is>
      </c>
      <c r="AQ29" t="inlineStr">
        <is>
          <t>Florian Wendel</t>
        </is>
      </c>
    </row>
    <row r="30">
      <c r="A30" t="inlineStr">
        <is>
          <t>7018</t>
        </is>
      </c>
      <c r="B30" t="inlineStr">
        <is>
          <t>F6B176</t>
        </is>
      </c>
      <c r="C30" t="inlineStr">
        <is>
          <t>https://app.matchical.com/Consulting/ConsultantDetail?ConsultantId=e2dd0b01-309a-402d-abe0-2e1b80205a9f</t>
        </is>
      </c>
      <c r="D30" t="inlineStr">
        <is>
          <t>Anastasia Rettberg-Kluter</t>
        </is>
      </c>
      <c r="E30" t="inlineStr">
        <is>
          <t>anastasia.rettberg-kluter@fastahead.com</t>
        </is>
      </c>
      <c r="F30" s="2" t="n">
        <v>43160</v>
      </c>
      <c r="G30" s="2" t="n">
        <v>41214</v>
      </c>
      <c r="H30" t="n">
        <v>16</v>
      </c>
      <c r="I30" t="n">
        <v>0</v>
      </c>
      <c r="J30" t="n">
        <v>1</v>
      </c>
      <c r="K30" s="2" t="n">
        <v>44928</v>
      </c>
      <c r="L30" s="2" t="n">
        <v>44719</v>
      </c>
      <c r="M30" s="2" t="n">
        <v>44926</v>
      </c>
      <c r="N30" t="b">
        <v>0</v>
      </c>
      <c r="O30" t="n">
        <v>96</v>
      </c>
      <c r="P30" t="n">
        <v>116</v>
      </c>
      <c r="Q30" t="n">
        <v>92</v>
      </c>
      <c r="R30">
        <f>ROUND(O30-P30,2)</f>
        <v/>
      </c>
      <c r="S30">
        <f>ROUND(O30-Q30,2)</f>
        <v/>
      </c>
      <c r="T30" s="3">
        <f>IFERROR(P30/O30,"")</f>
        <v/>
      </c>
      <c r="U30" s="3">
        <f>IFERROR(Q30/O30,"")</f>
        <v/>
      </c>
      <c r="V30" t="n">
        <v>64</v>
      </c>
      <c r="W30" t="n">
        <v>46</v>
      </c>
      <c r="X30" t="n">
        <v>31</v>
      </c>
      <c r="Y30">
        <f>ROUND(V30-W30,2)</f>
        <v/>
      </c>
      <c r="Z30">
        <f>ROUND(V30-X30,2)</f>
        <v/>
      </c>
      <c r="AA30" s="3">
        <f>IFERROR(W30/V30,"")</f>
        <v/>
      </c>
      <c r="AB30" s="3">
        <f>IFERROR(X30/V30,"")</f>
        <v/>
      </c>
      <c r="AC30" t="b">
        <v>0</v>
      </c>
      <c r="AD30" t="b">
        <v>0</v>
      </c>
      <c r="AE30" t="b">
        <v>0</v>
      </c>
      <c r="AF30" t="inlineStr">
        <is>
          <t>Yes</t>
        </is>
      </c>
      <c r="AG30" s="2" t="n">
        <v>46204</v>
      </c>
      <c r="AI30" t="b">
        <v>1</v>
      </c>
      <c r="AJ30" t="n">
        <v>5</v>
      </c>
      <c r="AK30" t="inlineStr"/>
      <c r="AL30" t="inlineStr">
        <is>
          <t>ORG fastahead GmbH &amp; Co. KG</t>
        </is>
      </c>
      <c r="AM30" t="inlineStr">
        <is>
          <t>User Experience Design</t>
        </is>
      </c>
      <c r="AN30" t="inlineStr">
        <is>
          <t>fah Tim Thierfelder</t>
        </is>
      </c>
      <c r="AO30" t="inlineStr">
        <is>
          <t>fastahead GmbH &amp; Co. KG</t>
        </is>
      </c>
      <c r="AP30" t="inlineStr">
        <is>
          <t>Berlin</t>
        </is>
      </c>
      <c r="AQ30" t="inlineStr">
        <is>
          <t>Tim Thierfelder</t>
        </is>
      </c>
    </row>
    <row r="31">
      <c r="A31" t="inlineStr">
        <is>
          <t>10007</t>
        </is>
      </c>
      <c r="B31" t="inlineStr">
        <is>
          <t>67B144</t>
        </is>
      </c>
      <c r="C31" t="inlineStr">
        <is>
          <t>https://app.matchical.com/Consulting/ConsultantDetail?ConsultantId=00713c49-1d9f-4cca-8954-7f1ffce1269b</t>
        </is>
      </c>
      <c r="D31" t="inlineStr">
        <is>
          <t>Anatoli Schäfer</t>
        </is>
      </c>
      <c r="E31" t="inlineStr">
        <is>
          <t>anatoli.schaefer@bridging-it.de</t>
        </is>
      </c>
      <c r="F31" s="2" t="n">
        <v>44866</v>
      </c>
      <c r="G31" s="2" t="n">
        <v>44562</v>
      </c>
      <c r="H31" t="n">
        <v>9</v>
      </c>
      <c r="I31" t="n">
        <v>0</v>
      </c>
      <c r="J31" t="n">
        <v>0</v>
      </c>
      <c r="L31" s="2" t="n">
        <v>45658</v>
      </c>
      <c r="M31" s="2" t="n">
        <v>46022</v>
      </c>
      <c r="N31" t="b">
        <v>0</v>
      </c>
      <c r="O31" t="n">
        <v>40</v>
      </c>
      <c r="P31" t="n">
        <v>38.97</v>
      </c>
      <c r="Q31" t="n">
        <v>38.97</v>
      </c>
      <c r="R31">
        <f>ROUND(O31-P31,2)</f>
        <v/>
      </c>
      <c r="S31">
        <f>ROUND(O31-Q31,2)</f>
        <v/>
      </c>
      <c r="T31" s="3">
        <f>IFERROR(P31/O31,"")</f>
        <v/>
      </c>
      <c r="U31" s="3">
        <f>IFERROR(Q31/O31,"")</f>
        <v/>
      </c>
      <c r="V31" t="n">
        <v>10</v>
      </c>
      <c r="W31" t="n">
        <v>8</v>
      </c>
      <c r="X31" t="n">
        <v>8</v>
      </c>
      <c r="Y31">
        <f>ROUND(V31-W31,2)</f>
        <v/>
      </c>
      <c r="Z31">
        <f>ROUND(V31-X31,2)</f>
        <v/>
      </c>
      <c r="AA31" s="3">
        <f>IFERROR(W31/V31,"")</f>
        <v/>
      </c>
      <c r="AB31" s="3">
        <f>IFERROR(X31/V31,"")</f>
        <v/>
      </c>
      <c r="AC31" t="b">
        <v>0</v>
      </c>
      <c r="AD31" t="b">
        <v>0</v>
      </c>
      <c r="AE31" t="b">
        <v>0</v>
      </c>
      <c r="AF31" t="inlineStr">
        <is>
          <t>No</t>
        </is>
      </c>
      <c r="AI31" t="b">
        <v>0</v>
      </c>
      <c r="AJ31" t="n">
        <v>0</v>
      </c>
      <c r="AK31" t="inlineStr"/>
      <c r="AL31" t="inlineStr">
        <is>
          <t>A&amp;SE Analytics &amp; Software Engineering (Philip R.)</t>
        </is>
      </c>
      <c r="AM31" t="inlineStr">
        <is>
          <t>FV Fullstack Visionaries (Matthias H.)</t>
        </is>
      </c>
      <c r="AN31" t="inlineStr">
        <is>
          <t>FUN Fullstack Ninjas (Stefan Z.)</t>
        </is>
      </c>
      <c r="AO31" t="inlineStr">
        <is>
          <t>bridgingIT GmbH</t>
        </is>
      </c>
      <c r="AP31" t="inlineStr">
        <is>
          <t>Mannheim</t>
        </is>
      </c>
      <c r="AQ31" t="inlineStr">
        <is>
          <t>Matthias Hetz</t>
        </is>
      </c>
    </row>
    <row r="32">
      <c r="A32" t="inlineStr">
        <is>
          <t>10264</t>
        </is>
      </c>
      <c r="B32" t="inlineStr">
        <is>
          <t>E9AC01</t>
        </is>
      </c>
      <c r="C32" t="inlineStr">
        <is>
          <t>https://app.matchical.com/Consulting/ConsultantDetail?ConsultantId=1b6f2d18-bb04-4f51-9faf-6516176ba681</t>
        </is>
      </c>
      <c r="D32" t="inlineStr">
        <is>
          <t>Andre Hein</t>
        </is>
      </c>
      <c r="E32" t="inlineStr">
        <is>
          <t>andre.hein@bridging-it.de</t>
        </is>
      </c>
      <c r="F32" s="2" t="n">
        <v>45383</v>
      </c>
      <c r="G32" s="2" t="n">
        <v>40330</v>
      </c>
      <c r="H32" t="n">
        <v>12</v>
      </c>
      <c r="I32" t="n">
        <v>0</v>
      </c>
      <c r="J32" t="n">
        <v>2</v>
      </c>
      <c r="K32" s="2" t="n">
        <v>45596</v>
      </c>
      <c r="L32" s="2" t="n">
        <v>45397</v>
      </c>
      <c r="M32" s="2" t="n">
        <v>45657</v>
      </c>
      <c r="N32" t="b">
        <v>0</v>
      </c>
      <c r="O32" t="n">
        <v>23</v>
      </c>
      <c r="P32" t="n">
        <v>39</v>
      </c>
      <c r="Q32" t="n">
        <v>21</v>
      </c>
      <c r="R32">
        <f>ROUND(O32-P32,2)</f>
        <v/>
      </c>
      <c r="S32">
        <f>ROUND(O32-Q32,2)</f>
        <v/>
      </c>
      <c r="T32" s="3">
        <f>IFERROR(P32/O32,"")</f>
        <v/>
      </c>
      <c r="U32" s="3">
        <f>IFERROR(Q32/O32,"")</f>
        <v/>
      </c>
      <c r="V32" t="n">
        <v>166</v>
      </c>
      <c r="W32" t="n">
        <v>150</v>
      </c>
      <c r="X32" t="n">
        <v>74</v>
      </c>
      <c r="Y32">
        <f>ROUND(V32-W32,2)</f>
        <v/>
      </c>
      <c r="Z32">
        <f>ROUND(V32-X32,2)</f>
        <v/>
      </c>
      <c r="AA32" s="3">
        <f>IFERROR(W32/V32,"")</f>
        <v/>
      </c>
      <c r="AB32" s="3">
        <f>IFERROR(X32/V32,"")</f>
        <v/>
      </c>
      <c r="AC32" t="b">
        <v>0</v>
      </c>
      <c r="AD32" t="b">
        <v>0</v>
      </c>
      <c r="AE32" t="b">
        <v>0</v>
      </c>
      <c r="AF32" t="inlineStr">
        <is>
          <t>No</t>
        </is>
      </c>
      <c r="AI32" t="b">
        <v>1</v>
      </c>
      <c r="AJ32" t="n">
        <v>0</v>
      </c>
      <c r="AK32" t="inlineStr"/>
      <c r="AL32" t="inlineStr">
        <is>
          <t>T&amp;A - Transformation &amp; Agility (Arne K.)</t>
        </is>
      </c>
      <c r="AM32" t="inlineStr">
        <is>
          <t>CTM – Change &amp; Transformationmgmt. HH (Katja R.)</t>
        </is>
      </c>
      <c r="AN32" t="inlineStr">
        <is>
          <t>A&amp;PM Agility &amp; Project Management (Jan H.)</t>
        </is>
      </c>
      <c r="AO32" t="inlineStr">
        <is>
          <t>bridgingIT GmbH</t>
        </is>
      </c>
      <c r="AP32" t="inlineStr">
        <is>
          <t>Hamburg</t>
        </is>
      </c>
      <c r="AQ32" t="inlineStr">
        <is>
          <t>Katja Runge</t>
        </is>
      </c>
    </row>
    <row r="33">
      <c r="A33" t="inlineStr">
        <is>
          <t>8687</t>
        </is>
      </c>
      <c r="B33" t="inlineStr">
        <is>
          <t>6161A5</t>
        </is>
      </c>
      <c r="C33" t="inlineStr">
        <is>
          <t>https://app.matchical.com/Consulting/ConsultantDetail?ConsultantId=9c4bab4b-c38b-4386-a474-b976cad6f763</t>
        </is>
      </c>
      <c r="D33" t="inlineStr">
        <is>
          <t>André Krippendorf</t>
        </is>
      </c>
      <c r="E33" t="inlineStr">
        <is>
          <t>andre.krippendorf@crafting-it.de</t>
        </is>
      </c>
      <c r="F33" s="2" t="n">
        <v>44348</v>
      </c>
      <c r="G33" s="2" t="n">
        <v>41456</v>
      </c>
      <c r="H33" t="n">
        <v>15</v>
      </c>
      <c r="I33" t="n">
        <v>0</v>
      </c>
      <c r="J33" t="n">
        <v>2</v>
      </c>
      <c r="K33" s="2" t="n">
        <v>44561</v>
      </c>
      <c r="L33" s="2" t="n">
        <v>45364</v>
      </c>
      <c r="M33" s="2" t="n">
        <v>45657</v>
      </c>
      <c r="N33" t="b">
        <v>0</v>
      </c>
      <c r="O33" t="n">
        <v>57</v>
      </c>
      <c r="P33" t="n">
        <v>210.79</v>
      </c>
      <c r="Q33" t="n">
        <v>56.8</v>
      </c>
      <c r="R33">
        <f>ROUND(O33-P33,2)</f>
        <v/>
      </c>
      <c r="S33">
        <f>ROUND(O33-Q33,2)</f>
        <v/>
      </c>
      <c r="T33" s="3">
        <f>IFERROR(P33/O33,"")</f>
        <v/>
      </c>
      <c r="U33" s="3">
        <f>IFERROR(Q33/O33,"")</f>
        <v/>
      </c>
      <c r="V33" t="n">
        <v>95</v>
      </c>
      <c r="W33" t="n">
        <v>0</v>
      </c>
      <c r="X33" t="n">
        <v>0</v>
      </c>
      <c r="Y33">
        <f>ROUND(V33-W33,2)</f>
        <v/>
      </c>
      <c r="Z33">
        <f>ROUND(V33-X33,2)</f>
        <v/>
      </c>
      <c r="AA33" s="3">
        <f>IFERROR(W33/V33,"")</f>
        <v/>
      </c>
      <c r="AB33" s="3">
        <f>IFERROR(X33/V33,"")</f>
        <v/>
      </c>
      <c r="AC33" t="b">
        <v>0</v>
      </c>
      <c r="AD33" t="b">
        <v>0</v>
      </c>
      <c r="AE33" t="b">
        <v>0</v>
      </c>
      <c r="AF33" t="inlineStr">
        <is>
          <t>Yes</t>
        </is>
      </c>
      <c r="AG33" s="2" t="n">
        <v>45931</v>
      </c>
      <c r="AI33" t="b">
        <v>1</v>
      </c>
      <c r="AJ33" t="n">
        <v>3</v>
      </c>
      <c r="AK33" t="inlineStr">
        <is>
          <t>Occasional on-site client meetings can indeed be represented.</t>
        </is>
      </c>
      <c r="AL33" t="inlineStr">
        <is>
          <t>ORG cIT</t>
        </is>
      </c>
      <c r="AM33" t="inlineStr">
        <is>
          <t>cIT Development</t>
        </is>
      </c>
      <c r="AN33" t="inlineStr">
        <is>
          <t>cIT Service Delivery Magdeburg (Steffen A.)</t>
        </is>
      </c>
      <c r="AO33" t="inlineStr">
        <is>
          <t>craftingIT GmbH</t>
        </is>
      </c>
      <c r="AP33" t="inlineStr">
        <is>
          <t>Magdeburg</t>
        </is>
      </c>
      <c r="AQ33" t="inlineStr">
        <is>
          <t>Jennifer Saalfeld</t>
        </is>
      </c>
    </row>
    <row r="34">
      <c r="A34" t="inlineStr">
        <is>
          <t>8722</t>
        </is>
      </c>
      <c r="B34" t="inlineStr">
        <is>
          <t>3F7D01</t>
        </is>
      </c>
      <c r="C34" t="inlineStr">
        <is>
          <t>https://app.matchical.com/Consulting/ConsultantDetail?ConsultantId=89e26302-5625-42b2-b010-1cb4a8bc8554</t>
        </is>
      </c>
      <c r="D34" t="inlineStr">
        <is>
          <t>Andre Lexow</t>
        </is>
      </c>
      <c r="E34" t="inlineStr">
        <is>
          <t>andre.lexow@crafting-it.de</t>
        </is>
      </c>
      <c r="F34" s="2" t="n">
        <v>44545</v>
      </c>
      <c r="G34" s="2" t="n">
        <v>44545</v>
      </c>
      <c r="H34" t="n">
        <v>20</v>
      </c>
      <c r="I34" t="n">
        <v>0</v>
      </c>
      <c r="J34" t="n">
        <v>1</v>
      </c>
      <c r="K34" s="2" t="n">
        <v>46022</v>
      </c>
      <c r="L34" s="2" t="n">
        <v>45658</v>
      </c>
      <c r="M34" s="2" t="n">
        <v>46022</v>
      </c>
      <c r="N34" t="b">
        <v>0</v>
      </c>
      <c r="O34" t="n">
        <v>50</v>
      </c>
      <c r="P34" t="n">
        <v>195.14</v>
      </c>
      <c r="Q34" t="n">
        <v>50.33</v>
      </c>
      <c r="R34">
        <f>ROUND(O34-P34,2)</f>
        <v/>
      </c>
      <c r="S34">
        <f>ROUND(O34-Q34,2)</f>
        <v/>
      </c>
      <c r="T34" s="3">
        <f>IFERROR(P34/O34,"")</f>
        <v/>
      </c>
      <c r="U34" s="3">
        <f>IFERROR(Q34/O34,"")</f>
        <v/>
      </c>
      <c r="V34" t="n">
        <v>0</v>
      </c>
      <c r="W34" t="n">
        <v>0</v>
      </c>
      <c r="X34" t="n">
        <v>0</v>
      </c>
      <c r="Y34">
        <f>ROUND(V34-W34,2)</f>
        <v/>
      </c>
      <c r="Z34">
        <f>ROUND(V34-X34,2)</f>
        <v/>
      </c>
      <c r="AA34" s="3">
        <f>IFERROR(W34/V34,"")</f>
        <v/>
      </c>
      <c r="AB34" s="3">
        <f>IFERROR(X34/V34,"")</f>
        <v/>
      </c>
      <c r="AC34" t="b">
        <v>0</v>
      </c>
      <c r="AD34" t="b">
        <v>0</v>
      </c>
      <c r="AE34" t="b">
        <v>0</v>
      </c>
      <c r="AF34" t="inlineStr">
        <is>
          <t>Yes</t>
        </is>
      </c>
      <c r="AG34" s="2" t="n">
        <v>45809</v>
      </c>
      <c r="AI34" t="b">
        <v>1</v>
      </c>
      <c r="AJ34" t="n">
        <v>3</v>
      </c>
      <c r="AK34" t="inlineStr"/>
      <c r="AL34" t="inlineStr">
        <is>
          <t>ORG cIT</t>
        </is>
      </c>
      <c r="AM34" t="inlineStr">
        <is>
          <t>cIT AMS / GIS Services (Michael B.)</t>
        </is>
      </c>
      <c r="AN34" t="inlineStr">
        <is>
          <t>cIT Service Delivery Magdeburg (Steffen A.)</t>
        </is>
      </c>
      <c r="AO34" t="inlineStr">
        <is>
          <t>craftingIT GmbH</t>
        </is>
      </c>
      <c r="AP34" t="inlineStr">
        <is>
          <t>Magdeburg</t>
        </is>
      </c>
      <c r="AQ34" t="inlineStr">
        <is>
          <t>Michael Buchter</t>
        </is>
      </c>
    </row>
    <row r="35">
      <c r="A35" t="inlineStr">
        <is>
          <t>1327</t>
        </is>
      </c>
      <c r="B35" t="inlineStr">
        <is>
          <t>E894F1</t>
        </is>
      </c>
      <c r="C35" t="inlineStr">
        <is>
          <t>https://app.matchical.com/Consulting/ConsultantDetail?ConsultantId=97ba9131-62f0-433e-b541-fbbb5b2d5e22</t>
        </is>
      </c>
      <c r="D35" t="inlineStr">
        <is>
          <t>Andreas Bürkle</t>
        </is>
      </c>
      <c r="E35" t="inlineStr">
        <is>
          <t>andreas.buerkle@bridging-it.de</t>
        </is>
      </c>
      <c r="F35" s="2" t="n">
        <v>42384</v>
      </c>
      <c r="G35" s="2" t="n">
        <v>39448</v>
      </c>
      <c r="H35" t="n">
        <v>17</v>
      </c>
      <c r="I35" t="n">
        <v>0</v>
      </c>
      <c r="J35" t="n">
        <v>2</v>
      </c>
      <c r="K35" s="2" t="n">
        <v>44423</v>
      </c>
      <c r="L35" s="2" t="n">
        <v>42442</v>
      </c>
      <c r="M35" s="2" t="n">
        <v>45827</v>
      </c>
      <c r="N35" t="b">
        <v>0</v>
      </c>
      <c r="O35" t="n">
        <v>121</v>
      </c>
      <c r="P35" t="n">
        <v>386.9</v>
      </c>
      <c r="Q35" t="n">
        <v>120.97</v>
      </c>
      <c r="R35">
        <f>ROUND(O35-P35,2)</f>
        <v/>
      </c>
      <c r="S35">
        <f>ROUND(O35-Q35,2)</f>
        <v/>
      </c>
      <c r="T35" s="3">
        <f>IFERROR(P35/O35,"")</f>
        <v/>
      </c>
      <c r="U35" s="3">
        <f>IFERROR(Q35/O35,"")</f>
        <v/>
      </c>
      <c r="V35" t="n">
        <v>96</v>
      </c>
      <c r="W35" t="n">
        <v>71</v>
      </c>
      <c r="X35" t="n">
        <v>71</v>
      </c>
      <c r="Y35">
        <f>ROUND(V35-W35,2)</f>
        <v/>
      </c>
      <c r="Z35">
        <f>ROUND(V35-X35,2)</f>
        <v/>
      </c>
      <c r="AA35" s="3">
        <f>IFERROR(W35/V35,"")</f>
        <v/>
      </c>
      <c r="AB35" s="3">
        <f>IFERROR(X35/V35,"")</f>
        <v/>
      </c>
      <c r="AC35" t="b">
        <v>0</v>
      </c>
      <c r="AD35" t="b">
        <v>0</v>
      </c>
      <c r="AE35" t="b">
        <v>0</v>
      </c>
      <c r="AF35" t="inlineStr">
        <is>
          <t>Yes</t>
        </is>
      </c>
      <c r="AG35" s="2" t="n">
        <v>46023</v>
      </c>
      <c r="AI35" t="b">
        <v>1</v>
      </c>
      <c r="AJ35" t="n">
        <v>5</v>
      </c>
      <c r="AK35" t="inlineStr">
        <is>
          <t>Target role: RTE, Scrum Master, Agile Coach
Industry experience: Automotive, Retail, Pharmaceutical, Energy
Willingness to travel: Occasional travel to Frankfurt, Stuttgart, and Cologne is acceptable. Up to three hotel overnight stays per month are acceptable.</t>
        </is>
      </c>
      <c r="AL35" t="inlineStr">
        <is>
          <t>T&amp;A - Transformation &amp; Agility (Arne K.)</t>
        </is>
      </c>
      <c r="AM35" t="inlineStr">
        <is>
          <t>HPMI - Hybrid Project Mgmt &amp; Innovat. (Sascha W.)</t>
        </is>
      </c>
      <c r="AN35" t="inlineStr">
        <is>
          <t>A&amp;PM Agility &amp; Project Management (Jan H.)</t>
        </is>
      </c>
      <c r="AO35" t="inlineStr">
        <is>
          <t>bridgingIT GmbH</t>
        </is>
      </c>
      <c r="AP35" t="inlineStr">
        <is>
          <t>Mannheim</t>
        </is>
      </c>
      <c r="AQ35" t="inlineStr">
        <is>
          <t>Sascha Wacker</t>
        </is>
      </c>
    </row>
    <row r="36">
      <c r="A36" t="inlineStr">
        <is>
          <t>10357</t>
        </is>
      </c>
      <c r="B36" t="inlineStr">
        <is>
          <t>8574CB</t>
        </is>
      </c>
      <c r="C36" t="inlineStr">
        <is>
          <t>https://app.matchical.com/Consulting/ConsultantDetail?ConsultantId=9373d136-b4bf-4a1c-b467-e0440d963037</t>
        </is>
      </c>
      <c r="D36" t="inlineStr">
        <is>
          <t>Andreas Diel</t>
        </is>
      </c>
      <c r="E36" t="inlineStr">
        <is>
          <t>andreas.diel@fastahead.com</t>
        </is>
      </c>
      <c r="F36" s="2" t="n">
        <v>45748</v>
      </c>
      <c r="G36" s="2" t="n">
        <v>35765</v>
      </c>
      <c r="H36" t="n">
        <v>20</v>
      </c>
      <c r="I36" t="n">
        <v>0</v>
      </c>
      <c r="J36" t="n">
        <v>0</v>
      </c>
      <c r="L36" s="2" t="n">
        <v>45838</v>
      </c>
      <c r="M36" s="2" t="n">
        <v>45960</v>
      </c>
      <c r="N36" t="b">
        <v>0</v>
      </c>
      <c r="O36" t="n">
        <v>11</v>
      </c>
      <c r="P36" t="n">
        <v>4.76</v>
      </c>
      <c r="Q36" t="n">
        <v>4.76</v>
      </c>
      <c r="R36">
        <f>ROUND(O36-P36,2)</f>
        <v/>
      </c>
      <c r="S36">
        <f>ROUND(O36-Q36,2)</f>
        <v/>
      </c>
      <c r="T36" s="3">
        <f>IFERROR(P36/O36,"")</f>
        <v/>
      </c>
      <c r="U36" s="3">
        <f>IFERROR(Q36/O36,"")</f>
        <v/>
      </c>
      <c r="V36" t="n">
        <v>328</v>
      </c>
      <c r="W36" t="n">
        <v>278</v>
      </c>
      <c r="X36" t="n">
        <v>127</v>
      </c>
      <c r="Y36">
        <f>ROUND(V36-W36,2)</f>
        <v/>
      </c>
      <c r="Z36">
        <f>ROUND(V36-X36,2)</f>
        <v/>
      </c>
      <c r="AA36" s="3">
        <f>IFERROR(W36/V36,"")</f>
        <v/>
      </c>
      <c r="AB36" s="3">
        <f>IFERROR(X36/V36,"")</f>
        <v/>
      </c>
      <c r="AC36" t="b">
        <v>0</v>
      </c>
      <c r="AD36" t="b">
        <v>0</v>
      </c>
      <c r="AE36" t="b">
        <v>0</v>
      </c>
      <c r="AF36" t="inlineStr">
        <is>
          <t>No</t>
        </is>
      </c>
      <c r="AI36" t="b">
        <v>1</v>
      </c>
      <c r="AJ36" t="n">
        <v>0</v>
      </c>
      <c r="AK36" t="inlineStr">
        <is>
          <t>Key skills: Banking, Finance, Strategy consulting, KPI systems, Spanish</t>
        </is>
      </c>
      <c r="AL36" t="inlineStr">
        <is>
          <t>ORG fastahead GmbH &amp; Co. KG</t>
        </is>
      </c>
      <c r="AM36" t="inlineStr">
        <is>
          <t>Banking (R. Weygand)</t>
        </is>
      </c>
      <c r="AN36" t="inlineStr">
        <is>
          <t>fah Ralf Weygand</t>
        </is>
      </c>
      <c r="AO36" t="inlineStr">
        <is>
          <t>fastahead GmbH &amp; Co. KG</t>
        </is>
      </c>
      <c r="AP36" t="inlineStr">
        <is>
          <t>Köln</t>
        </is>
      </c>
      <c r="AQ36" t="inlineStr">
        <is>
          <t>Ralf Weygand</t>
        </is>
      </c>
    </row>
    <row r="37">
      <c r="A37" t="inlineStr">
        <is>
          <t>1040</t>
        </is>
      </c>
      <c r="B37" t="inlineStr">
        <is>
          <t>DA65EB</t>
        </is>
      </c>
      <c r="C37" t="inlineStr">
        <is>
          <t>https://app.matchical.com/Consulting/ConsultantDetail?ConsultantId=f9614ca2-7a00-4b51-9ecb-13f7c5e79b23</t>
        </is>
      </c>
      <c r="D37" t="inlineStr">
        <is>
          <t>Andreas Dietz</t>
        </is>
      </c>
      <c r="E37" t="inlineStr">
        <is>
          <t>andreas.dietz@bridging-it.de</t>
        </is>
      </c>
      <c r="F37" s="2" t="n">
        <v>39569</v>
      </c>
      <c r="G37" s="2" t="n">
        <v>36526</v>
      </c>
      <c r="H37" t="n">
        <v>30</v>
      </c>
      <c r="I37" t="n">
        <v>0</v>
      </c>
      <c r="J37" t="n">
        <v>2</v>
      </c>
      <c r="K37" s="2" t="n">
        <v>41274</v>
      </c>
      <c r="L37" s="2" t="n">
        <v>41275</v>
      </c>
      <c r="M37" s="2" t="n">
        <v>45715</v>
      </c>
      <c r="N37" t="b">
        <v>0</v>
      </c>
      <c r="O37" t="n">
        <v>214</v>
      </c>
      <c r="P37" t="n">
        <v>924.9400000000001</v>
      </c>
      <c r="Q37" t="n">
        <v>213.82</v>
      </c>
      <c r="R37">
        <f>ROUND(O37-P37,2)</f>
        <v/>
      </c>
      <c r="S37">
        <f>ROUND(O37-Q37,2)</f>
        <v/>
      </c>
      <c r="T37" s="3">
        <f>IFERROR(P37/O37,"")</f>
        <v/>
      </c>
      <c r="U37" s="3">
        <f>IFERROR(Q37/O37,"")</f>
        <v/>
      </c>
      <c r="V37" t="n">
        <v>100</v>
      </c>
      <c r="W37" t="n">
        <v>96.06</v>
      </c>
      <c r="X37" t="n">
        <v>91.88</v>
      </c>
      <c r="Y37">
        <f>ROUND(V37-W37,2)</f>
        <v/>
      </c>
      <c r="Z37">
        <f>ROUND(V37-X37,2)</f>
        <v/>
      </c>
      <c r="AA37" s="3">
        <f>IFERROR(W37/V37,"")</f>
        <v/>
      </c>
      <c r="AB37" s="3">
        <f>IFERROR(X37/V37,"")</f>
        <v/>
      </c>
      <c r="AC37" t="b">
        <v>0</v>
      </c>
      <c r="AD37" t="b">
        <v>0</v>
      </c>
      <c r="AE37" t="b">
        <v>0</v>
      </c>
      <c r="AF37" t="inlineStr">
        <is>
          <t>Yes</t>
        </is>
      </c>
      <c r="AG37" s="2" t="n">
        <v>46037</v>
      </c>
      <c r="AH37" s="2" t="n">
        <v>46080</v>
      </c>
      <c r="AI37" t="b">
        <v>0</v>
      </c>
      <c r="AJ37" t="n">
        <v>2.5</v>
      </c>
      <c r="AK37" t="inlineStr">
        <is>
          <t>Andreas works at the start of the year at 50% (4 hours per day)</t>
        </is>
      </c>
      <c r="AL37" t="inlineStr">
        <is>
          <t>ORG bIT</t>
        </is>
      </c>
      <c r="AM37" t="inlineStr">
        <is>
          <t>PITS Professional IT-Services (Martin R.)</t>
        </is>
      </c>
      <c r="AN37" t="inlineStr">
        <is>
          <t>MIT Management of IT (Torsten R.)</t>
        </is>
      </c>
      <c r="AO37" t="inlineStr">
        <is>
          <t>bridgingIT GmbH</t>
        </is>
      </c>
      <c r="AP37" t="inlineStr">
        <is>
          <t>Frankfurt</t>
        </is>
      </c>
      <c r="AQ37" t="inlineStr">
        <is>
          <t>Martin Redemsky</t>
        </is>
      </c>
    </row>
    <row r="38">
      <c r="A38" t="inlineStr">
        <is>
          <t>2284</t>
        </is>
      </c>
      <c r="B38" t="inlineStr">
        <is>
          <t>47D30E</t>
        </is>
      </c>
      <c r="C38" t="inlineStr">
        <is>
          <t>https://app.matchical.com/Consulting/ConsultantDetail?ConsultantId=5a972972-e205-4df7-b8d4-328765f2877d</t>
        </is>
      </c>
      <c r="D38" t="inlineStr">
        <is>
          <t>Andreas Glasa</t>
        </is>
      </c>
      <c r="E38" t="inlineStr">
        <is>
          <t>andreas.glasa@bridging-it.de</t>
        </is>
      </c>
      <c r="F38" s="2" t="n">
        <v>44470</v>
      </c>
      <c r="G38" s="2" t="n">
        <v>39510</v>
      </c>
      <c r="H38" t="n">
        <v>6</v>
      </c>
      <c r="I38" t="n">
        <v>0</v>
      </c>
      <c r="J38" t="n">
        <v>2</v>
      </c>
      <c r="K38" s="2" t="n">
        <v>44695</v>
      </c>
      <c r="L38" s="2" t="n">
        <v>45504</v>
      </c>
      <c r="M38" s="2" t="n">
        <v>45776</v>
      </c>
      <c r="N38" t="b">
        <v>0</v>
      </c>
      <c r="O38" t="n">
        <v>53</v>
      </c>
      <c r="P38" t="n">
        <v>115</v>
      </c>
      <c r="Q38" t="n">
        <v>52.8</v>
      </c>
      <c r="R38">
        <f>ROUND(O38-P38,2)</f>
        <v/>
      </c>
      <c r="S38">
        <f>ROUND(O38-Q38,2)</f>
        <v/>
      </c>
      <c r="T38" s="3">
        <f>IFERROR(P38/O38,"")</f>
        <v/>
      </c>
      <c r="U38" s="3">
        <f>IFERROR(Q38/O38,"")</f>
        <v/>
      </c>
      <c r="V38" t="n">
        <v>163</v>
      </c>
      <c r="W38" t="n">
        <v>34</v>
      </c>
      <c r="X38" t="n">
        <v>34</v>
      </c>
      <c r="Y38">
        <f>ROUND(V38-W38,2)</f>
        <v/>
      </c>
      <c r="Z38">
        <f>ROUND(V38-X38,2)</f>
        <v/>
      </c>
      <c r="AA38" s="3">
        <f>IFERROR(W38/V38,"")</f>
        <v/>
      </c>
      <c r="AB38" s="3">
        <f>IFERROR(X38/V38,"")</f>
        <v/>
      </c>
      <c r="AC38" t="b">
        <v>0</v>
      </c>
      <c r="AD38" t="b">
        <v>0</v>
      </c>
      <c r="AE38" t="b">
        <v>0</v>
      </c>
      <c r="AF38" t="inlineStr">
        <is>
          <t>No</t>
        </is>
      </c>
      <c r="AI38" t="b">
        <v>1</v>
      </c>
      <c r="AJ38" t="n">
        <v>0</v>
      </c>
      <c r="AK38" t="inlineStr">
        <is>
          <t>Andreas is a highly experienced Agile Coach/RTE and SAFe trainer.</t>
        </is>
      </c>
      <c r="AL38" t="inlineStr">
        <is>
          <t>DO Digital Organizations (Michael H.)</t>
        </is>
      </c>
      <c r="AM38" t="inlineStr">
        <is>
          <t>AO Agile Organizations (Andreas G.)</t>
        </is>
      </c>
      <c r="AN38" t="inlineStr">
        <is>
          <t>BT Business Transformation (Julian D.)</t>
        </is>
      </c>
      <c r="AO38" t="inlineStr">
        <is>
          <t>bridgingIT GmbH</t>
        </is>
      </c>
      <c r="AP38" t="inlineStr">
        <is>
          <t>Stuttgart</t>
        </is>
      </c>
      <c r="AQ38" t="inlineStr">
        <is>
          <t>Julian Dahlbender</t>
        </is>
      </c>
    </row>
    <row r="39">
      <c r="A39" t="inlineStr">
        <is>
          <t>2236</t>
        </is>
      </c>
      <c r="B39" t="inlineStr">
        <is>
          <t>D992B7</t>
        </is>
      </c>
      <c r="C39" t="inlineStr">
        <is>
          <t>https://app.matchical.com/Consulting/ConsultantDetail?ConsultantId=e4f77298-25ef-4c96-9dc5-f5a8f77253f7</t>
        </is>
      </c>
      <c r="D39" t="inlineStr">
        <is>
          <t>Andreas Hellner</t>
        </is>
      </c>
      <c r="E39" t="inlineStr">
        <is>
          <t>andreas.hellner@bridging-it.de</t>
        </is>
      </c>
      <c r="F39" s="2" t="n">
        <v>43466</v>
      </c>
      <c r="G39" s="2" t="n">
        <v>40756</v>
      </c>
      <c r="H39" t="n">
        <v>7</v>
      </c>
      <c r="I39" t="n">
        <v>0</v>
      </c>
      <c r="J39" t="n">
        <v>1</v>
      </c>
      <c r="K39" s="2" t="n">
        <v>44885</v>
      </c>
      <c r="L39" s="2" t="n">
        <v>43830</v>
      </c>
      <c r="M39" s="2" t="n">
        <v>44546</v>
      </c>
      <c r="N39" t="b">
        <v>0</v>
      </c>
      <c r="O39" t="n">
        <v>86</v>
      </c>
      <c r="P39" t="n">
        <v>74</v>
      </c>
      <c r="Q39" t="n">
        <v>70</v>
      </c>
      <c r="R39">
        <f>ROUND(O39-P39,2)</f>
        <v/>
      </c>
      <c r="S39">
        <f>ROUND(O39-Q39,2)</f>
        <v/>
      </c>
      <c r="T39" s="3">
        <f>IFERROR(P39/O39,"")</f>
        <v/>
      </c>
      <c r="U39" s="3">
        <f>IFERROR(Q39/O39,"")</f>
        <v/>
      </c>
      <c r="V39" t="n">
        <v>89</v>
      </c>
      <c r="W39" t="n">
        <v>89.45999999999999</v>
      </c>
      <c r="X39" t="n">
        <v>89.03</v>
      </c>
      <c r="Y39">
        <f>ROUND(V39-W39,2)</f>
        <v/>
      </c>
      <c r="Z39">
        <f>ROUND(V39-X39,2)</f>
        <v/>
      </c>
      <c r="AA39" s="3">
        <f>IFERROR(W39/V39,"")</f>
        <v/>
      </c>
      <c r="AB39" s="3">
        <f>IFERROR(X39/V39,"")</f>
        <v/>
      </c>
      <c r="AC39" t="b">
        <v>0</v>
      </c>
      <c r="AD39" t="b">
        <v>0</v>
      </c>
      <c r="AE39" t="b">
        <v>0</v>
      </c>
      <c r="AF39" t="inlineStr">
        <is>
          <t>No</t>
        </is>
      </c>
      <c r="AI39" t="b">
        <v>0</v>
      </c>
      <c r="AJ39" t="n">
        <v>5</v>
      </c>
      <c r="AK39" t="inlineStr">
        <is>
          <t>Key skills:
* .NET software development (Backend)
* Azure
* Software architecture</t>
        </is>
      </c>
      <c r="AL39" t="inlineStr">
        <is>
          <t>ES Enterprise Solutions (Gina H.)</t>
        </is>
      </c>
      <c r="AM39" t="inlineStr">
        <is>
          <t>IEM .Net I (Christoph M.)</t>
        </is>
      </c>
      <c r="AN39" t="inlineStr">
        <is>
          <t>IEJ Individualentwicklung JAVA (Dominik S.)</t>
        </is>
      </c>
      <c r="AO39" t="inlineStr">
        <is>
          <t>bridgingIT GmbH</t>
        </is>
      </c>
      <c r="AP39" t="inlineStr">
        <is>
          <t>Stuttgart</t>
        </is>
      </c>
      <c r="AQ39" t="inlineStr">
        <is>
          <t>Christoph Müller</t>
        </is>
      </c>
    </row>
    <row r="40">
      <c r="A40" t="inlineStr">
        <is>
          <t>10164</t>
        </is>
      </c>
      <c r="B40" t="inlineStr">
        <is>
          <t>38CDEF</t>
        </is>
      </c>
      <c r="C40" t="inlineStr">
        <is>
          <t>https://app.matchical.com/Consulting/ConsultantDetail?ConsultantId=e27d9444-1faf-468a-bd3e-be13f2d08b2a</t>
        </is>
      </c>
      <c r="D40" t="inlineStr">
        <is>
          <t>Andreas Hofmann</t>
        </is>
      </c>
      <c r="E40" t="inlineStr">
        <is>
          <t>andreas.hofmann@fastahead.com</t>
        </is>
      </c>
      <c r="F40" s="2" t="n">
        <v>45170</v>
      </c>
      <c r="G40" s="2" t="n">
        <v>36800</v>
      </c>
      <c r="H40" t="n">
        <v>10</v>
      </c>
      <c r="I40" t="n">
        <v>0</v>
      </c>
      <c r="J40" t="n">
        <v>0</v>
      </c>
      <c r="L40" s="2" t="n">
        <v>45748</v>
      </c>
      <c r="M40" s="2" t="n">
        <v>46022</v>
      </c>
      <c r="N40" t="b">
        <v>0</v>
      </c>
      <c r="O40" t="n">
        <v>30</v>
      </c>
      <c r="P40" t="n">
        <v>18.02</v>
      </c>
      <c r="Q40" t="n">
        <v>18.02</v>
      </c>
      <c r="R40">
        <f>ROUND(O40-P40,2)</f>
        <v/>
      </c>
      <c r="S40">
        <f>ROUND(O40-Q40,2)</f>
        <v/>
      </c>
      <c r="T40" s="3">
        <f>IFERROR(P40/O40,"")</f>
        <v/>
      </c>
      <c r="U40" s="3">
        <f>IFERROR(Q40/O40,"")</f>
        <v/>
      </c>
      <c r="V40" t="n">
        <v>275</v>
      </c>
      <c r="W40" t="n">
        <v>136.98</v>
      </c>
      <c r="X40" t="n">
        <v>95.98</v>
      </c>
      <c r="Y40">
        <f>ROUND(V40-W40,2)</f>
        <v/>
      </c>
      <c r="Z40">
        <f>ROUND(V40-X40,2)</f>
        <v/>
      </c>
      <c r="AA40" s="3">
        <f>IFERROR(W40/V40,"")</f>
        <v/>
      </c>
      <c r="AB40" s="3">
        <f>IFERROR(X40/V40,"")</f>
        <v/>
      </c>
      <c r="AC40" t="b">
        <v>0</v>
      </c>
      <c r="AD40" t="b">
        <v>0</v>
      </c>
      <c r="AE40" t="b">
        <v>0</v>
      </c>
      <c r="AF40" t="inlineStr">
        <is>
          <t>Yes</t>
        </is>
      </c>
      <c r="AG40" s="2" t="n">
        <v>46023</v>
      </c>
      <c r="AI40" t="b">
        <v>1</v>
      </c>
      <c r="AJ40" t="n">
        <v>5</v>
      </c>
      <c r="AK40" t="inlineStr">
        <is>
          <t>Financial Services, Banking and Credit Industry, Technology, Structured Finance, Distributed Ledger Technologies, Regulation, Project Management, Interim Management</t>
        </is>
      </c>
      <c r="AL40" t="inlineStr">
        <is>
          <t>ORG fastahead GmbH &amp; Co. KG</t>
        </is>
      </c>
      <c r="AM40" t="inlineStr">
        <is>
          <t>Banking (R. Weygand)</t>
        </is>
      </c>
      <c r="AN40" t="inlineStr">
        <is>
          <t>fah Ralf Weygand</t>
        </is>
      </c>
      <c r="AO40" t="inlineStr">
        <is>
          <t>fastahead GmbH &amp; Co. KG</t>
        </is>
      </c>
      <c r="AP40" t="inlineStr">
        <is>
          <t>München</t>
        </is>
      </c>
      <c r="AQ40" t="inlineStr">
        <is>
          <t>Ralf Weygand</t>
        </is>
      </c>
    </row>
    <row r="41">
      <c r="A41" t="inlineStr">
        <is>
          <t>3254</t>
        </is>
      </c>
      <c r="B41" t="inlineStr">
        <is>
          <t>075195</t>
        </is>
      </c>
      <c r="C41" t="inlineStr">
        <is>
          <t>https://app.matchical.com/Consulting/ConsultantDetail?ConsultantId=71fc7cd7-4199-403b-adcb-cf61b70750f8</t>
        </is>
      </c>
      <c r="D41" t="inlineStr">
        <is>
          <t>Andreas Kernbach</t>
        </is>
      </c>
      <c r="E41" t="inlineStr">
        <is>
          <t>andreas.kernbach@bridging-it.de</t>
        </is>
      </c>
      <c r="F41" s="2" t="n">
        <v>44743</v>
      </c>
      <c r="G41" s="2" t="n">
        <v>32964</v>
      </c>
      <c r="H41" t="n">
        <v>9</v>
      </c>
      <c r="I41" t="n">
        <v>0</v>
      </c>
      <c r="J41" t="n">
        <v>0</v>
      </c>
      <c r="L41" s="2" t="n">
        <v>44805</v>
      </c>
      <c r="M41" s="2" t="n">
        <v>45291</v>
      </c>
      <c r="N41" t="b">
        <v>0</v>
      </c>
      <c r="O41" t="n">
        <v>44</v>
      </c>
      <c r="P41" t="n">
        <v>16</v>
      </c>
      <c r="Q41" t="n">
        <v>16</v>
      </c>
      <c r="R41">
        <f>ROUND(O41-P41,2)</f>
        <v/>
      </c>
      <c r="S41">
        <f>ROUND(O41-Q41,2)</f>
        <v/>
      </c>
      <c r="T41" s="3">
        <f>IFERROR(P41/O41,"")</f>
        <v/>
      </c>
      <c r="U41" s="3">
        <f>IFERROR(Q41/O41,"")</f>
        <v/>
      </c>
      <c r="V41" t="n">
        <v>387</v>
      </c>
      <c r="W41" t="n">
        <v>168</v>
      </c>
      <c r="X41" t="n">
        <v>139</v>
      </c>
      <c r="Y41">
        <f>ROUND(V41-W41,2)</f>
        <v/>
      </c>
      <c r="Z41">
        <f>ROUND(V41-X41,2)</f>
        <v/>
      </c>
      <c r="AA41" s="3">
        <f>IFERROR(W41/V41,"")</f>
        <v/>
      </c>
      <c r="AB41" s="3">
        <f>IFERROR(X41/V41,"")</f>
        <v/>
      </c>
      <c r="AC41" t="b">
        <v>0</v>
      </c>
      <c r="AD41" t="b">
        <v>0</v>
      </c>
      <c r="AE41" t="b">
        <v>0</v>
      </c>
      <c r="AF41" t="inlineStr">
        <is>
          <t>No</t>
        </is>
      </c>
      <c r="AG41" s="2" t="n">
        <v>44743</v>
      </c>
      <c r="AH41" s="2" t="n">
        <v>45291</v>
      </c>
      <c r="AI41" t="b">
        <v>1</v>
      </c>
      <c r="AJ41" t="n">
        <v>5</v>
      </c>
      <c r="AK41" t="inlineStr">
        <is>
          <t>Focus on managed services, provider and contract management</t>
        </is>
      </c>
      <c r="AL41" t="inlineStr">
        <is>
          <t>Sales BL</t>
        </is>
      </c>
      <c r="AM41" t="inlineStr">
        <is>
          <t>SAL Team Kernbach</t>
        </is>
      </c>
      <c r="AN41" t="inlineStr">
        <is>
          <t>Capability Management (Tim T.)</t>
        </is>
      </c>
      <c r="AO41" t="inlineStr">
        <is>
          <t>bridgingIT GmbH</t>
        </is>
      </c>
      <c r="AP41" t="inlineStr">
        <is>
          <t>Frankfurt</t>
        </is>
      </c>
      <c r="AQ41" t="inlineStr">
        <is>
          <t>Tim Thierfelder</t>
        </is>
      </c>
    </row>
    <row r="42">
      <c r="A42" t="inlineStr">
        <is>
          <t>8723</t>
        </is>
      </c>
      <c r="B42" t="inlineStr">
        <is>
          <t>0D059A</t>
        </is>
      </c>
      <c r="C42" t="inlineStr">
        <is>
          <t>https://app.matchical.com/Consulting/ConsultantDetail?ConsultantId=e5b1518c-965a-4157-ab81-6b05467e39c7</t>
        </is>
      </c>
      <c r="D42" t="inlineStr">
        <is>
          <t>Andreas Lexow</t>
        </is>
      </c>
      <c r="E42" t="inlineStr">
        <is>
          <t>andreas.lexow@crafting-it.de</t>
        </is>
      </c>
      <c r="F42" s="2" t="n">
        <v>44545</v>
      </c>
      <c r="G42" s="2" t="n">
        <v>44545</v>
      </c>
      <c r="H42" t="n">
        <v>4</v>
      </c>
      <c r="I42" t="n">
        <v>0</v>
      </c>
      <c r="J42" t="n">
        <v>0</v>
      </c>
      <c r="L42" s="2" t="n">
        <v>44561</v>
      </c>
      <c r="M42" s="2" t="n">
        <v>45657</v>
      </c>
      <c r="N42" t="b">
        <v>0</v>
      </c>
      <c r="O42" t="n">
        <v>50</v>
      </c>
      <c r="P42" t="n">
        <v>104</v>
      </c>
      <c r="Q42" t="n">
        <v>38</v>
      </c>
      <c r="R42">
        <f>ROUND(O42-P42,2)</f>
        <v/>
      </c>
      <c r="S42">
        <f>ROUND(O42-Q42,2)</f>
        <v/>
      </c>
      <c r="T42" s="3">
        <f>IFERROR(P42/O42,"")</f>
        <v/>
      </c>
      <c r="U42" s="3">
        <f>IFERROR(Q42/O42,"")</f>
        <v/>
      </c>
      <c r="V42" t="n">
        <v>0</v>
      </c>
      <c r="W42" t="n">
        <v>0</v>
      </c>
      <c r="X42" t="n">
        <v>0</v>
      </c>
      <c r="Y42">
        <f>ROUND(V42-W42,2)</f>
        <v/>
      </c>
      <c r="Z42">
        <f>ROUND(V42-X42,2)</f>
        <v/>
      </c>
      <c r="AA42" s="3">
        <f>IFERROR(W42/V42,"")</f>
        <v/>
      </c>
      <c r="AB42" s="3">
        <f>IFERROR(X42/V42,"")</f>
        <v/>
      </c>
      <c r="AC42" t="b">
        <v>0</v>
      </c>
      <c r="AD42" t="b">
        <v>0</v>
      </c>
      <c r="AE42" t="b">
        <v>0</v>
      </c>
      <c r="AF42" t="inlineStr">
        <is>
          <t>Yes</t>
        </is>
      </c>
      <c r="AG42" s="2" t="n">
        <v>45809</v>
      </c>
      <c r="AI42" t="b">
        <v>1</v>
      </c>
      <c r="AJ42" t="n">
        <v>4</v>
      </c>
      <c r="AK42" t="inlineStr"/>
      <c r="AL42" t="inlineStr">
        <is>
          <t>ORG cIT</t>
        </is>
      </c>
      <c r="AM42" t="inlineStr">
        <is>
          <t>cIT AMS / GIS Services (Michael B.)</t>
        </is>
      </c>
      <c r="AN42" t="inlineStr">
        <is>
          <t>cIT Service Delivery Magdeburg (Steffen A.)</t>
        </is>
      </c>
      <c r="AO42" t="inlineStr">
        <is>
          <t>craftingIT GmbH</t>
        </is>
      </c>
      <c r="AP42" t="inlineStr">
        <is>
          <t>Magdeburg</t>
        </is>
      </c>
      <c r="AQ42" t="inlineStr">
        <is>
          <t>Michael Buchter</t>
        </is>
      </c>
    </row>
    <row r="43">
      <c r="A43" t="inlineStr">
        <is>
          <t>1291</t>
        </is>
      </c>
      <c r="B43" t="inlineStr">
        <is>
          <t>158BD7</t>
        </is>
      </c>
      <c r="C43" t="inlineStr">
        <is>
          <t>https://app.matchical.com/Consulting/ConsultantDetail?ConsultantId=2452d67e-e196-471c-9bd4-6f93c0b00bbd</t>
        </is>
      </c>
      <c r="D43" t="inlineStr">
        <is>
          <t>Andreas Menrath</t>
        </is>
      </c>
      <c r="E43" t="inlineStr">
        <is>
          <t>andreas.menrath@bridging-it.de</t>
        </is>
      </c>
      <c r="F43" s="2" t="n">
        <v>42125</v>
      </c>
      <c r="G43" s="2" t="n">
        <v>36495</v>
      </c>
      <c r="H43" t="n">
        <v>23</v>
      </c>
      <c r="I43" t="n">
        <v>0</v>
      </c>
      <c r="J43" t="n">
        <v>1</v>
      </c>
      <c r="K43" s="2" t="n">
        <v>43616</v>
      </c>
      <c r="L43" s="2" t="n">
        <v>44469</v>
      </c>
      <c r="M43" s="2" t="n">
        <v>44680</v>
      </c>
      <c r="N43" t="b">
        <v>0</v>
      </c>
      <c r="O43" t="n">
        <v>130</v>
      </c>
      <c r="P43" t="n">
        <v>211</v>
      </c>
      <c r="Q43" t="n">
        <v>129</v>
      </c>
      <c r="R43">
        <f>ROUND(O43-P43,2)</f>
        <v/>
      </c>
      <c r="S43">
        <f>ROUND(O43-Q43,2)</f>
        <v/>
      </c>
      <c r="T43" s="3">
        <f>IFERROR(P43/O43,"")</f>
        <v/>
      </c>
      <c r="U43" s="3">
        <f>IFERROR(Q43/O43,"")</f>
        <v/>
      </c>
      <c r="V43" t="n">
        <v>185</v>
      </c>
      <c r="W43" t="n">
        <v>133</v>
      </c>
      <c r="X43" t="n">
        <v>76</v>
      </c>
      <c r="Y43">
        <f>ROUND(V43-W43,2)</f>
        <v/>
      </c>
      <c r="Z43">
        <f>ROUND(V43-X43,2)</f>
        <v/>
      </c>
      <c r="AA43" s="3">
        <f>IFERROR(W43/V43,"")</f>
        <v/>
      </c>
      <c r="AB43" s="3">
        <f>IFERROR(X43/V43,"")</f>
        <v/>
      </c>
      <c r="AC43" t="b">
        <v>0</v>
      </c>
      <c r="AD43" t="b">
        <v>0</v>
      </c>
      <c r="AE43" t="b">
        <v>0</v>
      </c>
      <c r="AF43" t="inlineStr">
        <is>
          <t>Yes</t>
        </is>
      </c>
      <c r="AG43" s="2" t="n">
        <v>46204</v>
      </c>
      <c r="AI43" t="b">
        <v>1</v>
      </c>
      <c r="AJ43" t="n">
        <v>5</v>
      </c>
      <c r="AK43" t="inlineStr">
        <is>
          <t>Desired role: Agile Coach, SAFe Coach
Industry experience: Pharma, Chemistry, Logistics, Automotive, Insurance</t>
        </is>
      </c>
      <c r="AL43" t="inlineStr">
        <is>
          <t>T&amp;A - Transformation &amp; Agility (Arne K.)</t>
        </is>
      </c>
      <c r="AM43" t="inlineStr">
        <is>
          <t>PACE – Project Agility &amp; Cont' Evolution (Jan H.)</t>
        </is>
      </c>
      <c r="AN43" t="inlineStr">
        <is>
          <t>A&amp;PM Agility &amp; Project Management (Jan H.)</t>
        </is>
      </c>
      <c r="AO43" t="inlineStr">
        <is>
          <t>bridgingIT GmbH</t>
        </is>
      </c>
      <c r="AP43" t="inlineStr">
        <is>
          <t>Mannheim</t>
        </is>
      </c>
      <c r="AQ43" t="inlineStr">
        <is>
          <t>Jan Heinemann</t>
        </is>
      </c>
    </row>
    <row r="44">
      <c r="A44" t="inlineStr">
        <is>
          <t>1396</t>
        </is>
      </c>
      <c r="B44" t="inlineStr">
        <is>
          <t>FF1C6E</t>
        </is>
      </c>
      <c r="C44" t="inlineStr">
        <is>
          <t>https://app.matchical.com/Consulting/ConsultantDetail?ConsultantId=9b9f363c-ab57-4367-b0d7-a6e7b87ebe95</t>
        </is>
      </c>
      <c r="D44" t="inlineStr">
        <is>
          <t>Andreas Morgenstern</t>
        </is>
      </c>
      <c r="E44" t="inlineStr">
        <is>
          <t>andreas.morgenstern@bridging-it.de</t>
        </is>
      </c>
      <c r="F44" s="2" t="n">
        <v>43009</v>
      </c>
      <c r="G44" s="2" t="n">
        <v>38292</v>
      </c>
      <c r="H44" t="n">
        <v>22</v>
      </c>
      <c r="I44" t="n">
        <v>0</v>
      </c>
      <c r="J44" t="n">
        <v>2</v>
      </c>
      <c r="K44" s="2" t="n">
        <v>43465</v>
      </c>
      <c r="L44" s="2" t="n">
        <v>45662</v>
      </c>
      <c r="M44" s="2" t="n">
        <v>45839</v>
      </c>
      <c r="N44" t="b">
        <v>0</v>
      </c>
      <c r="O44" t="n">
        <v>101</v>
      </c>
      <c r="P44" t="n">
        <v>175</v>
      </c>
      <c r="Q44" t="n">
        <v>96</v>
      </c>
      <c r="R44">
        <f>ROUND(O44-P44,2)</f>
        <v/>
      </c>
      <c r="S44">
        <f>ROUND(O44-Q44,2)</f>
        <v/>
      </c>
      <c r="T44" s="3">
        <f>IFERROR(P44/O44,"")</f>
        <v/>
      </c>
      <c r="U44" s="3">
        <f>IFERROR(Q44/O44,"")</f>
        <v/>
      </c>
      <c r="V44" t="n">
        <v>155</v>
      </c>
      <c r="W44" t="n">
        <v>207</v>
      </c>
      <c r="X44" t="n">
        <v>154.97</v>
      </c>
      <c r="Y44">
        <f>ROUND(V44-W44,2)</f>
        <v/>
      </c>
      <c r="Z44">
        <f>ROUND(V44-X44,2)</f>
        <v/>
      </c>
      <c r="AA44" s="3">
        <f>IFERROR(W44/V44,"")</f>
        <v/>
      </c>
      <c r="AB44" s="3">
        <f>IFERROR(X44/V44,"")</f>
        <v/>
      </c>
      <c r="AC44" t="b">
        <v>0</v>
      </c>
      <c r="AD44" t="b">
        <v>0</v>
      </c>
      <c r="AE44" t="b">
        <v>0</v>
      </c>
      <c r="AF44" t="inlineStr">
        <is>
          <t>No</t>
        </is>
      </c>
      <c r="AI44" t="b">
        <v>0</v>
      </c>
      <c r="AJ44" t="n">
        <v>2</v>
      </c>
      <c r="AK44" t="inlineStr"/>
      <c r="AL44" t="inlineStr">
        <is>
          <t>ORG bIT</t>
        </is>
      </c>
      <c r="AM44" t="inlineStr">
        <is>
          <t>SE Software Engineering Frankfurt (Andreas M.)</t>
        </is>
      </c>
      <c r="AN44" t="inlineStr">
        <is>
          <t>ES Enterprise Solutions (Dominik H.)</t>
        </is>
      </c>
      <c r="AO44" t="inlineStr">
        <is>
          <t>bridgingIT GmbH</t>
        </is>
      </c>
      <c r="AP44" t="inlineStr">
        <is>
          <t>Frankfurt</t>
        </is>
      </c>
      <c r="AQ44" t="inlineStr">
        <is>
          <t>Dominik Hanft</t>
        </is>
      </c>
    </row>
    <row r="45">
      <c r="A45" t="inlineStr">
        <is>
          <t>10222</t>
        </is>
      </c>
      <c r="B45" t="inlineStr">
        <is>
          <t>035C87</t>
        </is>
      </c>
      <c r="C45" t="inlineStr">
        <is>
          <t>https://app.matchical.com/Consulting/ConsultantDetail?ConsultantId=cf98450d-ffb7-4029-b68d-d9ed91de08bd</t>
        </is>
      </c>
      <c r="D45" t="inlineStr">
        <is>
          <t>Andreas Rothe</t>
        </is>
      </c>
      <c r="E45" t="inlineStr">
        <is>
          <t>andreas.rothe@fastahead.com</t>
        </is>
      </c>
      <c r="F45" s="2" t="n">
        <v>45292</v>
      </c>
      <c r="G45" s="2" t="n">
        <v>38078</v>
      </c>
      <c r="H45" t="n">
        <v>13</v>
      </c>
      <c r="I45" t="n">
        <v>0</v>
      </c>
      <c r="J45" t="n">
        <v>0</v>
      </c>
      <c r="L45" s="2" t="n">
        <v>45657</v>
      </c>
      <c r="M45" s="2" t="n">
        <v>45944</v>
      </c>
      <c r="N45" t="b">
        <v>0</v>
      </c>
      <c r="O45" t="n">
        <v>26</v>
      </c>
      <c r="P45" t="n">
        <v>19</v>
      </c>
      <c r="Q45" t="n">
        <v>17</v>
      </c>
      <c r="R45">
        <f>ROUND(O45-P45,2)</f>
        <v/>
      </c>
      <c r="S45">
        <f>ROUND(O45-Q45,2)</f>
        <v/>
      </c>
      <c r="T45" s="3">
        <f>IFERROR(P45/O45,"")</f>
        <v/>
      </c>
      <c r="U45" s="3">
        <f>IFERROR(Q45/O45,"")</f>
        <v/>
      </c>
      <c r="V45" t="n">
        <v>237</v>
      </c>
      <c r="W45" t="n">
        <v>193</v>
      </c>
      <c r="X45" t="n">
        <v>117</v>
      </c>
      <c r="Y45">
        <f>ROUND(V45-W45,2)</f>
        <v/>
      </c>
      <c r="Z45">
        <f>ROUND(V45-X45,2)</f>
        <v/>
      </c>
      <c r="AA45" s="3">
        <f>IFERROR(W45/V45,"")</f>
        <v/>
      </c>
      <c r="AB45" s="3">
        <f>IFERROR(X45/V45,"")</f>
        <v/>
      </c>
      <c r="AC45" t="b">
        <v>0</v>
      </c>
      <c r="AD45" t="b">
        <v>0</v>
      </c>
      <c r="AE45" t="b">
        <v>0</v>
      </c>
      <c r="AF45" t="inlineStr">
        <is>
          <t>No</t>
        </is>
      </c>
      <c r="AI45" t="b">
        <v>1</v>
      </c>
      <c r="AJ45" t="n">
        <v>0</v>
      </c>
      <c r="AK45" t="inlineStr"/>
      <c r="AL45" t="inlineStr">
        <is>
          <t>ORG fastahead GmbH &amp; Co. KG</t>
        </is>
      </c>
      <c r="AM45" t="inlineStr">
        <is>
          <t>Digital Services and Process-Innovation</t>
        </is>
      </c>
      <c r="AN45" t="inlineStr">
        <is>
          <t>fah Paul Seelmeyer</t>
        </is>
      </c>
      <c r="AO45" t="inlineStr">
        <is>
          <t>fastahead GmbH &amp; Co. KG</t>
        </is>
      </c>
      <c r="AP45" t="inlineStr">
        <is>
          <t>Berlin</t>
        </is>
      </c>
      <c r="AQ45" t="inlineStr">
        <is>
          <t>Paul Seelmeyer</t>
        </is>
      </c>
    </row>
    <row r="46">
      <c r="A46" t="inlineStr">
        <is>
          <t>4048</t>
        </is>
      </c>
      <c r="B46" t="inlineStr">
        <is>
          <t>582097</t>
        </is>
      </c>
      <c r="C46" t="inlineStr">
        <is>
          <t>https://app.matchical.com/Consulting/ConsultantDetail?ConsultantId=0dbe375f-061b-4e29-8b7a-6cf6455a1a00</t>
        </is>
      </c>
      <c r="D46" t="inlineStr">
        <is>
          <t>Andree Große</t>
        </is>
      </c>
      <c r="E46" t="inlineStr">
        <is>
          <t>andree.grosse@bridging-it.de</t>
        </is>
      </c>
      <c r="F46" s="2" t="n">
        <v>42505</v>
      </c>
      <c r="G46" s="2" t="n">
        <v>34121</v>
      </c>
      <c r="H46" t="n">
        <v>11</v>
      </c>
      <c r="I46" t="n">
        <v>0</v>
      </c>
      <c r="J46" t="n">
        <v>1</v>
      </c>
      <c r="K46" s="2" t="n">
        <v>44115</v>
      </c>
      <c r="L46" s="2" t="n">
        <v>44378</v>
      </c>
      <c r="M46" s="2" t="n">
        <v>44742</v>
      </c>
      <c r="N46" t="b">
        <v>0</v>
      </c>
      <c r="O46" t="n">
        <v>117</v>
      </c>
      <c r="P46" t="n">
        <v>122</v>
      </c>
      <c r="Q46" t="n">
        <v>110</v>
      </c>
      <c r="R46">
        <f>ROUND(O46-P46,2)</f>
        <v/>
      </c>
      <c r="S46">
        <f>ROUND(O46-Q46,2)</f>
        <v/>
      </c>
      <c r="T46" s="3">
        <f>IFERROR(P46/O46,"")</f>
        <v/>
      </c>
      <c r="U46" s="3">
        <f>IFERROR(Q46/O46,"")</f>
        <v/>
      </c>
      <c r="V46" t="n">
        <v>275</v>
      </c>
      <c r="W46" t="n">
        <v>41</v>
      </c>
      <c r="X46" t="n">
        <v>41</v>
      </c>
      <c r="Y46">
        <f>ROUND(V46-W46,2)</f>
        <v/>
      </c>
      <c r="Z46">
        <f>ROUND(V46-X46,2)</f>
        <v/>
      </c>
      <c r="AA46" s="3">
        <f>IFERROR(W46/V46,"")</f>
        <v/>
      </c>
      <c r="AB46" s="3">
        <f>IFERROR(X46/V46,"")</f>
        <v/>
      </c>
      <c r="AC46" t="b">
        <v>0</v>
      </c>
      <c r="AD46" t="b">
        <v>0</v>
      </c>
      <c r="AE46" t="b">
        <v>0</v>
      </c>
      <c r="AF46" t="inlineStr">
        <is>
          <t>No</t>
        </is>
      </c>
      <c r="AI46" t="b">
        <v>1</v>
      </c>
      <c r="AJ46" t="n">
        <v>0</v>
      </c>
      <c r="AK46" t="inlineStr"/>
      <c r="AL46" t="inlineStr">
        <is>
          <t>ORG bIT Bayern</t>
        </is>
      </c>
      <c r="AM46" t="inlineStr">
        <is>
          <t>LM Location Management BAY (Eli G.)</t>
        </is>
      </c>
      <c r="AN46" t="inlineStr">
        <is>
          <t>LM Lokation MUC (Elisabeth G.)</t>
        </is>
      </c>
      <c r="AO46" t="inlineStr">
        <is>
          <t>bridgingIT GmbH</t>
        </is>
      </c>
      <c r="AP46" t="inlineStr">
        <is>
          <t>München</t>
        </is>
      </c>
      <c r="AQ46" t="inlineStr">
        <is>
          <t>Elisabeth Gerlinger</t>
        </is>
      </c>
    </row>
    <row r="47">
      <c r="A47" t="inlineStr">
        <is>
          <t>7032</t>
        </is>
      </c>
      <c r="B47" t="inlineStr">
        <is>
          <t>34CD01</t>
        </is>
      </c>
      <c r="C47" t="inlineStr">
        <is>
          <t>https://app.matchical.com/Consulting/ConsultantDetail?ConsultantId=41a60832-9731-49b1-b19c-8342f6d79748</t>
        </is>
      </c>
      <c r="D47" t="inlineStr">
        <is>
          <t>Andrej Olsen</t>
        </is>
      </c>
      <c r="E47" t="inlineStr">
        <is>
          <t>andrej.olsen@fastahead.com</t>
        </is>
      </c>
      <c r="F47" s="2" t="n">
        <v>44211</v>
      </c>
      <c r="G47" s="2" t="n">
        <v>41913</v>
      </c>
      <c r="H47" t="n">
        <v>9</v>
      </c>
      <c r="I47" t="n">
        <v>0</v>
      </c>
      <c r="J47" t="n">
        <v>1</v>
      </c>
      <c r="K47" s="2" t="n">
        <v>45292</v>
      </c>
      <c r="L47" s="2" t="n">
        <v>45028</v>
      </c>
      <c r="M47" s="2" t="n">
        <v>45350</v>
      </c>
      <c r="N47" t="b">
        <v>0</v>
      </c>
      <c r="O47" t="n">
        <v>61</v>
      </c>
      <c r="P47" t="n">
        <v>61</v>
      </c>
      <c r="Q47" t="n">
        <v>53</v>
      </c>
      <c r="R47">
        <f>ROUND(O47-P47,2)</f>
        <v/>
      </c>
      <c r="S47">
        <f>ROUND(O47-Q47,2)</f>
        <v/>
      </c>
      <c r="T47" s="3">
        <f>IFERROR(P47/O47,"")</f>
        <v/>
      </c>
      <c r="U47" s="3">
        <f>IFERROR(Q47/O47,"")</f>
        <v/>
      </c>
      <c r="V47" t="n">
        <v>76</v>
      </c>
      <c r="W47" t="n">
        <v>0</v>
      </c>
      <c r="X47" t="n">
        <v>0</v>
      </c>
      <c r="Y47">
        <f>ROUND(V47-W47,2)</f>
        <v/>
      </c>
      <c r="Z47">
        <f>ROUND(V47-X47,2)</f>
        <v/>
      </c>
      <c r="AA47" s="3">
        <f>IFERROR(W47/V47,"")</f>
        <v/>
      </c>
      <c r="AB47" s="3">
        <f>IFERROR(X47/V47,"")</f>
        <v/>
      </c>
      <c r="AC47" t="b">
        <v>0</v>
      </c>
      <c r="AD47" t="b">
        <v>0</v>
      </c>
      <c r="AE47" t="b">
        <v>0</v>
      </c>
      <c r="AF47" t="inlineStr">
        <is>
          <t>No</t>
        </is>
      </c>
      <c r="AI47" t="b">
        <v>1</v>
      </c>
      <c r="AJ47" t="n">
        <v>0</v>
      </c>
      <c r="AK47" t="inlineStr">
        <is>
          <t>Please request the profile via Anastasia Kluter.</t>
        </is>
      </c>
      <c r="AL47" t="inlineStr">
        <is>
          <t>ORG fastahead GmbH &amp; Co. KG</t>
        </is>
      </c>
      <c r="AM47" t="inlineStr">
        <is>
          <t>User Experience Design</t>
        </is>
      </c>
      <c r="AN47" t="inlineStr">
        <is>
          <t>fah Tim Thierfelder</t>
        </is>
      </c>
      <c r="AO47" t="inlineStr">
        <is>
          <t>fastahead GmbH &amp; Co. KG</t>
        </is>
      </c>
      <c r="AP47" t="inlineStr">
        <is>
          <t>Stuttgart</t>
        </is>
      </c>
      <c r="AQ47" t="inlineStr">
        <is>
          <t>Anastasia Rettberg-Kluter</t>
        </is>
      </c>
    </row>
    <row r="48">
      <c r="A48" t="inlineStr">
        <is>
          <t>1489</t>
        </is>
      </c>
      <c r="B48" t="inlineStr">
        <is>
          <t>6A8F1C</t>
        </is>
      </c>
      <c r="C48" t="inlineStr">
        <is>
          <t>https://app.matchical.com/Consulting/ConsultantDetail?ConsultantId=7797ce4f-ab17-4677-a219-1d405d76fc83</t>
        </is>
      </c>
      <c r="D48" t="inlineStr">
        <is>
          <t>Andrey Ivashutin</t>
        </is>
      </c>
      <c r="E48" t="inlineStr">
        <is>
          <t>andrey.ivashutin@bridging-it.de</t>
        </is>
      </c>
      <c r="F48" s="2" t="n">
        <v>44501</v>
      </c>
      <c r="G48" s="2" t="n">
        <v>43556</v>
      </c>
      <c r="H48" t="n">
        <v>6</v>
      </c>
      <c r="I48" t="n">
        <v>0</v>
      </c>
      <c r="J48" t="n">
        <v>1</v>
      </c>
      <c r="K48" s="2" t="n">
        <v>44774</v>
      </c>
      <c r="L48" s="2" t="n">
        <v>45658</v>
      </c>
      <c r="M48" s="2" t="n">
        <v>46022</v>
      </c>
      <c r="N48" t="b">
        <v>0</v>
      </c>
      <c r="O48" t="n">
        <v>52</v>
      </c>
      <c r="P48" t="n">
        <v>63</v>
      </c>
      <c r="Q48" t="n">
        <v>50</v>
      </c>
      <c r="R48">
        <f>ROUND(O48-P48,2)</f>
        <v/>
      </c>
      <c r="S48">
        <f>ROUND(O48-Q48,2)</f>
        <v/>
      </c>
      <c r="T48" s="3">
        <f>IFERROR(P48/O48,"")</f>
        <v/>
      </c>
      <c r="U48" s="3">
        <f>IFERROR(Q48/O48,"")</f>
        <v/>
      </c>
      <c r="V48" t="n">
        <v>31</v>
      </c>
      <c r="W48" t="n">
        <v>12.97</v>
      </c>
      <c r="X48" t="n">
        <v>12.97</v>
      </c>
      <c r="Y48">
        <f>ROUND(V48-W48,2)</f>
        <v/>
      </c>
      <c r="Z48">
        <f>ROUND(V48-X48,2)</f>
        <v/>
      </c>
      <c r="AA48" s="3">
        <f>IFERROR(W48/V48,"")</f>
        <v/>
      </c>
      <c r="AB48" s="3">
        <f>IFERROR(X48/V48,"")</f>
        <v/>
      </c>
      <c r="AC48" t="b">
        <v>0</v>
      </c>
      <c r="AD48" t="b">
        <v>0</v>
      </c>
      <c r="AE48" t="b">
        <v>0</v>
      </c>
      <c r="AF48" t="inlineStr">
        <is>
          <t>No</t>
        </is>
      </c>
      <c r="AI48" t="b">
        <v>0</v>
      </c>
      <c r="AJ48" t="n">
        <v>0</v>
      </c>
      <c r="AK48" t="inlineStr">
        <is>
          <t>Andrey has been on a project for Roche, the client, for several years, and in this context he has gained very solid experience in both back-end development with Spring Boot/Java and front-end development.</t>
        </is>
      </c>
      <c r="AL48" t="inlineStr">
        <is>
          <t>A&amp;SE Analytics &amp; Software Engineering (Philip R.)</t>
        </is>
      </c>
      <c r="AM48" t="inlineStr">
        <is>
          <t>FV Fullstack Visionaries (Matthias H.)</t>
        </is>
      </c>
      <c r="AN48" t="inlineStr">
        <is>
          <t>FUN Fullstack Ninjas (Stefan Z.)</t>
        </is>
      </c>
      <c r="AO48" t="inlineStr">
        <is>
          <t>bridgingIT GmbH</t>
        </is>
      </c>
      <c r="AP48" t="inlineStr">
        <is>
          <t>Mannheim</t>
        </is>
      </c>
      <c r="AQ48" t="inlineStr">
        <is>
          <t>Matthias Hetz</t>
        </is>
      </c>
    </row>
    <row r="49">
      <c r="A49" t="inlineStr">
        <is>
          <t>2323</t>
        </is>
      </c>
      <c r="B49" t="inlineStr">
        <is>
          <t>F5C61C</t>
        </is>
      </c>
      <c r="C49" t="inlineStr">
        <is>
          <t>https://app.matchical.com/Consulting/ConsultantDetail?ConsultantId=b05eb2fd-5503-4cc1-8b39-e20a527b41e7</t>
        </is>
      </c>
      <c r="D49" t="inlineStr">
        <is>
          <t>Angela Napoli</t>
        </is>
      </c>
      <c r="E49" t="inlineStr">
        <is>
          <t>angela.napoli@bridging-it.de</t>
        </is>
      </c>
      <c r="F49" s="2" t="n">
        <v>44835</v>
      </c>
      <c r="G49" s="2" t="n">
        <v>44423</v>
      </c>
      <c r="H49" t="n">
        <v>6</v>
      </c>
      <c r="I49" t="n">
        <v>0</v>
      </c>
      <c r="J49" t="n">
        <v>2</v>
      </c>
      <c r="K49" s="2" t="n">
        <v>45446</v>
      </c>
      <c r="L49" s="2" t="n">
        <v>44469</v>
      </c>
      <c r="M49" s="2" t="n">
        <v>45443</v>
      </c>
      <c r="N49" t="b">
        <v>0</v>
      </c>
      <c r="O49" t="n">
        <v>41</v>
      </c>
      <c r="P49" t="n">
        <v>62.98</v>
      </c>
      <c r="Q49" t="n">
        <v>37.55</v>
      </c>
      <c r="R49">
        <f>ROUND(O49-P49,2)</f>
        <v/>
      </c>
      <c r="S49">
        <f>ROUND(O49-Q49,2)</f>
        <v/>
      </c>
      <c r="T49" s="3">
        <f>IFERROR(P49/O49,"")</f>
        <v/>
      </c>
      <c r="U49" s="3">
        <f>IFERROR(Q49/O49,"")</f>
        <v/>
      </c>
      <c r="V49" t="n">
        <v>14</v>
      </c>
      <c r="W49" t="n">
        <v>25.02</v>
      </c>
      <c r="X49" t="n">
        <v>13.54</v>
      </c>
      <c r="Y49">
        <f>ROUND(V49-W49,2)</f>
        <v/>
      </c>
      <c r="Z49">
        <f>ROUND(V49-X49,2)</f>
        <v/>
      </c>
      <c r="AA49" s="3">
        <f>IFERROR(W49/V49,"")</f>
        <v/>
      </c>
      <c r="AB49" s="3">
        <f>IFERROR(X49/V49,"")</f>
        <v/>
      </c>
      <c r="AC49" t="b">
        <v>0</v>
      </c>
      <c r="AD49" t="b">
        <v>0</v>
      </c>
      <c r="AE49" t="b">
        <v>0</v>
      </c>
      <c r="AF49" t="inlineStr">
        <is>
          <t>No</t>
        </is>
      </c>
      <c r="AI49" t="b">
        <v>1</v>
      </c>
      <c r="AJ49" t="n">
        <v>0</v>
      </c>
      <c r="AK49" t="inlineStr"/>
      <c r="AL49" t="inlineStr">
        <is>
          <t>IT Information Technology (Hauke G.)</t>
        </is>
      </c>
      <c r="AM49" t="inlineStr">
        <is>
          <t>ITT IT-Transformation (Carmen D.)</t>
        </is>
      </c>
      <c r="AN49" t="inlineStr">
        <is>
          <t>ITM IT-Management (Jörg M.)</t>
        </is>
      </c>
      <c r="AO49" t="inlineStr">
        <is>
          <t>bridgingIT GmbH</t>
        </is>
      </c>
      <c r="AP49" t="inlineStr">
        <is>
          <t>Stuttgart</t>
        </is>
      </c>
      <c r="AQ49" t="inlineStr">
        <is>
          <t>Carmen Deubelbeiss</t>
        </is>
      </c>
    </row>
    <row r="50">
      <c r="A50" t="inlineStr">
        <is>
          <t>2228</t>
        </is>
      </c>
      <c r="B50" t="inlineStr">
        <is>
          <t>8D4281</t>
        </is>
      </c>
      <c r="C50" t="inlineStr">
        <is>
          <t>https://app.matchical.com/Consulting/ConsultantDetail?ConsultantId=fead2f58-8986-4e9b-9506-3efe60d5954b</t>
        </is>
      </c>
      <c r="D50" t="inlineStr">
        <is>
          <t>Anika Wurster</t>
        </is>
      </c>
      <c r="E50" t="inlineStr">
        <is>
          <t>anika.wurster@bridging-it.de</t>
        </is>
      </c>
      <c r="F50" s="2" t="n">
        <v>43374</v>
      </c>
      <c r="G50" s="2" t="n">
        <v>42324</v>
      </c>
      <c r="H50" t="n">
        <v>17</v>
      </c>
      <c r="I50" t="n">
        <v>0</v>
      </c>
      <c r="J50" t="n">
        <v>0</v>
      </c>
      <c r="L50" s="2" t="n">
        <v>45518</v>
      </c>
      <c r="M50" s="2" t="n">
        <v>45868</v>
      </c>
      <c r="N50" t="b">
        <v>0</v>
      </c>
      <c r="O50" t="n">
        <v>89</v>
      </c>
      <c r="P50" t="n">
        <v>137.97</v>
      </c>
      <c r="Q50" t="n">
        <v>88.8</v>
      </c>
      <c r="R50">
        <f>ROUND(O50-P50,2)</f>
        <v/>
      </c>
      <c r="S50">
        <f>ROUND(O50-Q50,2)</f>
        <v/>
      </c>
      <c r="T50" s="3">
        <f>IFERROR(P50/O50,"")</f>
        <v/>
      </c>
      <c r="U50" s="3">
        <f>IFERROR(Q50/O50,"")</f>
        <v/>
      </c>
      <c r="V50" t="n">
        <v>34</v>
      </c>
      <c r="W50" t="n">
        <v>73.48</v>
      </c>
      <c r="X50" t="n">
        <v>34.5</v>
      </c>
      <c r="Y50">
        <f>ROUND(V50-W50,2)</f>
        <v/>
      </c>
      <c r="Z50">
        <f>ROUND(V50-X50,2)</f>
        <v/>
      </c>
      <c r="AA50" s="3">
        <f>IFERROR(W50/V50,"")</f>
        <v/>
      </c>
      <c r="AB50" s="3">
        <f>IFERROR(X50/V50,"")</f>
        <v/>
      </c>
      <c r="AC50" t="b">
        <v>0</v>
      </c>
      <c r="AD50" t="b">
        <v>0</v>
      </c>
      <c r="AE50" t="b">
        <v>0</v>
      </c>
      <c r="AF50" t="inlineStr">
        <is>
          <t>No</t>
        </is>
      </c>
      <c r="AI50" t="b">
        <v>1</v>
      </c>
      <c r="AJ50" t="n">
        <v>0</v>
      </c>
      <c r="AK50" t="inlineStr"/>
      <c r="AL50" t="inlineStr">
        <is>
          <t>IT Information Technology (Hauke G.)</t>
        </is>
      </c>
      <c r="AM50" t="inlineStr">
        <is>
          <t>ITT IT-Transformation (Carmen D.)</t>
        </is>
      </c>
      <c r="AN50" t="inlineStr">
        <is>
          <t>ITM IT-Management (Jörg M.)</t>
        </is>
      </c>
      <c r="AO50" t="inlineStr">
        <is>
          <t>bridgingIT GmbH</t>
        </is>
      </c>
      <c r="AP50" t="inlineStr">
        <is>
          <t>Stuttgart</t>
        </is>
      </c>
      <c r="AQ50" t="inlineStr">
        <is>
          <t>Carmen Deubelbeiss</t>
        </is>
      </c>
    </row>
    <row r="51">
      <c r="A51" t="inlineStr">
        <is>
          <t>1529</t>
        </is>
      </c>
      <c r="B51" t="inlineStr">
        <is>
          <t>A56C88</t>
        </is>
      </c>
      <c r="C51" t="inlineStr">
        <is>
          <t>https://app.matchical.com/Consulting/ConsultantDetail?ConsultantId=d015fdec-23a6-4362-9b93-62093a14959b</t>
        </is>
      </c>
      <c r="D51" t="inlineStr">
        <is>
          <t>Anissa Wannowius</t>
        </is>
      </c>
      <c r="E51" t="inlineStr">
        <is>
          <t>anissa.wannowius@bridging-it.de</t>
        </is>
      </c>
      <c r="F51" s="2" t="n">
        <v>44835</v>
      </c>
      <c r="G51" s="2" t="n">
        <v>43952</v>
      </c>
      <c r="H51" t="n">
        <v>7</v>
      </c>
      <c r="I51" t="n">
        <v>0</v>
      </c>
      <c r="J51" t="n">
        <v>0</v>
      </c>
      <c r="L51" s="2" t="n">
        <v>45536</v>
      </c>
      <c r="M51" s="2" t="n">
        <v>45837</v>
      </c>
      <c r="N51" t="b">
        <v>0</v>
      </c>
      <c r="O51" t="n">
        <v>41</v>
      </c>
      <c r="P51" t="n">
        <v>34</v>
      </c>
      <c r="Q51" t="n">
        <v>34</v>
      </c>
      <c r="R51">
        <f>ROUND(O51-P51,2)</f>
        <v/>
      </c>
      <c r="S51">
        <f>ROUND(O51-Q51,2)</f>
        <v/>
      </c>
      <c r="T51" s="3">
        <f>IFERROR(P51/O51,"")</f>
        <v/>
      </c>
      <c r="U51" s="3">
        <f>IFERROR(Q51/O51,"")</f>
        <v/>
      </c>
      <c r="V51" t="n">
        <v>29</v>
      </c>
      <c r="W51" t="n">
        <v>52</v>
      </c>
      <c r="X51" t="n">
        <v>28</v>
      </c>
      <c r="Y51">
        <f>ROUND(V51-W51,2)</f>
        <v/>
      </c>
      <c r="Z51">
        <f>ROUND(V51-X51,2)</f>
        <v/>
      </c>
      <c r="AA51" s="3">
        <f>IFERROR(W51/V51,"")</f>
        <v/>
      </c>
      <c r="AB51" s="3">
        <f>IFERROR(X51/V51,"")</f>
        <v/>
      </c>
      <c r="AC51" t="b">
        <v>0</v>
      </c>
      <c r="AD51" t="b">
        <v>0</v>
      </c>
      <c r="AE51" t="b">
        <v>0</v>
      </c>
      <c r="AF51" t="inlineStr">
        <is>
          <t>No</t>
        </is>
      </c>
      <c r="AI51" t="b">
        <v>0</v>
      </c>
      <c r="AJ51" t="n">
        <v>0</v>
      </c>
      <c r="AK51" t="inlineStr"/>
      <c r="AL51" t="inlineStr">
        <is>
          <t>IT - Information Technology (Sebastian L.)</t>
        </is>
      </c>
      <c r="AM51" t="inlineStr">
        <is>
          <t>ESM Enterprise Service Management (Christian Wo.)</t>
        </is>
      </c>
      <c r="AN51" t="inlineStr">
        <is>
          <t>C&amp;DO - Cloud &amp; DevOps (Sebastian L.)</t>
        </is>
      </c>
      <c r="AO51" t="inlineStr">
        <is>
          <t>bridgingIT GmbH</t>
        </is>
      </c>
      <c r="AP51" t="inlineStr">
        <is>
          <t>Mannheim</t>
        </is>
      </c>
      <c r="AQ51" t="inlineStr">
        <is>
          <t>Christian Wolf</t>
        </is>
      </c>
    </row>
    <row r="52">
      <c r="A52" t="inlineStr">
        <is>
          <t>8289</t>
        </is>
      </c>
      <c r="B52" t="inlineStr">
        <is>
          <t>8D27F9</t>
        </is>
      </c>
      <c r="C52" t="inlineStr">
        <is>
          <t>https://app.matchical.com/Consulting/ConsultantDetail?ConsultantId=a911ddf4-87b8-41aa-9dc3-a33ee8a8ace2</t>
        </is>
      </c>
      <c r="D52" t="inlineStr">
        <is>
          <t>Anja Felgenhauer</t>
        </is>
      </c>
      <c r="E52" t="inlineStr">
        <is>
          <t>anja.felgenhauer@crafting-it.de</t>
        </is>
      </c>
      <c r="F52" s="2" t="n">
        <v>42917</v>
      </c>
      <c r="G52" s="2" t="n">
        <v>40909</v>
      </c>
      <c r="H52" t="n">
        <v>22</v>
      </c>
      <c r="I52" t="n">
        <v>0</v>
      </c>
      <c r="J52" t="n">
        <v>0</v>
      </c>
      <c r="L52" s="2" t="n">
        <v>45139</v>
      </c>
      <c r="M52" s="2" t="n">
        <v>46022</v>
      </c>
      <c r="N52" t="b">
        <v>0</v>
      </c>
      <c r="O52" t="n">
        <v>104</v>
      </c>
      <c r="P52" t="n">
        <v>226</v>
      </c>
      <c r="Q52" t="n">
        <v>85.5</v>
      </c>
      <c r="R52">
        <f>ROUND(O52-P52,2)</f>
        <v/>
      </c>
      <c r="S52">
        <f>ROUND(O52-Q52,2)</f>
        <v/>
      </c>
      <c r="T52" s="3">
        <f>IFERROR(P52/O52,"")</f>
        <v/>
      </c>
      <c r="U52" s="3">
        <f>IFERROR(Q52/O52,"")</f>
        <v/>
      </c>
      <c r="V52" t="n">
        <v>66</v>
      </c>
      <c r="W52" t="n">
        <v>0</v>
      </c>
      <c r="X52" t="n">
        <v>0</v>
      </c>
      <c r="Y52">
        <f>ROUND(V52-W52,2)</f>
        <v/>
      </c>
      <c r="Z52">
        <f>ROUND(V52-X52,2)</f>
        <v/>
      </c>
      <c r="AA52" s="3">
        <f>IFERROR(W52/V52,"")</f>
        <v/>
      </c>
      <c r="AB52" s="3">
        <f>IFERROR(X52/V52,"")</f>
        <v/>
      </c>
      <c r="AC52" t="b">
        <v>0</v>
      </c>
      <c r="AD52" t="b">
        <v>0</v>
      </c>
      <c r="AE52" t="b">
        <v>0</v>
      </c>
      <c r="AF52" t="inlineStr">
        <is>
          <t>No</t>
        </is>
      </c>
      <c r="AI52" t="b">
        <v>1</v>
      </c>
      <c r="AJ52" t="n">
        <v>0</v>
      </c>
      <c r="AK52" t="inlineStr"/>
      <c r="AL52" t="inlineStr">
        <is>
          <t>ORG cIT 2</t>
        </is>
      </c>
      <c r="AM52" t="inlineStr">
        <is>
          <t>cIT Service Management</t>
        </is>
      </c>
      <c r="AN52" t="inlineStr">
        <is>
          <t>cIT Services allgemein (Christian K.)</t>
        </is>
      </c>
      <c r="AO52" t="inlineStr">
        <is>
          <t>craftingIT GmbH</t>
        </is>
      </c>
      <c r="AP52" t="inlineStr">
        <is>
          <t>Magdeburg</t>
        </is>
      </c>
      <c r="AQ52" t="inlineStr">
        <is>
          <t>Christopher Schweinsteiger</t>
        </is>
      </c>
    </row>
    <row r="53">
      <c r="A53" t="inlineStr">
        <is>
          <t>10032</t>
        </is>
      </c>
      <c r="B53" t="inlineStr">
        <is>
          <t>F889EB</t>
        </is>
      </c>
      <c r="C53" t="inlineStr">
        <is>
          <t>https://app.matchical.com/Consulting/ConsultantDetail?ConsultantId=1415f946-211a-4870-a812-df70f7bbdcdf</t>
        </is>
      </c>
      <c r="D53" t="inlineStr">
        <is>
          <t>Ann-Kathrin Woska</t>
        </is>
      </c>
      <c r="E53" t="inlineStr">
        <is>
          <t>ann-kathrin.woska@fastahead.com</t>
        </is>
      </c>
      <c r="F53" s="2" t="n">
        <v>45017</v>
      </c>
      <c r="G53" s="2" t="n">
        <v>43831</v>
      </c>
      <c r="H53" t="n">
        <v>5</v>
      </c>
      <c r="I53" t="n">
        <v>0</v>
      </c>
      <c r="J53" t="n">
        <v>1</v>
      </c>
      <c r="K53" s="2" t="n">
        <v>45291</v>
      </c>
      <c r="L53" s="2" t="n">
        <v>45017</v>
      </c>
      <c r="M53" s="2" t="n">
        <v>45259</v>
      </c>
      <c r="N53" t="b">
        <v>0</v>
      </c>
      <c r="O53" t="n">
        <v>35</v>
      </c>
      <c r="P53" t="n">
        <v>38</v>
      </c>
      <c r="Q53" t="n">
        <v>33</v>
      </c>
      <c r="R53">
        <f>ROUND(O53-P53,2)</f>
        <v/>
      </c>
      <c r="S53">
        <f>ROUND(O53-Q53,2)</f>
        <v/>
      </c>
      <c r="T53" s="3">
        <f>IFERROR(P53/O53,"")</f>
        <v/>
      </c>
      <c r="U53" s="3">
        <f>IFERROR(Q53/O53,"")</f>
        <v/>
      </c>
      <c r="V53" t="n">
        <v>39</v>
      </c>
      <c r="W53" t="n">
        <v>36.97</v>
      </c>
      <c r="X53" t="n">
        <v>36.97</v>
      </c>
      <c r="Y53">
        <f>ROUND(V53-W53,2)</f>
        <v/>
      </c>
      <c r="Z53">
        <f>ROUND(V53-X53,2)</f>
        <v/>
      </c>
      <c r="AA53" s="3">
        <f>IFERROR(W53/V53,"")</f>
        <v/>
      </c>
      <c r="AB53" s="3">
        <f>IFERROR(X53/V53,"")</f>
        <v/>
      </c>
      <c r="AC53" t="b">
        <v>0</v>
      </c>
      <c r="AD53" t="b">
        <v>0</v>
      </c>
      <c r="AE53" t="b">
        <v>0</v>
      </c>
      <c r="AF53" t="inlineStr">
        <is>
          <t>No</t>
        </is>
      </c>
      <c r="AI53" t="b">
        <v>1</v>
      </c>
      <c r="AJ53" t="n">
        <v>0</v>
      </c>
      <c r="AK53" t="inlineStr">
        <is>
          <t>50 Hz engagement until the end of 2024,
Focus on data engineering topics with a perspective on data governance and data strategy, business analysis topics with data relevance, data visualization;</t>
        </is>
      </c>
      <c r="AL53" t="inlineStr">
        <is>
          <t>ORG fastahead GmbH &amp; Co. KG</t>
        </is>
      </c>
      <c r="AM53" t="inlineStr">
        <is>
          <t>Business-driven Architectures (Dr. C. Gitte)</t>
        </is>
      </c>
      <c r="AN53" t="inlineStr">
        <is>
          <t>fah Tim Thierfelder</t>
        </is>
      </c>
      <c r="AO53" t="inlineStr">
        <is>
          <t>fastahead GmbH &amp; Co. KG</t>
        </is>
      </c>
      <c r="AP53" t="inlineStr">
        <is>
          <t>Mannheim</t>
        </is>
      </c>
      <c r="AQ53" t="inlineStr">
        <is>
          <t>Christian Gitte</t>
        </is>
      </c>
    </row>
    <row r="54">
      <c r="A54" t="inlineStr">
        <is>
          <t>10395</t>
        </is>
      </c>
      <c r="B54" t="inlineStr">
        <is>
          <t>9AF94F</t>
        </is>
      </c>
      <c r="C54" t="inlineStr">
        <is>
          <t>https://app.matchical.com/Consulting/ConsultantDetail?ConsultantId=a1560d6d-a94c-4eea-9ab4-5be1cad455df</t>
        </is>
      </c>
      <c r="D54" t="inlineStr">
        <is>
          <t>Anna Holzmann</t>
        </is>
      </c>
      <c r="E54" t="inlineStr">
        <is>
          <t>anna.holzmann@bridging-it.de</t>
        </is>
      </c>
      <c r="F54" s="2" t="n">
        <v>45931</v>
      </c>
      <c r="G54" s="2" t="n">
        <v>44348</v>
      </c>
      <c r="H54" t="n">
        <v>10</v>
      </c>
      <c r="I54" t="n">
        <v>0</v>
      </c>
      <c r="J54" t="n">
        <v>1</v>
      </c>
      <c r="K54" s="2" t="n">
        <v>45942</v>
      </c>
      <c r="L54" s="2" t="n">
        <v>45942</v>
      </c>
      <c r="M54" s="2" t="n">
        <v>46022</v>
      </c>
      <c r="N54" t="b">
        <v>0</v>
      </c>
      <c r="O54" t="n">
        <v>5</v>
      </c>
      <c r="P54" t="n">
        <v>7</v>
      </c>
      <c r="Q54" t="n">
        <v>4.8</v>
      </c>
      <c r="R54">
        <f>ROUND(O54-P54,2)</f>
        <v/>
      </c>
      <c r="S54">
        <f>ROUND(O54-Q54,2)</f>
        <v/>
      </c>
      <c r="T54" s="3">
        <f>IFERROR(P54/O54,"")</f>
        <v/>
      </c>
      <c r="U54" s="3">
        <f>IFERROR(Q54/O54,"")</f>
        <v/>
      </c>
      <c r="V54" t="n">
        <v>52</v>
      </c>
      <c r="W54" t="n">
        <v>60.97</v>
      </c>
      <c r="X54" t="n">
        <v>42.97</v>
      </c>
      <c r="Y54">
        <f>ROUND(V54-W54,2)</f>
        <v/>
      </c>
      <c r="Z54">
        <f>ROUND(V54-X54,2)</f>
        <v/>
      </c>
      <c r="AA54" s="3">
        <f>IFERROR(W54/V54,"")</f>
        <v/>
      </c>
      <c r="AB54" s="3">
        <f>IFERROR(X54/V54,"")</f>
        <v/>
      </c>
      <c r="AC54" t="b">
        <v>0</v>
      </c>
      <c r="AD54" t="b">
        <v>0</v>
      </c>
      <c r="AE54" t="b">
        <v>0</v>
      </c>
      <c r="AF54" t="inlineStr">
        <is>
          <t>Yes</t>
        </is>
      </c>
      <c r="AG54" s="2" t="n">
        <v>46143</v>
      </c>
      <c r="AI54" t="b">
        <v>1</v>
      </c>
      <c r="AJ54" t="n">
        <v>5</v>
      </c>
      <c r="AK54" t="inlineStr">
        <is>
          <t>[BASF] Continuation of the validation with LLM (Holger Bohlen)</t>
        </is>
      </c>
      <c r="AL54" t="inlineStr">
        <is>
          <t>ORG bIT Bayern</t>
        </is>
      </c>
      <c r="AM54" t="inlineStr">
        <is>
          <t>DSA Data Solutions &amp; AI (Philip R.)</t>
        </is>
      </c>
      <c r="AN54" t="inlineStr">
        <is>
          <t>BPD Business Processes &amp; Data Engineering(Arne K.)</t>
        </is>
      </c>
      <c r="AO54" t="inlineStr">
        <is>
          <t>bridgingIT GmbH</t>
        </is>
      </c>
      <c r="AP54" t="inlineStr">
        <is>
          <t>München</t>
        </is>
      </c>
      <c r="AQ54" t="inlineStr">
        <is>
          <t>Philip Rausch</t>
        </is>
      </c>
    </row>
    <row r="55">
      <c r="A55" t="inlineStr">
        <is>
          <t>10374</t>
        </is>
      </c>
      <c r="B55" t="inlineStr">
        <is>
          <t>91093C</t>
        </is>
      </c>
      <c r="C55" t="inlineStr">
        <is>
          <t>https://app.matchical.com/Consulting/ConsultantDetail?ConsultantId=ce80b052-4530-48d0-916f-18e373f2b217</t>
        </is>
      </c>
      <c r="D55" t="inlineStr">
        <is>
          <t>Anna Rolke</t>
        </is>
      </c>
      <c r="E55" t="inlineStr">
        <is>
          <t>anna.rolke@bridging-it.de</t>
        </is>
      </c>
      <c r="F55" s="2" t="n">
        <v>45870</v>
      </c>
      <c r="G55" s="2" t="n">
        <v>41548</v>
      </c>
      <c r="H55" t="n">
        <v>11</v>
      </c>
      <c r="I55" t="n">
        <v>0</v>
      </c>
      <c r="J55" t="n">
        <v>0</v>
      </c>
      <c r="L55" s="2" t="n">
        <v>45915</v>
      </c>
      <c r="M55" s="2" t="n">
        <v>46021</v>
      </c>
      <c r="N55" t="b">
        <v>0</v>
      </c>
      <c r="O55" t="n">
        <v>7</v>
      </c>
      <c r="P55" t="n">
        <v>4</v>
      </c>
      <c r="Q55" t="n">
        <v>4</v>
      </c>
      <c r="R55">
        <f>ROUND(O55-P55,2)</f>
        <v/>
      </c>
      <c r="S55">
        <f>ROUND(O55-Q55,2)</f>
        <v/>
      </c>
      <c r="T55" s="3">
        <f>IFERROR(P55/O55,"")</f>
        <v/>
      </c>
      <c r="U55" s="3">
        <f>IFERROR(Q55/O55,"")</f>
        <v/>
      </c>
      <c r="V55" t="n">
        <v>142</v>
      </c>
      <c r="W55" t="n">
        <v>97</v>
      </c>
      <c r="X55" t="n">
        <v>56.33</v>
      </c>
      <c r="Y55">
        <f>ROUND(V55-W55,2)</f>
        <v/>
      </c>
      <c r="Z55">
        <f>ROUND(V55-X55,2)</f>
        <v/>
      </c>
      <c r="AA55" s="3">
        <f>IFERROR(W55/V55,"")</f>
        <v/>
      </c>
      <c r="AB55" s="3">
        <f>IFERROR(X55/V55,"")</f>
        <v/>
      </c>
      <c r="AC55" t="b">
        <v>0</v>
      </c>
      <c r="AD55" t="b">
        <v>0</v>
      </c>
      <c r="AE55" t="b">
        <v>0</v>
      </c>
      <c r="AF55" t="inlineStr">
        <is>
          <t>No</t>
        </is>
      </c>
      <c r="AI55" t="b">
        <v>1</v>
      </c>
      <c r="AJ55" t="n">
        <v>0</v>
      </c>
      <c r="AK55" t="inlineStr">
        <is>
          <t>Anna has 3 years of experience in IT consulting and is seeking a project in project management, requirements management, or change management. Her strength lies particularly in managing many stakeholders with heterogeneous requirements. She has experience in digitization projects for public administrations and has carried out, among other things, process standardization and optimization.</t>
        </is>
      </c>
      <c r="AL55" t="inlineStr">
        <is>
          <t>T&amp;A - Transformation &amp; Agility (Arne K.)</t>
        </is>
      </c>
      <c r="AM55" t="inlineStr">
        <is>
          <t>P&amp;OS - Processes &amp; Organizational Str. (Raina B.)</t>
        </is>
      </c>
      <c r="AN55" t="inlineStr">
        <is>
          <t>TB - Transforming Business (Arne K.)</t>
        </is>
      </c>
      <c r="AO55" t="inlineStr">
        <is>
          <t>bridgingIT GmbH</t>
        </is>
      </c>
      <c r="AP55" t="inlineStr">
        <is>
          <t>Mannheim</t>
        </is>
      </c>
      <c r="AQ55" t="inlineStr">
        <is>
          <t>Raina Beck</t>
        </is>
      </c>
    </row>
    <row r="56">
      <c r="A56" t="inlineStr">
        <is>
          <t>3082</t>
        </is>
      </c>
      <c r="B56" t="inlineStr">
        <is>
          <t>2EF1BB</t>
        </is>
      </c>
      <c r="C56" t="inlineStr">
        <is>
          <t>https://app.matchical.com/Consulting/ConsultantDetail?ConsultantId=578394bc-5d45-4aa5-a570-f3617eff0a6c</t>
        </is>
      </c>
      <c r="D56" t="inlineStr">
        <is>
          <t>Anna Schnorrenberger</t>
        </is>
      </c>
      <c r="E56" t="inlineStr">
        <is>
          <t>anna.schnorrenberger@bridging-it.de</t>
        </is>
      </c>
      <c r="F56" s="2" t="n">
        <v>41699</v>
      </c>
      <c r="G56" s="2" t="n">
        <v>36770</v>
      </c>
      <c r="H56" t="n">
        <v>35</v>
      </c>
      <c r="I56" t="n">
        <v>0</v>
      </c>
      <c r="J56" t="n">
        <v>2</v>
      </c>
      <c r="K56" s="2" t="n">
        <v>43465</v>
      </c>
      <c r="L56" s="2" t="n">
        <v>45615</v>
      </c>
      <c r="M56" s="2" t="n">
        <v>46022</v>
      </c>
      <c r="N56" t="b">
        <v>0</v>
      </c>
      <c r="O56" t="n">
        <v>144</v>
      </c>
      <c r="P56" t="n">
        <v>419.76</v>
      </c>
      <c r="Q56" t="n">
        <v>143.84</v>
      </c>
      <c r="R56">
        <f>ROUND(O56-P56,2)</f>
        <v/>
      </c>
      <c r="S56">
        <f>ROUND(O56-Q56,2)</f>
        <v/>
      </c>
      <c r="T56" s="3">
        <f>IFERROR(P56/O56,"")</f>
        <v/>
      </c>
      <c r="U56" s="3">
        <f>IFERROR(Q56/O56,"")</f>
        <v/>
      </c>
      <c r="V56" t="n">
        <v>162</v>
      </c>
      <c r="W56" t="n">
        <v>115</v>
      </c>
      <c r="X56" t="n">
        <v>97</v>
      </c>
      <c r="Y56">
        <f>ROUND(V56-W56,2)</f>
        <v/>
      </c>
      <c r="Z56">
        <f>ROUND(V56-X56,2)</f>
        <v/>
      </c>
      <c r="AA56" s="3">
        <f>IFERROR(W56/V56,"")</f>
        <v/>
      </c>
      <c r="AB56" s="3">
        <f>IFERROR(X56/V56,"")</f>
        <v/>
      </c>
      <c r="AC56" t="b">
        <v>0</v>
      </c>
      <c r="AD56" t="b">
        <v>0</v>
      </c>
      <c r="AE56" t="b">
        <v>0</v>
      </c>
      <c r="AF56" t="inlineStr">
        <is>
          <t>No</t>
        </is>
      </c>
      <c r="AI56" t="b">
        <v>0</v>
      </c>
      <c r="AJ56" t="n">
        <v>0</v>
      </c>
      <c r="AK56" t="inlineStr"/>
      <c r="AL56" t="inlineStr">
        <is>
          <t>ORG bIT</t>
        </is>
      </c>
      <c r="AM56" t="inlineStr">
        <is>
          <t>AT Agile Transformation (Anna S.)</t>
        </is>
      </c>
      <c r="AN56" t="inlineStr">
        <is>
          <t>TH Transformation Hub (Ulrich W.)</t>
        </is>
      </c>
      <c r="AO56" t="inlineStr">
        <is>
          <t>bridgingIT GmbH</t>
        </is>
      </c>
      <c r="AP56" t="inlineStr">
        <is>
          <t>Frankfurt</t>
        </is>
      </c>
      <c r="AQ56" t="inlineStr">
        <is>
          <t>Ulrich Waltinger</t>
        </is>
      </c>
    </row>
    <row r="57">
      <c r="A57" t="inlineStr">
        <is>
          <t>1385</t>
        </is>
      </c>
      <c r="B57" t="inlineStr">
        <is>
          <t>3EA6E2</t>
        </is>
      </c>
      <c r="C57" t="inlineStr">
        <is>
          <t>https://app.matchical.com/Consulting/ConsultantDetail?ConsultantId=73037617-f6bb-4d42-96bf-88779b7193e6</t>
        </is>
      </c>
      <c r="D57" t="inlineStr">
        <is>
          <t>Anna Wanzek</t>
        </is>
      </c>
      <c r="E57" t="inlineStr">
        <is>
          <t>anna.wanzek@bridging-it.de</t>
        </is>
      </c>
      <c r="F57" s="2" t="n">
        <v>42826</v>
      </c>
      <c r="G57" s="2" t="n">
        <v>41913</v>
      </c>
      <c r="H57" t="n">
        <v>18</v>
      </c>
      <c r="I57" t="n">
        <v>0</v>
      </c>
      <c r="J57" t="n">
        <v>4</v>
      </c>
      <c r="K57" s="2" t="n">
        <v>42794</v>
      </c>
      <c r="L57" s="2" t="n">
        <v>45657</v>
      </c>
      <c r="M57" s="2" t="n">
        <v>45925</v>
      </c>
      <c r="N57" t="b">
        <v>0</v>
      </c>
      <c r="O57" t="n">
        <v>107</v>
      </c>
      <c r="P57" t="n">
        <v>426.5</v>
      </c>
      <c r="Q57" t="n">
        <v>106.81</v>
      </c>
      <c r="R57">
        <f>ROUND(O57-P57,2)</f>
        <v/>
      </c>
      <c r="S57">
        <f>ROUND(O57-Q57,2)</f>
        <v/>
      </c>
      <c r="T57" s="3">
        <f>IFERROR(P57/O57,"")</f>
        <v/>
      </c>
      <c r="U57" s="3">
        <f>IFERROR(Q57/O57,"")</f>
        <v/>
      </c>
      <c r="V57" t="n">
        <v>30</v>
      </c>
      <c r="W57" t="n">
        <v>38.8</v>
      </c>
      <c r="X57" t="n">
        <v>25.61</v>
      </c>
      <c r="Y57">
        <f>ROUND(V57-W57,2)</f>
        <v/>
      </c>
      <c r="Z57">
        <f>ROUND(V57-X57,2)</f>
        <v/>
      </c>
      <c r="AA57" s="3">
        <f>IFERROR(W57/V57,"")</f>
        <v/>
      </c>
      <c r="AB57" s="3">
        <f>IFERROR(X57/V57,"")</f>
        <v/>
      </c>
      <c r="AC57" t="b">
        <v>0</v>
      </c>
      <c r="AD57" t="b">
        <v>0</v>
      </c>
      <c r="AE57" t="b">
        <v>0</v>
      </c>
      <c r="AF57" t="inlineStr">
        <is>
          <t>No</t>
        </is>
      </c>
      <c r="AI57" t="b">
        <v>0</v>
      </c>
      <c r="AJ57" t="n">
        <v>0</v>
      </c>
      <c r="AK57" t="inlineStr">
        <is>
          <t>- Re-engagement at KGAL in the iPaaS project, currently under clarification, high probability (Responsible: Denise Gillmann/Michael Hof)
- Idea: actively pitch through Peter Müller at [DZ Bank] in the context of Tableau</t>
        </is>
      </c>
      <c r="AL57" t="inlineStr">
        <is>
          <t>A&amp;SE Analytics &amp; Software Engineering (Philip R.)</t>
        </is>
      </c>
      <c r="AM57" t="inlineStr">
        <is>
          <t>DS Data Science (Dr. Philip W.)</t>
        </is>
      </c>
      <c r="AN57" t="inlineStr">
        <is>
          <t>A&amp;DDS - Analytics &amp; Data-driven Solutions (M. Hof)</t>
        </is>
      </c>
      <c r="AO57" t="inlineStr">
        <is>
          <t>bridgingIT GmbH</t>
        </is>
      </c>
      <c r="AP57" t="inlineStr">
        <is>
          <t>Mannheim</t>
        </is>
      </c>
      <c r="AQ57" t="inlineStr">
        <is>
          <t>Philip Wollfarth</t>
        </is>
      </c>
    </row>
    <row r="58">
      <c r="A58" t="inlineStr">
        <is>
          <t>10073</t>
        </is>
      </c>
      <c r="B58" t="inlineStr">
        <is>
          <t>57E481</t>
        </is>
      </c>
      <c r="C58" t="inlineStr">
        <is>
          <t>https://app.matchical.com/Consulting/ConsultantDetail?ConsultantId=235d9050-cf1d-439b-819b-03db6ced6a9a</t>
        </is>
      </c>
      <c r="D58" t="inlineStr">
        <is>
          <t>Annette Funk</t>
        </is>
      </c>
      <c r="E58" t="inlineStr">
        <is>
          <t>annette.funk@bridging-it.de</t>
        </is>
      </c>
      <c r="F58" s="2" t="n">
        <v>44958</v>
      </c>
      <c r="G58" s="2" t="n">
        <v>43647</v>
      </c>
      <c r="H58" t="n">
        <v>6</v>
      </c>
      <c r="I58" t="n">
        <v>0</v>
      </c>
      <c r="J58" t="n">
        <v>0</v>
      </c>
      <c r="L58" s="2" t="n">
        <v>44985</v>
      </c>
      <c r="M58" s="2" t="n">
        <v>45595</v>
      </c>
      <c r="N58" t="b">
        <v>0</v>
      </c>
      <c r="O58" t="n">
        <v>37</v>
      </c>
      <c r="P58" t="n">
        <v>35.88</v>
      </c>
      <c r="Q58" t="n">
        <v>35.88</v>
      </c>
      <c r="R58">
        <f>ROUND(O58-P58,2)</f>
        <v/>
      </c>
      <c r="S58">
        <f>ROUND(O58-Q58,2)</f>
        <v/>
      </c>
      <c r="T58" s="3">
        <f>IFERROR(P58/O58,"")</f>
        <v/>
      </c>
      <c r="U58" s="3">
        <f>IFERROR(Q58/O58,"")</f>
        <v/>
      </c>
      <c r="V58" t="n">
        <v>43</v>
      </c>
      <c r="W58" t="n">
        <v>40.97</v>
      </c>
      <c r="X58" t="n">
        <v>40.97</v>
      </c>
      <c r="Y58">
        <f>ROUND(V58-W58,2)</f>
        <v/>
      </c>
      <c r="Z58">
        <f>ROUND(V58-X58,2)</f>
        <v/>
      </c>
      <c r="AA58" s="3">
        <f>IFERROR(W58/V58,"")</f>
        <v/>
      </c>
      <c r="AB58" s="3">
        <f>IFERROR(X58/V58,"")</f>
        <v/>
      </c>
      <c r="AC58" t="b">
        <v>0</v>
      </c>
      <c r="AD58" t="b">
        <v>0</v>
      </c>
      <c r="AE58" t="b">
        <v>0</v>
      </c>
      <c r="AF58" t="inlineStr">
        <is>
          <t>Yes</t>
        </is>
      </c>
      <c r="AG58" s="2" t="n">
        <v>46113</v>
      </c>
      <c r="AH58" s="2" t="n">
        <v>47483</v>
      </c>
      <c r="AI58" t="b">
        <v>1</v>
      </c>
      <c r="AJ58" t="n">
        <v>5</v>
      </c>
      <c r="AK58" t="inlineStr"/>
      <c r="AL58" t="inlineStr">
        <is>
          <t>ORG bIT</t>
        </is>
      </c>
      <c r="AM58" t="inlineStr">
        <is>
          <t>BABA - BA and Business Architectures (Carsten S.)</t>
        </is>
      </c>
      <c r="AN58" t="inlineStr">
        <is>
          <t>ABC Analysing Business &amp; Collaboration (Edgar K.)</t>
        </is>
      </c>
      <c r="AO58" t="inlineStr">
        <is>
          <t>bridgingIT GmbH</t>
        </is>
      </c>
      <c r="AP58" t="inlineStr">
        <is>
          <t>Frankfurt</t>
        </is>
      </c>
      <c r="AQ58" t="inlineStr">
        <is>
          <t>Carsten Schindler</t>
        </is>
      </c>
    </row>
    <row r="59">
      <c r="A59" t="inlineStr">
        <is>
          <t>10392</t>
        </is>
      </c>
      <c r="B59" t="inlineStr">
        <is>
          <t>4744FE</t>
        </is>
      </c>
      <c r="C59" t="inlineStr">
        <is>
          <t>https://app.matchical.com/Consulting/ConsultantDetail?ConsultantId=1dd8a2ac-d350-424b-a080-57a203d61272</t>
        </is>
      </c>
      <c r="D59" t="inlineStr">
        <is>
          <t>Ante Limov</t>
        </is>
      </c>
      <c r="E59" t="inlineStr">
        <is>
          <t>ante.limov@bridging-it.de</t>
        </is>
      </c>
      <c r="F59" s="2" t="n">
        <v>45901</v>
      </c>
      <c r="G59" s="2" t="n">
        <v>43466</v>
      </c>
      <c r="H59" t="n">
        <v>8</v>
      </c>
      <c r="I59" t="n">
        <v>0</v>
      </c>
      <c r="J59" t="n">
        <v>0</v>
      </c>
      <c r="L59" s="2" t="n">
        <v>45870</v>
      </c>
      <c r="M59" s="2" t="n">
        <v>46022</v>
      </c>
      <c r="N59" t="b">
        <v>0</v>
      </c>
      <c r="O59" t="n">
        <v>6</v>
      </c>
      <c r="P59" t="n">
        <v>3.98</v>
      </c>
      <c r="Q59" t="n">
        <v>3.98</v>
      </c>
      <c r="R59">
        <f>ROUND(O59-P59,2)</f>
        <v/>
      </c>
      <c r="S59">
        <f>ROUND(O59-Q59,2)</f>
        <v/>
      </c>
      <c r="T59" s="3">
        <f>IFERROR(P59/O59,"")</f>
        <v/>
      </c>
      <c r="U59" s="3">
        <f>IFERROR(Q59/O59,"")</f>
        <v/>
      </c>
      <c r="V59" t="n">
        <v>80</v>
      </c>
      <c r="W59" t="n">
        <v>72.02</v>
      </c>
      <c r="X59" t="n">
        <v>66.02</v>
      </c>
      <c r="Y59">
        <f>ROUND(V59-W59,2)</f>
        <v/>
      </c>
      <c r="Z59">
        <f>ROUND(V59-X59,2)</f>
        <v/>
      </c>
      <c r="AA59" s="3">
        <f>IFERROR(W59/V59,"")</f>
        <v/>
      </c>
      <c r="AB59" s="3">
        <f>IFERROR(X59/V59,"")</f>
        <v/>
      </c>
      <c r="AC59" t="b">
        <v>0</v>
      </c>
      <c r="AD59" t="b">
        <v>0</v>
      </c>
      <c r="AE59" t="b">
        <v>0</v>
      </c>
      <c r="AF59" t="inlineStr">
        <is>
          <t>No</t>
        </is>
      </c>
      <c r="AI59" t="b">
        <v>1</v>
      </c>
      <c r="AJ59" t="n">
        <v>0</v>
      </c>
      <c r="AK59" t="inlineStr"/>
      <c r="AL59" t="inlineStr">
        <is>
          <t>ES Enterprise Solutions (Gina H.)</t>
        </is>
      </c>
      <c r="AM59" t="inlineStr">
        <is>
          <t>DA Data &amp; AI Solutions (Ralf Fi.)</t>
        </is>
      </c>
      <c r="AN59" t="inlineStr">
        <is>
          <t>PA Platform &amp; Application Solutions (Thomas K.)</t>
        </is>
      </c>
      <c r="AO59" t="inlineStr">
        <is>
          <t>bridgingIT GmbH</t>
        </is>
      </c>
      <c r="AP59" t="inlineStr">
        <is>
          <t>Stuttgart</t>
        </is>
      </c>
      <c r="AQ59" t="inlineStr">
        <is>
          <t>Ralf Fischer</t>
        </is>
      </c>
    </row>
    <row r="60">
      <c r="A60" t="inlineStr">
        <is>
          <t>10110</t>
        </is>
      </c>
      <c r="B60" t="inlineStr">
        <is>
          <t>D51C2D</t>
        </is>
      </c>
      <c r="C60" t="inlineStr">
        <is>
          <t>https://app.matchical.com/Consulting/ConsultantDetail?ConsultantId=32f8ef66-15b2-40a1-b485-70771f666b13</t>
        </is>
      </c>
      <c r="D60" t="inlineStr">
        <is>
          <t>Aram Barazandeh</t>
        </is>
      </c>
      <c r="E60" t="inlineStr">
        <is>
          <t>aram.barazandeh@bridging-it.de</t>
        </is>
      </c>
      <c r="F60" s="2" t="n">
        <v>45078</v>
      </c>
      <c r="G60" s="2" t="n">
        <v>40179</v>
      </c>
      <c r="H60" t="n">
        <v>11</v>
      </c>
      <c r="I60" t="n">
        <v>0</v>
      </c>
      <c r="J60" t="n">
        <v>2</v>
      </c>
      <c r="K60" s="2" t="n">
        <v>45077</v>
      </c>
      <c r="L60" s="2" t="n">
        <v>45218</v>
      </c>
      <c r="M60" s="2" t="n">
        <v>45290</v>
      </c>
      <c r="N60" t="b">
        <v>0</v>
      </c>
      <c r="O60" t="n">
        <v>33</v>
      </c>
      <c r="P60" t="n">
        <v>65.94</v>
      </c>
      <c r="Q60" t="n">
        <v>32.82</v>
      </c>
      <c r="R60">
        <f>ROUND(O60-P60,2)</f>
        <v/>
      </c>
      <c r="S60">
        <f>ROUND(O60-Q60,2)</f>
        <v/>
      </c>
      <c r="T60" s="3">
        <f>IFERROR(P60/O60,"")</f>
        <v/>
      </c>
      <c r="U60" s="3">
        <f>IFERROR(Q60/O60,"")</f>
        <v/>
      </c>
      <c r="V60" t="n">
        <v>161</v>
      </c>
      <c r="W60" t="n">
        <v>173.06</v>
      </c>
      <c r="X60" t="n">
        <v>139.03</v>
      </c>
      <c r="Y60">
        <f>ROUND(V60-W60,2)</f>
        <v/>
      </c>
      <c r="Z60">
        <f>ROUND(V60-X60,2)</f>
        <v/>
      </c>
      <c r="AA60" s="3">
        <f>IFERROR(W60/V60,"")</f>
        <v/>
      </c>
      <c r="AB60" s="3">
        <f>IFERROR(X60/V60,"")</f>
        <v/>
      </c>
      <c r="AC60" t="b">
        <v>0</v>
      </c>
      <c r="AD60" t="b">
        <v>0</v>
      </c>
      <c r="AE60" t="b">
        <v>0</v>
      </c>
      <c r="AF60" t="inlineStr">
        <is>
          <t>No</t>
        </is>
      </c>
      <c r="AI60" t="b">
        <v>1</v>
      </c>
      <c r="AJ60" t="n">
        <v>0</v>
      </c>
      <c r="AK60" t="inlineStr"/>
      <c r="AL60" t="inlineStr">
        <is>
          <t>ORG bIT Bayern</t>
        </is>
      </c>
      <c r="AM60" t="inlineStr">
        <is>
          <t>LM Location Management BAY (Eli G.)</t>
        </is>
      </c>
      <c r="AN60" t="inlineStr">
        <is>
          <t>LM Lokation MUC (Elisabeth G.)</t>
        </is>
      </c>
      <c r="AO60" t="inlineStr">
        <is>
          <t>bridgingIT GmbH</t>
        </is>
      </c>
      <c r="AP60" t="inlineStr">
        <is>
          <t>München</t>
        </is>
      </c>
      <c r="AQ60" t="inlineStr">
        <is>
          <t>Elisabeth Gerlinger</t>
        </is>
      </c>
    </row>
    <row r="61">
      <c r="A61" t="inlineStr">
        <is>
          <t>1090</t>
        </is>
      </c>
      <c r="B61" t="inlineStr">
        <is>
          <t>29B54C</t>
        </is>
      </c>
      <c r="C61" t="inlineStr">
        <is>
          <t>https://app.matchical.com/Consulting/ConsultantDetail?ConsultantId=05c422c9-30c3-430e-bf2f-a1f614bea012</t>
        </is>
      </c>
      <c r="D61" t="inlineStr">
        <is>
          <t>Arne Kunstmann</t>
        </is>
      </c>
      <c r="E61" t="inlineStr">
        <is>
          <t>arne.kunstmann@bridging-it.de</t>
        </is>
      </c>
      <c r="F61" s="2" t="n">
        <v>39722</v>
      </c>
      <c r="G61" s="2" t="n">
        <v>36861</v>
      </c>
      <c r="H61" t="n">
        <v>38</v>
      </c>
      <c r="I61" t="n">
        <v>0</v>
      </c>
      <c r="J61" t="n">
        <v>1</v>
      </c>
      <c r="K61" s="2" t="n">
        <v>45382</v>
      </c>
      <c r="L61" s="2" t="n">
        <v>45322</v>
      </c>
      <c r="M61" s="2" t="n">
        <v>45837</v>
      </c>
      <c r="N61" t="b">
        <v>0</v>
      </c>
      <c r="O61" t="n">
        <v>209</v>
      </c>
      <c r="P61" t="n">
        <v>348</v>
      </c>
      <c r="Q61" t="n">
        <v>208.79</v>
      </c>
      <c r="R61">
        <f>ROUND(O61-P61,2)</f>
        <v/>
      </c>
      <c r="S61">
        <f>ROUND(O61-Q61,2)</f>
        <v/>
      </c>
      <c r="T61" s="3">
        <f>IFERROR(P61/O61,"")</f>
        <v/>
      </c>
      <c r="U61" s="3">
        <f>IFERROR(Q61/O61,"")</f>
        <v/>
      </c>
      <c r="V61" t="n">
        <v>94</v>
      </c>
      <c r="W61" t="n">
        <v>96</v>
      </c>
      <c r="X61" t="n">
        <v>85</v>
      </c>
      <c r="Y61">
        <f>ROUND(V61-W61,2)</f>
        <v/>
      </c>
      <c r="Z61">
        <f>ROUND(V61-X61,2)</f>
        <v/>
      </c>
      <c r="AA61" s="3">
        <f>IFERROR(W61/V61,"")</f>
        <v/>
      </c>
      <c r="AB61" s="3">
        <f>IFERROR(X61/V61,"")</f>
        <v/>
      </c>
      <c r="AC61" t="b">
        <v>0</v>
      </c>
      <c r="AD61" t="b">
        <v>0</v>
      </c>
      <c r="AE61" t="b">
        <v>0</v>
      </c>
      <c r="AF61" t="inlineStr">
        <is>
          <t>No</t>
        </is>
      </c>
      <c r="AI61" t="b">
        <v>1</v>
      </c>
      <c r="AJ61" t="n">
        <v>2</v>
      </c>
      <c r="AK61" t="inlineStr">
        <is>
          <t>I am seeking a project management / coordination role at a Mannheim-based account (Key/Strat) to establish a new scalable environment. Availability: 1–2.5 days per week.</t>
        </is>
      </c>
      <c r="AL61" t="inlineStr">
        <is>
          <t>T&amp;A - Transformation &amp; Agility (Arne K.)</t>
        </is>
      </c>
      <c r="AM61" t="inlineStr">
        <is>
          <t>TE - Transformation Enablement (Arne K.)</t>
        </is>
      </c>
      <c r="AN61" t="inlineStr">
        <is>
          <t>TB - Transforming Business (Arne K.)</t>
        </is>
      </c>
      <c r="AO61" t="inlineStr">
        <is>
          <t>bridgingIT GmbH</t>
        </is>
      </c>
      <c r="AP61" t="inlineStr">
        <is>
          <t>Mannheim</t>
        </is>
      </c>
      <c r="AQ61" t="inlineStr">
        <is>
          <t>Michael Mohrbacher</t>
        </is>
      </c>
    </row>
    <row r="62">
      <c r="A62" t="inlineStr">
        <is>
          <t>3196</t>
        </is>
      </c>
      <c r="B62" t="inlineStr">
        <is>
          <t>815C81</t>
        </is>
      </c>
      <c r="C62" t="inlineStr">
        <is>
          <t>https://app.matchical.com/Consulting/ConsultantDetail?ConsultantId=2fb6e874-c310-482b-a50d-efc5ca5f539c</t>
        </is>
      </c>
      <c r="D62" t="inlineStr">
        <is>
          <t>Axel Dedio</t>
        </is>
      </c>
      <c r="E62" t="inlineStr">
        <is>
          <t>axel.dedio@bridging-it.de</t>
        </is>
      </c>
      <c r="F62" s="2" t="n">
        <v>43678</v>
      </c>
      <c r="G62" s="2" t="n">
        <v>43010</v>
      </c>
      <c r="H62" t="n">
        <v>11</v>
      </c>
      <c r="I62" t="n">
        <v>0</v>
      </c>
      <c r="J62" t="n">
        <v>0</v>
      </c>
      <c r="L62" s="2" t="n">
        <v>44570</v>
      </c>
      <c r="M62" s="2" t="n">
        <v>45746</v>
      </c>
      <c r="N62" t="b">
        <v>0</v>
      </c>
      <c r="O62" t="n">
        <v>79</v>
      </c>
      <c r="P62" t="n">
        <v>111.86</v>
      </c>
      <c r="Q62" t="n">
        <v>77.52</v>
      </c>
      <c r="R62">
        <f>ROUND(O62-P62,2)</f>
        <v/>
      </c>
      <c r="S62">
        <f>ROUND(O62-Q62,2)</f>
        <v/>
      </c>
      <c r="T62" s="3">
        <f>IFERROR(P62/O62,"")</f>
        <v/>
      </c>
      <c r="U62" s="3">
        <f>IFERROR(Q62/O62,"")</f>
        <v/>
      </c>
      <c r="V62" t="n">
        <v>22</v>
      </c>
      <c r="W62" t="n">
        <v>39.93</v>
      </c>
      <c r="X62" t="n">
        <v>21.95</v>
      </c>
      <c r="Y62">
        <f>ROUND(V62-W62,2)</f>
        <v/>
      </c>
      <c r="Z62">
        <f>ROUND(V62-X62,2)</f>
        <v/>
      </c>
      <c r="AA62" s="3">
        <f>IFERROR(W62/V62,"")</f>
        <v/>
      </c>
      <c r="AB62" s="3">
        <f>IFERROR(X62/V62,"")</f>
        <v/>
      </c>
      <c r="AC62" t="b">
        <v>0</v>
      </c>
      <c r="AD62" t="b">
        <v>0</v>
      </c>
      <c r="AE62" t="b">
        <v>0</v>
      </c>
      <c r="AF62" t="inlineStr">
        <is>
          <t>No</t>
        </is>
      </c>
      <c r="AI62" t="b">
        <v>0</v>
      </c>
      <c r="AJ62" t="n">
        <v>0</v>
      </c>
      <c r="AK62" t="inlineStr"/>
      <c r="AL62" t="inlineStr">
        <is>
          <t>ORG bIT</t>
        </is>
      </c>
      <c r="AM62" t="inlineStr">
        <is>
          <t>SE Software Engineering Frankfurt (Sebastian F.)</t>
        </is>
      </c>
      <c r="AN62" t="inlineStr">
        <is>
          <t>ES Enterprise Solutions (Dominik H.)</t>
        </is>
      </c>
      <c r="AO62" t="inlineStr">
        <is>
          <t>bridgingIT GmbH</t>
        </is>
      </c>
      <c r="AP62" t="inlineStr">
        <is>
          <t>Frankfurt</t>
        </is>
      </c>
      <c r="AQ62" t="inlineStr">
        <is>
          <t>Sebastian Fischer</t>
        </is>
      </c>
    </row>
    <row r="63">
      <c r="A63" t="inlineStr">
        <is>
          <t>3008</t>
        </is>
      </c>
      <c r="B63" t="inlineStr">
        <is>
          <t>F7A3CD</t>
        </is>
      </c>
      <c r="C63" t="inlineStr">
        <is>
          <t>https://app.matchical.com/Consulting/ConsultantDetail?ConsultantId=8325bd5c-d550-436e-9e73-0e1cff6b9473</t>
        </is>
      </c>
      <c r="D63" t="inlineStr">
        <is>
          <t>Axel Pfannenschmidt</t>
        </is>
      </c>
      <c r="E63" t="inlineStr">
        <is>
          <t>axel.pfannenschmidt@bridging-it.de</t>
        </is>
      </c>
      <c r="F63" s="2" t="n">
        <v>39569</v>
      </c>
      <c r="G63" s="2" t="n">
        <v>33970</v>
      </c>
      <c r="H63" t="n">
        <v>68</v>
      </c>
      <c r="I63" t="n">
        <v>0</v>
      </c>
      <c r="J63" t="n">
        <v>2</v>
      </c>
      <c r="K63" s="2" t="n">
        <v>42860</v>
      </c>
      <c r="L63" s="2" t="n">
        <v>43024</v>
      </c>
      <c r="M63" s="2" t="n">
        <v>43097</v>
      </c>
      <c r="N63" t="b">
        <v>0</v>
      </c>
      <c r="O63" t="n">
        <v>214</v>
      </c>
      <c r="P63" t="n">
        <v>358.95</v>
      </c>
      <c r="Q63" t="n">
        <v>206.24</v>
      </c>
      <c r="R63">
        <f>ROUND(O63-P63,2)</f>
        <v/>
      </c>
      <c r="S63">
        <f>ROUND(O63-Q63,2)</f>
        <v/>
      </c>
      <c r="T63" s="3">
        <f>IFERROR(P63/O63,"")</f>
        <v/>
      </c>
      <c r="U63" s="3">
        <f>IFERROR(Q63/O63,"")</f>
        <v/>
      </c>
      <c r="V63" t="n">
        <v>184</v>
      </c>
      <c r="W63" t="n">
        <v>181.05</v>
      </c>
      <c r="X63" t="n">
        <v>157.1</v>
      </c>
      <c r="Y63">
        <f>ROUND(V63-W63,2)</f>
        <v/>
      </c>
      <c r="Z63">
        <f>ROUND(V63-X63,2)</f>
        <v/>
      </c>
      <c r="AA63" s="3">
        <f>IFERROR(W63/V63,"")</f>
        <v/>
      </c>
      <c r="AB63" s="3">
        <f>IFERROR(X63/V63,"")</f>
        <v/>
      </c>
      <c r="AC63" t="b">
        <v>0</v>
      </c>
      <c r="AD63" t="b">
        <v>0</v>
      </c>
      <c r="AE63" t="b">
        <v>0</v>
      </c>
      <c r="AF63" t="inlineStr">
        <is>
          <t>No</t>
        </is>
      </c>
      <c r="AG63" s="2" t="n">
        <v>42979</v>
      </c>
      <c r="AH63" s="2" t="n">
        <v>43100</v>
      </c>
      <c r="AI63" t="b">
        <v>1</v>
      </c>
      <c r="AJ63" t="n">
        <v>2.5</v>
      </c>
      <c r="AK63" t="inlineStr">
        <is>
          <t>
</t>
        </is>
      </c>
      <c r="AL63" t="inlineStr">
        <is>
          <t>ORG bIT</t>
        </is>
      </c>
      <c r="AM63" t="inlineStr">
        <is>
          <t>PITS Professional IT-Services (Martin R.)</t>
        </is>
      </c>
      <c r="AN63" t="inlineStr">
        <is>
          <t>MIT Management of IT (Torsten R.)</t>
        </is>
      </c>
      <c r="AO63" t="inlineStr">
        <is>
          <t>bridgingIT GmbH</t>
        </is>
      </c>
      <c r="AP63" t="inlineStr">
        <is>
          <t>Frankfurt</t>
        </is>
      </c>
      <c r="AQ63" t="inlineStr">
        <is>
          <t>Martin Redemsky</t>
        </is>
      </c>
    </row>
    <row r="64">
      <c r="A64" t="inlineStr">
        <is>
          <t>10438</t>
        </is>
      </c>
      <c r="B64" t="inlineStr">
        <is>
          <t>74747A</t>
        </is>
      </c>
      <c r="C64" t="inlineStr">
        <is>
          <t>https://app.matchical.com/Consulting/ConsultantDetail?ConsultantId=641ddd0e-983d-4db2-afd1-3cfcd0aad469</t>
        </is>
      </c>
      <c r="D64" t="inlineStr">
        <is>
          <t>Axel Wilkening</t>
        </is>
      </c>
      <c r="E64" t="inlineStr">
        <is>
          <t>axel.wilkening@bridging-it.de</t>
        </is>
      </c>
      <c r="F64" s="2" t="n">
        <v>46023</v>
      </c>
      <c r="G64" s="2" t="n">
        <v>37104</v>
      </c>
      <c r="H64" t="n">
        <v>4</v>
      </c>
      <c r="I64" t="n">
        <v>0</v>
      </c>
      <c r="J64" t="n">
        <v>1</v>
      </c>
      <c r="K64" s="2" t="n">
        <v>45565</v>
      </c>
      <c r="L64" s="2" t="n">
        <v>45535</v>
      </c>
      <c r="M64" s="2" t="n">
        <v>45807</v>
      </c>
      <c r="N64" t="b">
        <v>0</v>
      </c>
      <c r="O64" t="n">
        <v>2</v>
      </c>
      <c r="P64" t="n">
        <v>1.69</v>
      </c>
      <c r="Q64" t="n">
        <v>1.27</v>
      </c>
      <c r="R64">
        <f>ROUND(O64-P64,2)</f>
        <v/>
      </c>
      <c r="S64">
        <f>ROUND(O64-Q64,2)</f>
        <v/>
      </c>
      <c r="T64" s="3">
        <f>IFERROR(P64/O64,"")</f>
        <v/>
      </c>
      <c r="U64" s="3">
        <f>IFERROR(Q64/O64,"")</f>
        <v/>
      </c>
      <c r="V64" t="n">
        <v>293</v>
      </c>
      <c r="W64" t="n">
        <v>64.31</v>
      </c>
      <c r="X64" t="n">
        <v>57.23</v>
      </c>
      <c r="Y64">
        <f>ROUND(V64-W64,2)</f>
        <v/>
      </c>
      <c r="Z64">
        <f>ROUND(V64-X64,2)</f>
        <v/>
      </c>
      <c r="AA64" s="3">
        <f>IFERROR(W64/V64,"")</f>
        <v/>
      </c>
      <c r="AB64" s="3">
        <f>IFERROR(X64/V64,"")</f>
        <v/>
      </c>
      <c r="AC64" t="b">
        <v>0</v>
      </c>
      <c r="AD64" t="b">
        <v>0</v>
      </c>
      <c r="AE64" t="b">
        <v>0</v>
      </c>
      <c r="AF64" t="inlineStr">
        <is>
          <t>Yes</t>
        </is>
      </c>
      <c r="AG64" s="2" t="n">
        <v>46023</v>
      </c>
      <c r="AI64" t="b">
        <v>1</v>
      </c>
      <c r="AJ64" t="n">
        <v>2.5</v>
      </c>
      <c r="AK64" t="inlineStr"/>
      <c r="AL64" t="inlineStr">
        <is>
          <t>IT - Information Technology (HH)</t>
        </is>
      </c>
      <c r="AM64" t="inlineStr">
        <is>
          <t>CG - Cloud Governance (Leyla V.)</t>
        </is>
      </c>
      <c r="AN64" t="inlineStr">
        <is>
          <t>ITC HH (Nicole F.)</t>
        </is>
      </c>
      <c r="AO64" t="inlineStr">
        <is>
          <t>bridgingIT GmbH</t>
        </is>
      </c>
      <c r="AP64" t="inlineStr">
        <is>
          <t>Hamburg</t>
        </is>
      </c>
      <c r="AQ64" t="inlineStr">
        <is>
          <t>Leyla Varli</t>
        </is>
      </c>
    </row>
    <row r="65">
      <c r="A65" t="inlineStr">
        <is>
          <t>10261</t>
        </is>
      </c>
      <c r="B65" t="inlineStr">
        <is>
          <t>B01900</t>
        </is>
      </c>
      <c r="C65" t="inlineStr">
        <is>
          <t>https://app.matchical.com/Consulting/ConsultantDetail?ConsultantId=a9bcd640-1ec5-4f08-9cba-811f00eb4c39</t>
        </is>
      </c>
      <c r="D65" t="inlineStr">
        <is>
          <t>Barbara Vettel</t>
        </is>
      </c>
      <c r="E65" t="inlineStr">
        <is>
          <t>barbara.vettel@fastahead.com</t>
        </is>
      </c>
      <c r="F65" s="2" t="n">
        <v>45323</v>
      </c>
      <c r="G65" s="2" t="n">
        <v>33025</v>
      </c>
      <c r="H65" t="n">
        <v>2</v>
      </c>
      <c r="I65" t="n">
        <v>0</v>
      </c>
      <c r="J65" t="n">
        <v>0</v>
      </c>
      <c r="L65" s="2" t="n">
        <v>45481</v>
      </c>
      <c r="M65" s="2" t="n">
        <v>45657</v>
      </c>
      <c r="N65" t="b">
        <v>0</v>
      </c>
      <c r="O65" t="n">
        <v>25</v>
      </c>
      <c r="P65" t="n">
        <v>13</v>
      </c>
      <c r="Q65" t="n">
        <v>7</v>
      </c>
      <c r="R65">
        <f>ROUND(O65-P65,2)</f>
        <v/>
      </c>
      <c r="S65">
        <f>ROUND(O65-Q65,2)</f>
        <v/>
      </c>
      <c r="T65" s="3">
        <f>IFERROR(P65/O65,"")</f>
        <v/>
      </c>
      <c r="U65" s="3">
        <f>IFERROR(Q65/O65,"")</f>
        <v/>
      </c>
      <c r="V65" t="n">
        <v>404</v>
      </c>
      <c r="W65" t="n">
        <v>0</v>
      </c>
      <c r="X65" t="n">
        <v>0</v>
      </c>
      <c r="Y65">
        <f>ROUND(V65-W65,2)</f>
        <v/>
      </c>
      <c r="Z65">
        <f>ROUND(V65-X65,2)</f>
        <v/>
      </c>
      <c r="AA65" s="3">
        <f>IFERROR(W65/V65,"")</f>
        <v/>
      </c>
      <c r="AB65" s="3">
        <f>IFERROR(X65/V65,"")</f>
        <v/>
      </c>
      <c r="AC65" t="b">
        <v>0</v>
      </c>
      <c r="AD65" t="b">
        <v>0</v>
      </c>
      <c r="AE65" t="b">
        <v>0</v>
      </c>
      <c r="AF65" t="inlineStr">
        <is>
          <t>No</t>
        </is>
      </c>
      <c r="AI65" t="b">
        <v>1</v>
      </c>
      <c r="AJ65" t="n">
        <v>0</v>
      </c>
      <c r="AK65" t="inlineStr"/>
      <c r="AL65" t="inlineStr">
        <is>
          <t>ORG fastahead GmbH &amp; Co. KG</t>
        </is>
      </c>
      <c r="AM65" t="inlineStr">
        <is>
          <t>Enterprise Transformation (Dr. Barbara Vettel)</t>
        </is>
      </c>
      <c r="AN65" t="inlineStr">
        <is>
          <t>fah Dr. Barbara Vettel</t>
        </is>
      </c>
      <c r="AO65" t="inlineStr">
        <is>
          <t>fastahead GmbH &amp; Co. KG</t>
        </is>
      </c>
      <c r="AP65" t="inlineStr">
        <is>
          <t>Mannheim</t>
        </is>
      </c>
      <c r="AQ65" t="inlineStr">
        <is>
          <t>Tim Thierfelder</t>
        </is>
      </c>
    </row>
    <row r="66">
      <c r="A66" t="inlineStr">
        <is>
          <t>1235</t>
        </is>
      </c>
      <c r="B66" t="inlineStr">
        <is>
          <t>E0CAA3</t>
        </is>
      </c>
      <c r="C66" t="inlineStr">
        <is>
          <t>https://app.matchical.com/Consulting/ConsultantDetail?ConsultantId=69a6dd17-3e5b-4f22-8d4b-3c8e6978d526</t>
        </is>
      </c>
      <c r="D66" t="inlineStr">
        <is>
          <t>Bastian Trauth</t>
        </is>
      </c>
      <c r="E66" t="inlineStr">
        <is>
          <t>bastian.trauth@bridging-it.de</t>
        </is>
      </c>
      <c r="F66" s="2" t="n">
        <v>41487</v>
      </c>
      <c r="G66" s="2" t="n">
        <v>38201</v>
      </c>
      <c r="H66" t="n">
        <v>22</v>
      </c>
      <c r="I66" t="n">
        <v>0</v>
      </c>
      <c r="J66" t="n">
        <v>0</v>
      </c>
      <c r="L66" s="2" t="n">
        <v>45203</v>
      </c>
      <c r="M66" s="2" t="n">
        <v>45624</v>
      </c>
      <c r="N66" t="b">
        <v>0</v>
      </c>
      <c r="O66" t="n">
        <v>151</v>
      </c>
      <c r="P66" t="n">
        <v>207</v>
      </c>
      <c r="Q66" t="n">
        <v>139</v>
      </c>
      <c r="R66">
        <f>ROUND(O66-P66,2)</f>
        <v/>
      </c>
      <c r="S66">
        <f>ROUND(O66-Q66,2)</f>
        <v/>
      </c>
      <c r="T66" s="3">
        <f>IFERROR(P66/O66,"")</f>
        <v/>
      </c>
      <c r="U66" s="3">
        <f>IFERROR(Q66/O66,"")</f>
        <v/>
      </c>
      <c r="V66" t="n">
        <v>108</v>
      </c>
      <c r="W66" t="n">
        <v>10</v>
      </c>
      <c r="X66" t="n">
        <v>7</v>
      </c>
      <c r="Y66">
        <f>ROUND(V66-W66,2)</f>
        <v/>
      </c>
      <c r="Z66">
        <f>ROUND(V66-X66,2)</f>
        <v/>
      </c>
      <c r="AA66" s="3">
        <f>IFERROR(W66/V66,"")</f>
        <v/>
      </c>
      <c r="AB66" s="3">
        <f>IFERROR(X66/V66,"")</f>
        <v/>
      </c>
      <c r="AC66" t="b">
        <v>0</v>
      </c>
      <c r="AD66" t="b">
        <v>0</v>
      </c>
      <c r="AE66" t="b">
        <v>0</v>
      </c>
      <c r="AF66" t="inlineStr">
        <is>
          <t>No</t>
        </is>
      </c>
      <c r="AI66" t="b">
        <v>1</v>
      </c>
      <c r="AJ66" t="n">
        <v>0</v>
      </c>
      <c r="AK66" t="inlineStr"/>
      <c r="AL66" t="inlineStr">
        <is>
          <t>T&amp;A - Transformation &amp; Agility (Arne K.)</t>
        </is>
      </c>
      <c r="AM66" t="inlineStr">
        <is>
          <t>TBC - Transforming Business Concepts (Bastian T.)</t>
        </is>
      </c>
      <c r="AN66" t="inlineStr">
        <is>
          <t>TBC - Transforming Business Concepts (Bastian T.)</t>
        </is>
      </c>
      <c r="AO66" t="inlineStr">
        <is>
          <t>bridgingIT GmbH</t>
        </is>
      </c>
      <c r="AP66" t="inlineStr">
        <is>
          <t>Mannheim</t>
        </is>
      </c>
      <c r="AQ66" t="inlineStr">
        <is>
          <t>Arne Kunstmann</t>
        </is>
      </c>
    </row>
    <row r="67">
      <c r="A67" t="inlineStr">
        <is>
          <t>10286</t>
        </is>
      </c>
      <c r="B67" t="inlineStr">
        <is>
          <t>BF35A6</t>
        </is>
      </c>
      <c r="C67" t="inlineStr">
        <is>
          <t>https://app.matchical.com/Consulting/ConsultantDetail?ConsultantId=bb5028b9-d5f1-4b6a-990d-ab5fb90a432a</t>
        </is>
      </c>
      <c r="D67" t="inlineStr">
        <is>
          <t>Batuhan Kayis</t>
        </is>
      </c>
      <c r="E67" t="inlineStr">
        <is>
          <t>batuhan.kayis@bridging-it.de</t>
        </is>
      </c>
      <c r="F67" s="2" t="n">
        <v>45474</v>
      </c>
      <c r="H67" t="n">
        <v>7</v>
      </c>
      <c r="I67" t="n">
        <v>0</v>
      </c>
      <c r="J67" t="n">
        <v>1</v>
      </c>
      <c r="K67" s="2" t="n">
        <v>45536</v>
      </c>
      <c r="L67" s="2" t="n">
        <v>45657</v>
      </c>
      <c r="M67" s="2" t="n">
        <v>46021</v>
      </c>
      <c r="N67" t="b">
        <v>0</v>
      </c>
      <c r="O67" t="n">
        <v>20</v>
      </c>
      <c r="P67" t="n">
        <v>42</v>
      </c>
      <c r="Q67" t="n">
        <v>19.81</v>
      </c>
      <c r="R67">
        <f>ROUND(O67-P67,2)</f>
        <v/>
      </c>
      <c r="S67">
        <f>ROUND(O67-Q67,2)</f>
        <v/>
      </c>
      <c r="T67" s="3">
        <f>IFERROR(P67/O67,"")</f>
        <v/>
      </c>
      <c r="U67" s="3">
        <f>IFERROR(Q67/O67,"")</f>
        <v/>
      </c>
      <c r="V67" t="n">
        <v>1494</v>
      </c>
      <c r="W67" t="n">
        <v>36</v>
      </c>
      <c r="X67" t="n">
        <v>36</v>
      </c>
      <c r="Y67">
        <f>ROUND(V67-W67,2)</f>
        <v/>
      </c>
      <c r="Z67">
        <f>ROUND(V67-X67,2)</f>
        <v/>
      </c>
      <c r="AA67" s="3">
        <f>IFERROR(W67/V67,"")</f>
        <v/>
      </c>
      <c r="AB67" s="3">
        <f>IFERROR(X67/V67,"")</f>
        <v/>
      </c>
      <c r="AC67" t="b">
        <v>0</v>
      </c>
      <c r="AD67" t="b">
        <v>0</v>
      </c>
      <c r="AE67" t="b">
        <v>0</v>
      </c>
      <c r="AF67" t="inlineStr">
        <is>
          <t>Yes</t>
        </is>
      </c>
      <c r="AG67" s="2" t="n">
        <v>46113</v>
      </c>
      <c r="AI67" t="b">
        <v>1</v>
      </c>
      <c r="AJ67" t="n">
        <v>2</v>
      </c>
      <c r="AK67" t="inlineStr">
        <is>
          <t>Data protection
Information security
Testing and quality management
ITSM
Smart factory / MES software
ERP systems</t>
        </is>
      </c>
      <c r="AL67" t="inlineStr">
        <is>
          <t>IT Information Technology (Hauke G.)</t>
        </is>
      </c>
      <c r="AM67" t="inlineStr">
        <is>
          <t>CIS Compliance &amp; Information Security (David T.)</t>
        </is>
      </c>
      <c r="AN67" t="inlineStr">
        <is>
          <t>GRC IT-GRC (Erhan N.)</t>
        </is>
      </c>
      <c r="AO67" t="inlineStr">
        <is>
          <t>bridgingIT GmbH</t>
        </is>
      </c>
      <c r="AP67" t="inlineStr">
        <is>
          <t>Stuttgart</t>
        </is>
      </c>
      <c r="AQ67" t="inlineStr">
        <is>
          <t>David Turan</t>
        </is>
      </c>
    </row>
    <row r="68">
      <c r="A68" t="inlineStr">
        <is>
          <t>10275</t>
        </is>
      </c>
      <c r="B68" t="inlineStr">
        <is>
          <t>D26BE8</t>
        </is>
      </c>
      <c r="C68" t="inlineStr">
        <is>
          <t>https://app.matchical.com/Consulting/ConsultantDetail?ConsultantId=c6776445-040c-4c4b-a847-f54b1ec017b7</t>
        </is>
      </c>
      <c r="D68" t="inlineStr">
        <is>
          <t>Ben Becker</t>
        </is>
      </c>
      <c r="E68" t="inlineStr">
        <is>
          <t>ben.becker@bridging-it.de</t>
        </is>
      </c>
      <c r="F68" s="2" t="n">
        <v>45474</v>
      </c>
      <c r="G68" s="2" t="n">
        <v>42186</v>
      </c>
      <c r="H68" t="n">
        <v>3</v>
      </c>
      <c r="I68" t="n">
        <v>0</v>
      </c>
      <c r="J68" t="n">
        <v>0</v>
      </c>
      <c r="L68" s="2" t="n">
        <v>44834</v>
      </c>
      <c r="M68" s="2" t="n">
        <v>45305</v>
      </c>
      <c r="N68" t="b">
        <v>0</v>
      </c>
      <c r="O68" t="n">
        <v>20</v>
      </c>
      <c r="P68" t="n">
        <v>0</v>
      </c>
      <c r="Q68" t="n">
        <v>0</v>
      </c>
      <c r="R68">
        <f>ROUND(O68-P68,2)</f>
        <v/>
      </c>
      <c r="S68">
        <f>ROUND(O68-Q68,2)</f>
        <v/>
      </c>
      <c r="T68" s="3">
        <f>IFERROR(P68/O68,"")</f>
        <v/>
      </c>
      <c r="U68" s="3">
        <f>IFERROR(Q68/O68,"")</f>
        <v/>
      </c>
      <c r="V68" t="n">
        <v>108</v>
      </c>
      <c r="W68" t="n">
        <v>44</v>
      </c>
      <c r="X68" t="n">
        <v>16</v>
      </c>
      <c r="Y68">
        <f>ROUND(V68-W68,2)</f>
        <v/>
      </c>
      <c r="Z68">
        <f>ROUND(V68-X68,2)</f>
        <v/>
      </c>
      <c r="AA68" s="3">
        <f>IFERROR(W68/V68,"")</f>
        <v/>
      </c>
      <c r="AB68" s="3">
        <f>IFERROR(X68/V68,"")</f>
        <v/>
      </c>
      <c r="AC68" t="b">
        <v>0</v>
      </c>
      <c r="AD68" t="b">
        <v>0</v>
      </c>
      <c r="AE68" t="b">
        <v>0</v>
      </c>
      <c r="AF68" t="inlineStr">
        <is>
          <t>No</t>
        </is>
      </c>
      <c r="AI68" t="b">
        <v>1</v>
      </c>
      <c r="AJ68" t="n">
        <v>0</v>
      </c>
      <c r="AK68" t="inlineStr">
        <is>
          <t>Roche project. Extension is very likely.</t>
        </is>
      </c>
      <c r="AL68" t="inlineStr">
        <is>
          <t>ORG bIT</t>
        </is>
      </c>
      <c r="AM68" t="inlineStr">
        <is>
          <t>LSC - Life Science Cologne (Sascha B.)</t>
        </is>
      </c>
      <c r="AN68" t="inlineStr">
        <is>
          <t>CC Life Science Solutions (Sabine S.)</t>
        </is>
      </c>
      <c r="AO68" t="inlineStr">
        <is>
          <t>bridgingIT GmbH</t>
        </is>
      </c>
      <c r="AP68" t="inlineStr">
        <is>
          <t>Köln</t>
        </is>
      </c>
      <c r="AQ68" t="inlineStr">
        <is>
          <t>Sascha Beerhenke</t>
        </is>
      </c>
    </row>
    <row r="69">
      <c r="A69" t="inlineStr">
        <is>
          <t>10208</t>
        </is>
      </c>
      <c r="B69" t="inlineStr">
        <is>
          <t>37B4D2</t>
        </is>
      </c>
      <c r="C69" t="inlineStr">
        <is>
          <t>https://app.matchical.com/Consulting/ConsultantDetail?ConsultantId=2af0bd12-3741-48ef-ba56-36724d5e8e23</t>
        </is>
      </c>
      <c r="D69" t="inlineStr">
        <is>
          <t>Benjamin Dorp</t>
        </is>
      </c>
      <c r="E69" t="inlineStr">
        <is>
          <t>benjamin.dorp@bridging-it.de</t>
        </is>
      </c>
      <c r="F69" s="2" t="n">
        <v>45323</v>
      </c>
      <c r="G69" s="2" t="n">
        <v>37104</v>
      </c>
      <c r="H69" t="n">
        <v>6</v>
      </c>
      <c r="I69" t="n">
        <v>0</v>
      </c>
      <c r="J69" t="n">
        <v>1</v>
      </c>
      <c r="K69" s="2" t="n">
        <v>44563</v>
      </c>
      <c r="L69" s="2" t="n">
        <v>45691</v>
      </c>
      <c r="M69" s="2" t="n">
        <v>45838</v>
      </c>
      <c r="N69" t="b">
        <v>0</v>
      </c>
      <c r="O69" t="n">
        <v>25</v>
      </c>
      <c r="P69" t="n">
        <v>39.4</v>
      </c>
      <c r="Q69" t="n">
        <v>22.19</v>
      </c>
      <c r="R69">
        <f>ROUND(O69-P69,2)</f>
        <v/>
      </c>
      <c r="S69">
        <f>ROUND(O69-Q69,2)</f>
        <v/>
      </c>
      <c r="T69" s="3">
        <f>IFERROR(P69/O69,"")</f>
        <v/>
      </c>
      <c r="U69" s="3">
        <f>IFERROR(Q69/O69,"")</f>
        <v/>
      </c>
      <c r="V69" t="n">
        <v>270</v>
      </c>
      <c r="W69" t="n">
        <v>65.59999999999999</v>
      </c>
      <c r="X69" t="n">
        <v>29.81</v>
      </c>
      <c r="Y69">
        <f>ROUND(V69-W69,2)</f>
        <v/>
      </c>
      <c r="Z69">
        <f>ROUND(V69-X69,2)</f>
        <v/>
      </c>
      <c r="AA69" s="3">
        <f>IFERROR(W69/V69,"")</f>
        <v/>
      </c>
      <c r="AB69" s="3">
        <f>IFERROR(X69/V69,"")</f>
        <v/>
      </c>
      <c r="AC69" t="b">
        <v>0</v>
      </c>
      <c r="AD69" t="b">
        <v>0</v>
      </c>
      <c r="AE69" t="b">
        <v>0</v>
      </c>
      <c r="AF69" t="inlineStr">
        <is>
          <t>No</t>
        </is>
      </c>
      <c r="AI69" t="b">
        <v>0</v>
      </c>
      <c r="AJ69" t="n">
        <v>0</v>
      </c>
      <c r="AK69" t="inlineStr">
        <is>
          <t>From March 1, deployed at REWE Digital; until then, at the Agile SPIE training sessions.</t>
        </is>
      </c>
      <c r="AL69" t="inlineStr">
        <is>
          <t>ORG bIT</t>
        </is>
      </c>
      <c r="AM69" t="inlineStr">
        <is>
          <t>AMC - Agility Masters Cologne (Severin E.)</t>
        </is>
      </c>
      <c r="AN69" t="inlineStr">
        <is>
          <t>BTC - Business Transformation Cologne (Anna S.)</t>
        </is>
      </c>
      <c r="AO69" t="inlineStr">
        <is>
          <t>bridgingIT GmbH</t>
        </is>
      </c>
      <c r="AP69" t="inlineStr">
        <is>
          <t>Köln</t>
        </is>
      </c>
      <c r="AQ69" t="inlineStr">
        <is>
          <t>Severin Etzbach</t>
        </is>
      </c>
    </row>
    <row r="70">
      <c r="A70" t="inlineStr">
        <is>
          <t>1199</t>
        </is>
      </c>
      <c r="B70" t="inlineStr">
        <is>
          <t>58EBAE</t>
        </is>
      </c>
      <c r="C70" t="inlineStr">
        <is>
          <t>https://app.matchical.com/Consulting/ConsultantDetail?ConsultantId=816bd6b8-8b72-4058-b556-9794d8d9a0fb</t>
        </is>
      </c>
      <c r="D70" t="inlineStr">
        <is>
          <t>Benjamin Gerlach</t>
        </is>
      </c>
      <c r="E70" t="inlineStr">
        <is>
          <t>benjamin.gerlach@bridging-it.de</t>
        </is>
      </c>
      <c r="F70" s="2" t="n">
        <v>41122</v>
      </c>
      <c r="G70" s="2" t="n">
        <v>40848</v>
      </c>
      <c r="H70" t="n">
        <v>11</v>
      </c>
      <c r="I70" t="n">
        <v>0</v>
      </c>
      <c r="J70" t="n">
        <v>1</v>
      </c>
      <c r="K70" s="2" t="n">
        <v>45199</v>
      </c>
      <c r="L70" s="2" t="n">
        <v>43466</v>
      </c>
      <c r="M70" s="2" t="n">
        <v>45229</v>
      </c>
      <c r="N70" t="b">
        <v>0</v>
      </c>
      <c r="O70" t="n">
        <v>163</v>
      </c>
      <c r="P70" t="n">
        <v>340.38</v>
      </c>
      <c r="Q70" t="n">
        <v>162.79</v>
      </c>
      <c r="R70">
        <f>ROUND(O70-P70,2)</f>
        <v/>
      </c>
      <c r="S70">
        <f>ROUND(O70-Q70,2)</f>
        <v/>
      </c>
      <c r="T70" s="3">
        <f>IFERROR(P70/O70,"")</f>
        <v/>
      </c>
      <c r="U70" s="3">
        <f>IFERROR(Q70/O70,"")</f>
        <v/>
      </c>
      <c r="V70" t="n">
        <v>9</v>
      </c>
      <c r="W70" t="n">
        <v>7.75</v>
      </c>
      <c r="X70" t="n">
        <v>6.87</v>
      </c>
      <c r="Y70">
        <f>ROUND(V70-W70,2)</f>
        <v/>
      </c>
      <c r="Z70">
        <f>ROUND(V70-X70,2)</f>
        <v/>
      </c>
      <c r="AA70" s="3">
        <f>IFERROR(W70/V70,"")</f>
        <v/>
      </c>
      <c r="AB70" s="3">
        <f>IFERROR(X70/V70,"")</f>
        <v/>
      </c>
      <c r="AC70" t="b">
        <v>0</v>
      </c>
      <c r="AD70" t="b">
        <v>0</v>
      </c>
      <c r="AE70" t="b">
        <v>0</v>
      </c>
      <c r="AF70" t="inlineStr">
        <is>
          <t>No</t>
        </is>
      </c>
      <c r="AI70" t="b">
        <v>0</v>
      </c>
      <c r="AJ70" t="n">
        <v>0</v>
      </c>
      <c r="AK70" t="inlineStr"/>
      <c r="AL70" t="inlineStr">
        <is>
          <t>A&amp;SE Analytics &amp; Software Engineering (Philip R.)</t>
        </is>
      </c>
      <c r="AM70" t="inlineStr">
        <is>
          <t>DP Data Platforms (Martin K.)</t>
        </is>
      </c>
      <c r="AN70" t="inlineStr">
        <is>
          <t>A&amp;DDS - Analytics &amp; Data-driven Solutions (M. Hof)</t>
        </is>
      </c>
      <c r="AO70" t="inlineStr">
        <is>
          <t>bridgingIT GmbH</t>
        </is>
      </c>
      <c r="AP70" t="inlineStr">
        <is>
          <t>Mannheim</t>
        </is>
      </c>
      <c r="AQ70" t="inlineStr">
        <is>
          <t>Martin Klingenberg</t>
        </is>
      </c>
    </row>
    <row r="71">
      <c r="A71" t="inlineStr">
        <is>
          <t>10461</t>
        </is>
      </c>
      <c r="B71" t="inlineStr">
        <is>
          <t>F02784</t>
        </is>
      </c>
      <c r="C71" t="inlineStr">
        <is>
          <t>https://app.matchical.com/Consulting/ConsultantDetail?ConsultantId=d0b8b3e7-74af-4901-99da-e334ddb775c4</t>
        </is>
      </c>
      <c r="D71" t="inlineStr">
        <is>
          <t>Benjamin Kaplan</t>
        </is>
      </c>
      <c r="E71" t="inlineStr">
        <is>
          <t>benjamin.kaplan@bridging-it.de</t>
        </is>
      </c>
      <c r="F71" s="2" t="n">
        <v>46023</v>
      </c>
      <c r="G71" s="2" t="n">
        <v>45444</v>
      </c>
      <c r="H71" t="n">
        <v>4</v>
      </c>
      <c r="I71" t="n">
        <v>0</v>
      </c>
      <c r="J71" t="n">
        <v>0</v>
      </c>
      <c r="L71" s="2" t="n">
        <v>45869</v>
      </c>
      <c r="M71" s="2" t="n">
        <v>46008</v>
      </c>
      <c r="N71" t="b">
        <v>0</v>
      </c>
      <c r="O71" t="n">
        <v>2</v>
      </c>
      <c r="P71" t="n">
        <v>0</v>
      </c>
      <c r="Q71" t="n">
        <v>0</v>
      </c>
      <c r="R71">
        <f>ROUND(O71-P71,2)</f>
        <v/>
      </c>
      <c r="S71">
        <f>ROUND(O71-Q71,2)</f>
        <v/>
      </c>
      <c r="T71" s="3">
        <f>IFERROR(P71/O71,"")</f>
        <v/>
      </c>
      <c r="U71" s="3">
        <f>IFERROR(Q71/O71,"")</f>
        <v/>
      </c>
      <c r="V71" t="n">
        <v>19</v>
      </c>
      <c r="W71" t="n">
        <v>32.97</v>
      </c>
      <c r="X71" t="n">
        <v>19.02</v>
      </c>
      <c r="Y71">
        <f>ROUND(V71-W71,2)</f>
        <v/>
      </c>
      <c r="Z71">
        <f>ROUND(V71-X71,2)</f>
        <v/>
      </c>
      <c r="AA71" s="3">
        <f>IFERROR(W71/V71,"")</f>
        <v/>
      </c>
      <c r="AB71" s="3">
        <f>IFERROR(X71/V71,"")</f>
        <v/>
      </c>
      <c r="AC71" t="b">
        <v>0</v>
      </c>
      <c r="AD71" t="b">
        <v>0</v>
      </c>
      <c r="AE71" t="b">
        <v>0</v>
      </c>
      <c r="AF71" t="inlineStr">
        <is>
          <t>No</t>
        </is>
      </c>
      <c r="AI71" t="b">
        <v>1</v>
      </c>
      <c r="AJ71" t="n">
        <v>0</v>
      </c>
      <c r="AK71" t="inlineStr"/>
      <c r="AL71" t="inlineStr">
        <is>
          <t>ORG bIT</t>
        </is>
      </c>
      <c r="AM71" t="inlineStr">
        <is>
          <t>SE Software Engineering Frankfurt (Andreas M.)</t>
        </is>
      </c>
      <c r="AN71" t="inlineStr">
        <is>
          <t>ES Enterprise Solutions (Dominik H.)</t>
        </is>
      </c>
      <c r="AO71" t="inlineStr">
        <is>
          <t>bridgingIT GmbH</t>
        </is>
      </c>
      <c r="AP71" t="inlineStr">
        <is>
          <t>Frankfurt</t>
        </is>
      </c>
      <c r="AQ71" t="inlineStr">
        <is>
          <t>Andreas Morgenstern</t>
        </is>
      </c>
    </row>
    <row r="72">
      <c r="A72" t="inlineStr">
        <is>
          <t>8531</t>
        </is>
      </c>
      <c r="B72" t="inlineStr">
        <is>
          <t>B565E9</t>
        </is>
      </c>
      <c r="C72" t="inlineStr">
        <is>
          <t>https://app.matchical.com/Consulting/ConsultantDetail?ConsultantId=e10eded6-afe2-4056-81bd-332af82ff927</t>
        </is>
      </c>
      <c r="D72" t="inlineStr">
        <is>
          <t>Benjamin Kühne</t>
        </is>
      </c>
      <c r="E72" t="inlineStr">
        <is>
          <t>benjamin.kuehne@crafting-it.de</t>
        </is>
      </c>
      <c r="F72" s="2" t="n">
        <v>43709</v>
      </c>
      <c r="G72" s="2" t="n">
        <v>36039</v>
      </c>
      <c r="H72" t="n">
        <v>8</v>
      </c>
      <c r="I72" t="n">
        <v>1</v>
      </c>
      <c r="J72" t="n">
        <v>1</v>
      </c>
      <c r="K72" s="2" t="n">
        <v>43709</v>
      </c>
      <c r="L72" s="2" t="n">
        <v>45292</v>
      </c>
      <c r="M72" s="2" t="n">
        <v>45657</v>
      </c>
      <c r="N72" t="b">
        <v>0</v>
      </c>
      <c r="O72" t="n">
        <v>78</v>
      </c>
      <c r="P72" t="n">
        <v>130.78</v>
      </c>
      <c r="Q72" t="n">
        <v>71.89</v>
      </c>
      <c r="R72">
        <f>ROUND(O72-P72,2)</f>
        <v/>
      </c>
      <c r="S72">
        <f>ROUND(O72-Q72,2)</f>
        <v/>
      </c>
      <c r="T72" s="3">
        <f>IFERROR(P72/O72,"")</f>
        <v/>
      </c>
      <c r="U72" s="3">
        <f>IFERROR(Q72/O72,"")</f>
        <v/>
      </c>
      <c r="V72" t="n">
        <v>252</v>
      </c>
      <c r="W72" t="n">
        <v>0</v>
      </c>
      <c r="X72" t="n">
        <v>0</v>
      </c>
      <c r="Y72">
        <f>ROUND(V72-W72,2)</f>
        <v/>
      </c>
      <c r="Z72">
        <f>ROUND(V72-X72,2)</f>
        <v/>
      </c>
      <c r="AA72" s="3">
        <f>IFERROR(W72/V72,"")</f>
        <v/>
      </c>
      <c r="AB72" s="3">
        <f>IFERROR(X72/V72,"")</f>
        <v/>
      </c>
      <c r="AC72" t="b">
        <v>0</v>
      </c>
      <c r="AD72" t="b">
        <v>0</v>
      </c>
      <c r="AE72" t="b">
        <v>0</v>
      </c>
      <c r="AF72" t="inlineStr">
        <is>
          <t>No</t>
        </is>
      </c>
      <c r="AI72" t="b">
        <v>0</v>
      </c>
      <c r="AJ72" t="n">
        <v>0</v>
      </c>
      <c r="AK72" t="inlineStr"/>
      <c r="AL72" t="inlineStr">
        <is>
          <t>ORG cIT</t>
        </is>
      </c>
      <c r="AM72" t="inlineStr">
        <is>
          <t>cIT Development</t>
        </is>
      </c>
      <c r="AN72" t="inlineStr">
        <is>
          <t>cIT Service Delivery Magdeburg (Steffen A.)</t>
        </is>
      </c>
      <c r="AO72" t="inlineStr">
        <is>
          <t>craftingIT GmbH</t>
        </is>
      </c>
      <c r="AP72" t="inlineStr">
        <is>
          <t>Magdeburg</t>
        </is>
      </c>
      <c r="AQ72" t="inlineStr">
        <is>
          <t>Jennifer Saalfeld</t>
        </is>
      </c>
    </row>
    <row r="73">
      <c r="A73" t="inlineStr">
        <is>
          <t>10454</t>
        </is>
      </c>
      <c r="B73" t="inlineStr">
        <is>
          <t>D57902</t>
        </is>
      </c>
      <c r="C73" t="inlineStr">
        <is>
          <t>https://app.matchical.com/Consulting/ConsultantDetail?ConsultantId=c26478a3-16f2-4e69-9fdc-eb4396a2d889</t>
        </is>
      </c>
      <c r="D73" t="inlineStr">
        <is>
          <t>Berkcan Dincer</t>
        </is>
      </c>
      <c r="E73" t="inlineStr">
        <is>
          <t>berkcan.dincer@bridging-it.de</t>
        </is>
      </c>
      <c r="F73" s="2" t="n">
        <v>46054</v>
      </c>
      <c r="G73" s="2" t="n">
        <v>42979</v>
      </c>
      <c r="H73" t="n">
        <v>3</v>
      </c>
      <c r="I73" t="n">
        <v>0</v>
      </c>
      <c r="J73" t="n">
        <v>1</v>
      </c>
      <c r="K73" s="2" t="n">
        <v>45382</v>
      </c>
      <c r="L73" s="2" t="n">
        <v>44742</v>
      </c>
      <c r="M73" s="2" t="n">
        <v>45351</v>
      </c>
      <c r="N73" t="b">
        <v>0</v>
      </c>
      <c r="O73" t="n">
        <v>1</v>
      </c>
      <c r="P73" t="n">
        <v>0.73</v>
      </c>
      <c r="Q73" t="n">
        <v>0.73</v>
      </c>
      <c r="R73">
        <f>ROUND(O73-P73,2)</f>
        <v/>
      </c>
      <c r="S73">
        <f>ROUND(O73-Q73,2)</f>
        <v/>
      </c>
      <c r="T73" s="3">
        <f>IFERROR(P73/O73,"")</f>
        <v/>
      </c>
      <c r="U73" s="3">
        <f>IFERROR(Q73/O73,"")</f>
        <v/>
      </c>
      <c r="V73" t="n">
        <v>101</v>
      </c>
      <c r="W73" t="n">
        <v>53.27</v>
      </c>
      <c r="X73" t="n">
        <v>53.27</v>
      </c>
      <c r="Y73">
        <f>ROUND(V73-W73,2)</f>
        <v/>
      </c>
      <c r="Z73">
        <f>ROUND(V73-X73,2)</f>
        <v/>
      </c>
      <c r="AA73" s="3">
        <f>IFERROR(W73/V73,"")</f>
        <v/>
      </c>
      <c r="AB73" s="3">
        <f>IFERROR(X73/V73,"")</f>
        <v/>
      </c>
      <c r="AC73" t="b">
        <v>0</v>
      </c>
      <c r="AD73" t="b">
        <v>0</v>
      </c>
      <c r="AE73" t="b">
        <v>0</v>
      </c>
      <c r="AF73" t="inlineStr">
        <is>
          <t>No</t>
        </is>
      </c>
      <c r="AI73" t="b">
        <v>1</v>
      </c>
      <c r="AJ73" t="n">
        <v>0</v>
      </c>
      <c r="AK73" t="inlineStr"/>
      <c r="AL73" t="inlineStr">
        <is>
          <t>IT - Information Technology (Sebastian L.)</t>
        </is>
      </c>
      <c r="AM73" t="inlineStr">
        <is>
          <t>P&amp;P - Processes &amp; Platforms (Bernd O.)</t>
        </is>
      </c>
      <c r="AN73" t="inlineStr">
        <is>
          <t>P&amp;DE - Platforms &amp; Digital Ecosystems (David S.)</t>
        </is>
      </c>
      <c r="AO73" t="inlineStr">
        <is>
          <t>bridgingIT GmbH</t>
        </is>
      </c>
      <c r="AP73" t="inlineStr">
        <is>
          <t>Mannheim</t>
        </is>
      </c>
      <c r="AQ73" t="inlineStr">
        <is>
          <t>Bernd Opitz</t>
        </is>
      </c>
    </row>
    <row r="74">
      <c r="A74" t="inlineStr">
        <is>
          <t>1326</t>
        </is>
      </c>
      <c r="B74" t="inlineStr">
        <is>
          <t>D1D8B1</t>
        </is>
      </c>
      <c r="C74" t="inlineStr">
        <is>
          <t>https://app.matchical.com/Consulting/ConsultantDetail?ConsultantId=f46e8c4b-7bb8-4ca8-9400-9dd8b4f8b976</t>
        </is>
      </c>
      <c r="D74" t="inlineStr">
        <is>
          <t>Bernd Opitz</t>
        </is>
      </c>
      <c r="E74" t="inlineStr">
        <is>
          <t>bernd.opitz@bridging-it.de</t>
        </is>
      </c>
      <c r="F74" s="2" t="n">
        <v>42370</v>
      </c>
      <c r="G74" s="2" t="n">
        <v>41579</v>
      </c>
      <c r="H74" t="n">
        <v>9</v>
      </c>
      <c r="I74" t="n">
        <v>0</v>
      </c>
      <c r="J74" t="n">
        <v>1</v>
      </c>
      <c r="K74" s="2" t="n">
        <v>44089</v>
      </c>
      <c r="L74" s="2" t="n">
        <v>44395</v>
      </c>
      <c r="M74" s="2" t="n">
        <v>44882</v>
      </c>
      <c r="N74" t="b">
        <v>0</v>
      </c>
      <c r="O74" t="n">
        <v>122</v>
      </c>
      <c r="P74" t="n">
        <v>164</v>
      </c>
      <c r="Q74" t="n">
        <v>121</v>
      </c>
      <c r="R74">
        <f>ROUND(O74-P74,2)</f>
        <v/>
      </c>
      <c r="S74">
        <f>ROUND(O74-Q74,2)</f>
        <v/>
      </c>
      <c r="T74" s="3">
        <f>IFERROR(P74/O74,"")</f>
        <v/>
      </c>
      <c r="U74" s="3">
        <f>IFERROR(Q74/O74,"")</f>
        <v/>
      </c>
      <c r="V74" t="n">
        <v>26</v>
      </c>
      <c r="W74" t="n">
        <v>36</v>
      </c>
      <c r="X74" t="n">
        <v>21</v>
      </c>
      <c r="Y74">
        <f>ROUND(V74-W74,2)</f>
        <v/>
      </c>
      <c r="Z74">
        <f>ROUND(V74-X74,2)</f>
        <v/>
      </c>
      <c r="AA74" s="3">
        <f>IFERROR(W74/V74,"")</f>
        <v/>
      </c>
      <c r="AB74" s="3">
        <f>IFERROR(X74/V74,"")</f>
        <v/>
      </c>
      <c r="AC74" t="b">
        <v>0</v>
      </c>
      <c r="AD74" t="b">
        <v>0</v>
      </c>
      <c r="AE74" t="b">
        <v>0</v>
      </c>
      <c r="AF74" t="inlineStr">
        <is>
          <t>No</t>
        </is>
      </c>
      <c r="AI74" t="b">
        <v>0</v>
      </c>
      <c r="AJ74" t="n">
        <v>0</v>
      </c>
      <c r="AK74" t="inlineStr"/>
      <c r="AL74" t="inlineStr">
        <is>
          <t>IT - Information Technology (Sebastian L.)</t>
        </is>
      </c>
      <c r="AM74" t="inlineStr">
        <is>
          <t>P&amp;P - Processes &amp; Platforms (Bernd O.)</t>
        </is>
      </c>
      <c r="AN74" t="inlineStr">
        <is>
          <t>P&amp;DE - Platforms &amp; Digital Ecosystems (David S.)</t>
        </is>
      </c>
      <c r="AO74" t="inlineStr">
        <is>
          <t>bridgingIT GmbH</t>
        </is>
      </c>
      <c r="AP74" t="inlineStr">
        <is>
          <t>Mannheim</t>
        </is>
      </c>
      <c r="AQ74" t="inlineStr">
        <is>
          <t>David Schleweis</t>
        </is>
      </c>
    </row>
    <row r="75">
      <c r="A75" t="inlineStr">
        <is>
          <t>4145</t>
        </is>
      </c>
      <c r="B75" t="inlineStr">
        <is>
          <t>E53BE0</t>
        </is>
      </c>
      <c r="C75" t="inlineStr">
        <is>
          <t>https://app.matchical.com/Consulting/ConsultantDetail?ConsultantId=72b500fe-715e-49b2-abb5-d15e12fbb217</t>
        </is>
      </c>
      <c r="D75" t="inlineStr">
        <is>
          <t>Bernhard Gebert</t>
        </is>
      </c>
      <c r="E75" t="inlineStr">
        <is>
          <t>bernhard.gebert@bridging-it.de</t>
        </is>
      </c>
      <c r="F75" s="2" t="n">
        <v>44743</v>
      </c>
      <c r="G75" s="2" t="n">
        <v>32387</v>
      </c>
      <c r="H75" t="n">
        <v>7</v>
      </c>
      <c r="I75" t="n">
        <v>0</v>
      </c>
      <c r="J75" t="n">
        <v>1</v>
      </c>
      <c r="K75" s="2" t="n">
        <v>45230</v>
      </c>
      <c r="L75" s="2" t="n">
        <v>44958</v>
      </c>
      <c r="M75" s="2" t="n">
        <v>45198</v>
      </c>
      <c r="N75" t="b">
        <v>0</v>
      </c>
      <c r="O75" t="n">
        <v>44</v>
      </c>
      <c r="P75" t="n">
        <v>57.88</v>
      </c>
      <c r="Q75" t="n">
        <v>41.42</v>
      </c>
      <c r="R75">
        <f>ROUND(O75-P75,2)</f>
        <v/>
      </c>
      <c r="S75">
        <f>ROUND(O75-Q75,2)</f>
        <v/>
      </c>
      <c r="T75" s="3">
        <f>IFERROR(P75/O75,"")</f>
        <v/>
      </c>
      <c r="U75" s="3">
        <f>IFERROR(Q75/O75,"")</f>
        <v/>
      </c>
      <c r="V75" t="n">
        <v>406</v>
      </c>
      <c r="W75" t="n">
        <v>72</v>
      </c>
      <c r="X75" t="n">
        <v>72</v>
      </c>
      <c r="Y75">
        <f>ROUND(V75-W75,2)</f>
        <v/>
      </c>
      <c r="Z75">
        <f>ROUND(V75-X75,2)</f>
        <v/>
      </c>
      <c r="AA75" s="3">
        <f>IFERROR(W75/V75,"")</f>
        <v/>
      </c>
      <c r="AB75" s="3">
        <f>IFERROR(X75/V75,"")</f>
        <v/>
      </c>
      <c r="AC75" t="b">
        <v>0</v>
      </c>
      <c r="AD75" t="b">
        <v>0</v>
      </c>
      <c r="AE75" t="b">
        <v>0</v>
      </c>
      <c r="AF75" t="inlineStr">
        <is>
          <t>Yes</t>
        </is>
      </c>
      <c r="AG75" s="2" t="n">
        <v>46113</v>
      </c>
      <c r="AI75" t="b">
        <v>1</v>
      </c>
      <c r="AJ75" t="n">
        <v>2.5</v>
      </c>
      <c r="AK75" t="inlineStr">
        <is>
          <t>Bernhard is an experienced IT project manager in a traditional environment and, since 2020, also active in an agile context as a Scrum Master or Product Owner. Ideally, we are looking for a Scrum Master position in a scaled Agile environment with additional bIT involvement.</t>
        </is>
      </c>
      <c r="AL75" t="inlineStr">
        <is>
          <t>ORG bIT Bayern</t>
        </is>
      </c>
      <c r="AM75" t="inlineStr">
        <is>
          <t>Agile Innovation - AIN (Simon S.)</t>
        </is>
      </c>
      <c r="AN75" t="inlineStr">
        <is>
          <t>BAT Business Agility &amp; Transformation (Marc S.)</t>
        </is>
      </c>
      <c r="AO75" t="inlineStr">
        <is>
          <t>bridgingIT GmbH</t>
        </is>
      </c>
      <c r="AP75" t="inlineStr">
        <is>
          <t>München</t>
        </is>
      </c>
      <c r="AQ75" t="inlineStr">
        <is>
          <t>Simon Sipple</t>
        </is>
      </c>
    </row>
    <row r="76">
      <c r="A76" t="inlineStr">
        <is>
          <t>5100</t>
        </is>
      </c>
      <c r="B76" t="inlineStr">
        <is>
          <t>03C03C</t>
        </is>
      </c>
      <c r="C76" t="inlineStr">
        <is>
          <t>https://app.matchical.com/Consulting/ConsultantDetail?ConsultantId=6e145a07-a171-4423-b165-7b1a38d3e2f5</t>
        </is>
      </c>
      <c r="D76" t="inlineStr">
        <is>
          <t>Bernhard Ricken</t>
        </is>
      </c>
      <c r="E76" t="inlineStr">
        <is>
          <t>bernhard.ricken@bridging-it.de</t>
        </is>
      </c>
      <c r="F76" s="2" t="n">
        <v>44774</v>
      </c>
      <c r="G76" s="2" t="n">
        <v>33604</v>
      </c>
      <c r="H76" t="n">
        <v>21</v>
      </c>
      <c r="I76" t="n">
        <v>0</v>
      </c>
      <c r="J76" t="n">
        <v>1</v>
      </c>
      <c r="K76" s="2" t="n">
        <v>44851</v>
      </c>
      <c r="L76" s="2" t="n">
        <v>45597</v>
      </c>
      <c r="M76" s="2" t="n">
        <v>45746</v>
      </c>
      <c r="N76" t="b">
        <v>0</v>
      </c>
      <c r="O76" t="n">
        <v>43</v>
      </c>
      <c r="P76" t="n">
        <v>88</v>
      </c>
      <c r="Q76" t="n">
        <v>41</v>
      </c>
      <c r="R76">
        <f>ROUND(O76-P76,2)</f>
        <v/>
      </c>
      <c r="S76">
        <f>ROUND(O76-Q76,2)</f>
        <v/>
      </c>
      <c r="T76" s="3">
        <f>IFERROR(P76/O76,"")</f>
        <v/>
      </c>
      <c r="U76" s="3">
        <f>IFERROR(Q76/O76,"")</f>
        <v/>
      </c>
      <c r="V76" t="n">
        <v>367</v>
      </c>
      <c r="W76" t="n">
        <v>614</v>
      </c>
      <c r="X76" t="n">
        <v>305</v>
      </c>
      <c r="Y76">
        <f>ROUND(V76-W76,2)</f>
        <v/>
      </c>
      <c r="Z76">
        <f>ROUND(V76-X76,2)</f>
        <v/>
      </c>
      <c r="AA76" s="3">
        <f>IFERROR(W76/V76,"")</f>
        <v/>
      </c>
      <c r="AB76" s="3">
        <f>IFERROR(X76/V76,"")</f>
        <v/>
      </c>
      <c r="AC76" t="b">
        <v>0</v>
      </c>
      <c r="AD76" t="b">
        <v>0</v>
      </c>
      <c r="AE76" t="b">
        <v>0</v>
      </c>
      <c r="AF76" t="inlineStr">
        <is>
          <t>Yes</t>
        </is>
      </c>
      <c r="AG76" s="2" t="n">
        <v>46143</v>
      </c>
      <c r="AI76" t="b">
        <v>0</v>
      </c>
      <c r="AJ76" t="n">
        <v>5</v>
      </c>
      <c r="AK76" t="inlineStr"/>
      <c r="AL76" t="inlineStr">
        <is>
          <t>ORG bIT</t>
        </is>
      </c>
      <c r="AM76" t="inlineStr">
        <is>
          <t>AAC - Advanced Automation Cologne (Claudia P.)</t>
        </is>
      </c>
      <c r="AN76" t="inlineStr">
        <is>
          <t>DPC - Datalytics &amp; Process Cologne (Claudia P.)</t>
        </is>
      </c>
      <c r="AO76" t="inlineStr">
        <is>
          <t>bridgingIT GmbH</t>
        </is>
      </c>
      <c r="AP76" t="inlineStr">
        <is>
          <t>Köln</t>
        </is>
      </c>
      <c r="AQ76" t="inlineStr">
        <is>
          <t>Claudia Peters</t>
        </is>
      </c>
    </row>
    <row r="77">
      <c r="A77" t="inlineStr">
        <is>
          <t>8019</t>
        </is>
      </c>
      <c r="B77" t="inlineStr">
        <is>
          <t>D13CED</t>
        </is>
      </c>
      <c r="C77" t="inlineStr">
        <is>
          <t>https://app.matchical.com/Consulting/ConsultantDetail?ConsultantId=b208234a-b5e6-4fb3-8354-7e00758d9ab3</t>
        </is>
      </c>
      <c r="D77" t="inlineStr">
        <is>
          <t>Björn Decker</t>
        </is>
      </c>
      <c r="E77" t="inlineStr">
        <is>
          <t>bjoern.decker@crafting-it.de</t>
        </is>
      </c>
      <c r="F77" s="2" t="n">
        <v>41883</v>
      </c>
      <c r="G77" s="2" t="n">
        <v>38565</v>
      </c>
      <c r="H77" t="n">
        <v>10</v>
      </c>
      <c r="I77" t="n">
        <v>0</v>
      </c>
      <c r="J77" t="n">
        <v>0</v>
      </c>
      <c r="L77" s="2" t="n">
        <v>45474</v>
      </c>
      <c r="M77" s="2" t="n">
        <v>45657</v>
      </c>
      <c r="N77" t="b">
        <v>0</v>
      </c>
      <c r="O77" t="n">
        <v>138</v>
      </c>
      <c r="P77" t="n">
        <v>84.95999999999999</v>
      </c>
      <c r="Q77" t="n">
        <v>15.76</v>
      </c>
      <c r="R77">
        <f>ROUND(O77-P77,2)</f>
        <v/>
      </c>
      <c r="S77">
        <f>ROUND(O77-Q77,2)</f>
        <v/>
      </c>
      <c r="T77" s="3">
        <f>IFERROR(P77/O77,"")</f>
        <v/>
      </c>
      <c r="U77" s="3">
        <f>IFERROR(Q77/O77,"")</f>
        <v/>
      </c>
      <c r="V77" t="n">
        <v>109</v>
      </c>
      <c r="W77" t="n">
        <v>0</v>
      </c>
      <c r="X77" t="n">
        <v>0</v>
      </c>
      <c r="Y77">
        <f>ROUND(V77-W77,2)</f>
        <v/>
      </c>
      <c r="Z77">
        <f>ROUND(V77-X77,2)</f>
        <v/>
      </c>
      <c r="AA77" s="3">
        <f>IFERROR(W77/V77,"")</f>
        <v/>
      </c>
      <c r="AB77" s="3">
        <f>IFERROR(X77/V77,"")</f>
        <v/>
      </c>
      <c r="AC77" t="b">
        <v>0</v>
      </c>
      <c r="AD77" t="b">
        <v>0</v>
      </c>
      <c r="AE77" t="b">
        <v>0</v>
      </c>
      <c r="AF77" t="inlineStr">
        <is>
          <t>Yes</t>
        </is>
      </c>
      <c r="AG77" s="2" t="n">
        <v>45809</v>
      </c>
      <c r="AI77" t="b">
        <v>1</v>
      </c>
      <c r="AJ77" t="n">
        <v>1.5</v>
      </c>
      <c r="AK77" t="inlineStr"/>
      <c r="AL77" t="inlineStr">
        <is>
          <t>ORG cIT</t>
        </is>
      </c>
      <c r="AM77" t="inlineStr">
        <is>
          <t>cIT AMS / GIS Services (Michael B.)</t>
        </is>
      </c>
      <c r="AN77" t="inlineStr">
        <is>
          <t>cIT Service Delivery Magdeburg (Steffen A.)</t>
        </is>
      </c>
      <c r="AO77" t="inlineStr">
        <is>
          <t>craftingIT GmbH</t>
        </is>
      </c>
      <c r="AP77" t="inlineStr">
        <is>
          <t>Magdeburg</t>
        </is>
      </c>
      <c r="AQ77" t="inlineStr">
        <is>
          <t>Michael Buchter</t>
        </is>
      </c>
    </row>
    <row r="78">
      <c r="A78" t="inlineStr">
        <is>
          <t>10447</t>
        </is>
      </c>
      <c r="B78" t="inlineStr">
        <is>
          <t>596316</t>
        </is>
      </c>
      <c r="C78" t="inlineStr">
        <is>
          <t>https://app.matchical.com/Consulting/ConsultantDetail?ConsultantId=26401890-b8bb-4ff2-8f84-2fc1c93fb57e</t>
        </is>
      </c>
      <c r="D78" t="inlineStr">
        <is>
          <t>Björn Letmade</t>
        </is>
      </c>
      <c r="E78" t="inlineStr">
        <is>
          <t>bjoern.letmade@bridging-it.de</t>
        </is>
      </c>
      <c r="F78" s="2" t="n">
        <v>46082</v>
      </c>
      <c r="H78" t="n">
        <v>2</v>
      </c>
      <c r="I78" t="n">
        <v>0</v>
      </c>
      <c r="J78" t="n">
        <v>0</v>
      </c>
      <c r="L78" s="2" t="n">
        <v>45808</v>
      </c>
      <c r="M78" s="2" t="n">
        <v>45981</v>
      </c>
      <c r="N78" t="b">
        <v>1</v>
      </c>
      <c r="O78" t="n">
        <v>0</v>
      </c>
      <c r="P78" t="n">
        <v>0</v>
      </c>
      <c r="Q78" t="n">
        <v>0</v>
      </c>
      <c r="R78">
        <f>ROUND(O78-P78,2)</f>
        <v/>
      </c>
      <c r="S78">
        <f>ROUND(O78-Q78,2)</f>
        <v/>
      </c>
      <c r="T78" s="3">
        <f>IFERROR(P78/O78,"")</f>
        <v/>
      </c>
      <c r="U78" s="3">
        <f>IFERROR(Q78/O78,"")</f>
        <v/>
      </c>
      <c r="V78" t="n">
        <v>1514</v>
      </c>
      <c r="W78" t="n">
        <v>42</v>
      </c>
      <c r="X78" t="n">
        <v>40</v>
      </c>
      <c r="Y78">
        <f>ROUND(V78-W78,2)</f>
        <v/>
      </c>
      <c r="Z78">
        <f>ROUND(V78-X78,2)</f>
        <v/>
      </c>
      <c r="AA78" s="3">
        <f>IFERROR(W78/V78,"")</f>
        <v/>
      </c>
      <c r="AB78" s="3">
        <f>IFERROR(X78/V78,"")</f>
        <v/>
      </c>
      <c r="AC78" t="b">
        <v>0</v>
      </c>
      <c r="AD78" t="b">
        <v>0</v>
      </c>
      <c r="AE78" t="b">
        <v>0</v>
      </c>
      <c r="AF78" t="inlineStr">
        <is>
          <t>No</t>
        </is>
      </c>
      <c r="AI78" t="b">
        <v>1</v>
      </c>
      <c r="AJ78" t="n">
        <v>0</v>
      </c>
      <c r="AK78" t="inlineStr"/>
      <c r="AL78" t="inlineStr">
        <is>
          <t>IT - Information Technology (HH)</t>
        </is>
      </c>
      <c r="AM78" t="inlineStr">
        <is>
          <t>CRM I - Platform Solutions &amp; CRM (Fortunato D. D.)</t>
        </is>
      </c>
      <c r="AN78" t="inlineStr">
        <is>
          <t>BAA HH (Torben H.)</t>
        </is>
      </c>
      <c r="AO78" t="inlineStr">
        <is>
          <t>bridgingIT GmbH</t>
        </is>
      </c>
      <c r="AP78" t="inlineStr">
        <is>
          <t>Hamburg</t>
        </is>
      </c>
      <c r="AQ78" t="inlineStr">
        <is>
          <t>Fortunato Di Donato</t>
        </is>
      </c>
    </row>
    <row r="79">
      <c r="A79" t="inlineStr">
        <is>
          <t>2247</t>
        </is>
      </c>
      <c r="B79" t="inlineStr">
        <is>
          <t>9EDB57</t>
        </is>
      </c>
      <c r="C79" t="inlineStr">
        <is>
          <t>https://app.matchical.com/Consulting/ConsultantDetail?ConsultantId=1146af42-eb61-4e77-b67d-c3469f16349d</t>
        </is>
      </c>
      <c r="D79" t="inlineStr">
        <is>
          <t>Bojan Jaksic</t>
        </is>
      </c>
      <c r="E79" t="inlineStr">
        <is>
          <t>bojan.jaksic@bridging-it.de</t>
        </is>
      </c>
      <c r="F79" s="2" t="n">
        <v>43586</v>
      </c>
      <c r="G79" s="2" t="n">
        <v>38810</v>
      </c>
      <c r="H79" t="n">
        <v>5</v>
      </c>
      <c r="I79" t="n">
        <v>0</v>
      </c>
      <c r="J79" t="n">
        <v>4</v>
      </c>
      <c r="K79" s="2" t="n">
        <v>43100</v>
      </c>
      <c r="L79" s="2" t="n">
        <v>42247</v>
      </c>
      <c r="M79" s="2" t="n">
        <v>43585</v>
      </c>
      <c r="N79" t="b">
        <v>0</v>
      </c>
      <c r="O79" t="n">
        <v>82</v>
      </c>
      <c r="P79" t="n">
        <v>266.16</v>
      </c>
      <c r="Q79" t="n">
        <v>81.84</v>
      </c>
      <c r="R79">
        <f>ROUND(O79-P79,2)</f>
        <v/>
      </c>
      <c r="S79">
        <f>ROUND(O79-Q79,2)</f>
        <v/>
      </c>
      <c r="T79" s="3">
        <f>IFERROR(P79/O79,"")</f>
        <v/>
      </c>
      <c r="U79" s="3">
        <f>IFERROR(Q79/O79,"")</f>
        <v/>
      </c>
      <c r="V79" t="n">
        <v>157</v>
      </c>
      <c r="W79" t="n">
        <v>59.84</v>
      </c>
      <c r="X79" t="n">
        <v>41.83</v>
      </c>
      <c r="Y79">
        <f>ROUND(V79-W79,2)</f>
        <v/>
      </c>
      <c r="Z79">
        <f>ROUND(V79-X79,2)</f>
        <v/>
      </c>
      <c r="AA79" s="3">
        <f>IFERROR(W79/V79,"")</f>
        <v/>
      </c>
      <c r="AB79" s="3">
        <f>IFERROR(X79/V79,"")</f>
        <v/>
      </c>
      <c r="AC79" t="b">
        <v>0</v>
      </c>
      <c r="AD79" t="b">
        <v>0</v>
      </c>
      <c r="AE79" t="b">
        <v>0</v>
      </c>
      <c r="AF79" t="inlineStr">
        <is>
          <t>No</t>
        </is>
      </c>
      <c r="AI79" t="b">
        <v>0</v>
      </c>
      <c r="AJ79" t="n">
        <v>0</v>
      </c>
      <c r="AK79" t="inlineStr">
        <is>
          <t xml:space="preserve">Frontend-/Cross-Platform development (Angular/React)
Software architectures
Custom backend development
</t>
        </is>
      </c>
      <c r="AL79" t="inlineStr">
        <is>
          <t>ES Enterprise Solutions (Gina H.)</t>
        </is>
      </c>
      <c r="AM79" t="inlineStr">
        <is>
          <t>IEM .Net II (Aleksandar B.)</t>
        </is>
      </c>
      <c r="AN79" t="inlineStr">
        <is>
          <t>IEJ Individualentwicklung JAVA (Dominik S.)</t>
        </is>
      </c>
      <c r="AO79" t="inlineStr">
        <is>
          <t>bridgingIT GmbH</t>
        </is>
      </c>
      <c r="AP79" t="inlineStr">
        <is>
          <t>Stuttgart</t>
        </is>
      </c>
      <c r="AQ79" t="inlineStr">
        <is>
          <t>Aleksandar Blagojevic</t>
        </is>
      </c>
    </row>
    <row r="80">
      <c r="A80" t="inlineStr">
        <is>
          <t>1312</t>
        </is>
      </c>
      <c r="B80" t="inlineStr">
        <is>
          <t>D41F39</t>
        </is>
      </c>
      <c r="C80" t="inlineStr">
        <is>
          <t>https://app.matchical.com/Consulting/ConsultantDetail?ConsultantId=d837acb2-4793-4b52-82fe-fec930285f72</t>
        </is>
      </c>
      <c r="D80" t="inlineStr">
        <is>
          <t>Boris Bergner</t>
        </is>
      </c>
      <c r="E80" t="inlineStr">
        <is>
          <t>boris.bergner@bridging-it.de</t>
        </is>
      </c>
      <c r="F80" s="2" t="n">
        <v>42370</v>
      </c>
      <c r="G80" s="2" t="n">
        <v>38292</v>
      </c>
      <c r="H80" t="n">
        <v>14</v>
      </c>
      <c r="I80" t="n">
        <v>0</v>
      </c>
      <c r="J80" t="n">
        <v>4</v>
      </c>
      <c r="K80" s="2" t="n">
        <v>44098</v>
      </c>
      <c r="L80" s="2" t="n">
        <v>45962</v>
      </c>
      <c r="M80" s="2" t="n">
        <v>46022</v>
      </c>
      <c r="N80" t="b">
        <v>0</v>
      </c>
      <c r="O80" t="n">
        <v>122</v>
      </c>
      <c r="P80" t="n">
        <v>305</v>
      </c>
      <c r="Q80" t="n">
        <v>121.79</v>
      </c>
      <c r="R80">
        <f>ROUND(O80-P80,2)</f>
        <v/>
      </c>
      <c r="S80">
        <f>ROUND(O80-Q80,2)</f>
        <v/>
      </c>
      <c r="T80" s="3">
        <f>IFERROR(P80/O80,"")</f>
        <v/>
      </c>
      <c r="U80" s="3">
        <f>IFERROR(Q80/O80,"")</f>
        <v/>
      </c>
      <c r="V80" t="n">
        <v>134</v>
      </c>
      <c r="W80" t="n">
        <v>70</v>
      </c>
      <c r="X80" t="n">
        <v>70</v>
      </c>
      <c r="Y80">
        <f>ROUND(V80-W80,2)</f>
        <v/>
      </c>
      <c r="Z80">
        <f>ROUND(V80-X80,2)</f>
        <v/>
      </c>
      <c r="AA80" s="3">
        <f>IFERROR(W80/V80,"")</f>
        <v/>
      </c>
      <c r="AB80" s="3">
        <f>IFERROR(X80/V80,"")</f>
        <v/>
      </c>
      <c r="AC80" t="b">
        <v>0</v>
      </c>
      <c r="AD80" t="b">
        <v>0</v>
      </c>
      <c r="AE80" t="b">
        <v>0</v>
      </c>
      <c r="AF80" t="inlineStr">
        <is>
          <t>No</t>
        </is>
      </c>
      <c r="AI80" t="b">
        <v>0</v>
      </c>
      <c r="AJ80" t="n">
        <v>0</v>
      </c>
      <c r="AK80" t="inlineStr"/>
      <c r="AL80" t="inlineStr">
        <is>
          <t>ORG bIT</t>
        </is>
      </c>
      <c r="AM80" t="inlineStr">
        <is>
          <t>QE Quality Engineering (Boris B.)</t>
        </is>
      </c>
      <c r="AN80" t="inlineStr">
        <is>
          <t>TH Transformation Hub (Ulrich W.)</t>
        </is>
      </c>
      <c r="AO80" t="inlineStr">
        <is>
          <t>bridgingIT GmbH</t>
        </is>
      </c>
      <c r="AP80" t="inlineStr">
        <is>
          <t>Frankfurt</t>
        </is>
      </c>
      <c r="AQ80" t="inlineStr">
        <is>
          <t>Ulrich Waltinger</t>
        </is>
      </c>
    </row>
    <row r="81">
      <c r="A81" t="inlineStr">
        <is>
          <t>10118</t>
        </is>
      </c>
      <c r="B81" t="inlineStr">
        <is>
          <t>731FD6</t>
        </is>
      </c>
      <c r="C81" t="inlineStr">
        <is>
          <t>https://app.matchical.com/Consulting/ConsultantDetail?ConsultantId=9bbba85e-5b43-4c10-b9e8-ee12d6e93b89</t>
        </is>
      </c>
      <c r="D81" t="inlineStr">
        <is>
          <t>Britta Manthée</t>
        </is>
      </c>
      <c r="E81" t="inlineStr">
        <is>
          <t>britta.manthee@bridging-it.de</t>
        </is>
      </c>
      <c r="F81" s="2" t="n">
        <v>45017</v>
      </c>
      <c r="G81" s="2" t="n">
        <v>40391</v>
      </c>
      <c r="H81" t="n">
        <v>8</v>
      </c>
      <c r="I81" t="n">
        <v>0</v>
      </c>
      <c r="J81" t="n">
        <v>0</v>
      </c>
      <c r="L81" s="2" t="n">
        <v>45382</v>
      </c>
      <c r="M81" s="2" t="n">
        <v>45776</v>
      </c>
      <c r="N81" t="b">
        <v>0</v>
      </c>
      <c r="O81" t="n">
        <v>35</v>
      </c>
      <c r="P81" t="n">
        <v>74.77</v>
      </c>
      <c r="Q81" t="n">
        <v>34.83</v>
      </c>
      <c r="R81">
        <f>ROUND(O81-P81,2)</f>
        <v/>
      </c>
      <c r="S81">
        <f>ROUND(O81-Q81,2)</f>
        <v/>
      </c>
      <c r="T81" s="3">
        <f>IFERROR(P81/O81,"")</f>
        <v/>
      </c>
      <c r="U81" s="3">
        <f>IFERROR(Q81/O81,"")</f>
        <v/>
      </c>
      <c r="V81" t="n">
        <v>152</v>
      </c>
      <c r="W81" t="n">
        <v>78.09999999999999</v>
      </c>
      <c r="X81" t="n">
        <v>78.04000000000001</v>
      </c>
      <c r="Y81">
        <f>ROUND(V81-W81,2)</f>
        <v/>
      </c>
      <c r="Z81">
        <f>ROUND(V81-X81,2)</f>
        <v/>
      </c>
      <c r="AA81" s="3">
        <f>IFERROR(W81/V81,"")</f>
        <v/>
      </c>
      <c r="AB81" s="3">
        <f>IFERROR(X81/V81,"")</f>
        <v/>
      </c>
      <c r="AC81" t="b">
        <v>0</v>
      </c>
      <c r="AD81" t="b">
        <v>0</v>
      </c>
      <c r="AE81" t="b">
        <v>0</v>
      </c>
      <c r="AF81" t="inlineStr">
        <is>
          <t>No</t>
        </is>
      </c>
      <c r="AI81" t="b">
        <v>1</v>
      </c>
      <c r="AJ81" t="n">
        <v>0</v>
      </c>
      <c r="AK81" t="inlineStr">
        <is>
          <t>PO, project management, business analysis, PO coaching, business coaching</t>
        </is>
      </c>
      <c r="AL81" t="inlineStr">
        <is>
          <t>ORG bIT</t>
        </is>
      </c>
      <c r="AM81" t="inlineStr">
        <is>
          <t>AO Agile Organization (Katharina G.)</t>
        </is>
      </c>
      <c r="AN81" t="inlineStr">
        <is>
          <t>TH Transformation Hub (Ulrich W.)</t>
        </is>
      </c>
      <c r="AO81" t="inlineStr">
        <is>
          <t>bridgingIT GmbH</t>
        </is>
      </c>
      <c r="AP81" t="inlineStr">
        <is>
          <t>Frankfurt</t>
        </is>
      </c>
      <c r="AQ81" t="inlineStr">
        <is>
          <t>Katharina Gossen</t>
        </is>
      </c>
    </row>
    <row r="82">
      <c r="A82" t="inlineStr">
        <is>
          <t>7042</t>
        </is>
      </c>
      <c r="B82" t="inlineStr">
        <is>
          <t>B2D719</t>
        </is>
      </c>
      <c r="C82" t="inlineStr">
        <is>
          <t>https://app.matchical.com/Consulting/ConsultantDetail?ConsultantId=d12e690c-64d6-488a-8330-9403717ee828</t>
        </is>
      </c>
      <c r="D82" t="inlineStr">
        <is>
          <t>Cansu Akdemir</t>
        </is>
      </c>
      <c r="E82" t="inlineStr">
        <is>
          <t>cansu.akdemir@bridging-it.de</t>
        </is>
      </c>
      <c r="F82" s="2" t="n">
        <v>44652</v>
      </c>
      <c r="G82" s="2" t="n">
        <v>44652</v>
      </c>
      <c r="H82" t="n">
        <v>8</v>
      </c>
      <c r="I82" t="n">
        <v>0</v>
      </c>
      <c r="J82" t="n">
        <v>0</v>
      </c>
      <c r="L82" s="2" t="n">
        <v>45522</v>
      </c>
      <c r="M82" s="2" t="n">
        <v>46070</v>
      </c>
      <c r="N82" t="b">
        <v>0</v>
      </c>
      <c r="O82" t="n">
        <v>47</v>
      </c>
      <c r="P82" t="n">
        <v>85</v>
      </c>
      <c r="Q82" t="n">
        <v>46</v>
      </c>
      <c r="R82">
        <f>ROUND(O82-P82,2)</f>
        <v/>
      </c>
      <c r="S82">
        <f>ROUND(O82-Q82,2)</f>
        <v/>
      </c>
      <c r="T82" s="3">
        <f>IFERROR(P82/O82,"")</f>
        <v/>
      </c>
      <c r="U82" s="3">
        <f>IFERROR(Q82/O82,"")</f>
        <v/>
      </c>
      <c r="V82" t="n">
        <v>0</v>
      </c>
      <c r="W82" t="n">
        <v>0</v>
      </c>
      <c r="X82" t="n">
        <v>0</v>
      </c>
      <c r="Y82">
        <f>ROUND(V82-W82,2)</f>
        <v/>
      </c>
      <c r="Z82">
        <f>ROUND(V82-X82,2)</f>
        <v/>
      </c>
      <c r="AA82" s="3">
        <f>IFERROR(W82/V82,"")</f>
        <v/>
      </c>
      <c r="AB82" s="3">
        <f>IFERROR(X82/V82,"")</f>
        <v/>
      </c>
      <c r="AC82" t="b">
        <v>0</v>
      </c>
      <c r="AD82" t="b">
        <v>0</v>
      </c>
      <c r="AE82" t="b">
        <v>0</v>
      </c>
      <c r="AF82" t="inlineStr">
        <is>
          <t>Yes</t>
        </is>
      </c>
      <c r="AG82" s="2" t="n">
        <v>46072</v>
      </c>
      <c r="AI82" t="b">
        <v>1</v>
      </c>
      <c r="AJ82" t="n">
        <v>5</v>
      </c>
      <c r="AK82" t="inlineStr">
        <is>
          <t>Desire to switch projects
Currently offered through a tender at Berliner Stadtwerke (80%-100%)</t>
        </is>
      </c>
      <c r="AL82" t="inlineStr">
        <is>
          <t>ORG bIT</t>
        </is>
      </c>
      <c r="AM82" t="inlineStr">
        <is>
          <t>A&amp;PM Agility &amp; Project Management (Lutz K.)</t>
        </is>
      </c>
      <c r="AN82" t="inlineStr">
        <is>
          <t>TH Transformation Hub BLN (Ulrich W.)</t>
        </is>
      </c>
      <c r="AO82" t="inlineStr">
        <is>
          <t>bridgingIT GmbH</t>
        </is>
      </c>
      <c r="AP82" t="inlineStr">
        <is>
          <t>Berlin</t>
        </is>
      </c>
      <c r="AQ82" t="inlineStr">
        <is>
          <t>Lutz Kempf</t>
        </is>
      </c>
    </row>
    <row r="83">
      <c r="A83" t="inlineStr">
        <is>
          <t>10094</t>
        </is>
      </c>
      <c r="B83" t="inlineStr">
        <is>
          <t>4398E3</t>
        </is>
      </c>
      <c r="C83" t="inlineStr">
        <is>
          <t>https://app.matchical.com/Consulting/ConsultantDetail?ConsultantId=c91a7849-5fbd-4865-b716-cd3a65f5f867</t>
        </is>
      </c>
      <c r="D83" t="inlineStr">
        <is>
          <t>Carina Zeiter</t>
        </is>
      </c>
      <c r="E83" t="inlineStr">
        <is>
          <t>carina.zeiter@bridging-it.de</t>
        </is>
      </c>
      <c r="F83" s="2" t="n">
        <v>45017</v>
      </c>
      <c r="G83" s="2" t="n">
        <v>43617</v>
      </c>
      <c r="H83" t="n">
        <v>8</v>
      </c>
      <c r="I83" t="n">
        <v>0</v>
      </c>
      <c r="J83" t="n">
        <v>1</v>
      </c>
      <c r="K83" s="2" t="n">
        <v>45747</v>
      </c>
      <c r="L83" s="2" t="n">
        <v>45046</v>
      </c>
      <c r="M83" s="2" t="n">
        <v>45960</v>
      </c>
      <c r="N83" t="b">
        <v>0</v>
      </c>
      <c r="O83" t="n">
        <v>35</v>
      </c>
      <c r="P83" t="n">
        <v>58</v>
      </c>
      <c r="Q83" t="n">
        <v>34.83</v>
      </c>
      <c r="R83">
        <f>ROUND(O83-P83,2)</f>
        <v/>
      </c>
      <c r="S83">
        <f>ROUND(O83-Q83,2)</f>
        <v/>
      </c>
      <c r="T83" s="3">
        <f>IFERROR(P83/O83,"")</f>
        <v/>
      </c>
      <c r="U83" s="3">
        <f>IFERROR(Q83/O83,"")</f>
        <v/>
      </c>
      <c r="V83" t="n">
        <v>46</v>
      </c>
      <c r="W83" t="n">
        <v>66.91</v>
      </c>
      <c r="X83" t="n">
        <v>46</v>
      </c>
      <c r="Y83">
        <f>ROUND(V83-W83,2)</f>
        <v/>
      </c>
      <c r="Z83">
        <f>ROUND(V83-X83,2)</f>
        <v/>
      </c>
      <c r="AA83" s="3">
        <f>IFERROR(W83/V83,"")</f>
        <v/>
      </c>
      <c r="AB83" s="3">
        <f>IFERROR(X83/V83,"")</f>
        <v/>
      </c>
      <c r="AC83" t="b">
        <v>0</v>
      </c>
      <c r="AD83" t="b">
        <v>0</v>
      </c>
      <c r="AE83" t="b">
        <v>0</v>
      </c>
      <c r="AF83" t="inlineStr">
        <is>
          <t>No</t>
        </is>
      </c>
      <c r="AI83" t="b">
        <v>1</v>
      </c>
      <c r="AJ83" t="n">
        <v>0</v>
      </c>
      <c r="AK83" t="inlineStr"/>
      <c r="AL83" t="inlineStr">
        <is>
          <t>ORG bIT Bayern</t>
        </is>
      </c>
      <c r="AM83" t="inlineStr">
        <is>
          <t>Business Transformation (BT) (Stefan S.)</t>
        </is>
      </c>
      <c r="AN83" t="inlineStr">
        <is>
          <t>BAT Business Agility &amp; Transformation (Marc S.)</t>
        </is>
      </c>
      <c r="AO83" t="inlineStr">
        <is>
          <t>bridgingIT GmbH</t>
        </is>
      </c>
      <c r="AP83" t="inlineStr">
        <is>
          <t>München</t>
        </is>
      </c>
      <c r="AQ83" t="inlineStr">
        <is>
          <t>Stefan Satzger</t>
        </is>
      </c>
    </row>
    <row r="84">
      <c r="A84" t="inlineStr">
        <is>
          <t>10404</t>
        </is>
      </c>
      <c r="B84" t="inlineStr">
        <is>
          <t>263682</t>
        </is>
      </c>
      <c r="C84" t="inlineStr">
        <is>
          <t>https://app.matchical.com/Consulting/ConsultantDetail?ConsultantId=48090306-8597-43b0-8de8-cc764c0dad81</t>
        </is>
      </c>
      <c r="D84" t="inlineStr">
        <is>
          <t>Carlo Knödler</t>
        </is>
      </c>
      <c r="E84" t="inlineStr">
        <is>
          <t>carlo.knoedler@bridging-it.de</t>
        </is>
      </c>
      <c r="F84" s="2" t="n">
        <v>45962</v>
      </c>
      <c r="G84" s="2" t="n">
        <v>44621</v>
      </c>
      <c r="H84" t="n">
        <v>5</v>
      </c>
      <c r="I84" t="n">
        <v>0</v>
      </c>
      <c r="J84" t="n">
        <v>0</v>
      </c>
      <c r="L84" s="2" t="n">
        <v>45961</v>
      </c>
      <c r="M84" s="2" t="n">
        <v>46022</v>
      </c>
      <c r="N84" t="b">
        <v>0</v>
      </c>
      <c r="O84" t="n">
        <v>4</v>
      </c>
      <c r="P84" t="n">
        <v>1.97</v>
      </c>
      <c r="Q84" t="n">
        <v>1.97</v>
      </c>
      <c r="R84">
        <f>ROUND(O84-P84,2)</f>
        <v/>
      </c>
      <c r="S84">
        <f>ROUND(O84-Q84,2)</f>
        <v/>
      </c>
      <c r="T84" s="3">
        <f>IFERROR(P84/O84,"")</f>
        <v/>
      </c>
      <c r="U84" s="3">
        <f>IFERROR(Q84/O84,"")</f>
        <v/>
      </c>
      <c r="V84" t="n">
        <v>44</v>
      </c>
      <c r="W84" t="n">
        <v>42.03</v>
      </c>
      <c r="X84" t="n">
        <v>37.03</v>
      </c>
      <c r="Y84">
        <f>ROUND(V84-W84,2)</f>
        <v/>
      </c>
      <c r="Z84">
        <f>ROUND(V84-X84,2)</f>
        <v/>
      </c>
      <c r="AA84" s="3">
        <f>IFERROR(W84/V84,"")</f>
        <v/>
      </c>
      <c r="AB84" s="3">
        <f>IFERROR(X84/V84,"")</f>
        <v/>
      </c>
      <c r="AC84" t="b">
        <v>0</v>
      </c>
      <c r="AD84" t="b">
        <v>0</v>
      </c>
      <c r="AE84" t="b">
        <v>0</v>
      </c>
      <c r="AF84" t="inlineStr">
        <is>
          <t>Yes</t>
        </is>
      </c>
      <c r="AG84" s="2" t="n">
        <v>46143</v>
      </c>
      <c r="AI84" t="b">
        <v>1</v>
      </c>
      <c r="AJ84" t="n">
        <v>5</v>
      </c>
      <c r="AK84" t="inlineStr">
        <is>
          <t>Carlo is an experienced innovation manager, Product Owner, and project manager (small-scale, hybrid, agile). His strength lies in bridging the worlds of development and business. He is willing to travel — also happy to work in the Düsseldorf area. If applicable, a part-time project also makes sense, as we plan to place Carlo at SPIE in ARENA2036.</t>
        </is>
      </c>
      <c r="AL84" t="inlineStr">
        <is>
          <t>DO Digital Organizations (Michael H.)</t>
        </is>
      </c>
      <c r="AM84" t="inlineStr">
        <is>
          <t>BT Business Transform. II (Patrick D.)</t>
        </is>
      </c>
      <c r="AN84" t="inlineStr">
        <is>
          <t>BT Business Transformation (Julian D.)</t>
        </is>
      </c>
      <c r="AO84" t="inlineStr">
        <is>
          <t>bridgingIT GmbH</t>
        </is>
      </c>
      <c r="AP84" t="inlineStr">
        <is>
          <t>Stuttgart</t>
        </is>
      </c>
      <c r="AQ84" t="inlineStr">
        <is>
          <t>Patrick Dehner</t>
        </is>
      </c>
    </row>
    <row r="85">
      <c r="A85" t="inlineStr">
        <is>
          <t>2318</t>
        </is>
      </c>
      <c r="B85" t="inlineStr">
        <is>
          <t>264F66</t>
        </is>
      </c>
      <c r="C85" t="inlineStr">
        <is>
          <t>https://app.matchical.com/Consulting/ConsultantDetail?ConsultantId=d56a1ffc-1098-47e9-ba04-7a5d1f7545e1</t>
        </is>
      </c>
      <c r="D85" t="inlineStr">
        <is>
          <t>Carmen Deubelbeiss</t>
        </is>
      </c>
      <c r="E85" t="inlineStr">
        <is>
          <t>carmen.deubelbeiss@bridging-it.de</t>
        </is>
      </c>
      <c r="F85" s="2" t="n">
        <v>44835</v>
      </c>
      <c r="G85" s="2" t="n">
        <v>36526</v>
      </c>
      <c r="H85" t="n">
        <v>12</v>
      </c>
      <c r="I85" t="n">
        <v>0</v>
      </c>
      <c r="J85" t="n">
        <v>3</v>
      </c>
      <c r="K85" s="2" t="n">
        <v>38776</v>
      </c>
      <c r="L85" s="2" t="n">
        <v>45586</v>
      </c>
      <c r="M85" s="2" t="n">
        <v>46022</v>
      </c>
      <c r="N85" t="b">
        <v>0</v>
      </c>
      <c r="O85" t="n">
        <v>41</v>
      </c>
      <c r="P85" t="n">
        <v>133.62</v>
      </c>
      <c r="Q85" t="n">
        <v>40.8</v>
      </c>
      <c r="R85">
        <f>ROUND(O85-P85,2)</f>
        <v/>
      </c>
      <c r="S85">
        <f>ROUND(O85-Q85,2)</f>
        <v/>
      </c>
      <c r="T85" s="3">
        <f>IFERROR(P85/O85,"")</f>
        <v/>
      </c>
      <c r="U85" s="3">
        <f>IFERROR(Q85/O85,"")</f>
        <v/>
      </c>
      <c r="V85" t="n">
        <v>273</v>
      </c>
      <c r="W85" t="n">
        <v>264.38</v>
      </c>
      <c r="X85" t="n">
        <v>185.59</v>
      </c>
      <c r="Y85">
        <f>ROUND(V85-W85,2)</f>
        <v/>
      </c>
      <c r="Z85">
        <f>ROUND(V85-X85,2)</f>
        <v/>
      </c>
      <c r="AA85" s="3">
        <f>IFERROR(W85/V85,"")</f>
        <v/>
      </c>
      <c r="AB85" s="3">
        <f>IFERROR(X85/V85,"")</f>
        <v/>
      </c>
      <c r="AC85" t="b">
        <v>0</v>
      </c>
      <c r="AD85" t="b">
        <v>0</v>
      </c>
      <c r="AE85" t="b">
        <v>0</v>
      </c>
      <c r="AF85" t="inlineStr">
        <is>
          <t>No</t>
        </is>
      </c>
      <c r="AI85" t="b">
        <v>1</v>
      </c>
      <c r="AJ85" t="n">
        <v>0</v>
      </c>
      <c r="AK85" t="inlineStr">
        <is>
          <t>Experienced project manager with international leadership experience. Delivery of complex IT transformation projects. The focus is on traditional and agile methodologies, as well as stakeholder, risk, and change management.</t>
        </is>
      </c>
      <c r="AL85" t="inlineStr">
        <is>
          <t>IT Information Technology (Hauke G.)</t>
        </is>
      </c>
      <c r="AM85" t="inlineStr">
        <is>
          <t>ITT IT-Transformation (Carmen D.)</t>
        </is>
      </c>
      <c r="AN85" t="inlineStr">
        <is>
          <t>ITM IT-Management (Jörg M.)</t>
        </is>
      </c>
      <c r="AO85" t="inlineStr">
        <is>
          <t>bridgingIT GmbH</t>
        </is>
      </c>
      <c r="AP85" t="inlineStr">
        <is>
          <t>Stuttgart</t>
        </is>
      </c>
      <c r="AQ85" t="inlineStr">
        <is>
          <t>Jörg Merz</t>
        </is>
      </c>
    </row>
    <row r="86">
      <c r="A86" t="inlineStr">
        <is>
          <t>1209</t>
        </is>
      </c>
      <c r="B86" t="inlineStr">
        <is>
          <t>4EF376</t>
        </is>
      </c>
      <c r="C86" t="inlineStr">
        <is>
          <t>https://app.matchical.com/Consulting/ConsultantDetail?ConsultantId=4b5394a3-f6fa-49dd-99d1-2252e2521884</t>
        </is>
      </c>
      <c r="D86" t="inlineStr">
        <is>
          <t>Carsten Christoph</t>
        </is>
      </c>
      <c r="E86" t="inlineStr">
        <is>
          <t>carsten.christoph@bridging-it.de</t>
        </is>
      </c>
      <c r="F86" s="2" t="n">
        <v>41183</v>
      </c>
      <c r="G86" s="2" t="n">
        <v>37987</v>
      </c>
      <c r="H86" t="n">
        <v>32</v>
      </c>
      <c r="I86" t="n">
        <v>0</v>
      </c>
      <c r="J86" t="n">
        <v>5</v>
      </c>
      <c r="K86" s="2" t="n">
        <v>43793</v>
      </c>
      <c r="L86" s="2" t="n">
        <v>45215</v>
      </c>
      <c r="M86" s="2" t="n">
        <v>45291</v>
      </c>
      <c r="N86" t="b">
        <v>0</v>
      </c>
      <c r="O86" t="n">
        <v>161</v>
      </c>
      <c r="P86" t="n">
        <v>389.77</v>
      </c>
      <c r="Q86" t="n">
        <v>160.79</v>
      </c>
      <c r="R86">
        <f>ROUND(O86-P86,2)</f>
        <v/>
      </c>
      <c r="S86">
        <f>ROUND(O86-Q86,2)</f>
        <v/>
      </c>
      <c r="T86" s="3">
        <f>IFERROR(P86/O86,"")</f>
        <v/>
      </c>
      <c r="U86" s="3">
        <f>IFERROR(Q86/O86,"")</f>
        <v/>
      </c>
      <c r="V86" t="n">
        <v>105</v>
      </c>
      <c r="W86" t="n">
        <v>90.23</v>
      </c>
      <c r="X86" t="n">
        <v>68.40000000000001</v>
      </c>
      <c r="Y86">
        <f>ROUND(V86-W86,2)</f>
        <v/>
      </c>
      <c r="Z86">
        <f>ROUND(V86-X86,2)</f>
        <v/>
      </c>
      <c r="AA86" s="3">
        <f>IFERROR(W86/V86,"")</f>
        <v/>
      </c>
      <c r="AB86" s="3">
        <f>IFERROR(X86/V86,"")</f>
        <v/>
      </c>
      <c r="AC86" t="b">
        <v>0</v>
      </c>
      <c r="AD86" t="b">
        <v>0</v>
      </c>
      <c r="AE86" t="b">
        <v>0</v>
      </c>
      <c r="AF86" t="inlineStr">
        <is>
          <t>No</t>
        </is>
      </c>
      <c r="AI86" t="b">
        <v>0</v>
      </c>
      <c r="AJ86" t="n">
        <v>0</v>
      </c>
      <c r="AK86" t="inlineStr">
        <is>
          <t>Lead: Process digitization at Uniklinikum Ulm</t>
        </is>
      </c>
      <c r="AL86" t="inlineStr">
        <is>
          <t>DO Digital Organizations (Michael H.)</t>
        </is>
      </c>
      <c r="AM86" t="inlineStr">
        <is>
          <t>PD Process Digitalization (Hermann L.)</t>
        </is>
      </c>
      <c r="AN86" t="inlineStr">
        <is>
          <t>DP Digital Processes (Hermann L.)</t>
        </is>
      </c>
      <c r="AO86" t="inlineStr">
        <is>
          <t>bridgingIT GmbH</t>
        </is>
      </c>
      <c r="AP86" t="inlineStr">
        <is>
          <t>Stuttgart</t>
        </is>
      </c>
      <c r="AQ86" t="inlineStr">
        <is>
          <t>Hermann Löh</t>
        </is>
      </c>
    </row>
    <row r="87">
      <c r="A87" t="inlineStr">
        <is>
          <t>1285</t>
        </is>
      </c>
      <c r="B87" t="inlineStr">
        <is>
          <t>ABB94D</t>
        </is>
      </c>
      <c r="C87" t="inlineStr">
        <is>
          <t>https://app.matchical.com/Consulting/ConsultantDetail?ConsultantId=8734ba8b-24ce-4601-b44d-c05e05814ea9</t>
        </is>
      </c>
      <c r="D87" t="inlineStr">
        <is>
          <t>Carsten Juretzka</t>
        </is>
      </c>
      <c r="E87" t="inlineStr">
        <is>
          <t>carsten.juretzka@bridging-it.de</t>
        </is>
      </c>
      <c r="F87" s="2" t="n">
        <v>42036</v>
      </c>
      <c r="G87" s="2" t="n">
        <v>41974</v>
      </c>
      <c r="H87" t="n">
        <v>17</v>
      </c>
      <c r="I87" t="n">
        <v>0</v>
      </c>
      <c r="J87" t="n">
        <v>5</v>
      </c>
      <c r="K87" s="2" t="n">
        <v>41671</v>
      </c>
      <c r="L87" s="2" t="n">
        <v>44743</v>
      </c>
      <c r="M87" s="2" t="n">
        <v>44926</v>
      </c>
      <c r="N87" t="b">
        <v>0</v>
      </c>
      <c r="O87" t="n">
        <v>133</v>
      </c>
      <c r="P87" t="n">
        <v>584.99</v>
      </c>
      <c r="Q87" t="n">
        <v>132.76</v>
      </c>
      <c r="R87">
        <f>ROUND(O87-P87,2)</f>
        <v/>
      </c>
      <c r="S87">
        <f>ROUND(O87-Q87,2)</f>
        <v/>
      </c>
      <c r="T87" s="3">
        <f>IFERROR(P87/O87,"")</f>
        <v/>
      </c>
      <c r="U87" s="3">
        <f>IFERROR(Q87/O87,"")</f>
        <v/>
      </c>
      <c r="V87" t="n">
        <v>2</v>
      </c>
      <c r="W87" t="n">
        <v>2.04</v>
      </c>
      <c r="X87" t="n">
        <v>0.75</v>
      </c>
      <c r="Y87">
        <f>ROUND(V87-W87,2)</f>
        <v/>
      </c>
      <c r="Z87">
        <f>ROUND(V87-X87,2)</f>
        <v/>
      </c>
      <c r="AA87" s="3">
        <f>IFERROR(W87/V87,"")</f>
        <v/>
      </c>
      <c r="AB87" s="3">
        <f>IFERROR(X87/V87,"")</f>
        <v/>
      </c>
      <c r="AC87" t="b">
        <v>0</v>
      </c>
      <c r="AD87" t="b">
        <v>0</v>
      </c>
      <c r="AE87" t="b">
        <v>0</v>
      </c>
      <c r="AF87" t="inlineStr">
        <is>
          <t>No</t>
        </is>
      </c>
      <c r="AI87" t="b">
        <v>0</v>
      </c>
      <c r="AJ87" t="n">
        <v>0</v>
      </c>
      <c r="AK87" t="inlineStr"/>
      <c r="AL87" t="inlineStr">
        <is>
          <t>IT - Information Technology (Sebastian L.)</t>
        </is>
      </c>
      <c r="AM87" t="inlineStr">
        <is>
          <t>CS Collaboration Solutions (Sebastian P.)</t>
        </is>
      </c>
      <c r="AN87" t="inlineStr">
        <is>
          <t>P&amp;DE - Platforms &amp; Digital Ecosystems (David S.)</t>
        </is>
      </c>
      <c r="AO87" t="inlineStr">
        <is>
          <t>bridgingIT GmbH</t>
        </is>
      </c>
      <c r="AP87" t="inlineStr">
        <is>
          <t>Mannheim</t>
        </is>
      </c>
      <c r="AQ87" t="inlineStr">
        <is>
          <t>Sebastian Poth</t>
        </is>
      </c>
    </row>
    <row r="88">
      <c r="A88" t="inlineStr">
        <is>
          <t>3127</t>
        </is>
      </c>
      <c r="B88" t="inlineStr">
        <is>
          <t>F79411</t>
        </is>
      </c>
      <c r="C88" t="inlineStr">
        <is>
          <t>https://app.matchical.com/Consulting/ConsultantDetail?ConsultantId=a5bc6907-1256-4673-9616-659aef794b54</t>
        </is>
      </c>
      <c r="D88" t="inlineStr">
        <is>
          <t>Carsten Schindler</t>
        </is>
      </c>
      <c r="E88" t="inlineStr">
        <is>
          <t>carsten.schindler@bridging-it.de</t>
        </is>
      </c>
      <c r="F88" s="2" t="n">
        <v>42675</v>
      </c>
      <c r="G88" s="2" t="n">
        <v>40940</v>
      </c>
      <c r="H88" t="n">
        <v>28</v>
      </c>
      <c r="I88" t="n">
        <v>0</v>
      </c>
      <c r="J88" t="n">
        <v>0</v>
      </c>
      <c r="L88" s="2" t="n">
        <v>45596</v>
      </c>
      <c r="M88" s="2" t="n">
        <v>45746</v>
      </c>
      <c r="N88" t="b">
        <v>0</v>
      </c>
      <c r="O88" t="n">
        <v>112</v>
      </c>
      <c r="P88" t="n">
        <v>184</v>
      </c>
      <c r="Q88" t="n">
        <v>106.33</v>
      </c>
      <c r="R88">
        <f>ROUND(O88-P88,2)</f>
        <v/>
      </c>
      <c r="S88">
        <f>ROUND(O88-Q88,2)</f>
        <v/>
      </c>
      <c r="T88" s="3">
        <f>IFERROR(P88/O88,"")</f>
        <v/>
      </c>
      <c r="U88" s="3">
        <f>IFERROR(Q88/O88,"")</f>
        <v/>
      </c>
      <c r="V88" t="n">
        <v>57</v>
      </c>
      <c r="W88" t="n">
        <v>38</v>
      </c>
      <c r="X88" t="n">
        <v>36</v>
      </c>
      <c r="Y88">
        <f>ROUND(V88-W88,2)</f>
        <v/>
      </c>
      <c r="Z88">
        <f>ROUND(V88-X88,2)</f>
        <v/>
      </c>
      <c r="AA88" s="3">
        <f>IFERROR(W88/V88,"")</f>
        <v/>
      </c>
      <c r="AB88" s="3">
        <f>IFERROR(X88/V88,"")</f>
        <v/>
      </c>
      <c r="AC88" t="b">
        <v>0</v>
      </c>
      <c r="AD88" t="b">
        <v>0</v>
      </c>
      <c r="AE88" t="b">
        <v>0</v>
      </c>
      <c r="AF88" t="inlineStr">
        <is>
          <t>Yes</t>
        </is>
      </c>
      <c r="AG88" s="2" t="n">
        <v>46113</v>
      </c>
      <c r="AI88" t="b">
        <v>1</v>
      </c>
      <c r="AJ88" t="n">
        <v>1.5</v>
      </c>
      <c r="AK88" t="inlineStr"/>
      <c r="AL88" t="inlineStr">
        <is>
          <t>ORG bIT</t>
        </is>
      </c>
      <c r="AM88" t="inlineStr">
        <is>
          <t>BABA - BA and Business Architectures (Carsten S.)</t>
        </is>
      </c>
      <c r="AN88" t="inlineStr">
        <is>
          <t>ABC Analysing Business &amp; Collaboration (Edgar K.)</t>
        </is>
      </c>
      <c r="AO88" t="inlineStr">
        <is>
          <t>bridgingIT GmbH</t>
        </is>
      </c>
      <c r="AP88" t="inlineStr">
        <is>
          <t>Frankfurt</t>
        </is>
      </c>
      <c r="AQ88" t="inlineStr">
        <is>
          <t>Edgar Kauz</t>
        </is>
      </c>
    </row>
    <row r="89">
      <c r="A89" t="inlineStr">
        <is>
          <t>1132</t>
        </is>
      </c>
      <c r="B89" t="inlineStr">
        <is>
          <t>ED553A</t>
        </is>
      </c>
      <c r="C89" t="inlineStr">
        <is>
          <t>https://app.matchical.com/Consulting/ConsultantDetail?ConsultantId=09d6bbc6-82e6-4998-a62f-9a24af3f8718</t>
        </is>
      </c>
      <c r="D89" t="inlineStr">
        <is>
          <t>Carsten Triebel</t>
        </is>
      </c>
      <c r="E89" t="inlineStr">
        <is>
          <t>carsten.triebel@bridging-it.de</t>
        </is>
      </c>
      <c r="F89" s="2" t="n">
        <v>40391</v>
      </c>
      <c r="G89" s="2" t="n">
        <v>39448</v>
      </c>
      <c r="H89" t="n">
        <v>33</v>
      </c>
      <c r="I89" t="n">
        <v>0</v>
      </c>
      <c r="J89" t="n">
        <v>1</v>
      </c>
      <c r="K89" s="2" t="n">
        <v>45383</v>
      </c>
      <c r="L89" s="2" t="n">
        <v>45509</v>
      </c>
      <c r="M89" s="2" t="n">
        <v>45657</v>
      </c>
      <c r="N89" t="b">
        <v>0</v>
      </c>
      <c r="O89" t="n">
        <v>187</v>
      </c>
      <c r="P89" t="n">
        <v>371.76</v>
      </c>
      <c r="Q89" t="n">
        <v>186.81</v>
      </c>
      <c r="R89">
        <f>ROUND(O89-P89,2)</f>
        <v/>
      </c>
      <c r="S89">
        <f>ROUND(O89-Q89,2)</f>
        <v/>
      </c>
      <c r="T89" s="3">
        <f>IFERROR(P89/O89,"")</f>
        <v/>
      </c>
      <c r="U89" s="3">
        <f>IFERROR(Q89/O89,"")</f>
        <v/>
      </c>
      <c r="V89" t="n">
        <v>31</v>
      </c>
      <c r="W89" t="n">
        <v>9.039999999999999</v>
      </c>
      <c r="X89" t="n">
        <v>8.15</v>
      </c>
      <c r="Y89">
        <f>ROUND(V89-W89,2)</f>
        <v/>
      </c>
      <c r="Z89">
        <f>ROUND(V89-X89,2)</f>
        <v/>
      </c>
      <c r="AA89" s="3">
        <f>IFERROR(W89/V89,"")</f>
        <v/>
      </c>
      <c r="AB89" s="3">
        <f>IFERROR(X89/V89,"")</f>
        <v/>
      </c>
      <c r="AC89" t="b">
        <v>0</v>
      </c>
      <c r="AD89" t="b">
        <v>0</v>
      </c>
      <c r="AE89" t="b">
        <v>0</v>
      </c>
      <c r="AF89" t="inlineStr">
        <is>
          <t>No</t>
        </is>
      </c>
      <c r="AI89" t="b">
        <v>0</v>
      </c>
      <c r="AJ89" t="n">
        <v>0</v>
      </c>
      <c r="AK89" t="inlineStr">
        <is>
          <t>@EnBW, BASF, Roche, 5 days per week</t>
        </is>
      </c>
      <c r="AL89" t="inlineStr">
        <is>
          <t>IT - Information Technology (Sebastian L.)</t>
        </is>
      </c>
      <c r="AM89" t="inlineStr">
        <is>
          <t>ISM Information Security Management (Carsten T.)</t>
        </is>
      </c>
      <c r="AN89" t="inlineStr">
        <is>
          <t>O&amp;G - Organization &amp; Governance (Carsten T.)</t>
        </is>
      </c>
      <c r="AO89" t="inlineStr">
        <is>
          <t>bridgingIT GmbH</t>
        </is>
      </c>
      <c r="AP89" t="inlineStr">
        <is>
          <t>Mannheim</t>
        </is>
      </c>
      <c r="AQ89" t="inlineStr">
        <is>
          <t>Sebastian Lenhard</t>
        </is>
      </c>
    </row>
    <row r="90">
      <c r="A90" t="inlineStr">
        <is>
          <t>10436</t>
        </is>
      </c>
      <c r="B90" t="inlineStr">
        <is>
          <t>185BD7</t>
        </is>
      </c>
      <c r="C90" t="inlineStr">
        <is>
          <t>https://app.matchical.com/Consulting/ConsultantDetail?ConsultantId=de025ebe-2a58-4d71-9c63-7e8abfff83dd</t>
        </is>
      </c>
      <c r="D90" t="inlineStr">
        <is>
          <t>Chang Truong</t>
        </is>
      </c>
      <c r="E90" t="inlineStr">
        <is>
          <t>chang.truong@bridging-it.de</t>
        </is>
      </c>
      <c r="F90" s="2" t="n">
        <v>46054</v>
      </c>
      <c r="G90" s="2" t="n">
        <v>45170</v>
      </c>
      <c r="H90" t="n">
        <v>2</v>
      </c>
      <c r="I90" t="n">
        <v>0</v>
      </c>
      <c r="J90" t="n">
        <v>0</v>
      </c>
      <c r="L90" s="2" t="n">
        <v>45596</v>
      </c>
      <c r="M90" s="2" t="n">
        <v>45837</v>
      </c>
      <c r="N90" t="b">
        <v>0</v>
      </c>
      <c r="O90" t="n">
        <v>1</v>
      </c>
      <c r="P90" t="n">
        <v>0</v>
      </c>
      <c r="Q90" t="n">
        <v>0</v>
      </c>
      <c r="R90">
        <f>ROUND(O90-P90,2)</f>
        <v/>
      </c>
      <c r="S90">
        <f>ROUND(O90-Q90,2)</f>
        <v/>
      </c>
      <c r="T90" s="3">
        <f>IFERROR(P90/O90,"")</f>
        <v/>
      </c>
      <c r="U90" s="3">
        <f>IFERROR(Q90/O90,"")</f>
        <v/>
      </c>
      <c r="V90" t="n">
        <v>29</v>
      </c>
      <c r="W90" t="n">
        <v>21.98</v>
      </c>
      <c r="X90" t="n">
        <v>21.98</v>
      </c>
      <c r="Y90">
        <f>ROUND(V90-W90,2)</f>
        <v/>
      </c>
      <c r="Z90">
        <f>ROUND(V90-X90,2)</f>
        <v/>
      </c>
      <c r="AA90" s="3">
        <f>IFERROR(W90/V90,"")</f>
        <v/>
      </c>
      <c r="AB90" s="3">
        <f>IFERROR(X90/V90,"")</f>
        <v/>
      </c>
      <c r="AC90" t="b">
        <v>0</v>
      </c>
      <c r="AD90" t="b">
        <v>0</v>
      </c>
      <c r="AE90" t="b">
        <v>0</v>
      </c>
      <c r="AF90" t="inlineStr">
        <is>
          <t>No</t>
        </is>
      </c>
      <c r="AI90" t="b">
        <v>1</v>
      </c>
      <c r="AJ90" t="n">
        <v>0</v>
      </c>
      <c r="AK90" t="inlineStr">
        <is>
          <t>UX Lead</t>
        </is>
      </c>
      <c r="AL90" t="inlineStr">
        <is>
          <t>IT - Information Technology (HH)</t>
        </is>
      </c>
      <c r="AM90" t="inlineStr">
        <is>
          <t>DAI - Data Analytics &amp; KI (Julia Sch.)</t>
        </is>
      </c>
      <c r="AN90" t="inlineStr">
        <is>
          <t>ITC HH (Nicole F.)</t>
        </is>
      </c>
      <c r="AO90" t="inlineStr">
        <is>
          <t>bridgingIT GmbH</t>
        </is>
      </c>
      <c r="AP90" t="inlineStr">
        <is>
          <t>Hamburg</t>
        </is>
      </c>
      <c r="AQ90" t="inlineStr">
        <is>
          <t>Markus Stefan</t>
        </is>
      </c>
    </row>
    <row r="91">
      <c r="A91" t="inlineStr">
        <is>
          <t>10476</t>
        </is>
      </c>
      <c r="B91" t="inlineStr">
        <is>
          <t>DFEE1A</t>
        </is>
      </c>
      <c r="C91" t="inlineStr">
        <is>
          <t>https://app.matchical.com/Consulting/ConsultantDetail?ConsultantId=2c251782-11ff-403b-be47-dd80560c014e</t>
        </is>
      </c>
      <c r="D91" t="inlineStr">
        <is>
          <t>Christian Breitenstrom</t>
        </is>
      </c>
      <c r="E91" t="inlineStr">
        <is>
          <t>christian.breitenstrom@bridging-it.de</t>
        </is>
      </c>
      <c r="F91" s="2" t="n">
        <v>46082</v>
      </c>
      <c r="H91" t="n">
        <v>0</v>
      </c>
      <c r="I91" t="n">
        <v>0</v>
      </c>
      <c r="J91" t="n">
        <v>0</v>
      </c>
      <c r="N91" t="b">
        <v>1</v>
      </c>
      <c r="O91" t="n">
        <v>0</v>
      </c>
      <c r="P91" t="n">
        <v>0</v>
      </c>
      <c r="Q91" t="n">
        <v>0</v>
      </c>
      <c r="R91">
        <f>ROUND(O91-P91,2)</f>
        <v/>
      </c>
      <c r="S91">
        <f>ROUND(O91-Q91,2)</f>
        <v/>
      </c>
      <c r="T91" s="3">
        <f>IFERROR(P91/O91,"")</f>
        <v/>
      </c>
      <c r="U91" s="3">
        <f>IFERROR(Q91/O91,"")</f>
        <v/>
      </c>
      <c r="V91" t="n">
        <v>1514</v>
      </c>
      <c r="W91" t="n">
        <v>0</v>
      </c>
      <c r="X91" t="n">
        <v>0</v>
      </c>
      <c r="Y91">
        <f>ROUND(V91-W91,2)</f>
        <v/>
      </c>
      <c r="Z91">
        <f>ROUND(V91-X91,2)</f>
        <v/>
      </c>
      <c r="AA91" s="3">
        <f>IFERROR(W91/V91,"")</f>
        <v/>
      </c>
      <c r="AB91" s="3">
        <f>IFERROR(X91/V91,"")</f>
        <v/>
      </c>
      <c r="AC91" t="b">
        <v>0</v>
      </c>
      <c r="AD91" t="b">
        <v>0</v>
      </c>
      <c r="AE91" t="b">
        <v>0</v>
      </c>
      <c r="AF91" t="inlineStr">
        <is>
          <t>Yes</t>
        </is>
      </c>
      <c r="AG91" s="2" t="n">
        <v>46082</v>
      </c>
      <c r="AI91" t="b">
        <v>1</v>
      </c>
      <c r="AJ91" t="n">
        <v>5</v>
      </c>
      <c r="AK91" t="inlineStr"/>
      <c r="AL91" t="inlineStr">
        <is>
          <t>IT - Information Technology (Sebastian L.)</t>
        </is>
      </c>
      <c r="AM91" t="inlineStr">
        <is>
          <t>CS - Cyber Security (Jochen Ka.)</t>
        </is>
      </c>
      <c r="AN91" t="inlineStr">
        <is>
          <t>O&amp;G - Organization &amp; Governance (Carsten T.)</t>
        </is>
      </c>
      <c r="AO91" t="inlineStr">
        <is>
          <t>bridgingIT GmbH</t>
        </is>
      </c>
      <c r="AP91" t="inlineStr">
        <is>
          <t>Mannheim</t>
        </is>
      </c>
      <c r="AQ91" t="inlineStr">
        <is>
          <t>Jochen Kauba</t>
        </is>
      </c>
    </row>
    <row r="92">
      <c r="A92" t="inlineStr">
        <is>
          <t>1366</t>
        </is>
      </c>
      <c r="B92" t="inlineStr">
        <is>
          <t>5B6659</t>
        </is>
      </c>
      <c r="C92" t="inlineStr">
        <is>
          <t>https://app.matchical.com/Consulting/ConsultantDetail?ConsultantId=8f17969e-9ddc-400c-aa5c-f49d42323461</t>
        </is>
      </c>
      <c r="D92" t="inlineStr">
        <is>
          <t>Christian Ewen</t>
        </is>
      </c>
      <c r="E92" t="inlineStr">
        <is>
          <t>christian.ewen@bridging-it.de</t>
        </is>
      </c>
      <c r="F92" s="2" t="n">
        <v>42644</v>
      </c>
      <c r="G92" s="2" t="n">
        <v>41365</v>
      </c>
      <c r="H92" t="n">
        <v>20</v>
      </c>
      <c r="I92" t="n">
        <v>1</v>
      </c>
      <c r="J92" t="n">
        <v>3</v>
      </c>
      <c r="K92" s="2" t="n">
        <v>45199</v>
      </c>
      <c r="L92" s="2" t="n">
        <v>43830</v>
      </c>
      <c r="M92" s="2" t="n">
        <v>45746</v>
      </c>
      <c r="N92" t="b">
        <v>0</v>
      </c>
      <c r="O92" t="n">
        <v>113</v>
      </c>
      <c r="P92" t="n">
        <v>308</v>
      </c>
      <c r="Q92" t="n">
        <v>112.79</v>
      </c>
      <c r="R92">
        <f>ROUND(O92-P92,2)</f>
        <v/>
      </c>
      <c r="S92">
        <f>ROUND(O92-Q92,2)</f>
        <v/>
      </c>
      <c r="T92" s="3">
        <f>IFERROR(P92/O92,"")</f>
        <v/>
      </c>
      <c r="U92" s="3">
        <f>IFERROR(Q92/O92,"")</f>
        <v/>
      </c>
      <c r="V92" t="n">
        <v>42</v>
      </c>
      <c r="W92" t="n">
        <v>81.97</v>
      </c>
      <c r="X92" t="n">
        <v>36.99</v>
      </c>
      <c r="Y92">
        <f>ROUND(V92-W92,2)</f>
        <v/>
      </c>
      <c r="Z92">
        <f>ROUND(V92-X92,2)</f>
        <v/>
      </c>
      <c r="AA92" s="3">
        <f>IFERROR(W92/V92,"")</f>
        <v/>
      </c>
      <c r="AB92" s="3">
        <f>IFERROR(X92/V92,"")</f>
        <v/>
      </c>
      <c r="AC92" t="b">
        <v>0</v>
      </c>
      <c r="AD92" t="b">
        <v>0</v>
      </c>
      <c r="AE92" t="b">
        <v>0</v>
      </c>
      <c r="AF92" t="inlineStr">
        <is>
          <t>No</t>
        </is>
      </c>
      <c r="AI92" t="b">
        <v>1</v>
      </c>
      <c r="AJ92" t="n">
        <v>0</v>
      </c>
      <c r="AK92" t="inlineStr"/>
      <c r="AL92" t="inlineStr">
        <is>
          <t>IT - Information Technology (Sebastian L.)</t>
        </is>
      </c>
      <c r="AM92" t="inlineStr">
        <is>
          <t>PAM Platform Architecture Management (David S.)</t>
        </is>
      </c>
      <c r="AN92" t="inlineStr">
        <is>
          <t>P&amp;DE - Platforms &amp; Digital Ecosystems (David S.)</t>
        </is>
      </c>
      <c r="AO92" t="inlineStr">
        <is>
          <t>bridgingIT GmbH</t>
        </is>
      </c>
      <c r="AP92" t="inlineStr">
        <is>
          <t>Mannheim</t>
        </is>
      </c>
      <c r="AQ92" t="inlineStr">
        <is>
          <t>David Schleweis</t>
        </is>
      </c>
    </row>
    <row r="93">
      <c r="A93" t="inlineStr">
        <is>
          <t>1116</t>
        </is>
      </c>
      <c r="B93" t="inlineStr">
        <is>
          <t>7B5FFB</t>
        </is>
      </c>
      <c r="C93" t="inlineStr">
        <is>
          <t>https://app.matchical.com/Consulting/ConsultantDetail?ConsultantId=14cb41a6-3a0a-41f6-99d6-3a11a6116b9a</t>
        </is>
      </c>
      <c r="D93" t="inlineStr">
        <is>
          <t>Christian Gitte</t>
        </is>
      </c>
      <c r="E93" t="inlineStr">
        <is>
          <t>christian.gitte@fastahead.com</t>
        </is>
      </c>
      <c r="F93" s="2" t="n">
        <v>40148</v>
      </c>
      <c r="G93" s="2" t="n">
        <v>36404</v>
      </c>
      <c r="H93" t="n">
        <v>12</v>
      </c>
      <c r="I93" t="n">
        <v>0</v>
      </c>
      <c r="J93" t="n">
        <v>1</v>
      </c>
      <c r="K93" s="2" t="n">
        <v>45824</v>
      </c>
      <c r="L93" s="2" t="n">
        <v>45716</v>
      </c>
      <c r="M93" s="2" t="n">
        <v>45960</v>
      </c>
      <c r="N93" t="b">
        <v>0</v>
      </c>
      <c r="O93" t="n">
        <v>195</v>
      </c>
      <c r="P93" t="n">
        <v>141.92</v>
      </c>
      <c r="Q93" t="n">
        <v>107.92</v>
      </c>
      <c r="R93">
        <f>ROUND(O93-P93,2)</f>
        <v/>
      </c>
      <c r="S93">
        <f>ROUND(O93-Q93,2)</f>
        <v/>
      </c>
      <c r="T93" s="3">
        <f>IFERROR(P93/O93,"")</f>
        <v/>
      </c>
      <c r="U93" s="3">
        <f>IFERROR(Q93/O93,"")</f>
        <v/>
      </c>
      <c r="V93" t="n">
        <v>123</v>
      </c>
      <c r="W93" t="n">
        <v>9.08</v>
      </c>
      <c r="X93" t="n">
        <v>9.08</v>
      </c>
      <c r="Y93">
        <f>ROUND(V93-W93,2)</f>
        <v/>
      </c>
      <c r="Z93">
        <f>ROUND(V93-X93,2)</f>
        <v/>
      </c>
      <c r="AA93" s="3">
        <f>IFERROR(W93/V93,"")</f>
        <v/>
      </c>
      <c r="AB93" s="3">
        <f>IFERROR(X93/V93,"")</f>
        <v/>
      </c>
      <c r="AC93" t="b">
        <v>0</v>
      </c>
      <c r="AD93" t="b">
        <v>0</v>
      </c>
      <c r="AE93" t="b">
        <v>0</v>
      </c>
      <c r="AF93" t="inlineStr">
        <is>
          <t>No</t>
        </is>
      </c>
      <c r="AI93" t="b">
        <v>0</v>
      </c>
      <c r="AJ93" t="n">
        <v>0</v>
      </c>
      <c r="AK93" t="inlineStr">
        <is>
          <t>Remote / Karlsruhe and surrounding area
***From January 2025***</t>
        </is>
      </c>
      <c r="AL93" t="inlineStr">
        <is>
          <t>ORG fastahead GmbH &amp; Co. KG</t>
        </is>
      </c>
      <c r="AM93" t="inlineStr">
        <is>
          <t>Business-driven Architectures (Dr. C. Gitte)</t>
        </is>
      </c>
      <c r="AN93" t="inlineStr">
        <is>
          <t>fah Tim Thierfelder</t>
        </is>
      </c>
      <c r="AO93" t="inlineStr">
        <is>
          <t>fastahead GmbH &amp; Co. KG</t>
        </is>
      </c>
      <c r="AP93" t="inlineStr">
        <is>
          <t>Mannheim</t>
        </is>
      </c>
      <c r="AQ93" t="inlineStr">
        <is>
          <t>Tim Thierfelder</t>
        </is>
      </c>
    </row>
    <row r="94">
      <c r="A94" t="inlineStr">
        <is>
          <t>10445</t>
        </is>
      </c>
      <c r="B94" t="inlineStr">
        <is>
          <t>548D7C</t>
        </is>
      </c>
      <c r="C94" t="inlineStr">
        <is>
          <t>https://app.matchical.com/Consulting/ConsultantDetail?ConsultantId=eecb8af4-bbb2-4e38-b609-457b332b9b3b</t>
        </is>
      </c>
      <c r="D94" t="inlineStr">
        <is>
          <t>Christian Graml</t>
        </is>
      </c>
      <c r="E94" t="inlineStr">
        <is>
          <t>christian.graml@bridging-it.de</t>
        </is>
      </c>
      <c r="F94" s="2" t="n">
        <v>46023</v>
      </c>
      <c r="G94" s="2" t="n">
        <v>43435</v>
      </c>
      <c r="H94" t="n">
        <v>2</v>
      </c>
      <c r="I94" t="n">
        <v>0</v>
      </c>
      <c r="J94" t="n">
        <v>0</v>
      </c>
      <c r="L94" s="2" t="n">
        <v>45473</v>
      </c>
      <c r="M94" s="2" t="n">
        <v>46021</v>
      </c>
      <c r="N94" t="b">
        <v>0</v>
      </c>
      <c r="O94" t="n">
        <v>2</v>
      </c>
      <c r="P94" t="n">
        <v>0</v>
      </c>
      <c r="Q94" t="n">
        <v>0</v>
      </c>
      <c r="R94">
        <f>ROUND(O94-P94,2)</f>
        <v/>
      </c>
      <c r="S94">
        <f>ROUND(O94-Q94,2)</f>
        <v/>
      </c>
      <c r="T94" s="3">
        <f>IFERROR(P94/O94,"")</f>
        <v/>
      </c>
      <c r="U94" s="3">
        <f>IFERROR(Q94/O94,"")</f>
        <v/>
      </c>
      <c r="V94" t="n">
        <v>85</v>
      </c>
      <c r="W94" t="n">
        <v>64</v>
      </c>
      <c r="X94" t="n">
        <v>63</v>
      </c>
      <c r="Y94">
        <f>ROUND(V94-W94,2)</f>
        <v/>
      </c>
      <c r="Z94">
        <f>ROUND(V94-X94,2)</f>
        <v/>
      </c>
      <c r="AA94" s="3">
        <f>IFERROR(W94/V94,"")</f>
        <v/>
      </c>
      <c r="AB94" s="3">
        <f>IFERROR(X94/V94,"")</f>
        <v/>
      </c>
      <c r="AC94" t="b">
        <v>0</v>
      </c>
      <c r="AD94" t="b">
        <v>0</v>
      </c>
      <c r="AE94" t="b">
        <v>0</v>
      </c>
      <c r="AF94" t="inlineStr">
        <is>
          <t>Yes</t>
        </is>
      </c>
      <c r="AG94" s="2" t="n">
        <v>46023</v>
      </c>
      <c r="AH94" s="2" t="n">
        <v>46387</v>
      </c>
      <c r="AI94" t="b">
        <v>1</v>
      </c>
      <c r="AJ94" t="n">
        <v>5</v>
      </c>
      <c r="AK94" t="inlineStr"/>
      <c r="AL94" t="inlineStr">
        <is>
          <t>IT - Information Technology (HH)</t>
        </is>
      </c>
      <c r="AM94" t="inlineStr">
        <is>
          <t>CRM I - Platform Solutions &amp; CRM (Fortunato D. D.)</t>
        </is>
      </c>
      <c r="AN94" t="inlineStr">
        <is>
          <t>BAA HH (Torben H.)</t>
        </is>
      </c>
      <c r="AO94" t="inlineStr">
        <is>
          <t>bridgingIT GmbH</t>
        </is>
      </c>
      <c r="AP94" t="inlineStr">
        <is>
          <t>Hamburg</t>
        </is>
      </c>
      <c r="AQ94" t="inlineStr">
        <is>
          <t>Fortunato Di Donato</t>
        </is>
      </c>
    </row>
    <row r="95">
      <c r="A95" t="inlineStr">
        <is>
          <t>10479</t>
        </is>
      </c>
      <c r="B95" t="inlineStr">
        <is>
          <t>D2B125</t>
        </is>
      </c>
      <c r="C95" t="inlineStr">
        <is>
          <t>https://app.matchical.com/Consulting/ConsultantDetail?ConsultantId=119334c6-cb7c-430c-8f95-0f36c9aa4911</t>
        </is>
      </c>
      <c r="D95" t="inlineStr">
        <is>
          <t>Christian Ikier</t>
        </is>
      </c>
      <c r="E95" t="inlineStr">
        <is>
          <t>christian.ikier@bridging-it.de</t>
        </is>
      </c>
      <c r="F95" s="2" t="n">
        <v>46113</v>
      </c>
      <c r="H95" t="n">
        <v>0</v>
      </c>
      <c r="I95" t="n">
        <v>0</v>
      </c>
      <c r="J95" t="n">
        <v>0</v>
      </c>
      <c r="N95" t="b">
        <v>1</v>
      </c>
      <c r="O95" t="n">
        <v>0</v>
      </c>
      <c r="P95" t="n">
        <v>0</v>
      </c>
      <c r="Q95" t="n">
        <v>0</v>
      </c>
      <c r="R95">
        <f>ROUND(O95-P95,2)</f>
        <v/>
      </c>
      <c r="S95">
        <f>ROUND(O95-Q95,2)</f>
        <v/>
      </c>
      <c r="T95" s="3">
        <f>IFERROR(P95/O95,"")</f>
        <v/>
      </c>
      <c r="U95" s="3">
        <f>IFERROR(Q95/O95,"")</f>
        <v/>
      </c>
      <c r="V95" t="n">
        <v>1515</v>
      </c>
      <c r="W95" t="n">
        <v>0</v>
      </c>
      <c r="X95" t="n">
        <v>0</v>
      </c>
      <c r="Y95">
        <f>ROUND(V95-W95,2)</f>
        <v/>
      </c>
      <c r="Z95">
        <f>ROUND(V95-X95,2)</f>
        <v/>
      </c>
      <c r="AA95" s="3">
        <f>IFERROR(W95/V95,"")</f>
        <v/>
      </c>
      <c r="AB95" s="3">
        <f>IFERROR(X95/V95,"")</f>
        <v/>
      </c>
      <c r="AC95" t="b">
        <v>0</v>
      </c>
      <c r="AD95" t="b">
        <v>0</v>
      </c>
      <c r="AE95" t="b">
        <v>0</v>
      </c>
      <c r="AF95" t="inlineStr">
        <is>
          <t>Yes</t>
        </is>
      </c>
      <c r="AG95" s="2" t="n">
        <v>46113</v>
      </c>
      <c r="AI95" t="b">
        <v>1</v>
      </c>
      <c r="AJ95" t="n">
        <v>5</v>
      </c>
      <c r="AK95" t="inlineStr"/>
      <c r="AL95" t="inlineStr">
        <is>
          <t>DO Digital Organizations (Michael H.)</t>
        </is>
      </c>
      <c r="AM95" t="inlineStr">
        <is>
          <t>BPE Business Process Excellence (Heidi F.)</t>
        </is>
      </c>
      <c r="AN95" t="inlineStr">
        <is>
          <t>BE Business Engineering (Heidi Foldenauer)</t>
        </is>
      </c>
      <c r="AO95" t="inlineStr">
        <is>
          <t>bridgingIT GmbH</t>
        </is>
      </c>
      <c r="AP95" t="inlineStr">
        <is>
          <t>Stuttgart</t>
        </is>
      </c>
      <c r="AQ95" t="inlineStr">
        <is>
          <t>Heidi Foldenauer</t>
        </is>
      </c>
    </row>
    <row r="96">
      <c r="A96" t="inlineStr">
        <is>
          <t>8665</t>
        </is>
      </c>
      <c r="B96" t="inlineStr">
        <is>
          <t>9C5A7E</t>
        </is>
      </c>
      <c r="C96" t="inlineStr">
        <is>
          <t>https://app.matchical.com/Consulting/ConsultantDetail?ConsultantId=5e0168a5-2ec8-4f32-9b63-aeacd2e36558</t>
        </is>
      </c>
      <c r="D96" t="inlineStr">
        <is>
          <t>Christian Kobl</t>
        </is>
      </c>
      <c r="E96" t="inlineStr">
        <is>
          <t>christian.kobl@crafting-it.de</t>
        </is>
      </c>
      <c r="F96" s="2" t="n">
        <v>44197</v>
      </c>
      <c r="H96" t="n">
        <v>1</v>
      </c>
      <c r="I96" t="n">
        <v>0</v>
      </c>
      <c r="J96" t="n">
        <v>0</v>
      </c>
      <c r="L96" s="2" t="n">
        <v>45292</v>
      </c>
      <c r="M96" s="2" t="n">
        <v>45403</v>
      </c>
      <c r="N96" t="b">
        <v>0</v>
      </c>
      <c r="O96" t="n">
        <v>62</v>
      </c>
      <c r="P96" t="n">
        <v>4</v>
      </c>
      <c r="Q96" t="n">
        <v>4</v>
      </c>
      <c r="R96">
        <f>ROUND(O96-P96,2)</f>
        <v/>
      </c>
      <c r="S96">
        <f>ROUND(O96-Q96,2)</f>
        <v/>
      </c>
      <c r="T96" s="3">
        <f>IFERROR(P96/O96,"")</f>
        <v/>
      </c>
      <c r="U96" s="3">
        <f>IFERROR(Q96/O96,"")</f>
        <v/>
      </c>
      <c r="V96" t="n">
        <v>1452</v>
      </c>
      <c r="W96" t="n">
        <v>0</v>
      </c>
      <c r="X96" t="n">
        <v>0</v>
      </c>
      <c r="Y96">
        <f>ROUND(V96-W96,2)</f>
        <v/>
      </c>
      <c r="Z96">
        <f>ROUND(V96-X96,2)</f>
        <v/>
      </c>
      <c r="AA96" s="3">
        <f>IFERROR(W96/V96,"")</f>
        <v/>
      </c>
      <c r="AB96" s="3">
        <f>IFERROR(X96/V96,"")</f>
        <v/>
      </c>
      <c r="AC96" t="b">
        <v>0</v>
      </c>
      <c r="AD96" t="b">
        <v>0</v>
      </c>
      <c r="AE96" t="b">
        <v>0</v>
      </c>
      <c r="AF96" t="inlineStr">
        <is>
          <t>No</t>
        </is>
      </c>
      <c r="AI96" t="b">
        <v>1</v>
      </c>
      <c r="AJ96" t="n">
        <v>0</v>
      </c>
      <c r="AK96" t="inlineStr"/>
      <c r="AL96" t="inlineStr">
        <is>
          <t>ORG cIT 2</t>
        </is>
      </c>
      <c r="AM96" t="inlineStr">
        <is>
          <t>cIT Product Ownership Managed Services</t>
        </is>
      </c>
      <c r="AN96" t="inlineStr">
        <is>
          <t>cIT Services allgemein (Christian K.)</t>
        </is>
      </c>
      <c r="AO96" t="inlineStr">
        <is>
          <t>craftingIT GmbH</t>
        </is>
      </c>
      <c r="AP96" t="inlineStr">
        <is>
          <t>München</t>
        </is>
      </c>
      <c r="AQ96" t="inlineStr">
        <is>
          <t>Klaus Baumgärtner</t>
        </is>
      </c>
    </row>
    <row r="97">
      <c r="A97" t="inlineStr">
        <is>
          <t>1076</t>
        </is>
      </c>
      <c r="B97" t="inlineStr">
        <is>
          <t>C792E8</t>
        </is>
      </c>
      <c r="C97" t="inlineStr">
        <is>
          <t>https://app.matchical.com/Consulting/ConsultantDetail?ConsultantId=8275f11d-2bdf-4896-94ed-4c8f9d9591c3</t>
        </is>
      </c>
      <c r="D97" t="inlineStr">
        <is>
          <t>Christian Will</t>
        </is>
      </c>
      <c r="E97" t="inlineStr">
        <is>
          <t>christian.will@bridging-it.de</t>
        </is>
      </c>
      <c r="F97" s="2" t="n">
        <v>39569</v>
      </c>
      <c r="G97" s="2" t="n">
        <v>35096</v>
      </c>
      <c r="H97" t="n">
        <v>13</v>
      </c>
      <c r="I97" t="n">
        <v>0</v>
      </c>
      <c r="J97" t="n">
        <v>2</v>
      </c>
      <c r="K97" s="2" t="n">
        <v>44108</v>
      </c>
      <c r="L97" s="2" t="n">
        <v>44562</v>
      </c>
      <c r="M97" s="2" t="n">
        <v>45106</v>
      </c>
      <c r="N97" t="b">
        <v>0</v>
      </c>
      <c r="O97" t="n">
        <v>214</v>
      </c>
      <c r="P97" t="n">
        <v>178</v>
      </c>
      <c r="Q97" t="n">
        <v>101</v>
      </c>
      <c r="R97">
        <f>ROUND(O97-P97,2)</f>
        <v/>
      </c>
      <c r="S97">
        <f>ROUND(O97-Q97,2)</f>
        <v/>
      </c>
      <c r="T97" s="3">
        <f>IFERROR(P97/O97,"")</f>
        <v/>
      </c>
      <c r="U97" s="3">
        <f>IFERROR(Q97/O97,"")</f>
        <v/>
      </c>
      <c r="V97" t="n">
        <v>147</v>
      </c>
      <c r="W97" t="n">
        <v>0</v>
      </c>
      <c r="X97" t="n">
        <v>0</v>
      </c>
      <c r="Y97">
        <f>ROUND(V97-W97,2)</f>
        <v/>
      </c>
      <c r="Z97">
        <f>ROUND(V97-X97,2)</f>
        <v/>
      </c>
      <c r="AA97" s="3">
        <f>IFERROR(W97/V97,"")</f>
        <v/>
      </c>
      <c r="AB97" s="3">
        <f>IFERROR(X97/V97,"")</f>
        <v/>
      </c>
      <c r="AC97" t="b">
        <v>0</v>
      </c>
      <c r="AD97" t="b">
        <v>0</v>
      </c>
      <c r="AE97" t="b">
        <v>0</v>
      </c>
      <c r="AF97" t="inlineStr">
        <is>
          <t>No</t>
        </is>
      </c>
      <c r="AI97" t="b">
        <v>1</v>
      </c>
      <c r="AJ97" t="n">
        <v>0</v>
      </c>
      <c r="AK97" t="inlineStr">
        <is>
          <t>- Key skills: C# / .NET, Fullstack, architecture, Cloud (preferably Azure)</t>
        </is>
      </c>
      <c r="AL97" t="inlineStr">
        <is>
          <t>A&amp;SE Analytics &amp; Software Engineering (Philip R.)</t>
        </is>
      </c>
      <c r="AM97" t="inlineStr">
        <is>
          <t>NET .NET Software Engineering (Christian Wi.)</t>
        </is>
      </c>
      <c r="AN97" t="inlineStr">
        <is>
          <t>FUN Fullstack Ninjas (Stefan Z.)</t>
        </is>
      </c>
      <c r="AO97" t="inlineStr">
        <is>
          <t>bridgingIT GmbH</t>
        </is>
      </c>
      <c r="AP97" t="inlineStr">
        <is>
          <t>Mannheim</t>
        </is>
      </c>
      <c r="AQ97" t="inlineStr">
        <is>
          <t>Stefan Zilch</t>
        </is>
      </c>
    </row>
    <row r="98">
      <c r="A98" t="inlineStr">
        <is>
          <t>1214</t>
        </is>
      </c>
      <c r="B98" t="inlineStr">
        <is>
          <t>F03DAE</t>
        </is>
      </c>
      <c r="C98" t="inlineStr">
        <is>
          <t>https://app.matchical.com/Consulting/ConsultantDetail?ConsultantId=e0c6d5c4-673d-49d7-aca3-75a9539000ec</t>
        </is>
      </c>
      <c r="D98" t="inlineStr">
        <is>
          <t>Christian Wolf</t>
        </is>
      </c>
      <c r="E98" t="inlineStr">
        <is>
          <t>christian.wolf@bridging-it.de</t>
        </is>
      </c>
      <c r="F98" s="2" t="n">
        <v>41306</v>
      </c>
      <c r="G98" s="2" t="n">
        <v>38353</v>
      </c>
      <c r="H98" t="n">
        <v>37</v>
      </c>
      <c r="I98" t="n">
        <v>0</v>
      </c>
      <c r="J98" t="n">
        <v>0</v>
      </c>
      <c r="L98" s="2" t="n">
        <v>45170</v>
      </c>
      <c r="M98" s="2" t="n">
        <v>45291</v>
      </c>
      <c r="N98" t="b">
        <v>0</v>
      </c>
      <c r="O98" t="n">
        <v>157</v>
      </c>
      <c r="P98" t="n">
        <v>173.93</v>
      </c>
      <c r="Q98" t="n">
        <v>124.15</v>
      </c>
      <c r="R98">
        <f>ROUND(O98-P98,2)</f>
        <v/>
      </c>
      <c r="S98">
        <f>ROUND(O98-Q98,2)</f>
        <v/>
      </c>
      <c r="T98" s="3">
        <f>IFERROR(P98/O98,"")</f>
        <v/>
      </c>
      <c r="U98" s="3">
        <f>IFERROR(Q98/O98,"")</f>
        <v/>
      </c>
      <c r="V98" t="n">
        <v>97</v>
      </c>
      <c r="W98" t="n">
        <v>163.07</v>
      </c>
      <c r="X98" t="n">
        <v>78.09999999999999</v>
      </c>
      <c r="Y98">
        <f>ROUND(V98-W98,2)</f>
        <v/>
      </c>
      <c r="Z98">
        <f>ROUND(V98-X98,2)</f>
        <v/>
      </c>
      <c r="AA98" s="3">
        <f>IFERROR(W98/V98,"")</f>
        <v/>
      </c>
      <c r="AB98" s="3">
        <f>IFERROR(X98/V98,"")</f>
        <v/>
      </c>
      <c r="AC98" t="b">
        <v>0</v>
      </c>
      <c r="AD98" t="b">
        <v>0</v>
      </c>
      <c r="AE98" t="b">
        <v>0</v>
      </c>
      <c r="AF98" t="inlineStr">
        <is>
          <t>No</t>
        </is>
      </c>
      <c r="AI98" t="b">
        <v>1</v>
      </c>
      <c r="AJ98" t="n">
        <v>0</v>
      </c>
      <c r="AK98" t="inlineStr"/>
      <c r="AL98" t="inlineStr">
        <is>
          <t>IT - Information Technology (Sebastian L.)</t>
        </is>
      </c>
      <c r="AM98" t="inlineStr">
        <is>
          <t>ESM Enterprise Service Management (Christian Wo.)</t>
        </is>
      </c>
      <c r="AN98" t="inlineStr">
        <is>
          <t>C&amp;DO - Cloud &amp; DevOps (Sebastian L.)</t>
        </is>
      </c>
      <c r="AO98" t="inlineStr">
        <is>
          <t>bridgingIT GmbH</t>
        </is>
      </c>
      <c r="AP98" t="inlineStr">
        <is>
          <t>Mannheim</t>
        </is>
      </c>
      <c r="AQ98" t="inlineStr">
        <is>
          <t>Sebastian Lenhard</t>
        </is>
      </c>
    </row>
    <row r="99">
      <c r="A99" t="inlineStr">
        <is>
          <t>2160</t>
        </is>
      </c>
      <c r="B99" t="inlineStr">
        <is>
          <t>ACD0B6</t>
        </is>
      </c>
      <c r="C99" t="inlineStr">
        <is>
          <t>https://app.matchical.com/Consulting/ConsultantDetail?ConsultantId=ed7e6cc0-8d97-4a87-9b60-bff9f8c16312</t>
        </is>
      </c>
      <c r="D99" t="inlineStr">
        <is>
          <t>Christian Zeh</t>
        </is>
      </c>
      <c r="E99" t="inlineStr">
        <is>
          <t>christian.zeh@bridging-it.de</t>
        </is>
      </c>
      <c r="F99" s="2" t="n">
        <v>42644</v>
      </c>
      <c r="G99" s="2" t="n">
        <v>32660</v>
      </c>
      <c r="H99" t="n">
        <v>15</v>
      </c>
      <c r="I99" t="n">
        <v>0</v>
      </c>
      <c r="J99" t="n">
        <v>2</v>
      </c>
      <c r="K99" s="2" t="n">
        <v>44652</v>
      </c>
      <c r="L99" s="2" t="n">
        <v>45201</v>
      </c>
      <c r="M99" s="2" t="n">
        <v>45688</v>
      </c>
      <c r="N99" t="b">
        <v>0</v>
      </c>
      <c r="O99" t="n">
        <v>113</v>
      </c>
      <c r="P99" t="n">
        <v>209.85</v>
      </c>
      <c r="Q99" t="n">
        <v>109.58</v>
      </c>
      <c r="R99">
        <f>ROUND(O99-P99,2)</f>
        <v/>
      </c>
      <c r="S99">
        <f>ROUND(O99-Q99,2)</f>
        <v/>
      </c>
      <c r="T99" s="3">
        <f>IFERROR(P99/O99,"")</f>
        <v/>
      </c>
      <c r="U99" s="3">
        <f>IFERROR(Q99/O99,"")</f>
        <v/>
      </c>
      <c r="V99" t="n">
        <v>328</v>
      </c>
      <c r="W99" t="n">
        <v>17</v>
      </c>
      <c r="X99" t="n">
        <v>17</v>
      </c>
      <c r="Y99">
        <f>ROUND(V99-W99,2)</f>
        <v/>
      </c>
      <c r="Z99">
        <f>ROUND(V99-X99,2)</f>
        <v/>
      </c>
      <c r="AA99" s="3">
        <f>IFERROR(W99/V99,"")</f>
        <v/>
      </c>
      <c r="AB99" s="3">
        <f>IFERROR(X99/V99,"")</f>
        <v/>
      </c>
      <c r="AC99" t="b">
        <v>0</v>
      </c>
      <c r="AD99" t="b">
        <v>0</v>
      </c>
      <c r="AE99" t="b">
        <v>0</v>
      </c>
      <c r="AF99" t="inlineStr">
        <is>
          <t>No</t>
        </is>
      </c>
      <c r="AI99" t="b">
        <v>0</v>
      </c>
      <c r="AJ99" t="n">
        <v>0</v>
      </c>
      <c r="AK99" t="inlineStr">
        <is>
          <t>Merck K2, 90%, Hermann Löh, 12/10/2018 (high probability of extension)</t>
        </is>
      </c>
      <c r="AL99" t="inlineStr">
        <is>
          <t>DO Digital Organizations (Michael H.)</t>
        </is>
      </c>
      <c r="AM99" t="inlineStr">
        <is>
          <t>PD Process Digitalization (Hermann L.)</t>
        </is>
      </c>
      <c r="AN99" t="inlineStr">
        <is>
          <t>DP Digital Processes (Hermann L.)</t>
        </is>
      </c>
      <c r="AO99" t="inlineStr">
        <is>
          <t>bridgingIT GmbH</t>
        </is>
      </c>
      <c r="AP99" t="inlineStr">
        <is>
          <t>Stuttgart</t>
        </is>
      </c>
      <c r="AQ99" t="inlineStr">
        <is>
          <t>Hermann Löh</t>
        </is>
      </c>
    </row>
    <row r="100">
      <c r="A100" t="inlineStr">
        <is>
          <t>10060</t>
        </is>
      </c>
      <c r="B100" t="inlineStr">
        <is>
          <t>C2068F</t>
        </is>
      </c>
      <c r="C100" t="inlineStr">
        <is>
          <t>https://app.matchical.com/Consulting/ConsultantDetail?ConsultantId=b662a0de-1154-4fe1-8c6e-f42698d06b57</t>
        </is>
      </c>
      <c r="D100" t="inlineStr">
        <is>
          <t>Christine Klaus</t>
        </is>
      </c>
      <c r="E100" t="inlineStr">
        <is>
          <t>christine.klaus@bridging-it.de</t>
        </is>
      </c>
      <c r="F100" s="2" t="n">
        <v>44958</v>
      </c>
      <c r="G100" s="2" t="n">
        <v>40940</v>
      </c>
      <c r="H100" t="n">
        <v>5</v>
      </c>
      <c r="I100" t="n">
        <v>0</v>
      </c>
      <c r="J100" t="n">
        <v>0</v>
      </c>
      <c r="L100" s="2" t="n">
        <v>45291</v>
      </c>
      <c r="M100" s="2" t="n">
        <v>45442</v>
      </c>
      <c r="N100" t="b">
        <v>0</v>
      </c>
      <c r="O100" t="n">
        <v>37</v>
      </c>
      <c r="P100" t="n">
        <v>18.95</v>
      </c>
      <c r="Q100" t="n">
        <v>16.55</v>
      </c>
      <c r="R100">
        <f>ROUND(O100-P100,2)</f>
        <v/>
      </c>
      <c r="S100">
        <f>ROUND(O100-Q100,2)</f>
        <v/>
      </c>
      <c r="T100" s="3">
        <f>IFERROR(P100/O100,"")</f>
        <v/>
      </c>
      <c r="U100" s="3">
        <f>IFERROR(Q100/O100,"")</f>
        <v/>
      </c>
      <c r="V100" t="n">
        <v>132</v>
      </c>
      <c r="W100" t="n">
        <v>101.05</v>
      </c>
      <c r="X100" t="n">
        <v>59.45</v>
      </c>
      <c r="Y100">
        <f>ROUND(V100-W100,2)</f>
        <v/>
      </c>
      <c r="Z100">
        <f>ROUND(V100-X100,2)</f>
        <v/>
      </c>
      <c r="AA100" s="3">
        <f>IFERROR(W100/V100,"")</f>
        <v/>
      </c>
      <c r="AB100" s="3">
        <f>IFERROR(X100/V100,"")</f>
        <v/>
      </c>
      <c r="AC100" t="b">
        <v>0</v>
      </c>
      <c r="AD100" t="b">
        <v>0</v>
      </c>
      <c r="AE100" t="b">
        <v>0</v>
      </c>
      <c r="AF100" t="inlineStr">
        <is>
          <t>Yes</t>
        </is>
      </c>
      <c r="AG100" s="2" t="n">
        <v>46113</v>
      </c>
      <c r="AI100" t="b">
        <v>1</v>
      </c>
      <c r="AJ100" t="n">
        <v>2.5</v>
      </c>
      <c r="AK100" t="inlineStr">
        <is>
          <t>BASF preliminary design until the end of March ’26. Extension likely.</t>
        </is>
      </c>
      <c r="AL100" t="inlineStr">
        <is>
          <t>ORG bIT</t>
        </is>
      </c>
      <c r="AM100" t="inlineStr">
        <is>
          <t>LSC - Life Science Cologne (Sascha B.)</t>
        </is>
      </c>
      <c r="AN100" t="inlineStr">
        <is>
          <t>CC Life Science Solutions (Sabine S.)</t>
        </is>
      </c>
      <c r="AO100" t="inlineStr">
        <is>
          <t>bridgingIT GmbH</t>
        </is>
      </c>
      <c r="AP100" t="inlineStr">
        <is>
          <t>Köln</t>
        </is>
      </c>
      <c r="AQ100" t="inlineStr">
        <is>
          <t>Sascha Beerhenke</t>
        </is>
      </c>
    </row>
    <row r="101">
      <c r="A101" t="inlineStr">
        <is>
          <t>1031</t>
        </is>
      </c>
      <c r="B101" t="inlineStr">
        <is>
          <t>BE079F</t>
        </is>
      </c>
      <c r="C101" t="inlineStr">
        <is>
          <t>https://app.matchical.com/Consulting/ConsultantDetail?ConsultantId=0ea893c9-3c5a-4fe1-b838-a02ca4532a5d</t>
        </is>
      </c>
      <c r="D101" t="inlineStr">
        <is>
          <t>Christoph Müller</t>
        </is>
      </c>
      <c r="E101" t="inlineStr">
        <is>
          <t>christoph.mueller@bridging-it.de</t>
        </is>
      </c>
      <c r="F101" s="2" t="n">
        <v>39569</v>
      </c>
      <c r="G101" s="2" t="n">
        <v>34516</v>
      </c>
      <c r="H101" t="n">
        <v>29</v>
      </c>
      <c r="I101" t="n">
        <v>0</v>
      </c>
      <c r="J101" t="n">
        <v>2</v>
      </c>
      <c r="K101" s="2" t="n">
        <v>39568</v>
      </c>
      <c r="L101" s="2" t="n">
        <v>45208</v>
      </c>
      <c r="M101" s="2" t="n">
        <v>45229</v>
      </c>
      <c r="N101" t="b">
        <v>0</v>
      </c>
      <c r="O101" t="n">
        <v>214</v>
      </c>
      <c r="P101" t="n">
        <v>408.97</v>
      </c>
      <c r="Q101" t="n">
        <v>213.82</v>
      </c>
      <c r="R101">
        <f>ROUND(O101-P101,2)</f>
        <v/>
      </c>
      <c r="S101">
        <f>ROUND(O101-Q101,2)</f>
        <v/>
      </c>
      <c r="T101" s="3">
        <f>IFERROR(P101/O101,"")</f>
        <v/>
      </c>
      <c r="U101" s="3">
        <f>IFERROR(Q101/O101,"")</f>
        <v/>
      </c>
      <c r="V101" t="n">
        <v>166</v>
      </c>
      <c r="W101" t="n">
        <v>133.03</v>
      </c>
      <c r="X101" t="n">
        <v>109.02</v>
      </c>
      <c r="Y101">
        <f>ROUND(V101-W101,2)</f>
        <v/>
      </c>
      <c r="Z101">
        <f>ROUND(V101-X101,2)</f>
        <v/>
      </c>
      <c r="AA101" s="3">
        <f>IFERROR(W101/V101,"")</f>
        <v/>
      </c>
      <c r="AB101" s="3">
        <f>IFERROR(X101/V101,"")</f>
        <v/>
      </c>
      <c r="AC101" t="b">
        <v>0</v>
      </c>
      <c r="AD101" t="b">
        <v>0</v>
      </c>
      <c r="AE101" t="b">
        <v>0</v>
      </c>
      <c r="AF101" t="inlineStr">
        <is>
          <t>No</t>
        </is>
      </c>
      <c r="AI101" t="b">
        <v>0</v>
      </c>
      <c r="AJ101" t="n">
        <v>0</v>
      </c>
      <c r="AK101" t="inlineStr">
        <is>
          <t>Unit and team in Stuttgart and, in addition, the Deep Map Team in HD: =-&gt; a full-time project does not make sense, a part-time project makes sense if it contributes to the workload of the rest of the team / the unit.</t>
        </is>
      </c>
      <c r="AL101" t="inlineStr">
        <is>
          <t>ES Enterprise Solutions (Gina H.)</t>
        </is>
      </c>
      <c r="AM101" t="inlineStr">
        <is>
          <t>IEM .Net I (Christoph M.)</t>
        </is>
      </c>
      <c r="AN101" t="inlineStr">
        <is>
          <t>IEJ Individualentwicklung JAVA (Dominik S.)</t>
        </is>
      </c>
      <c r="AO101" t="inlineStr">
        <is>
          <t>bridgingIT GmbH</t>
        </is>
      </c>
      <c r="AP101" t="inlineStr">
        <is>
          <t>Stuttgart</t>
        </is>
      </c>
      <c r="AQ101" t="inlineStr">
        <is>
          <t>Dominik Schadow</t>
        </is>
      </c>
    </row>
    <row r="102">
      <c r="A102" t="inlineStr">
        <is>
          <t>1266</t>
        </is>
      </c>
      <c r="B102" t="inlineStr">
        <is>
          <t>3CCAF0</t>
        </is>
      </c>
      <c r="C102" t="inlineStr">
        <is>
          <t>https://app.matchical.com/Consulting/ConsultantDetail?ConsultantId=757009e3-ebb9-4005-a6be-43c13cc9f51e</t>
        </is>
      </c>
      <c r="D102" t="inlineStr">
        <is>
          <t>Christoph Nickels</t>
        </is>
      </c>
      <c r="E102" t="inlineStr">
        <is>
          <t>christoph.nickels@fastahead.com</t>
        </is>
      </c>
      <c r="F102" s="2" t="n">
        <v>41821</v>
      </c>
      <c r="G102" s="2" t="n">
        <v>40544</v>
      </c>
      <c r="H102" t="n">
        <v>8</v>
      </c>
      <c r="I102" t="n">
        <v>0</v>
      </c>
      <c r="J102" t="n">
        <v>0</v>
      </c>
      <c r="L102" s="2" t="n">
        <v>44736</v>
      </c>
      <c r="M102" s="2" t="n">
        <v>44926</v>
      </c>
      <c r="N102" t="b">
        <v>0</v>
      </c>
      <c r="O102" t="n">
        <v>140</v>
      </c>
      <c r="P102" t="n">
        <v>80</v>
      </c>
      <c r="Q102" t="n">
        <v>75</v>
      </c>
      <c r="R102">
        <f>ROUND(O102-P102,2)</f>
        <v/>
      </c>
      <c r="S102">
        <f>ROUND(O102-Q102,2)</f>
        <v/>
      </c>
      <c r="T102" s="3">
        <f>IFERROR(P102/O102,"")</f>
        <v/>
      </c>
      <c r="U102" s="3">
        <f>IFERROR(Q102/O102,"")</f>
        <v/>
      </c>
      <c r="V102" t="n">
        <v>42</v>
      </c>
      <c r="W102" t="n">
        <v>0</v>
      </c>
      <c r="X102" t="n">
        <v>0</v>
      </c>
      <c r="Y102">
        <f>ROUND(V102-W102,2)</f>
        <v/>
      </c>
      <c r="Z102">
        <f>ROUND(V102-X102,2)</f>
        <v/>
      </c>
      <c r="AA102" s="3">
        <f>IFERROR(W102/V102,"")</f>
        <v/>
      </c>
      <c r="AB102" s="3">
        <f>IFERROR(X102/V102,"")</f>
        <v/>
      </c>
      <c r="AC102" t="b">
        <v>0</v>
      </c>
      <c r="AD102" t="b">
        <v>0</v>
      </c>
      <c r="AE102" t="b">
        <v>0</v>
      </c>
      <c r="AF102" t="inlineStr">
        <is>
          <t>Yes</t>
        </is>
      </c>
      <c r="AG102" s="2" t="n">
        <v>46082</v>
      </c>
      <c r="AI102" t="b">
        <v>1</v>
      </c>
      <c r="AJ102" t="n">
        <v>3.5</v>
      </c>
      <c r="AK102" t="inlineStr">
        <is>
          <t>50% AOK-Systems;
Key skills: Finance focus, Sustainable Finance, capital market, asset management, real estate, crypto integrations, IT architecture (processes &amp; operations), IT integration management, ESM &amp; ITSM, project management,</t>
        </is>
      </c>
      <c r="AL102" t="inlineStr">
        <is>
          <t>ORG fastahead GmbH &amp; Co. KG</t>
        </is>
      </c>
      <c r="AM102" t="inlineStr">
        <is>
          <t>Banking (R. Weygand)</t>
        </is>
      </c>
      <c r="AN102" t="inlineStr">
        <is>
          <t>fah Ralf Weygand</t>
        </is>
      </c>
      <c r="AO102" t="inlineStr">
        <is>
          <t>fastahead GmbH &amp; Co. KG</t>
        </is>
      </c>
      <c r="AP102" t="inlineStr">
        <is>
          <t>Mannheim</t>
        </is>
      </c>
      <c r="AQ102" t="inlineStr">
        <is>
          <t>Ralf Weygand</t>
        </is>
      </c>
    </row>
    <row r="103">
      <c r="A103" t="inlineStr">
        <is>
          <t>10398</t>
        </is>
      </c>
      <c r="B103" t="inlineStr">
        <is>
          <t>E791FD</t>
        </is>
      </c>
      <c r="C103" t="inlineStr">
        <is>
          <t>https://app.matchical.com/Consulting/ConsultantDetail?ConsultantId=e21e23ad-ff67-4aaf-96ad-ca8c126efcd3</t>
        </is>
      </c>
      <c r="D103" t="inlineStr">
        <is>
          <t>Christoph Urlau</t>
        </is>
      </c>
      <c r="E103" t="inlineStr">
        <is>
          <t>christoph.urlau@bridging-it.de</t>
        </is>
      </c>
      <c r="F103" s="2" t="n">
        <v>45931</v>
      </c>
      <c r="G103" s="2" t="n">
        <v>43466</v>
      </c>
      <c r="H103" t="n">
        <v>3</v>
      </c>
      <c r="I103" t="n">
        <v>0</v>
      </c>
      <c r="J103" t="n">
        <v>0</v>
      </c>
      <c r="L103" s="2" t="n">
        <v>45839</v>
      </c>
      <c r="M103" s="2" t="n">
        <v>46022</v>
      </c>
      <c r="N103" t="b">
        <v>0</v>
      </c>
      <c r="O103" t="n">
        <v>5</v>
      </c>
      <c r="P103" t="n">
        <v>7.82</v>
      </c>
      <c r="Q103" t="n">
        <v>4.8</v>
      </c>
      <c r="R103">
        <f>ROUND(O103-P103,2)</f>
        <v/>
      </c>
      <c r="S103">
        <f>ROUND(O103-Q103,2)</f>
        <v/>
      </c>
      <c r="T103" s="3">
        <f>IFERROR(P103/O103,"")</f>
        <v/>
      </c>
      <c r="U103" s="3">
        <f>IFERROR(Q103/O103,"")</f>
        <v/>
      </c>
      <c r="V103" t="n">
        <v>81</v>
      </c>
      <c r="W103" t="n">
        <v>8.050000000000001</v>
      </c>
      <c r="X103" t="n">
        <v>7.29</v>
      </c>
      <c r="Y103">
        <f>ROUND(V103-W103,2)</f>
        <v/>
      </c>
      <c r="Z103">
        <f>ROUND(V103-X103,2)</f>
        <v/>
      </c>
      <c r="AA103" s="3">
        <f>IFERROR(W103/V103,"")</f>
        <v/>
      </c>
      <c r="AB103" s="3">
        <f>IFERROR(X103/V103,"")</f>
        <v/>
      </c>
      <c r="AC103" t="b">
        <v>0</v>
      </c>
      <c r="AD103" t="b">
        <v>0</v>
      </c>
      <c r="AE103" t="b">
        <v>0</v>
      </c>
      <c r="AF103" t="inlineStr">
        <is>
          <t>No</t>
        </is>
      </c>
      <c r="AI103" t="b">
        <v>1</v>
      </c>
      <c r="AJ103" t="n">
        <v>0</v>
      </c>
      <c r="AK103" t="inlineStr"/>
      <c r="AL103" t="inlineStr">
        <is>
          <t>ES Enterprise Solutions (Gina H.)</t>
        </is>
      </c>
      <c r="AM103" t="inlineStr">
        <is>
          <t>PE Platform Engineering (Thomas K.)</t>
        </is>
      </c>
      <c r="AN103" t="inlineStr">
        <is>
          <t>PA Platform &amp; Application Solutions (Thomas K.)</t>
        </is>
      </c>
      <c r="AO103" t="inlineStr">
        <is>
          <t>bridgingIT GmbH</t>
        </is>
      </c>
      <c r="AP103" t="inlineStr">
        <is>
          <t>Stuttgart</t>
        </is>
      </c>
      <c r="AQ103" t="inlineStr">
        <is>
          <t>Thomas Kiri</t>
        </is>
      </c>
    </row>
    <row r="104">
      <c r="A104" t="inlineStr">
        <is>
          <t>10429</t>
        </is>
      </c>
      <c r="B104" t="inlineStr">
        <is>
          <t>82BC5B</t>
        </is>
      </c>
      <c r="C104" t="inlineStr">
        <is>
          <t>https://app.matchical.com/Consulting/ConsultantDetail?ConsultantId=2e0ba3a9-71e6-4399-98de-6416218bee86</t>
        </is>
      </c>
      <c r="D104" t="inlineStr">
        <is>
          <t>Christoph Wudtke</t>
        </is>
      </c>
      <c r="E104" t="inlineStr">
        <is>
          <t>christoph.wudtke@bridging-it.de</t>
        </is>
      </c>
      <c r="F104" s="2" t="n">
        <v>46023</v>
      </c>
      <c r="G104" s="2" t="n">
        <v>38654</v>
      </c>
      <c r="H104" t="n">
        <v>2</v>
      </c>
      <c r="I104" t="n">
        <v>0</v>
      </c>
      <c r="J104" t="n">
        <v>1</v>
      </c>
      <c r="K104" s="2" t="n">
        <v>46024</v>
      </c>
      <c r="L104" s="2" t="n">
        <v>44561</v>
      </c>
      <c r="M104" s="2" t="n">
        <v>45321</v>
      </c>
      <c r="N104" t="b">
        <v>0</v>
      </c>
      <c r="O104" t="n">
        <v>2</v>
      </c>
      <c r="P104" t="n">
        <v>1</v>
      </c>
      <c r="Q104" t="n">
        <v>1</v>
      </c>
      <c r="R104">
        <f>ROUND(O104-P104,2)</f>
        <v/>
      </c>
      <c r="S104">
        <f>ROUND(O104-Q104,2)</f>
        <v/>
      </c>
      <c r="T104" s="3">
        <f>IFERROR(P104/O104,"")</f>
        <v/>
      </c>
      <c r="U104" s="3">
        <f>IFERROR(Q104/O104,"")</f>
        <v/>
      </c>
      <c r="V104" t="n">
        <v>242</v>
      </c>
      <c r="W104" t="n">
        <v>25</v>
      </c>
      <c r="X104" t="n">
        <v>25</v>
      </c>
      <c r="Y104">
        <f>ROUND(V104-W104,2)</f>
        <v/>
      </c>
      <c r="Z104">
        <f>ROUND(V104-X104,2)</f>
        <v/>
      </c>
      <c r="AA104" s="3">
        <f>IFERROR(W104/V104,"")</f>
        <v/>
      </c>
      <c r="AB104" s="3">
        <f>IFERROR(X104/V104,"")</f>
        <v/>
      </c>
      <c r="AC104" t="b">
        <v>0</v>
      </c>
      <c r="AD104" t="b">
        <v>0</v>
      </c>
      <c r="AE104" t="b">
        <v>0</v>
      </c>
      <c r="AF104" t="inlineStr">
        <is>
          <t>Yes</t>
        </is>
      </c>
      <c r="AG104" s="2" t="n">
        <v>46113</v>
      </c>
      <c r="AI104" t="b">
        <v>1</v>
      </c>
      <c r="AJ104" t="n">
        <v>5</v>
      </c>
      <c r="AK104" t="inlineStr"/>
      <c r="AL104" t="inlineStr">
        <is>
          <t>IT - Information Technology (HH)</t>
        </is>
      </c>
      <c r="AM104" t="inlineStr">
        <is>
          <t>TM - Transition Management (Christoph W.)</t>
        </is>
      </c>
      <c r="AN104" t="inlineStr">
        <is>
          <t>MWT HH (Udo P.)</t>
        </is>
      </c>
      <c r="AO104" t="inlineStr">
        <is>
          <t>bridgingIT GmbH</t>
        </is>
      </c>
      <c r="AP104" t="inlineStr">
        <is>
          <t>Hamburg</t>
        </is>
      </c>
      <c r="AQ104" t="inlineStr">
        <is>
          <t>Udo Peters</t>
        </is>
      </c>
    </row>
    <row r="105">
      <c r="A105" t="inlineStr">
        <is>
          <t>8803</t>
        </is>
      </c>
      <c r="B105" t="inlineStr">
        <is>
          <t>8EE747</t>
        </is>
      </c>
      <c r="C105" t="inlineStr">
        <is>
          <t>https://app.matchical.com/Consulting/ConsultantDetail?ConsultantId=1251c4dc-ff73-4616-b50f-8feb1d2fe953</t>
        </is>
      </c>
      <c r="D105" t="inlineStr">
        <is>
          <t>Christophe Divry</t>
        </is>
      </c>
      <c r="E105" t="inlineStr">
        <is>
          <t>christophe.divry@crafting-it.de</t>
        </is>
      </c>
      <c r="F105" s="2" t="n">
        <v>44757</v>
      </c>
      <c r="G105" s="2" t="n">
        <v>38148</v>
      </c>
      <c r="H105" t="n">
        <v>5</v>
      </c>
      <c r="I105" t="n">
        <v>0</v>
      </c>
      <c r="J105" t="n">
        <v>0</v>
      </c>
      <c r="L105" s="2" t="n">
        <v>44774</v>
      </c>
      <c r="M105" s="2" t="n">
        <v>45138</v>
      </c>
      <c r="N105" t="b">
        <v>0</v>
      </c>
      <c r="O105" t="n">
        <v>43</v>
      </c>
      <c r="P105" t="n">
        <v>25.08</v>
      </c>
      <c r="Q105" t="n">
        <v>13.97</v>
      </c>
      <c r="R105">
        <f>ROUND(O105-P105,2)</f>
        <v/>
      </c>
      <c r="S105">
        <f>ROUND(O105-Q105,2)</f>
        <v/>
      </c>
      <c r="T105" s="3">
        <f>IFERROR(P105/O105,"")</f>
        <v/>
      </c>
      <c r="U105" s="3">
        <f>IFERROR(Q105/O105,"")</f>
        <v/>
      </c>
      <c r="V105" t="n">
        <v>217</v>
      </c>
      <c r="W105" t="n">
        <v>10.92</v>
      </c>
      <c r="X105" t="n">
        <v>6.03</v>
      </c>
      <c r="Y105">
        <f>ROUND(V105-W105,2)</f>
        <v/>
      </c>
      <c r="Z105">
        <f>ROUND(V105-X105,2)</f>
        <v/>
      </c>
      <c r="AA105" s="3">
        <f>IFERROR(W105/V105,"")</f>
        <v/>
      </c>
      <c r="AB105" s="3">
        <f>IFERROR(X105/V105,"")</f>
        <v/>
      </c>
      <c r="AC105" t="b">
        <v>0</v>
      </c>
      <c r="AD105" t="b">
        <v>0</v>
      </c>
      <c r="AE105" t="b">
        <v>0</v>
      </c>
      <c r="AF105" t="inlineStr">
        <is>
          <t>Yes</t>
        </is>
      </c>
      <c r="AG105" s="2" t="n">
        <v>45809</v>
      </c>
      <c r="AI105" t="b">
        <v>1</v>
      </c>
      <c r="AJ105" t="n">
        <v>1.5</v>
      </c>
      <c r="AK105" t="inlineStr"/>
      <c r="AL105" t="inlineStr">
        <is>
          <t>ORG cIT</t>
        </is>
      </c>
      <c r="AM105" t="inlineStr">
        <is>
          <t>cIT AMS / GIS Services (Michael B.)</t>
        </is>
      </c>
      <c r="AN105" t="inlineStr">
        <is>
          <t>cIT Service Delivery Magdeburg (Steffen A.)</t>
        </is>
      </c>
      <c r="AO105" t="inlineStr">
        <is>
          <t>craftingIT GmbH</t>
        </is>
      </c>
      <c r="AP105" t="inlineStr">
        <is>
          <t>Magdeburg</t>
        </is>
      </c>
      <c r="AQ105" t="inlineStr">
        <is>
          <t>Michael Buchter</t>
        </is>
      </c>
    </row>
    <row r="106">
      <c r="A106" t="inlineStr">
        <is>
          <t>8823</t>
        </is>
      </c>
      <c r="B106" t="inlineStr">
        <is>
          <t>4EE5BA</t>
        </is>
      </c>
      <c r="C106" t="inlineStr">
        <is>
          <t>https://app.matchical.com/Consulting/ConsultantDetail?ConsultantId=761f9516-35b0-42b4-9edc-6e1d593e5163</t>
        </is>
      </c>
      <c r="D106" t="inlineStr">
        <is>
          <t>Christopher Schweinsteiger</t>
        </is>
      </c>
      <c r="E106" t="inlineStr">
        <is>
          <t>christopher.schweinsteiger@crafting-it.de</t>
        </is>
      </c>
      <c r="F106" s="2" t="n">
        <v>44805</v>
      </c>
      <c r="G106" s="2" t="n">
        <v>38961</v>
      </c>
      <c r="H106" t="n">
        <v>5</v>
      </c>
      <c r="I106" t="n">
        <v>0</v>
      </c>
      <c r="J106" t="n">
        <v>0</v>
      </c>
      <c r="L106" s="2" t="n">
        <v>45383</v>
      </c>
      <c r="M106" s="2" t="n">
        <v>45747</v>
      </c>
      <c r="N106" t="b">
        <v>0</v>
      </c>
      <c r="O106" t="n">
        <v>42</v>
      </c>
      <c r="P106" t="n">
        <v>18</v>
      </c>
      <c r="Q106" t="n">
        <v>15</v>
      </c>
      <c r="R106">
        <f>ROUND(O106-P106,2)</f>
        <v/>
      </c>
      <c r="S106">
        <f>ROUND(O106-Q106,2)</f>
        <v/>
      </c>
      <c r="T106" s="3">
        <f>IFERROR(P106/O106,"")</f>
        <v/>
      </c>
      <c r="U106" s="3">
        <f>IFERROR(Q106/O106,"")</f>
        <v/>
      </c>
      <c r="V106" t="n">
        <v>192</v>
      </c>
      <c r="W106" t="n">
        <v>168</v>
      </c>
      <c r="X106" t="n">
        <v>156</v>
      </c>
      <c r="Y106">
        <f>ROUND(V106-W106,2)</f>
        <v/>
      </c>
      <c r="Z106">
        <f>ROUND(V106-X106,2)</f>
        <v/>
      </c>
      <c r="AA106" s="3">
        <f>IFERROR(W106/V106,"")</f>
        <v/>
      </c>
      <c r="AB106" s="3">
        <f>IFERROR(X106/V106,"")</f>
        <v/>
      </c>
      <c r="AC106" t="b">
        <v>0</v>
      </c>
      <c r="AD106" t="b">
        <v>0</v>
      </c>
      <c r="AE106" t="b">
        <v>0</v>
      </c>
      <c r="AF106" t="inlineStr">
        <is>
          <t>No</t>
        </is>
      </c>
      <c r="AI106" t="b">
        <v>1</v>
      </c>
      <c r="AJ106" t="n">
        <v>0</v>
      </c>
      <c r="AK106" t="inlineStr"/>
      <c r="AL106" t="inlineStr">
        <is>
          <t>ORG cIT 2</t>
        </is>
      </c>
      <c r="AM106" t="inlineStr">
        <is>
          <t>cIT Service Management</t>
        </is>
      </c>
      <c r="AN106" t="inlineStr">
        <is>
          <t>cIT Services allgemein (Christian K.)</t>
        </is>
      </c>
      <c r="AO106" t="inlineStr">
        <is>
          <t>craftingIT GmbH</t>
        </is>
      </c>
      <c r="AP106" t="inlineStr">
        <is>
          <t>München</t>
        </is>
      </c>
      <c r="AQ106" t="inlineStr">
        <is>
          <t>Christian Kobl</t>
        </is>
      </c>
    </row>
    <row r="107">
      <c r="A107" t="inlineStr">
        <is>
          <t>10409</t>
        </is>
      </c>
      <c r="B107" t="inlineStr">
        <is>
          <t>49C238</t>
        </is>
      </c>
      <c r="C107" t="inlineStr">
        <is>
          <t>https://app.matchical.com/Consulting/ConsultantDetail?ConsultantId=6520b5cc-d5b7-44d2-96d7-47d50b60e3dd</t>
        </is>
      </c>
      <c r="D107" t="inlineStr">
        <is>
          <t>Cihad Tombul</t>
        </is>
      </c>
      <c r="E107" t="inlineStr">
        <is>
          <t>cihad.tombul@bridging-it.de</t>
        </is>
      </c>
      <c r="F107" s="2" t="n">
        <v>46054</v>
      </c>
      <c r="G107" s="2" t="n">
        <v>43952</v>
      </c>
      <c r="H107" t="n">
        <v>13</v>
      </c>
      <c r="I107" t="n">
        <v>0</v>
      </c>
      <c r="J107" t="n">
        <v>0</v>
      </c>
      <c r="L107" s="2" t="n">
        <v>45808</v>
      </c>
      <c r="M107" s="2" t="n">
        <v>46014</v>
      </c>
      <c r="N107" t="b">
        <v>0</v>
      </c>
      <c r="O107" t="n">
        <v>1</v>
      </c>
      <c r="P107" t="n">
        <v>0.76</v>
      </c>
      <c r="Q107" t="n">
        <v>0.37</v>
      </c>
      <c r="R107">
        <f>ROUND(O107-P107,2)</f>
        <v/>
      </c>
      <c r="S107">
        <f>ROUND(O107-Q107,2)</f>
        <v/>
      </c>
      <c r="T107" s="3">
        <f>IFERROR(P107/O107,"")</f>
        <v/>
      </c>
      <c r="U107" s="3">
        <f>IFERROR(Q107/O107,"")</f>
        <v/>
      </c>
      <c r="V107" t="n">
        <v>69</v>
      </c>
      <c r="W107" t="n">
        <v>171.06</v>
      </c>
      <c r="X107" t="n">
        <v>69.06</v>
      </c>
      <c r="Y107">
        <f>ROUND(V107-W107,2)</f>
        <v/>
      </c>
      <c r="Z107">
        <f>ROUND(V107-X107,2)</f>
        <v/>
      </c>
      <c r="AA107" s="3">
        <f>IFERROR(W107/V107,"")</f>
        <v/>
      </c>
      <c r="AB107" s="3">
        <f>IFERROR(X107/V107,"")</f>
        <v/>
      </c>
      <c r="AC107" t="b">
        <v>0</v>
      </c>
      <c r="AD107" t="b">
        <v>0</v>
      </c>
      <c r="AE107" t="b">
        <v>0</v>
      </c>
      <c r="AF107" t="inlineStr">
        <is>
          <t>Yes</t>
        </is>
      </c>
      <c r="AG107" s="2" t="n">
        <v>46054</v>
      </c>
      <c r="AI107" t="b">
        <v>1</v>
      </c>
      <c r="AJ107" t="n">
        <v>5</v>
      </c>
      <c r="AK107" t="inlineStr">
        <is>
          <t>Cihad is an experienced IT, automotive and OT security specialist as well as software developer. He develops future-proof solutions by integrating holistic security concepts with a focus on threat and risk analyses, Security-by-Design, penetration testing, microservices architectures, and agile test automation (Cucumber, Selenium, CI/CD).</t>
        </is>
      </c>
      <c r="AL107" t="inlineStr">
        <is>
          <t>IT Information Technology (Hauke G.)</t>
        </is>
      </c>
      <c r="AM107" t="inlineStr">
        <is>
          <t>ITS IT Security (Erhan N.)</t>
        </is>
      </c>
      <c r="AN107" t="inlineStr">
        <is>
          <t>GRC IT-GRC (Erhan N.)</t>
        </is>
      </c>
      <c r="AO107" t="inlineStr">
        <is>
          <t>bridgingIT GmbH</t>
        </is>
      </c>
      <c r="AP107" t="inlineStr">
        <is>
          <t>Stuttgart</t>
        </is>
      </c>
      <c r="AQ107" t="inlineStr">
        <is>
          <t>Erhan Nurdogan</t>
        </is>
      </c>
    </row>
    <row r="108">
      <c r="A108" t="inlineStr">
        <is>
          <t>10174</t>
        </is>
      </c>
      <c r="B108" t="inlineStr">
        <is>
          <t>FA0FB9</t>
        </is>
      </c>
      <c r="C108" t="inlineStr">
        <is>
          <t>https://app.matchical.com/Consulting/ConsultantDetail?ConsultantId=49db256f-4d9b-4e1b-bdab-d7916e85098d</t>
        </is>
      </c>
      <c r="D108" t="inlineStr">
        <is>
          <t>Cihan Falay</t>
        </is>
      </c>
      <c r="E108" t="inlineStr">
        <is>
          <t>cihan.falay@bridging-it.de</t>
        </is>
      </c>
      <c r="F108" s="2" t="n">
        <v>45170</v>
      </c>
      <c r="H108" t="n">
        <v>3</v>
      </c>
      <c r="I108" t="n">
        <v>0</v>
      </c>
      <c r="J108" t="n">
        <v>0</v>
      </c>
      <c r="L108" s="2" t="n">
        <v>44681</v>
      </c>
      <c r="M108" s="2" t="n">
        <v>45046</v>
      </c>
      <c r="N108" t="b">
        <v>0</v>
      </c>
      <c r="O108" t="n">
        <v>30</v>
      </c>
      <c r="P108" t="n">
        <v>0</v>
      </c>
      <c r="Q108" t="n">
        <v>0</v>
      </c>
      <c r="R108">
        <f>ROUND(O108-P108,2)</f>
        <v/>
      </c>
      <c r="S108">
        <f>ROUND(O108-Q108,2)</f>
        <v/>
      </c>
      <c r="T108" s="3">
        <f>IFERROR(P108/O108,"")</f>
        <v/>
      </c>
      <c r="U108" s="3">
        <f>IFERROR(Q108/O108,"")</f>
        <v/>
      </c>
      <c r="V108" t="n">
        <v>1484</v>
      </c>
      <c r="W108" t="n">
        <v>37</v>
      </c>
      <c r="X108" t="n">
        <v>36</v>
      </c>
      <c r="Y108">
        <f>ROUND(V108-W108,2)</f>
        <v/>
      </c>
      <c r="Z108">
        <f>ROUND(V108-X108,2)</f>
        <v/>
      </c>
      <c r="AA108" s="3">
        <f>IFERROR(W108/V108,"")</f>
        <v/>
      </c>
      <c r="AB108" s="3">
        <f>IFERROR(X108/V108,"")</f>
        <v/>
      </c>
      <c r="AC108" t="b">
        <v>0</v>
      </c>
      <c r="AD108" t="b">
        <v>0</v>
      </c>
      <c r="AE108" t="b">
        <v>0</v>
      </c>
      <c r="AF108" t="inlineStr">
        <is>
          <t>No</t>
        </is>
      </c>
      <c r="AI108" t="b">
        <v>1</v>
      </c>
      <c r="AJ108" t="n">
        <v>0</v>
      </c>
      <c r="AK108" t="inlineStr"/>
      <c r="AL108" t="inlineStr">
        <is>
          <t>Sales BL</t>
        </is>
      </c>
      <c r="AM108" t="inlineStr">
        <is>
          <t>Tim Thierfelder</t>
        </is>
      </c>
      <c r="AN108" t="inlineStr">
        <is>
          <t>Capability Management (Tim T.)</t>
        </is>
      </c>
      <c r="AO108" t="inlineStr">
        <is>
          <t>bridgingIT GmbH</t>
        </is>
      </c>
      <c r="AP108" t="inlineStr">
        <is>
          <t>Frankfurt</t>
        </is>
      </c>
      <c r="AQ108" t="inlineStr">
        <is>
          <t>Tim Thierfelder</t>
        </is>
      </c>
    </row>
    <row r="109">
      <c r="A109" t="inlineStr">
        <is>
          <t>8608</t>
        </is>
      </c>
      <c r="B109" t="inlineStr">
        <is>
          <t>550FA0</t>
        </is>
      </c>
      <c r="C109" t="inlineStr">
        <is>
          <t>https://app.matchical.com/Consulting/ConsultantDetail?ConsultantId=c6ef6122-ce0b-46b3-9c03-1aa728a54379</t>
        </is>
      </c>
      <c r="D109" t="inlineStr">
        <is>
          <t>Claudia Decker</t>
        </is>
      </c>
      <c r="E109" t="inlineStr">
        <is>
          <t>claudia.decker@crafting-it.de</t>
        </is>
      </c>
      <c r="F109" s="2" t="n">
        <v>43937</v>
      </c>
      <c r="G109" s="2" t="n">
        <v>36814</v>
      </c>
      <c r="H109" t="n">
        <v>4</v>
      </c>
      <c r="I109" t="n">
        <v>0</v>
      </c>
      <c r="J109" t="n">
        <v>3</v>
      </c>
      <c r="K109" s="2" t="n">
        <v>43934</v>
      </c>
      <c r="L109" s="2" t="n">
        <v>43934</v>
      </c>
      <c r="M109" s="2" t="n">
        <v>45472</v>
      </c>
      <c r="N109" t="b">
        <v>0</v>
      </c>
      <c r="O109" t="n">
        <v>70</v>
      </c>
      <c r="P109" t="n">
        <v>212.7</v>
      </c>
      <c r="Q109" t="n">
        <v>70.31</v>
      </c>
      <c r="R109">
        <f>ROUND(O109-P109,2)</f>
        <v/>
      </c>
      <c r="S109">
        <f>ROUND(O109-Q109,2)</f>
        <v/>
      </c>
      <c r="T109" s="3">
        <f>IFERROR(P109/O109,"")</f>
        <v/>
      </c>
      <c r="U109" s="3">
        <f>IFERROR(Q109/O109,"")</f>
        <v/>
      </c>
      <c r="V109" t="n">
        <v>234</v>
      </c>
      <c r="W109" t="n">
        <v>0.3</v>
      </c>
      <c r="X109" t="n">
        <v>0.1</v>
      </c>
      <c r="Y109">
        <f>ROUND(V109-W109,2)</f>
        <v/>
      </c>
      <c r="Z109">
        <f>ROUND(V109-X109,2)</f>
        <v/>
      </c>
      <c r="AA109" s="3">
        <f>IFERROR(W109/V109,"")</f>
        <v/>
      </c>
      <c r="AB109" s="3">
        <f>IFERROR(X109/V109,"")</f>
        <v/>
      </c>
      <c r="AC109" t="b">
        <v>0</v>
      </c>
      <c r="AD109" t="b">
        <v>0</v>
      </c>
      <c r="AE109" t="b">
        <v>0</v>
      </c>
      <c r="AF109" t="inlineStr">
        <is>
          <t>No</t>
        </is>
      </c>
      <c r="AI109" t="b">
        <v>1</v>
      </c>
      <c r="AJ109" t="n">
        <v>0</v>
      </c>
      <c r="AK109" t="inlineStr"/>
      <c r="AL109" t="inlineStr">
        <is>
          <t>ORG cIT 2</t>
        </is>
      </c>
      <c r="AM109" t="inlineStr">
        <is>
          <t>cIT Individualservices</t>
        </is>
      </c>
      <c r="AN109" t="inlineStr">
        <is>
          <t>LS Lokation Magdeburg (Alexander J.)</t>
        </is>
      </c>
      <c r="AO109" t="inlineStr">
        <is>
          <t>craftingIT GmbH</t>
        </is>
      </c>
      <c r="AP109" t="inlineStr">
        <is>
          <t>Magdeburg</t>
        </is>
      </c>
      <c r="AQ109" t="inlineStr">
        <is>
          <t>Alexander Jende</t>
        </is>
      </c>
    </row>
    <row r="110">
      <c r="A110" t="inlineStr">
        <is>
          <t>10259</t>
        </is>
      </c>
      <c r="B110" t="inlineStr">
        <is>
          <t>617EBA</t>
        </is>
      </c>
      <c r="C110" t="inlineStr">
        <is>
          <t>https://app.matchical.com/Consulting/ConsultantDetail?ConsultantId=dc4b8f8d-10fc-44aa-b2ed-cceabe3e612a</t>
        </is>
      </c>
      <c r="D110" t="inlineStr">
        <is>
          <t>Claudia Nowak</t>
        </is>
      </c>
      <c r="E110" t="inlineStr">
        <is>
          <t>claudia.nowak@bridging-it.de</t>
        </is>
      </c>
      <c r="F110" s="2" t="n">
        <v>45413</v>
      </c>
      <c r="G110" s="2" t="n">
        <v>40940</v>
      </c>
      <c r="H110" t="n">
        <v>7</v>
      </c>
      <c r="I110" t="n">
        <v>0</v>
      </c>
      <c r="J110" t="n">
        <v>1</v>
      </c>
      <c r="K110" s="2" t="n">
        <v>45712</v>
      </c>
      <c r="L110" s="2" t="n">
        <v>45540</v>
      </c>
      <c r="M110" s="2" t="n">
        <v>45930</v>
      </c>
      <c r="N110" t="b">
        <v>0</v>
      </c>
      <c r="O110" t="n">
        <v>22</v>
      </c>
      <c r="P110" t="n">
        <v>36.88</v>
      </c>
      <c r="Q110" t="n">
        <v>21.82</v>
      </c>
      <c r="R110">
        <f>ROUND(O110-P110,2)</f>
        <v/>
      </c>
      <c r="S110">
        <f>ROUND(O110-Q110,2)</f>
        <v/>
      </c>
      <c r="T110" s="3">
        <f>IFERROR(P110/O110,"")</f>
        <v/>
      </c>
      <c r="U110" s="3">
        <f>IFERROR(Q110/O110,"")</f>
        <v/>
      </c>
      <c r="V110" t="n">
        <v>147</v>
      </c>
      <c r="W110" t="n">
        <v>108</v>
      </c>
      <c r="X110" t="n">
        <v>108</v>
      </c>
      <c r="Y110">
        <f>ROUND(V110-W110,2)</f>
        <v/>
      </c>
      <c r="Z110">
        <f>ROUND(V110-X110,2)</f>
        <v/>
      </c>
      <c r="AA110" s="3">
        <f>IFERROR(W110/V110,"")</f>
        <v/>
      </c>
      <c r="AB110" s="3">
        <f>IFERROR(X110/V110,"")</f>
        <v/>
      </c>
      <c r="AC110" t="b">
        <v>0</v>
      </c>
      <c r="AD110" t="b">
        <v>0</v>
      </c>
      <c r="AE110" t="b">
        <v>0</v>
      </c>
      <c r="AF110" t="inlineStr">
        <is>
          <t>No</t>
        </is>
      </c>
      <c r="AI110" t="b">
        <v>1</v>
      </c>
      <c r="AJ110" t="n">
        <v>0</v>
      </c>
      <c r="AK110" t="inlineStr">
        <is>
          <t>Scrum Master, Agile Coach, RTE, OKR-Master, longstanding PM and PO experience in the digital business, PM and product coaching.</t>
        </is>
      </c>
      <c r="AL110" t="inlineStr">
        <is>
          <t>ORG bIT</t>
        </is>
      </c>
      <c r="AM110" t="inlineStr">
        <is>
          <t>AO Agile Organization (Katharina G.)</t>
        </is>
      </c>
      <c r="AN110" t="inlineStr">
        <is>
          <t>TH Transformation Hub (Ulrich W.)</t>
        </is>
      </c>
      <c r="AO110" t="inlineStr">
        <is>
          <t>bridgingIT GmbH</t>
        </is>
      </c>
      <c r="AP110" t="inlineStr">
        <is>
          <t>Frankfurt</t>
        </is>
      </c>
      <c r="AQ110" t="inlineStr">
        <is>
          <t>Katharina Gossen</t>
        </is>
      </c>
    </row>
    <row r="111">
      <c r="A111" t="inlineStr">
        <is>
          <t>5016</t>
        </is>
      </c>
      <c r="B111" t="inlineStr">
        <is>
          <t>C8B291</t>
        </is>
      </c>
      <c r="C111" t="inlineStr">
        <is>
          <t>https://app.matchical.com/Consulting/ConsultantDetail?ConsultantId=118de961-c699-4f13-98fb-e51f901378a7</t>
        </is>
      </c>
      <c r="D111" t="inlineStr">
        <is>
          <t>Claudia Peters</t>
        </is>
      </c>
      <c r="E111" t="inlineStr">
        <is>
          <t>claudia.peters@bridging-it.de</t>
        </is>
      </c>
      <c r="F111" s="2" t="n">
        <v>41456</v>
      </c>
      <c r="G111" s="2" t="n">
        <v>35530</v>
      </c>
      <c r="H111" t="n">
        <v>16</v>
      </c>
      <c r="I111" t="n">
        <v>0</v>
      </c>
      <c r="J111" t="n">
        <v>0</v>
      </c>
      <c r="L111" s="2" t="n">
        <v>44074</v>
      </c>
      <c r="M111" s="2" t="n">
        <v>45259</v>
      </c>
      <c r="N111" t="b">
        <v>0</v>
      </c>
      <c r="O111" t="n">
        <v>152</v>
      </c>
      <c r="P111" t="n">
        <v>100</v>
      </c>
      <c r="Q111" t="n">
        <v>96</v>
      </c>
      <c r="R111">
        <f>ROUND(O111-P111,2)</f>
        <v/>
      </c>
      <c r="S111">
        <f>ROUND(O111-Q111,2)</f>
        <v/>
      </c>
      <c r="T111" s="3">
        <f>IFERROR(P111/O111,"")</f>
        <v/>
      </c>
      <c r="U111" s="3">
        <f>IFERROR(Q111/O111,"")</f>
        <v/>
      </c>
      <c r="V111" t="n">
        <v>195</v>
      </c>
      <c r="W111" t="n">
        <v>264</v>
      </c>
      <c r="X111" t="n">
        <v>136</v>
      </c>
      <c r="Y111">
        <f>ROUND(V111-W111,2)</f>
        <v/>
      </c>
      <c r="Z111">
        <f>ROUND(V111-X111,2)</f>
        <v/>
      </c>
      <c r="AA111" s="3">
        <f>IFERROR(W111/V111,"")</f>
        <v/>
      </c>
      <c r="AB111" s="3">
        <f>IFERROR(X111/V111,"")</f>
        <v/>
      </c>
      <c r="AC111" t="b">
        <v>0</v>
      </c>
      <c r="AD111" t="b">
        <v>0</v>
      </c>
      <c r="AE111" t="b">
        <v>0</v>
      </c>
      <c r="AF111" t="inlineStr">
        <is>
          <t>No</t>
        </is>
      </c>
      <c r="AI111" t="b">
        <v>1</v>
      </c>
      <c r="AJ111" t="n">
        <v>0</v>
      </c>
      <c r="AK111" t="inlineStr">
        <is>
          <t>19.01.26: Approval for the extension of the assignment at TKElevator.</t>
        </is>
      </c>
      <c r="AL111" t="inlineStr">
        <is>
          <t>ORG bIT</t>
        </is>
      </c>
      <c r="AM111" t="inlineStr">
        <is>
          <t>AAC - Advanced Automation Cologne (Claudia P.)</t>
        </is>
      </c>
      <c r="AN111" t="inlineStr">
        <is>
          <t>DPC - Datalytics &amp; Process Cologne (Claudia P.)</t>
        </is>
      </c>
      <c r="AO111" t="inlineStr">
        <is>
          <t>bridgingIT GmbH</t>
        </is>
      </c>
      <c r="AP111" t="inlineStr">
        <is>
          <t>Köln</t>
        </is>
      </c>
      <c r="AQ111" t="inlineStr">
        <is>
          <t>Henning Feldkamp</t>
        </is>
      </c>
    </row>
    <row r="112">
      <c r="A112" t="inlineStr">
        <is>
          <t>8707</t>
        </is>
      </c>
      <c r="B112" t="inlineStr">
        <is>
          <t>F1D088</t>
        </is>
      </c>
      <c r="C112" t="inlineStr">
        <is>
          <t>https://app.matchical.com/Consulting/ConsultantDetail?ConsultantId=ed46c85b-f42d-4c23-bd64-f844101048f6</t>
        </is>
      </c>
      <c r="D112" t="inlineStr">
        <is>
          <t>Clemens Lindner</t>
        </is>
      </c>
      <c r="E112" t="inlineStr">
        <is>
          <t>clemens.lindner@bridging-it.de</t>
        </is>
      </c>
      <c r="F112" s="2" t="n">
        <v>44562</v>
      </c>
      <c r="G112" s="2" t="n">
        <v>34578</v>
      </c>
      <c r="H112" t="n">
        <v>6</v>
      </c>
      <c r="I112" t="n">
        <v>0</v>
      </c>
      <c r="J112" t="n">
        <v>1</v>
      </c>
      <c r="K112" s="2" t="n">
        <v>45107</v>
      </c>
      <c r="L112" s="2" t="n">
        <v>45566</v>
      </c>
      <c r="M112" s="2" t="n">
        <v>45868</v>
      </c>
      <c r="N112" t="b">
        <v>0</v>
      </c>
      <c r="O112" t="n">
        <v>50</v>
      </c>
      <c r="P112" t="n">
        <v>81.59999999999999</v>
      </c>
      <c r="Q112" t="n">
        <v>49.77</v>
      </c>
      <c r="R112">
        <f>ROUND(O112-P112,2)</f>
        <v/>
      </c>
      <c r="S112">
        <f>ROUND(O112-Q112,2)</f>
        <v/>
      </c>
      <c r="T112" s="3">
        <f>IFERROR(P112/O112,"")</f>
        <v/>
      </c>
      <c r="U112" s="3">
        <f>IFERROR(Q112/O112,"")</f>
        <v/>
      </c>
      <c r="V112" t="n">
        <v>328</v>
      </c>
      <c r="W112" t="n">
        <v>6.4</v>
      </c>
      <c r="X112" t="n">
        <v>5.17</v>
      </c>
      <c r="Y112">
        <f>ROUND(V112-W112,2)</f>
        <v/>
      </c>
      <c r="Z112">
        <f>ROUND(V112-X112,2)</f>
        <v/>
      </c>
      <c r="AA112" s="3">
        <f>IFERROR(W112/V112,"")</f>
        <v/>
      </c>
      <c r="AB112" s="3">
        <f>IFERROR(X112/V112,"")</f>
        <v/>
      </c>
      <c r="AC112" t="b">
        <v>0</v>
      </c>
      <c r="AD112" t="b">
        <v>0</v>
      </c>
      <c r="AE112" t="b">
        <v>0</v>
      </c>
      <c r="AF112" t="inlineStr">
        <is>
          <t>Yes</t>
        </is>
      </c>
      <c r="AG112" s="2" t="n">
        <v>46112</v>
      </c>
      <c r="AI112" t="b">
        <v>1</v>
      </c>
      <c r="AJ112" t="n">
        <v>4</v>
      </c>
      <c r="AK112" t="inlineStr">
        <is>
          <t>Roche</t>
        </is>
      </c>
      <c r="AL112" t="inlineStr">
        <is>
          <t>ORG bIT Bayern</t>
        </is>
      </c>
      <c r="AM112" t="inlineStr">
        <is>
          <t>TG Transformation Guidance (Clemens L.)</t>
        </is>
      </c>
      <c r="AN112" t="inlineStr">
        <is>
          <t>BAT Business Agility &amp; Transformation (Marc S.)</t>
        </is>
      </c>
      <c r="AO112" t="inlineStr">
        <is>
          <t>bridgingIT GmbH</t>
        </is>
      </c>
      <c r="AP112" t="inlineStr">
        <is>
          <t>München</t>
        </is>
      </c>
      <c r="AQ112" t="inlineStr">
        <is>
          <t>Marc Schmitt</t>
        </is>
      </c>
    </row>
    <row r="113">
      <c r="A113" t="inlineStr">
        <is>
          <t>1106</t>
        </is>
      </c>
      <c r="B113" t="inlineStr">
        <is>
          <t>3FE62C</t>
        </is>
      </c>
      <c r="C113" t="inlineStr">
        <is>
          <t>https://app.matchical.com/Consulting/ConsultantDetail?ConsultantId=4a6f8f2f-cf62-458e-9df0-39e906f3be3a</t>
        </is>
      </c>
      <c r="D113" t="inlineStr">
        <is>
          <t>Cris Seider</t>
        </is>
      </c>
      <c r="E113" t="inlineStr">
        <is>
          <t>cristin.seider@bridging-it.de</t>
        </is>
      </c>
      <c r="F113" s="2" t="n">
        <v>39873</v>
      </c>
      <c r="G113" s="2" t="n">
        <v>35796</v>
      </c>
      <c r="H113" t="n">
        <v>28</v>
      </c>
      <c r="I113" t="n">
        <v>0</v>
      </c>
      <c r="J113" t="n">
        <v>0</v>
      </c>
      <c r="L113" s="2" t="n">
        <v>45292</v>
      </c>
      <c r="M113" s="2" t="n">
        <v>45382</v>
      </c>
      <c r="N113" t="b">
        <v>0</v>
      </c>
      <c r="O113" t="n">
        <v>203</v>
      </c>
      <c r="P113" t="n">
        <v>173</v>
      </c>
      <c r="Q113" t="n">
        <v>138</v>
      </c>
      <c r="R113">
        <f>ROUND(O113-P113,2)</f>
        <v/>
      </c>
      <c r="S113">
        <f>ROUND(O113-Q113,2)</f>
        <v/>
      </c>
      <c r="T113" s="3">
        <f>IFERROR(P113/O113,"")</f>
        <v/>
      </c>
      <c r="U113" s="3">
        <f>IFERROR(Q113/O113,"")</f>
        <v/>
      </c>
      <c r="V113" t="n">
        <v>134</v>
      </c>
      <c r="W113" t="n">
        <v>309</v>
      </c>
      <c r="X113" t="n">
        <v>103</v>
      </c>
      <c r="Y113">
        <f>ROUND(V113-W113,2)</f>
        <v/>
      </c>
      <c r="Z113">
        <f>ROUND(V113-X113,2)</f>
        <v/>
      </c>
      <c r="AA113" s="3">
        <f>IFERROR(W113/V113,"")</f>
        <v/>
      </c>
      <c r="AB113" s="3">
        <f>IFERROR(X113/V113,"")</f>
        <v/>
      </c>
      <c r="AC113" t="b">
        <v>0</v>
      </c>
      <c r="AD113" t="b">
        <v>0</v>
      </c>
      <c r="AE113" t="b">
        <v>0</v>
      </c>
      <c r="AF113" t="inlineStr">
        <is>
          <t>-</t>
        </is>
      </c>
      <c r="AI113" t="b">
        <v>0</v>
      </c>
      <c r="AJ113" t="n">
        <v>0</v>
      </c>
      <c r="AK113" t="inlineStr"/>
      <c r="AL113" t="inlineStr">
        <is>
          <t>Sales BL</t>
        </is>
      </c>
      <c r="AM113" t="inlineStr">
        <is>
          <t>Sales Office EnBW</t>
        </is>
      </c>
      <c r="AN113" t="inlineStr">
        <is>
          <t>Capability Management (Tim T.)</t>
        </is>
      </c>
      <c r="AO113" t="inlineStr">
        <is>
          <t>bridgingIT GmbH</t>
        </is>
      </c>
      <c r="AP113" t="inlineStr">
        <is>
          <t>Mannheim</t>
        </is>
      </c>
      <c r="AQ113" t="inlineStr">
        <is>
          <t>Marita Dorscheid</t>
        </is>
      </c>
    </row>
    <row r="114">
      <c r="A114" t="inlineStr">
        <is>
          <t>10321</t>
        </is>
      </c>
      <c r="B114" t="inlineStr">
        <is>
          <t>BAD1D4</t>
        </is>
      </c>
      <c r="C114" t="inlineStr">
        <is>
          <t>https://app.matchical.com/Consulting/ConsultantDetail?ConsultantId=3c7de53b-2d9f-4cc3-a9d4-41eebc9b22eb</t>
        </is>
      </c>
      <c r="D114" t="inlineStr">
        <is>
          <t>Dana Thüring</t>
        </is>
      </c>
      <c r="E114" t="inlineStr">
        <is>
          <t>dana.thuering@bridging-it.de</t>
        </is>
      </c>
      <c r="F114" s="2" t="n">
        <v>45566</v>
      </c>
      <c r="G114" s="2" t="n">
        <v>43283</v>
      </c>
      <c r="H114" t="n">
        <v>5</v>
      </c>
      <c r="I114" t="n">
        <v>0</v>
      </c>
      <c r="J114" t="n">
        <v>1</v>
      </c>
      <c r="K114" s="2" t="n">
        <v>45606</v>
      </c>
      <c r="L114" s="2" t="n">
        <v>45292</v>
      </c>
      <c r="M114" s="2" t="n">
        <v>45561</v>
      </c>
      <c r="N114" t="b">
        <v>0</v>
      </c>
      <c r="O114" t="n">
        <v>17</v>
      </c>
      <c r="P114" t="n">
        <v>15</v>
      </c>
      <c r="Q114" t="n">
        <v>15</v>
      </c>
      <c r="R114">
        <f>ROUND(O114-P114,2)</f>
        <v/>
      </c>
      <c r="S114">
        <f>ROUND(O114-Q114,2)</f>
        <v/>
      </c>
      <c r="T114" s="3">
        <f>IFERROR(P114/O114,"")</f>
        <v/>
      </c>
      <c r="U114" s="3">
        <f>IFERROR(Q114/O114,"")</f>
        <v/>
      </c>
      <c r="V114" t="n">
        <v>75</v>
      </c>
      <c r="W114" t="n">
        <v>80</v>
      </c>
      <c r="X114" t="n">
        <v>72</v>
      </c>
      <c r="Y114">
        <f>ROUND(V114-W114,2)</f>
        <v/>
      </c>
      <c r="Z114">
        <f>ROUND(V114-X114,2)</f>
        <v/>
      </c>
      <c r="AA114" s="3">
        <f>IFERROR(W114/V114,"")</f>
        <v/>
      </c>
      <c r="AB114" s="3">
        <f>IFERROR(X114/V114,"")</f>
        <v/>
      </c>
      <c r="AC114" t="b">
        <v>0</v>
      </c>
      <c r="AD114" t="b">
        <v>0</v>
      </c>
      <c r="AE114" t="b">
        <v>0</v>
      </c>
      <c r="AF114" t="inlineStr">
        <is>
          <t>No</t>
        </is>
      </c>
      <c r="AI114" t="b">
        <v>1</v>
      </c>
      <c r="AJ114" t="n">
        <v>0</v>
      </c>
      <c r="AK114" t="inlineStr">
        <is>
          <t>Dana is an experienced product and project manager who acts as a bridge between the business units and IT and also brings a strategic background. She is able to develop strategic concepts with her clients and translate them into requirements, in order to subsequently support them throughout the end-to-end process chain.</t>
        </is>
      </c>
      <c r="AL114" t="inlineStr">
        <is>
          <t>DO Digital Organizations (Michael H.)</t>
        </is>
      </c>
      <c r="AM114" t="inlineStr">
        <is>
          <t>PM Product Management (Dana Thüring)</t>
        </is>
      </c>
      <c r="AN114" t="inlineStr">
        <is>
          <t>BE Business Engineering (Heidi Foldenauer)</t>
        </is>
      </c>
      <c r="AO114" t="inlineStr">
        <is>
          <t>bridgingIT GmbH</t>
        </is>
      </c>
      <c r="AP114" t="inlineStr">
        <is>
          <t>Stuttgart</t>
        </is>
      </c>
      <c r="AQ114" t="inlineStr">
        <is>
          <t>Heidi Foldenauer</t>
        </is>
      </c>
    </row>
    <row r="115">
      <c r="A115" t="inlineStr">
        <is>
          <t>10188</t>
        </is>
      </c>
      <c r="B115" t="inlineStr">
        <is>
          <t>56C6E1</t>
        </is>
      </c>
      <c r="C115" t="inlineStr">
        <is>
          <t>https://app.matchical.com/Consulting/ConsultantDetail?ConsultantId=650615ed-ec0a-48be-876e-3faaff1960f5</t>
        </is>
      </c>
      <c r="D115" t="inlineStr">
        <is>
          <t>Daniel Bachmann</t>
        </is>
      </c>
      <c r="E115" t="inlineStr">
        <is>
          <t>daniel.bachmann@bridging-it.de</t>
        </is>
      </c>
      <c r="F115" s="2" t="n">
        <v>45200</v>
      </c>
      <c r="G115" s="2" t="n">
        <v>43586</v>
      </c>
      <c r="H115" t="n">
        <v>5</v>
      </c>
      <c r="I115" t="n">
        <v>0</v>
      </c>
      <c r="J115" t="n">
        <v>0</v>
      </c>
      <c r="L115" s="2" t="n">
        <v>45292</v>
      </c>
      <c r="M115" s="2" t="n">
        <v>45657</v>
      </c>
      <c r="N115" t="b">
        <v>0</v>
      </c>
      <c r="O115" t="n">
        <v>29</v>
      </c>
      <c r="P115" t="n">
        <v>18</v>
      </c>
      <c r="Q115" t="n">
        <v>14</v>
      </c>
      <c r="R115">
        <f>ROUND(O115-P115,2)</f>
        <v/>
      </c>
      <c r="S115">
        <f>ROUND(O115-Q115,2)</f>
        <v/>
      </c>
      <c r="T115" s="3">
        <f>IFERROR(P115/O115,"")</f>
        <v/>
      </c>
      <c r="U115" s="3">
        <f>IFERROR(Q115/O115,"")</f>
        <v/>
      </c>
      <c r="V115" t="n">
        <v>53</v>
      </c>
      <c r="W115" t="n">
        <v>40.97</v>
      </c>
      <c r="X115" t="n">
        <v>40.97</v>
      </c>
      <c r="Y115">
        <f>ROUND(V115-W115,2)</f>
        <v/>
      </c>
      <c r="Z115">
        <f>ROUND(V115-X115,2)</f>
        <v/>
      </c>
      <c r="AA115" s="3">
        <f>IFERROR(W115/V115,"")</f>
        <v/>
      </c>
      <c r="AB115" s="3">
        <f>IFERROR(X115/V115,"")</f>
        <v/>
      </c>
      <c r="AC115" t="b">
        <v>0</v>
      </c>
      <c r="AD115" t="b">
        <v>0</v>
      </c>
      <c r="AE115" t="b">
        <v>0</v>
      </c>
      <c r="AF115" t="inlineStr">
        <is>
          <t>No</t>
        </is>
      </c>
      <c r="AI115" t="b">
        <v>1</v>
      </c>
      <c r="AJ115" t="n">
        <v>0</v>
      </c>
      <c r="AK115" t="inlineStr"/>
      <c r="AL115" t="inlineStr">
        <is>
          <t>ORG bIT</t>
        </is>
      </c>
      <c r="AM115" t="inlineStr">
        <is>
          <t>SE Software Engineering Frankfurt (Steffen F.)</t>
        </is>
      </c>
      <c r="AN115" t="inlineStr">
        <is>
          <t>ES Enterprise Solutions (Dominik H.)</t>
        </is>
      </c>
      <c r="AO115" t="inlineStr">
        <is>
          <t>bridgingIT GmbH</t>
        </is>
      </c>
      <c r="AP115" t="inlineStr">
        <is>
          <t>Frankfurt</t>
        </is>
      </c>
      <c r="AQ115" t="inlineStr">
        <is>
          <t>Steffen Flick</t>
        </is>
      </c>
    </row>
    <row r="116">
      <c r="A116" t="inlineStr">
        <is>
          <t>5089</t>
        </is>
      </c>
      <c r="B116" t="inlineStr">
        <is>
          <t>9A7470</t>
        </is>
      </c>
      <c r="C116" t="inlineStr">
        <is>
          <t>https://app.matchical.com/Consulting/ConsultantDetail?ConsultantId=37f23eba-cb04-473d-bea5-4e6c6d6f966a</t>
        </is>
      </c>
      <c r="D116" t="inlineStr">
        <is>
          <t>Daniel Gregorio Espinoza Garcia</t>
        </is>
      </c>
      <c r="E116" t="inlineStr">
        <is>
          <t>daniel.garcia@bridging-it.de</t>
        </is>
      </c>
      <c r="F116" s="2" t="n">
        <v>44228</v>
      </c>
      <c r="G116" s="2" t="n">
        <v>43497</v>
      </c>
      <c r="H116" t="n">
        <v>16</v>
      </c>
      <c r="I116" t="n">
        <v>0</v>
      </c>
      <c r="J116" t="n">
        <v>0</v>
      </c>
      <c r="L116" s="2" t="n">
        <v>45445</v>
      </c>
      <c r="M116" s="2" t="n">
        <v>45981</v>
      </c>
      <c r="N116" t="b">
        <v>0</v>
      </c>
      <c r="O116" t="n">
        <v>61</v>
      </c>
      <c r="P116" t="n">
        <v>66</v>
      </c>
      <c r="Q116" t="n">
        <v>55</v>
      </c>
      <c r="R116">
        <f>ROUND(O116-P116,2)</f>
        <v/>
      </c>
      <c r="S116">
        <f>ROUND(O116-Q116,2)</f>
        <v/>
      </c>
      <c r="T116" s="3">
        <f>IFERROR(P116/O116,"")</f>
        <v/>
      </c>
      <c r="U116" s="3">
        <f>IFERROR(Q116/O116,"")</f>
        <v/>
      </c>
      <c r="V116" t="n">
        <v>24</v>
      </c>
      <c r="W116" t="n">
        <v>18</v>
      </c>
      <c r="X116" t="n">
        <v>17</v>
      </c>
      <c r="Y116">
        <f>ROUND(V116-W116,2)</f>
        <v/>
      </c>
      <c r="Z116">
        <f>ROUND(V116-X116,2)</f>
        <v/>
      </c>
      <c r="AA116" s="3">
        <f>IFERROR(W116/V116,"")</f>
        <v/>
      </c>
      <c r="AB116" s="3">
        <f>IFERROR(X116/V116,"")</f>
        <v/>
      </c>
      <c r="AC116" t="b">
        <v>0</v>
      </c>
      <c r="AD116" t="b">
        <v>0</v>
      </c>
      <c r="AE116" t="b">
        <v>0</v>
      </c>
      <c r="AF116" t="inlineStr">
        <is>
          <t>No</t>
        </is>
      </c>
      <c r="AI116" t="b">
        <v>1</v>
      </c>
      <c r="AJ116" t="n">
        <v>0</v>
      </c>
      <c r="AK116" t="inlineStr">
        <is>
          <t>Daniel is experienced in test management and test automation
Business Analysis
Solution Architecture
Business Process Management</t>
        </is>
      </c>
      <c r="AL116" t="inlineStr">
        <is>
          <t>ORG bIT</t>
        </is>
      </c>
      <c r="AM116" t="inlineStr">
        <is>
          <t>PACE - Project&amp;Analysis CGN Experts (Frederik S.)</t>
        </is>
      </c>
      <c r="AN116" t="inlineStr">
        <is>
          <t>DPC - Datalytics &amp; Process Cologne (Claudia P.)</t>
        </is>
      </c>
      <c r="AO116" t="inlineStr">
        <is>
          <t>bridgingIT GmbH</t>
        </is>
      </c>
      <c r="AP116" t="inlineStr">
        <is>
          <t>Köln</t>
        </is>
      </c>
      <c r="AQ116" t="inlineStr">
        <is>
          <t>Frederik Schupp</t>
        </is>
      </c>
    </row>
    <row r="117">
      <c r="A117" t="inlineStr">
        <is>
          <t>1062</t>
        </is>
      </c>
      <c r="B117" t="inlineStr">
        <is>
          <t>633DB8</t>
        </is>
      </c>
      <c r="C117" t="inlineStr">
        <is>
          <t>https://app.matchical.com/Consulting/ConsultantDetail?ConsultantId=b38a3dfa-bfc7-464a-9f5f-9a27652e6149</t>
        </is>
      </c>
      <c r="D117" t="inlineStr">
        <is>
          <t>Daniel Rheinwalt</t>
        </is>
      </c>
      <c r="E117" t="inlineStr">
        <is>
          <t>daniel.rheinwalt@fastahead.com</t>
        </is>
      </c>
      <c r="F117" s="2" t="n">
        <v>39569</v>
      </c>
      <c r="G117" s="2" t="n">
        <v>36465</v>
      </c>
      <c r="H117" t="n">
        <v>30</v>
      </c>
      <c r="I117" t="n">
        <v>0</v>
      </c>
      <c r="J117" t="n">
        <v>6</v>
      </c>
      <c r="K117" s="2" t="n">
        <v>39569</v>
      </c>
      <c r="L117" s="2" t="n">
        <v>40969</v>
      </c>
      <c r="M117" s="2" t="n">
        <v>41365</v>
      </c>
      <c r="N117" t="b">
        <v>0</v>
      </c>
      <c r="O117" t="n">
        <v>214</v>
      </c>
      <c r="P117" t="n">
        <v>1169.93</v>
      </c>
      <c r="Q117" t="n">
        <v>213.82</v>
      </c>
      <c r="R117">
        <f>ROUND(O117-P117,2)</f>
        <v/>
      </c>
      <c r="S117">
        <f>ROUND(O117-Q117,2)</f>
        <v/>
      </c>
      <c r="T117" s="3">
        <f>IFERROR(P117/O117,"")</f>
        <v/>
      </c>
      <c r="U117" s="3">
        <f>IFERROR(Q117/O117,"")</f>
        <v/>
      </c>
      <c r="V117" t="n">
        <v>102</v>
      </c>
      <c r="W117" t="n">
        <v>245.07</v>
      </c>
      <c r="X117" t="n">
        <v>86.3</v>
      </c>
      <c r="Y117">
        <f>ROUND(V117-W117,2)</f>
        <v/>
      </c>
      <c r="Z117">
        <f>ROUND(V117-X117,2)</f>
        <v/>
      </c>
      <c r="AA117" s="3">
        <f>IFERROR(W117/V117,"")</f>
        <v/>
      </c>
      <c r="AB117" s="3">
        <f>IFERROR(X117/V117,"")</f>
        <v/>
      </c>
      <c r="AC117" t="b">
        <v>0</v>
      </c>
      <c r="AD117" t="b">
        <v>0</v>
      </c>
      <c r="AE117" t="b">
        <v>0</v>
      </c>
      <c r="AF117" t="inlineStr">
        <is>
          <t>No</t>
        </is>
      </c>
      <c r="AI117" t="b">
        <v>1</v>
      </c>
      <c r="AJ117" t="n">
        <v>0</v>
      </c>
      <c r="AK117" t="inlineStr"/>
      <c r="AL117" t="inlineStr">
        <is>
          <t>ORG fastahead GmbH &amp; Co. KG</t>
        </is>
      </c>
      <c r="AM117" t="inlineStr">
        <is>
          <t>IT-Transition (D. Rheinwalt)</t>
        </is>
      </c>
      <c r="AN117" t="inlineStr">
        <is>
          <t>fah Daniel Rheinwalt</t>
        </is>
      </c>
      <c r="AO117" t="inlineStr">
        <is>
          <t>fastahead GmbH &amp; Co. KG</t>
        </is>
      </c>
      <c r="AP117" t="inlineStr">
        <is>
          <t>Mannheim</t>
        </is>
      </c>
      <c r="AQ117" t="inlineStr">
        <is>
          <t>Tim Thierfelder</t>
        </is>
      </c>
    </row>
    <row r="118">
      <c r="A118" t="inlineStr">
        <is>
          <t>10334</t>
        </is>
      </c>
      <c r="B118" t="inlineStr">
        <is>
          <t>AAFCC6</t>
        </is>
      </c>
      <c r="C118" t="inlineStr">
        <is>
          <t>https://app.matchical.com/Consulting/ConsultantDetail?ConsultantId=9a40b457-cda2-49fb-b6ad-225497d0c5b7</t>
        </is>
      </c>
      <c r="D118" t="inlineStr">
        <is>
          <t>Daniel Schiffmann</t>
        </is>
      </c>
      <c r="E118" t="inlineStr">
        <is>
          <t>daniel.schiffmann@bridging-it.de</t>
        </is>
      </c>
      <c r="F118" s="2" t="n">
        <v>45597</v>
      </c>
      <c r="G118" s="2" t="n">
        <v>43497</v>
      </c>
      <c r="H118" t="n">
        <v>6</v>
      </c>
      <c r="I118" t="n">
        <v>0</v>
      </c>
      <c r="J118" t="n">
        <v>1</v>
      </c>
      <c r="K118" s="2" t="n">
        <v>45716</v>
      </c>
      <c r="L118" s="2" t="n">
        <v>45596</v>
      </c>
      <c r="M118" s="2" t="n">
        <v>45747</v>
      </c>
      <c r="N118" t="b">
        <v>0</v>
      </c>
      <c r="O118" t="n">
        <v>16</v>
      </c>
      <c r="P118" t="n">
        <v>16.97</v>
      </c>
      <c r="Q118" t="n">
        <v>14.48</v>
      </c>
      <c r="R118">
        <f>ROUND(O118-P118,2)</f>
        <v/>
      </c>
      <c r="S118">
        <f>ROUND(O118-Q118,2)</f>
        <v/>
      </c>
      <c r="T118" s="3">
        <f>IFERROR(P118/O118,"")</f>
        <v/>
      </c>
      <c r="U118" s="3">
        <f>IFERROR(Q118/O118,"")</f>
        <v/>
      </c>
      <c r="V118" t="n">
        <v>69</v>
      </c>
      <c r="W118" t="n">
        <v>59</v>
      </c>
      <c r="X118" t="n">
        <v>57.49</v>
      </c>
      <c r="Y118">
        <f>ROUND(V118-W118,2)</f>
        <v/>
      </c>
      <c r="Z118">
        <f>ROUND(V118-X118,2)</f>
        <v/>
      </c>
      <c r="AA118" s="3">
        <f>IFERROR(W118/V118,"")</f>
        <v/>
      </c>
      <c r="AB118" s="3">
        <f>IFERROR(X118/V118,"")</f>
        <v/>
      </c>
      <c r="AC118" t="b">
        <v>0</v>
      </c>
      <c r="AD118" t="b">
        <v>0</v>
      </c>
      <c r="AE118" t="b">
        <v>0</v>
      </c>
      <c r="AF118" t="inlineStr">
        <is>
          <t>No</t>
        </is>
      </c>
      <c r="AI118" t="b">
        <v>1</v>
      </c>
      <c r="AJ118" t="n">
        <v>0</v>
      </c>
      <c r="AK118" t="inlineStr"/>
      <c r="AL118" t="inlineStr">
        <is>
          <t>T&amp;A - Transformation &amp; Agility (Arne K.)</t>
        </is>
      </c>
      <c r="AM118" t="inlineStr">
        <is>
          <t>TBC - Transforming Business Concepts (Bastian T.)</t>
        </is>
      </c>
      <c r="AN118" t="inlineStr">
        <is>
          <t>TBC - Transforming Business Concepts (Bastian T.)</t>
        </is>
      </c>
      <c r="AO118" t="inlineStr">
        <is>
          <t>bridgingIT GmbH</t>
        </is>
      </c>
      <c r="AP118" t="inlineStr">
        <is>
          <t>Mannheim</t>
        </is>
      </c>
      <c r="AQ118" t="inlineStr">
        <is>
          <t>Bastian Trauth</t>
        </is>
      </c>
    </row>
    <row r="119">
      <c r="A119" t="inlineStr">
        <is>
          <t>3219</t>
        </is>
      </c>
      <c r="B119" t="inlineStr">
        <is>
          <t>C8DB75</t>
        </is>
      </c>
      <c r="C119" t="inlineStr">
        <is>
          <t>https://app.matchical.com/Consulting/ConsultantDetail?ConsultantId=f50b95dd-38c0-4959-87bd-082dd07e0843</t>
        </is>
      </c>
      <c r="D119" t="inlineStr">
        <is>
          <t>Daniel Simon</t>
        </is>
      </c>
      <c r="E119" t="inlineStr">
        <is>
          <t>daniel.simon@bridging-it.de</t>
        </is>
      </c>
      <c r="F119" s="2" t="n">
        <v>44243</v>
      </c>
      <c r="G119" s="2" t="n">
        <v>43846</v>
      </c>
      <c r="H119" t="n">
        <v>12</v>
      </c>
      <c r="I119" t="n">
        <v>0</v>
      </c>
      <c r="J119" t="n">
        <v>1</v>
      </c>
      <c r="K119" s="2" t="n">
        <v>45291</v>
      </c>
      <c r="L119" s="2" t="n">
        <v>45824</v>
      </c>
      <c r="M119" s="2" t="n">
        <v>46022</v>
      </c>
      <c r="N119" t="b">
        <v>0</v>
      </c>
      <c r="O119" t="n">
        <v>60</v>
      </c>
      <c r="P119" t="n">
        <v>108.42</v>
      </c>
      <c r="Q119" t="n">
        <v>60.25</v>
      </c>
      <c r="R119">
        <f>ROUND(O119-P119,2)</f>
        <v/>
      </c>
      <c r="S119">
        <f>ROUND(O119-Q119,2)</f>
        <v/>
      </c>
      <c r="T119" s="3">
        <f>IFERROR(P119/O119,"")</f>
        <v/>
      </c>
      <c r="U119" s="3">
        <f>IFERROR(Q119/O119,"")</f>
        <v/>
      </c>
      <c r="V119" t="n">
        <v>13</v>
      </c>
      <c r="W119" t="n">
        <v>25.54</v>
      </c>
      <c r="X119" t="n">
        <v>13.04</v>
      </c>
      <c r="Y119">
        <f>ROUND(V119-W119,2)</f>
        <v/>
      </c>
      <c r="Z119">
        <f>ROUND(V119-X119,2)</f>
        <v/>
      </c>
      <c r="AA119" s="3">
        <f>IFERROR(W119/V119,"")</f>
        <v/>
      </c>
      <c r="AB119" s="3">
        <f>IFERROR(X119/V119,"")</f>
        <v/>
      </c>
      <c r="AC119" t="b">
        <v>0</v>
      </c>
      <c r="AD119" t="b">
        <v>0</v>
      </c>
      <c r="AE119" t="b">
        <v>0</v>
      </c>
      <c r="AF119" t="inlineStr">
        <is>
          <t>No</t>
        </is>
      </c>
      <c r="AI119" t="b">
        <v>0</v>
      </c>
      <c r="AJ119" t="n">
        <v>0</v>
      </c>
      <c r="AK119" t="inlineStr">
        <is>
          <t>Projects in the Life Science Solutions Competence Center</t>
        </is>
      </c>
      <c r="AL119" t="inlineStr">
        <is>
          <t>ORG bIT</t>
        </is>
      </c>
      <c r="AM119" t="inlineStr">
        <is>
          <t>Life Science Solutions FFM1 (Holger B.)</t>
        </is>
      </c>
      <c r="AN119" t="inlineStr">
        <is>
          <t>CC Life Science Solutions (Sabine S.)</t>
        </is>
      </c>
      <c r="AO119" t="inlineStr">
        <is>
          <t>bridgingIT GmbH</t>
        </is>
      </c>
      <c r="AP119" t="inlineStr">
        <is>
          <t>Frankfurt</t>
        </is>
      </c>
      <c r="AQ119" t="inlineStr">
        <is>
          <t>Holger Bohlen</t>
        </is>
      </c>
    </row>
    <row r="120">
      <c r="A120" t="inlineStr">
        <is>
          <t>5005</t>
        </is>
      </c>
      <c r="B120" t="inlineStr">
        <is>
          <t>901CC7</t>
        </is>
      </c>
      <c r="C120" t="inlineStr">
        <is>
          <t>https://app.matchical.com/Consulting/ConsultantDetail?ConsultantId=92aaa11b-f3f1-4c2a-9a8e-644ec7de04bf</t>
        </is>
      </c>
      <c r="D120" t="inlineStr">
        <is>
          <t>Daniel Stephan</t>
        </is>
      </c>
      <c r="E120" t="inlineStr">
        <is>
          <t>daniel.stephan@bridging-it.de</t>
        </is>
      </c>
      <c r="F120" s="2" t="n">
        <v>41061</v>
      </c>
      <c r="G120" s="2" t="n">
        <v>36465</v>
      </c>
      <c r="H120" t="n">
        <v>16</v>
      </c>
      <c r="I120" t="n">
        <v>0</v>
      </c>
      <c r="J120" t="n">
        <v>1</v>
      </c>
      <c r="K120" s="2" t="n">
        <v>44570</v>
      </c>
      <c r="L120" s="2" t="n">
        <v>44012</v>
      </c>
      <c r="M120" s="2" t="n">
        <v>44546</v>
      </c>
      <c r="N120" t="b">
        <v>0</v>
      </c>
      <c r="O120" t="n">
        <v>165</v>
      </c>
      <c r="P120" t="n">
        <v>163.97</v>
      </c>
      <c r="Q120" t="n">
        <v>163.17</v>
      </c>
      <c r="R120">
        <f>ROUND(O120-P120,2)</f>
        <v/>
      </c>
      <c r="S120">
        <f>ROUND(O120-Q120,2)</f>
        <v/>
      </c>
      <c r="T120" s="3">
        <f>IFERROR(P120/O120,"")</f>
        <v/>
      </c>
      <c r="U120" s="3">
        <f>IFERROR(Q120/O120,"")</f>
        <v/>
      </c>
      <c r="V120" t="n">
        <v>151</v>
      </c>
      <c r="W120" t="n">
        <v>194.01</v>
      </c>
      <c r="X120" t="n">
        <v>120.81</v>
      </c>
      <c r="Y120">
        <f>ROUND(V120-W120,2)</f>
        <v/>
      </c>
      <c r="Z120">
        <f>ROUND(V120-X120,2)</f>
        <v/>
      </c>
      <c r="AA120" s="3">
        <f>IFERROR(W120/V120,"")</f>
        <v/>
      </c>
      <c r="AB120" s="3">
        <f>IFERROR(X120/V120,"")</f>
        <v/>
      </c>
      <c r="AC120" t="b">
        <v>0</v>
      </c>
      <c r="AD120" t="b">
        <v>0</v>
      </c>
      <c r="AE120" t="b">
        <v>0</v>
      </c>
      <c r="AF120" t="inlineStr">
        <is>
          <t>No</t>
        </is>
      </c>
      <c r="AI120" t="b">
        <v>0</v>
      </c>
      <c r="AJ120" t="n">
        <v>5</v>
      </c>
      <c r="AK120" t="inlineStr"/>
      <c r="AL120" t="inlineStr">
        <is>
          <t>ORG bIT</t>
        </is>
      </c>
      <c r="AM120" t="inlineStr">
        <is>
          <t>SEC - Software Engineering Cologne (Michael S.)</t>
        </is>
      </c>
      <c r="AN120" t="inlineStr">
        <is>
          <t>ITMC - IT-Management Cologne (Dominik H.)</t>
        </is>
      </c>
      <c r="AO120" t="inlineStr">
        <is>
          <t>bridgingIT GmbH</t>
        </is>
      </c>
      <c r="AP120" t="inlineStr">
        <is>
          <t>Köln</t>
        </is>
      </c>
      <c r="AQ120" t="inlineStr">
        <is>
          <t>Michael Stephan</t>
        </is>
      </c>
    </row>
    <row r="121">
      <c r="A121" t="inlineStr">
        <is>
          <t>8739</t>
        </is>
      </c>
      <c r="B121" t="inlineStr">
        <is>
          <t>530EDF</t>
        </is>
      </c>
      <c r="C121" t="inlineStr">
        <is>
          <t>https://app.matchical.com/Consulting/ConsultantDetail?ConsultantId=22078924-b463-4711-a9ee-947036730b68</t>
        </is>
      </c>
      <c r="D121" t="inlineStr">
        <is>
          <t>Daniel Weschke</t>
        </is>
      </c>
      <c r="E121" t="inlineStr">
        <is>
          <t>daniel.weschke@crafting-it.de</t>
        </is>
      </c>
      <c r="F121" s="2" t="n">
        <v>44621</v>
      </c>
      <c r="G121" s="2" t="n">
        <v>44621</v>
      </c>
      <c r="H121" t="n">
        <v>10</v>
      </c>
      <c r="I121" t="n">
        <v>0</v>
      </c>
      <c r="J121" t="n">
        <v>0</v>
      </c>
      <c r="L121" s="2" t="n">
        <v>45658</v>
      </c>
      <c r="M121" s="2" t="n">
        <v>45838</v>
      </c>
      <c r="N121" t="b">
        <v>0</v>
      </c>
      <c r="O121" t="n">
        <v>48</v>
      </c>
      <c r="P121" t="n">
        <v>53.97</v>
      </c>
      <c r="Q121" t="n">
        <v>32.98</v>
      </c>
      <c r="R121">
        <f>ROUND(O121-P121,2)</f>
        <v/>
      </c>
      <c r="S121">
        <f>ROUND(O121-Q121,2)</f>
        <v/>
      </c>
      <c r="T121" s="3">
        <f>IFERROR(P121/O121,"")</f>
        <v/>
      </c>
      <c r="U121" s="3">
        <f>IFERROR(Q121/O121,"")</f>
        <v/>
      </c>
      <c r="V121" t="n">
        <v>0</v>
      </c>
      <c r="W121" t="n">
        <v>0</v>
      </c>
      <c r="X121" t="n">
        <v>0</v>
      </c>
      <c r="Y121">
        <f>ROUND(V121-W121,2)</f>
        <v/>
      </c>
      <c r="Z121">
        <f>ROUND(V121-X121,2)</f>
        <v/>
      </c>
      <c r="AA121" s="3">
        <f>IFERROR(W121/V121,"")</f>
        <v/>
      </c>
      <c r="AB121" s="3">
        <f>IFERROR(X121/V121,"")</f>
        <v/>
      </c>
      <c r="AC121" t="b">
        <v>0</v>
      </c>
      <c r="AD121" t="b">
        <v>0</v>
      </c>
      <c r="AE121" t="b">
        <v>0</v>
      </c>
      <c r="AF121" t="inlineStr">
        <is>
          <t>No</t>
        </is>
      </c>
      <c r="AI121" t="b">
        <v>0</v>
      </c>
      <c r="AJ121" t="n">
        <v>0</v>
      </c>
      <c r="AK121" t="inlineStr"/>
      <c r="AL121" t="inlineStr">
        <is>
          <t>ORG cIT</t>
        </is>
      </c>
      <c r="AM121" t="inlineStr">
        <is>
          <t>cIT Development</t>
        </is>
      </c>
      <c r="AN121" t="inlineStr">
        <is>
          <t>cIT Service Delivery Magdeburg (Steffen A.)</t>
        </is>
      </c>
      <c r="AO121" t="inlineStr">
        <is>
          <t>craftingIT GmbH</t>
        </is>
      </c>
      <c r="AP121" t="inlineStr">
        <is>
          <t>Magdeburg</t>
        </is>
      </c>
      <c r="AQ121" t="inlineStr">
        <is>
          <t>Jennifer Saalfeld</t>
        </is>
      </c>
    </row>
    <row r="122">
      <c r="A122" t="inlineStr">
        <is>
          <t>2317</t>
        </is>
      </c>
      <c r="B122" t="inlineStr">
        <is>
          <t>C1EE13</t>
        </is>
      </c>
      <c r="C122" t="inlineStr">
        <is>
          <t>https://app.matchical.com/Consulting/ConsultantDetail?ConsultantId=f316662a-bb99-48d5-9de6-722e51f9327c</t>
        </is>
      </c>
      <c r="D122" t="inlineStr">
        <is>
          <t>Daniela Kieback</t>
        </is>
      </c>
      <c r="E122" t="inlineStr">
        <is>
          <t>daniela.kieback@bridging-it.de</t>
        </is>
      </c>
      <c r="F122" s="2" t="n">
        <v>44835</v>
      </c>
      <c r="G122" s="2" t="n">
        <v>37530</v>
      </c>
      <c r="H122" t="n">
        <v>10</v>
      </c>
      <c r="I122" t="n">
        <v>0</v>
      </c>
      <c r="J122" t="n">
        <v>0</v>
      </c>
      <c r="L122" s="2" t="n">
        <v>45109</v>
      </c>
      <c r="M122" s="2" t="n">
        <v>46020</v>
      </c>
      <c r="N122" t="b">
        <v>0</v>
      </c>
      <c r="O122" t="n">
        <v>41</v>
      </c>
      <c r="P122" t="n">
        <v>46</v>
      </c>
      <c r="Q122" t="n">
        <v>37</v>
      </c>
      <c r="R122">
        <f>ROUND(O122-P122,2)</f>
        <v/>
      </c>
      <c r="S122">
        <f>ROUND(O122-Q122,2)</f>
        <v/>
      </c>
      <c r="T122" s="3">
        <f>IFERROR(P122/O122,"")</f>
        <v/>
      </c>
      <c r="U122" s="3">
        <f>IFERROR(Q122/O122,"")</f>
        <v/>
      </c>
      <c r="V122" t="n">
        <v>240</v>
      </c>
      <c r="W122" t="n">
        <v>94</v>
      </c>
      <c r="X122" t="n">
        <v>63</v>
      </c>
      <c r="Y122">
        <f>ROUND(V122-W122,2)</f>
        <v/>
      </c>
      <c r="Z122">
        <f>ROUND(V122-X122,2)</f>
        <v/>
      </c>
      <c r="AA122" s="3">
        <f>IFERROR(W122/V122,"")</f>
        <v/>
      </c>
      <c r="AB122" s="3">
        <f>IFERROR(X122/V122,"")</f>
        <v/>
      </c>
      <c r="AC122" t="b">
        <v>0</v>
      </c>
      <c r="AD122" t="b">
        <v>0</v>
      </c>
      <c r="AE122" t="b">
        <v>0</v>
      </c>
      <c r="AF122" t="inlineStr">
        <is>
          <t>No</t>
        </is>
      </c>
      <c r="AI122" t="b">
        <v>0</v>
      </c>
      <c r="AJ122" t="n">
        <v>0</v>
      </c>
      <c r="AK122" t="inlineStr">
        <is>
          <t>Focus areas: process consulting, digitization, and implementation
Daniela has been extensively involved in the optimization and digitization of processes and their requirements across a variety of industries. She has extensive expertise in project management, coordination, and facilitation.
For the factsheet, please contact me directly, Reha</t>
        </is>
      </c>
      <c r="AL122" t="inlineStr">
        <is>
          <t>DO Digital Organizations (Michael H.)</t>
        </is>
      </c>
      <c r="AM122" t="inlineStr">
        <is>
          <t>BPE Business Process Excellence (Heidi F.)</t>
        </is>
      </c>
      <c r="AN122" t="inlineStr">
        <is>
          <t>BE Business Engineering (Heidi Foldenauer)</t>
        </is>
      </c>
      <c r="AO122" t="inlineStr">
        <is>
          <t>bridgingIT GmbH</t>
        </is>
      </c>
      <c r="AP122" t="inlineStr">
        <is>
          <t>Stuttgart</t>
        </is>
      </c>
      <c r="AQ122" t="inlineStr">
        <is>
          <t>Heidi Foldenauer</t>
        </is>
      </c>
    </row>
    <row r="123">
      <c r="A123" t="inlineStr">
        <is>
          <t>2206</t>
        </is>
      </c>
      <c r="B123" t="inlineStr">
        <is>
          <t>B22727</t>
        </is>
      </c>
      <c r="C123" t="inlineStr">
        <is>
          <t>https://app.matchical.com/Consulting/ConsultantDetail?ConsultantId=28081be8-2fef-4bc8-90cb-c5bd1fcd44de</t>
        </is>
      </c>
      <c r="D123" t="inlineStr">
        <is>
          <t>Daria Fai</t>
        </is>
      </c>
      <c r="E123" t="inlineStr">
        <is>
          <t>daria.fai@bridging-it.de</t>
        </is>
      </c>
      <c r="F123" s="2" t="n">
        <v>43174</v>
      </c>
      <c r="G123" s="2" t="n">
        <v>40179</v>
      </c>
      <c r="H123" t="n">
        <v>4</v>
      </c>
      <c r="I123" t="n">
        <v>0</v>
      </c>
      <c r="J123" t="n">
        <v>2</v>
      </c>
      <c r="K123" s="2" t="n">
        <v>43496</v>
      </c>
      <c r="L123" s="2" t="n">
        <v>43830</v>
      </c>
      <c r="M123" s="2" t="n">
        <v>44073</v>
      </c>
      <c r="N123" t="b">
        <v>0</v>
      </c>
      <c r="O123" t="n">
        <v>95</v>
      </c>
      <c r="P123" t="n">
        <v>174.61</v>
      </c>
      <c r="Q123" t="n">
        <v>95.38</v>
      </c>
      <c r="R123">
        <f>ROUND(O123-P123,2)</f>
        <v/>
      </c>
      <c r="S123">
        <f>ROUND(O123-Q123,2)</f>
        <v/>
      </c>
      <c r="T123" s="3">
        <f>IFERROR(P123/O123,"")</f>
        <v/>
      </c>
      <c r="U123" s="3">
        <f>IFERROR(Q123/O123,"")</f>
        <v/>
      </c>
      <c r="V123" t="n">
        <v>98</v>
      </c>
      <c r="W123" t="n">
        <v>1.39</v>
      </c>
      <c r="X123" t="n">
        <v>1.39</v>
      </c>
      <c r="Y123">
        <f>ROUND(V123-W123,2)</f>
        <v/>
      </c>
      <c r="Z123">
        <f>ROUND(V123-X123,2)</f>
        <v/>
      </c>
      <c r="AA123" s="3">
        <f>IFERROR(W123/V123,"")</f>
        <v/>
      </c>
      <c r="AB123" s="3">
        <f>IFERROR(X123/V123,"")</f>
        <v/>
      </c>
      <c r="AC123" t="b">
        <v>0</v>
      </c>
      <c r="AD123" t="b">
        <v>0</v>
      </c>
      <c r="AE123" t="b">
        <v>0</v>
      </c>
      <c r="AF123" t="inlineStr">
        <is>
          <t>No</t>
        </is>
      </c>
      <c r="AI123" t="b">
        <v>0</v>
      </c>
      <c r="AJ123" t="n">
        <v>0</v>
      </c>
      <c r="AK123" t="inlineStr"/>
      <c r="AL123" t="inlineStr">
        <is>
          <t>DO Digital Organizations (Michael H.)</t>
        </is>
      </c>
      <c r="AM123" t="inlineStr">
        <is>
          <t>PD Process Digitalization II (Ralf Fr.)</t>
        </is>
      </c>
      <c r="AN123" t="inlineStr">
        <is>
          <t>DP Digital Processes (Hermann L.)</t>
        </is>
      </c>
      <c r="AO123" t="inlineStr">
        <is>
          <t>bridgingIT GmbH</t>
        </is>
      </c>
      <c r="AP123" t="inlineStr">
        <is>
          <t>Stuttgart</t>
        </is>
      </c>
      <c r="AQ123" t="inlineStr">
        <is>
          <t>Ralf Frotscher</t>
        </is>
      </c>
    </row>
    <row r="124">
      <c r="A124" t="inlineStr">
        <is>
          <t>10463</t>
        </is>
      </c>
      <c r="B124" t="inlineStr">
        <is>
          <t>F50FF1</t>
        </is>
      </c>
      <c r="C124" t="inlineStr">
        <is>
          <t>https://app.matchical.com/Consulting/ConsultantDetail?ConsultantId=fce1b9e4-696e-448a-9a34-fce782e16f96</t>
        </is>
      </c>
      <c r="D124" t="inlineStr">
        <is>
          <t>David Dag</t>
        </is>
      </c>
      <c r="E124" t="inlineStr">
        <is>
          <t>david.dag@bridging-it.de</t>
        </is>
      </c>
      <c r="F124" s="2" t="n">
        <v>46023</v>
      </c>
      <c r="G124" s="2" t="n">
        <v>44621</v>
      </c>
      <c r="H124" t="n">
        <v>0</v>
      </c>
      <c r="I124" t="n">
        <v>0</v>
      </c>
      <c r="J124" t="n">
        <v>0</v>
      </c>
      <c r="N124" t="b">
        <v>0</v>
      </c>
      <c r="O124" t="n">
        <v>2</v>
      </c>
      <c r="P124" t="n">
        <v>0</v>
      </c>
      <c r="Q124" t="n">
        <v>0</v>
      </c>
      <c r="R124">
        <f>ROUND(O124-P124,2)</f>
        <v/>
      </c>
      <c r="S124">
        <f>ROUND(O124-Q124,2)</f>
        <v/>
      </c>
      <c r="T124" s="3">
        <f>IFERROR(P124/O124,"")</f>
        <v/>
      </c>
      <c r="U124" s="3">
        <f>IFERROR(Q124/O124,"")</f>
        <v/>
      </c>
      <c r="V124" t="n">
        <v>46</v>
      </c>
      <c r="W124" t="n">
        <v>0</v>
      </c>
      <c r="X124" t="n">
        <v>0</v>
      </c>
      <c r="Y124">
        <f>ROUND(V124-W124,2)</f>
        <v/>
      </c>
      <c r="Z124">
        <f>ROUND(V124-X124,2)</f>
        <v/>
      </c>
      <c r="AA124" s="3">
        <f>IFERROR(W124/V124,"")</f>
        <v/>
      </c>
      <c r="AB124" s="3">
        <f>IFERROR(X124/V124,"")</f>
        <v/>
      </c>
      <c r="AC124" t="b">
        <v>0</v>
      </c>
      <c r="AD124" t="b">
        <v>0</v>
      </c>
      <c r="AE124" t="b">
        <v>0</v>
      </c>
      <c r="AF124" t="inlineStr">
        <is>
          <t>Yes</t>
        </is>
      </c>
      <c r="AG124" s="2" t="n">
        <v>46235</v>
      </c>
      <c r="AI124" t="b">
        <v>1</v>
      </c>
      <c r="AJ124" t="n">
        <v>5</v>
      </c>
      <c r="AK124" t="inlineStr"/>
      <c r="AL124" t="inlineStr">
        <is>
          <t>IT Information Technology (Hauke G.)</t>
        </is>
      </c>
      <c r="AM124" t="inlineStr">
        <is>
          <t>CIS Compliance &amp; Information Security (David T.)</t>
        </is>
      </c>
      <c r="AN124" t="inlineStr">
        <is>
          <t>GRC IT-GRC (Erhan N.)</t>
        </is>
      </c>
      <c r="AO124" t="inlineStr">
        <is>
          <t>bridgingIT GmbH</t>
        </is>
      </c>
      <c r="AP124" t="inlineStr">
        <is>
          <t>Stuttgart</t>
        </is>
      </c>
      <c r="AQ124" t="inlineStr">
        <is>
          <t>David Turan</t>
        </is>
      </c>
    </row>
    <row r="125">
      <c r="A125" t="inlineStr">
        <is>
          <t>10171</t>
        </is>
      </c>
      <c r="B125" t="inlineStr">
        <is>
          <t>0A0F0D</t>
        </is>
      </c>
      <c r="C125" t="inlineStr">
        <is>
          <t>https://app.matchical.com/Consulting/ConsultantDetail?ConsultantId=6b2ad543-0132-41bb-9d1f-905557eabcad</t>
        </is>
      </c>
      <c r="D125" t="inlineStr">
        <is>
          <t>David Neunhoeffer</t>
        </is>
      </c>
      <c r="E125" t="inlineStr">
        <is>
          <t>david.neunhoeffer@bridging-it.de</t>
        </is>
      </c>
      <c r="F125" s="2" t="n">
        <v>45231</v>
      </c>
      <c r="G125" s="2" t="n">
        <v>44378</v>
      </c>
      <c r="H125" t="n">
        <v>4</v>
      </c>
      <c r="I125" t="n">
        <v>0</v>
      </c>
      <c r="J125" t="n">
        <v>1</v>
      </c>
      <c r="K125" s="2" t="n">
        <v>45230</v>
      </c>
      <c r="L125" s="2" t="n">
        <v>44895</v>
      </c>
      <c r="M125" s="2" t="n">
        <v>45015</v>
      </c>
      <c r="N125" t="b">
        <v>0</v>
      </c>
      <c r="O125" t="n">
        <v>28</v>
      </c>
      <c r="P125" t="n">
        <v>26.97</v>
      </c>
      <c r="Q125" t="n">
        <v>26.97</v>
      </c>
      <c r="R125">
        <f>ROUND(O125-P125,2)</f>
        <v/>
      </c>
      <c r="S125">
        <f>ROUND(O125-Q125,2)</f>
        <v/>
      </c>
      <c r="T125" s="3">
        <f>IFERROR(P125/O125,"")</f>
        <v/>
      </c>
      <c r="U125" s="3">
        <f>IFERROR(Q125/O125,"")</f>
        <v/>
      </c>
      <c r="V125" t="n">
        <v>28</v>
      </c>
      <c r="W125" t="n">
        <v>15.03</v>
      </c>
      <c r="X125" t="n">
        <v>12.03</v>
      </c>
      <c r="Y125">
        <f>ROUND(V125-W125,2)</f>
        <v/>
      </c>
      <c r="Z125">
        <f>ROUND(V125-X125,2)</f>
        <v/>
      </c>
      <c r="AA125" s="3">
        <f>IFERROR(W125/V125,"")</f>
        <v/>
      </c>
      <c r="AB125" s="3">
        <f>IFERROR(X125/V125,"")</f>
        <v/>
      </c>
      <c r="AC125" t="b">
        <v>0</v>
      </c>
      <c r="AD125" t="b">
        <v>0</v>
      </c>
      <c r="AE125" t="b">
        <v>0</v>
      </c>
      <c r="AF125" t="inlineStr">
        <is>
          <t>No</t>
        </is>
      </c>
      <c r="AI125" t="b">
        <v>0</v>
      </c>
      <c r="AJ125" t="n">
        <v>0</v>
      </c>
      <c r="AK125" t="inlineStr"/>
      <c r="AL125" t="inlineStr">
        <is>
          <t>ES Enterprise Solutions (Gina H.)</t>
        </is>
      </c>
      <c r="AM125" t="inlineStr">
        <is>
          <t>IEJ Java II (Thomas K.)</t>
        </is>
      </c>
      <c r="AN125" t="inlineStr">
        <is>
          <t>IEJ Individualentwicklung JAVA (Dominik S.)</t>
        </is>
      </c>
      <c r="AO125" t="inlineStr">
        <is>
          <t>bridgingIT GmbH</t>
        </is>
      </c>
      <c r="AP125" t="inlineStr">
        <is>
          <t>Stuttgart</t>
        </is>
      </c>
      <c r="AQ125" t="inlineStr">
        <is>
          <t>Thomas Kopp</t>
        </is>
      </c>
    </row>
    <row r="126">
      <c r="A126" t="inlineStr">
        <is>
          <t>1181</t>
        </is>
      </c>
      <c r="B126" t="inlineStr">
        <is>
          <t>018D38</t>
        </is>
      </c>
      <c r="C126" t="inlineStr">
        <is>
          <t>https://app.matchical.com/Consulting/ConsultantDetail?ConsultantId=d5952e59-016c-43dd-bb63-0f3670acc929</t>
        </is>
      </c>
      <c r="D126" t="inlineStr">
        <is>
          <t>David Schleweis</t>
        </is>
      </c>
      <c r="E126" t="inlineStr">
        <is>
          <t>david.schleweis@bridging-it.de</t>
        </is>
      </c>
      <c r="F126" s="2" t="n">
        <v>40940</v>
      </c>
      <c r="G126" s="2" t="n">
        <v>38930</v>
      </c>
      <c r="H126" t="n">
        <v>5</v>
      </c>
      <c r="I126" t="n">
        <v>0</v>
      </c>
      <c r="J126" t="n">
        <v>0</v>
      </c>
      <c r="L126" s="2" t="n">
        <v>44561</v>
      </c>
      <c r="M126" s="2" t="n">
        <v>45291</v>
      </c>
      <c r="N126" t="b">
        <v>0</v>
      </c>
      <c r="O126" t="n">
        <v>169</v>
      </c>
      <c r="P126" t="n">
        <v>78</v>
      </c>
      <c r="Q126" t="n">
        <v>76</v>
      </c>
      <c r="R126">
        <f>ROUND(O126-P126,2)</f>
        <v/>
      </c>
      <c r="S126">
        <f>ROUND(O126-Q126,2)</f>
        <v/>
      </c>
      <c r="T126" s="3">
        <f>IFERROR(P126/O126,"")</f>
        <v/>
      </c>
      <c r="U126" s="3">
        <f>IFERROR(Q126/O126,"")</f>
        <v/>
      </c>
      <c r="V126" t="n">
        <v>66</v>
      </c>
      <c r="W126" t="n">
        <v>0</v>
      </c>
      <c r="X126" t="n">
        <v>0</v>
      </c>
      <c r="Y126">
        <f>ROUND(V126-W126,2)</f>
        <v/>
      </c>
      <c r="Z126">
        <f>ROUND(V126-X126,2)</f>
        <v/>
      </c>
      <c r="AA126" s="3">
        <f>IFERROR(W126/V126,"")</f>
        <v/>
      </c>
      <c r="AB126" s="3">
        <f>IFERROR(X126/V126,"")</f>
        <v/>
      </c>
      <c r="AC126" t="b">
        <v>0</v>
      </c>
      <c r="AD126" t="b">
        <v>0</v>
      </c>
      <c r="AE126" t="b">
        <v>0</v>
      </c>
      <c r="AF126" t="inlineStr">
        <is>
          <t>No</t>
        </is>
      </c>
      <c r="AG126" s="2" t="n">
        <v>43922</v>
      </c>
      <c r="AI126" t="b">
        <v>1</v>
      </c>
      <c r="AJ126" t="n">
        <v>2.5</v>
      </c>
      <c r="AK126" t="inlineStr">
        <is>
          <t>Key skills: IT architecture, IT security, cloud</t>
        </is>
      </c>
      <c r="AL126" t="inlineStr">
        <is>
          <t>IT - Information Technology (Sebastian L.)</t>
        </is>
      </c>
      <c r="AM126" t="inlineStr">
        <is>
          <t>PAM Platform Architecture Management (David S.)</t>
        </is>
      </c>
      <c r="AN126" t="inlineStr">
        <is>
          <t>P&amp;DE - Platforms &amp; Digital Ecosystems (David S.)</t>
        </is>
      </c>
      <c r="AO126" t="inlineStr">
        <is>
          <t>bridgingIT GmbH</t>
        </is>
      </c>
      <c r="AP126" t="inlineStr">
        <is>
          <t>Mannheim</t>
        </is>
      </c>
      <c r="AQ126" t="inlineStr">
        <is>
          <t>Sebastian Lenhard</t>
        </is>
      </c>
    </row>
    <row r="127">
      <c r="A127" t="inlineStr">
        <is>
          <t>2194</t>
        </is>
      </c>
      <c r="B127" t="inlineStr">
        <is>
          <t>1C8115</t>
        </is>
      </c>
      <c r="C127" t="inlineStr">
        <is>
          <t>https://app.matchical.com/Consulting/ConsultantDetail?ConsultantId=7b519e62-f724-4805-a96d-c08dec356ee5</t>
        </is>
      </c>
      <c r="D127" t="inlineStr">
        <is>
          <t>David Turan</t>
        </is>
      </c>
      <c r="E127" t="inlineStr">
        <is>
          <t>david.turan@bridging-it.de</t>
        </is>
      </c>
      <c r="F127" s="2" t="n">
        <v>43101</v>
      </c>
      <c r="G127" s="2" t="n">
        <v>42430</v>
      </c>
      <c r="H127" t="n">
        <v>15</v>
      </c>
      <c r="I127" t="n">
        <v>0</v>
      </c>
      <c r="J127" t="n">
        <v>0</v>
      </c>
      <c r="L127" s="2" t="n">
        <v>44561</v>
      </c>
      <c r="M127" s="2" t="n">
        <v>46022</v>
      </c>
      <c r="N127" t="b">
        <v>0</v>
      </c>
      <c r="O127" t="n">
        <v>98</v>
      </c>
      <c r="P127" t="n">
        <v>274.85</v>
      </c>
      <c r="Q127" t="n">
        <v>97.77</v>
      </c>
      <c r="R127">
        <f>ROUND(O127-P127,2)</f>
        <v/>
      </c>
      <c r="S127">
        <f>ROUND(O127-Q127,2)</f>
        <v/>
      </c>
      <c r="T127" s="3">
        <f>IFERROR(P127/O127,"")</f>
        <v/>
      </c>
      <c r="U127" s="3">
        <f>IFERROR(Q127/O127,"")</f>
        <v/>
      </c>
      <c r="V127" t="n">
        <v>22</v>
      </c>
      <c r="W127" t="n">
        <v>21</v>
      </c>
      <c r="X127" t="n">
        <v>21</v>
      </c>
      <c r="Y127">
        <f>ROUND(V127-W127,2)</f>
        <v/>
      </c>
      <c r="Z127">
        <f>ROUND(V127-X127,2)</f>
        <v/>
      </c>
      <c r="AA127" s="3">
        <f>IFERROR(W127/V127,"")</f>
        <v/>
      </c>
      <c r="AB127" s="3">
        <f>IFERROR(X127/V127,"")</f>
        <v/>
      </c>
      <c r="AC127" t="b">
        <v>0</v>
      </c>
      <c r="AD127" t="b">
        <v>0</v>
      </c>
      <c r="AE127" t="b">
        <v>0</v>
      </c>
      <c r="AF127" t="inlineStr">
        <is>
          <t>No</t>
        </is>
      </c>
      <c r="AI127" t="b">
        <v>1</v>
      </c>
      <c r="AJ127" t="n">
        <v>0</v>
      </c>
      <c r="AK127" t="inlineStr"/>
      <c r="AL127" t="inlineStr">
        <is>
          <t>IT Information Technology (Hauke G.)</t>
        </is>
      </c>
      <c r="AM127" t="inlineStr">
        <is>
          <t>CIS Compliance &amp; Information Security (David T.)</t>
        </is>
      </c>
      <c r="AN127" t="inlineStr">
        <is>
          <t>GRC IT-GRC (Erhan N.)</t>
        </is>
      </c>
      <c r="AO127" t="inlineStr">
        <is>
          <t>bridgingIT GmbH</t>
        </is>
      </c>
      <c r="AP127" t="inlineStr">
        <is>
          <t>Stuttgart</t>
        </is>
      </c>
      <c r="AQ127" t="inlineStr">
        <is>
          <t>Erhan Nurdogan</t>
        </is>
      </c>
    </row>
    <row r="128">
      <c r="A128" t="inlineStr">
        <is>
          <t>10451</t>
        </is>
      </c>
      <c r="B128" t="inlineStr">
        <is>
          <t>F0B72D</t>
        </is>
      </c>
      <c r="C128" t="inlineStr">
        <is>
          <t>https://app.matchical.com/Consulting/ConsultantDetail?ConsultantId=ac4880b5-11c2-4806-91ef-ee00e84b4e72</t>
        </is>
      </c>
      <c r="D128" t="inlineStr">
        <is>
          <t>Dean Herzog-Meijer</t>
        </is>
      </c>
      <c r="E128" t="inlineStr">
        <is>
          <t>dean.herzog-meijer@bridging-it.de</t>
        </is>
      </c>
      <c r="F128" s="2" t="n">
        <v>46082</v>
      </c>
      <c r="H128" t="n">
        <v>2</v>
      </c>
      <c r="I128" t="n">
        <v>0</v>
      </c>
      <c r="J128" t="n">
        <v>1</v>
      </c>
      <c r="K128" s="2" t="n">
        <v>45930</v>
      </c>
      <c r="L128" s="2" t="n">
        <v>45626</v>
      </c>
      <c r="M128" s="2" t="n">
        <v>45929</v>
      </c>
      <c r="N128" t="b">
        <v>1</v>
      </c>
      <c r="O128" t="n">
        <v>0</v>
      </c>
      <c r="P128" t="n">
        <v>0</v>
      </c>
      <c r="Q128" t="n">
        <v>0</v>
      </c>
      <c r="R128">
        <f>ROUND(O128-P128,2)</f>
        <v/>
      </c>
      <c r="S128">
        <f>ROUND(O128-Q128,2)</f>
        <v/>
      </c>
      <c r="T128" s="3">
        <f>IFERROR(P128/O128,"")</f>
        <v/>
      </c>
      <c r="U128" s="3">
        <f>IFERROR(Q128/O128,"")</f>
        <v/>
      </c>
      <c r="V128" t="n">
        <v>1514</v>
      </c>
      <c r="W128" t="n">
        <v>14</v>
      </c>
      <c r="X128" t="n">
        <v>14</v>
      </c>
      <c r="Y128">
        <f>ROUND(V128-W128,2)</f>
        <v/>
      </c>
      <c r="Z128">
        <f>ROUND(V128-X128,2)</f>
        <v/>
      </c>
      <c r="AA128" s="3">
        <f>IFERROR(W128/V128,"")</f>
        <v/>
      </c>
      <c r="AB128" s="3">
        <f>IFERROR(X128/V128,"")</f>
        <v/>
      </c>
      <c r="AC128" t="b">
        <v>0</v>
      </c>
      <c r="AD128" t="b">
        <v>0</v>
      </c>
      <c r="AE128" t="b">
        <v>0</v>
      </c>
      <c r="AF128" t="inlineStr">
        <is>
          <t>No</t>
        </is>
      </c>
      <c r="AI128" t="b">
        <v>1</v>
      </c>
      <c r="AJ128" t="n">
        <v>0</v>
      </c>
      <c r="AK128" t="inlineStr">
        <is>
          <t>Expected partial utilization at FNZ Bank</t>
        </is>
      </c>
      <c r="AL128" t="inlineStr">
        <is>
          <t>IT - Information Technology (HH)</t>
        </is>
      </c>
      <c r="AM128" t="inlineStr">
        <is>
          <t>CSI - Cybersecurity &amp; IAM (Dean M.)</t>
        </is>
      </c>
      <c r="AN128" t="inlineStr">
        <is>
          <t>ITC HH (Nicole F.)</t>
        </is>
      </c>
      <c r="AO128" t="inlineStr">
        <is>
          <t>bridgingIT GmbH</t>
        </is>
      </c>
      <c r="AP128" t="inlineStr">
        <is>
          <t>Hamburg</t>
        </is>
      </c>
      <c r="AQ128" t="inlineStr"/>
    </row>
    <row r="129">
      <c r="A129" t="inlineStr">
        <is>
          <t>1374</t>
        </is>
      </c>
      <c r="B129" t="inlineStr">
        <is>
          <t>A98120</t>
        </is>
      </c>
      <c r="C129" t="inlineStr">
        <is>
          <t>https://app.matchical.com/Consulting/ConsultantDetail?ConsultantId=6783c094-5be8-4bb4-9a61-faa3c253889c</t>
        </is>
      </c>
      <c r="D129" t="inlineStr">
        <is>
          <t>Dennis Bukowski</t>
        </is>
      </c>
      <c r="E129" t="inlineStr">
        <is>
          <t>dennis.bukowski@bridging-it.de</t>
        </is>
      </c>
      <c r="F129" s="2" t="n">
        <v>42736</v>
      </c>
      <c r="G129" s="2" t="n">
        <v>42736</v>
      </c>
      <c r="H129" t="n">
        <v>20</v>
      </c>
      <c r="I129" t="n">
        <v>0</v>
      </c>
      <c r="J129" t="n">
        <v>0</v>
      </c>
      <c r="L129" s="2" t="n">
        <v>45376</v>
      </c>
      <c r="M129" s="2" t="n">
        <v>45657</v>
      </c>
      <c r="N129" t="b">
        <v>0</v>
      </c>
      <c r="O129" t="n">
        <v>110</v>
      </c>
      <c r="P129" t="n">
        <v>122</v>
      </c>
      <c r="Q129" t="n">
        <v>95</v>
      </c>
      <c r="R129">
        <f>ROUND(O129-P129,2)</f>
        <v/>
      </c>
      <c r="S129">
        <f>ROUND(O129-Q129,2)</f>
        <v/>
      </c>
      <c r="T129" s="3">
        <f>IFERROR(P129/O129,"")</f>
        <v/>
      </c>
      <c r="U129" s="3">
        <f>IFERROR(Q129/O129,"")</f>
        <v/>
      </c>
      <c r="V129" t="n">
        <v>0</v>
      </c>
      <c r="W129" t="n">
        <v>0</v>
      </c>
      <c r="X129" t="n">
        <v>0</v>
      </c>
      <c r="Y129">
        <f>ROUND(V129-W129,2)</f>
        <v/>
      </c>
      <c r="Z129">
        <f>ROUND(V129-X129,2)</f>
        <v/>
      </c>
      <c r="AA129" s="3">
        <f>IFERROR(W129/V129,"")</f>
        <v/>
      </c>
      <c r="AB129" s="3">
        <f>IFERROR(X129/V129,"")</f>
        <v/>
      </c>
      <c r="AC129" t="b">
        <v>0</v>
      </c>
      <c r="AD129" t="b">
        <v>0</v>
      </c>
      <c r="AE129" t="b">
        <v>0</v>
      </c>
      <c r="AF129" t="inlineStr">
        <is>
          <t>No</t>
        </is>
      </c>
      <c r="AI129" t="b">
        <v>0</v>
      </c>
      <c r="AJ129" t="n">
        <v>0</v>
      </c>
      <c r="AK129" t="inlineStr"/>
      <c r="AL129" t="inlineStr">
        <is>
          <t>A&amp;SE Analytics &amp; Software Engineering (Philip R.)</t>
        </is>
      </c>
      <c r="AM129" t="inlineStr">
        <is>
          <t>FA Fullstack Astronauts (Jochen K.)</t>
        </is>
      </c>
      <c r="AN129" t="inlineStr">
        <is>
          <t>FUN Fullstack Ninjas (Stefan Z.)</t>
        </is>
      </c>
      <c r="AO129" t="inlineStr">
        <is>
          <t>bridgingIT GmbH</t>
        </is>
      </c>
      <c r="AP129" t="inlineStr">
        <is>
          <t>Mannheim</t>
        </is>
      </c>
      <c r="AQ129" t="inlineStr">
        <is>
          <t>Jochen Kraushaar</t>
        </is>
      </c>
    </row>
    <row r="130">
      <c r="A130" t="inlineStr">
        <is>
          <t>10324</t>
        </is>
      </c>
      <c r="B130" t="inlineStr">
        <is>
          <t>430FE1</t>
        </is>
      </c>
      <c r="C130" t="inlineStr">
        <is>
          <t>https://app.matchical.com/Consulting/ConsultantDetail?ConsultantId=ca381d30-ee92-4f6b-9b0b-2594ad9fd51c</t>
        </is>
      </c>
      <c r="D130" t="inlineStr">
        <is>
          <t>Dennis Kleine</t>
        </is>
      </c>
      <c r="E130" t="inlineStr">
        <is>
          <t>dennis.kleine@bridging-it.de</t>
        </is>
      </c>
      <c r="F130" s="2" t="n">
        <v>45536</v>
      </c>
      <c r="G130" s="2" t="n">
        <v>35582</v>
      </c>
      <c r="H130" t="n">
        <v>10</v>
      </c>
      <c r="I130" t="n">
        <v>0</v>
      </c>
      <c r="J130" t="n">
        <v>0</v>
      </c>
      <c r="L130" s="2" t="n">
        <v>45566</v>
      </c>
      <c r="M130" s="2" t="n">
        <v>45776</v>
      </c>
      <c r="N130" t="b">
        <v>0</v>
      </c>
      <c r="O130" t="n">
        <v>18</v>
      </c>
      <c r="P130" t="n">
        <v>10.94</v>
      </c>
      <c r="Q130" t="n">
        <v>9.5</v>
      </c>
      <c r="R130">
        <f>ROUND(O130-P130,2)</f>
        <v/>
      </c>
      <c r="S130">
        <f>ROUND(O130-Q130,2)</f>
        <v/>
      </c>
      <c r="T130" s="3">
        <f>IFERROR(P130/O130,"")</f>
        <v/>
      </c>
      <c r="U130" s="3">
        <f>IFERROR(Q130/O130,"")</f>
        <v/>
      </c>
      <c r="V130" t="n">
        <v>327</v>
      </c>
      <c r="W130" t="n">
        <v>117.06</v>
      </c>
      <c r="X130" t="n">
        <v>110.5</v>
      </c>
      <c r="Y130">
        <f>ROUND(V130-W130,2)</f>
        <v/>
      </c>
      <c r="Z130">
        <f>ROUND(V130-X130,2)</f>
        <v/>
      </c>
      <c r="AA130" s="3">
        <f>IFERROR(W130/V130,"")</f>
        <v/>
      </c>
      <c r="AB130" s="3">
        <f>IFERROR(X130/V130,"")</f>
        <v/>
      </c>
      <c r="AC130" t="b">
        <v>0</v>
      </c>
      <c r="AD130" t="b">
        <v>0</v>
      </c>
      <c r="AE130" t="b">
        <v>0</v>
      </c>
      <c r="AF130" t="inlineStr">
        <is>
          <t>No</t>
        </is>
      </c>
      <c r="AI130" t="b">
        <v>1</v>
      </c>
      <c r="AJ130" t="n">
        <v>0</v>
      </c>
      <c r="AK130" t="inlineStr">
        <is>
          <t>Leads:
- [Bahn] C2S Data Engineer PFW40971-PA-002 (Karola Bischof &amp; Salih Öztürk)</t>
        </is>
      </c>
      <c r="AL130" t="inlineStr">
        <is>
          <t>ORG bIT Bayern</t>
        </is>
      </c>
      <c r="AM130" t="inlineStr">
        <is>
          <t>DSA Data Solutions &amp; AI (Philip R.)</t>
        </is>
      </c>
      <c r="AN130" t="inlineStr">
        <is>
          <t>BPD Business Processes &amp; Data Engineering(Arne K.)</t>
        </is>
      </c>
      <c r="AO130" t="inlineStr">
        <is>
          <t>bridgingIT GmbH</t>
        </is>
      </c>
      <c r="AP130" t="inlineStr">
        <is>
          <t>München</t>
        </is>
      </c>
      <c r="AQ130" t="inlineStr">
        <is>
          <t>Philip Rausch</t>
        </is>
      </c>
    </row>
    <row r="131">
      <c r="A131" t="inlineStr">
        <is>
          <t>10237</t>
        </is>
      </c>
      <c r="B131" t="inlineStr">
        <is>
          <t>E81AA7</t>
        </is>
      </c>
      <c r="C131" t="inlineStr">
        <is>
          <t>https://app.matchical.com/Consulting/ConsultantDetail?ConsultantId=96c92511-e8db-454e-8a6d-729a78e77e7c</t>
        </is>
      </c>
      <c r="D131" t="inlineStr">
        <is>
          <t>Désirée Dilcher</t>
        </is>
      </c>
      <c r="E131" t="inlineStr">
        <is>
          <t>desiree.dilcher@bridging-it.de</t>
        </is>
      </c>
      <c r="F131" s="2" t="n">
        <v>45292</v>
      </c>
      <c r="G131" s="2" t="n">
        <v>42767</v>
      </c>
      <c r="H131" t="n">
        <v>7</v>
      </c>
      <c r="I131" t="n">
        <v>0</v>
      </c>
      <c r="J131" t="n">
        <v>0</v>
      </c>
      <c r="L131" s="2" t="n">
        <v>45907</v>
      </c>
      <c r="M131" s="2" t="n">
        <v>46021</v>
      </c>
      <c r="N131" t="b">
        <v>0</v>
      </c>
      <c r="O131" t="n">
        <v>26</v>
      </c>
      <c r="P131" t="n">
        <v>33.97</v>
      </c>
      <c r="Q131" t="n">
        <v>24.97</v>
      </c>
      <c r="R131">
        <f>ROUND(O131-P131,2)</f>
        <v/>
      </c>
      <c r="S131">
        <f>ROUND(O131-Q131,2)</f>
        <v/>
      </c>
      <c r="T131" s="3">
        <f>IFERROR(P131/O131,"")</f>
        <v/>
      </c>
      <c r="U131" s="3">
        <f>IFERROR(Q131/O131,"")</f>
        <v/>
      </c>
      <c r="V131" t="n">
        <v>83</v>
      </c>
      <c r="W131" t="n">
        <v>104.97</v>
      </c>
      <c r="X131" t="n">
        <v>59.99</v>
      </c>
      <c r="Y131">
        <f>ROUND(V131-W131,2)</f>
        <v/>
      </c>
      <c r="Z131">
        <f>ROUND(V131-X131,2)</f>
        <v/>
      </c>
      <c r="AA131" s="3">
        <f>IFERROR(W131/V131,"")</f>
        <v/>
      </c>
      <c r="AB131" s="3">
        <f>IFERROR(X131/V131,"")</f>
        <v/>
      </c>
      <c r="AC131" t="b">
        <v>0</v>
      </c>
      <c r="AD131" t="b">
        <v>0</v>
      </c>
      <c r="AE131" t="b">
        <v>0</v>
      </c>
      <c r="AF131" t="inlineStr">
        <is>
          <t>No</t>
        </is>
      </c>
      <c r="AI131" t="b">
        <v>1</v>
      </c>
      <c r="AJ131" t="n">
        <v>0</v>
      </c>
      <c r="AK131" t="inlineStr">
        <is>
          <t>We are seeking projects for Desiree in the roles of Scrum Master or Agile Coach. She brings this experience: most recently, she was responsible for Scrum Master/Agile Coach duties for software development for instrument clusters in two cross-functional teams at PAG (for an external service provider) for about three years. She also has solid knowledge and experience in the UI/UX domain.</t>
        </is>
      </c>
      <c r="AL131" t="inlineStr">
        <is>
          <t>DO Digital Organizations (Michael H.)</t>
        </is>
      </c>
      <c r="AM131" t="inlineStr">
        <is>
          <t>AO Agile Organizations (Andreas G.)</t>
        </is>
      </c>
      <c r="AN131" t="inlineStr">
        <is>
          <t>BT Business Transformation (Julian D.)</t>
        </is>
      </c>
      <c r="AO131" t="inlineStr">
        <is>
          <t>bridgingIT GmbH</t>
        </is>
      </c>
      <c r="AP131" t="inlineStr">
        <is>
          <t>Stuttgart</t>
        </is>
      </c>
      <c r="AQ131" t="inlineStr">
        <is>
          <t>Andreas Glasa</t>
        </is>
      </c>
    </row>
    <row r="132">
      <c r="A132" t="inlineStr">
        <is>
          <t>1215</t>
        </is>
      </c>
      <c r="B132" t="inlineStr">
        <is>
          <t>296EDF</t>
        </is>
      </c>
      <c r="C132" t="inlineStr">
        <is>
          <t>https://app.matchical.com/Consulting/ConsultantDetail?ConsultantId=77341eed-12af-466b-b822-28db720384b9</t>
        </is>
      </c>
      <c r="D132" t="inlineStr">
        <is>
          <t>Detlef Schumann</t>
        </is>
      </c>
      <c r="E132" t="inlineStr">
        <is>
          <t>detlef.schumann@bridging-it.de</t>
        </is>
      </c>
      <c r="F132" s="2" t="n">
        <v>41275</v>
      </c>
      <c r="G132" s="2" t="n">
        <v>29082</v>
      </c>
      <c r="H132" t="n">
        <v>11</v>
      </c>
      <c r="I132" t="n">
        <v>0</v>
      </c>
      <c r="J132" t="n">
        <v>0</v>
      </c>
      <c r="L132" s="2" t="n">
        <v>44712</v>
      </c>
      <c r="M132" s="2" t="n">
        <v>44850</v>
      </c>
      <c r="N132" t="b">
        <v>0</v>
      </c>
      <c r="O132" t="n">
        <v>158</v>
      </c>
      <c r="P132" t="n">
        <v>189</v>
      </c>
      <c r="Q132" t="n">
        <v>106</v>
      </c>
      <c r="R132">
        <f>ROUND(O132-P132,2)</f>
        <v/>
      </c>
      <c r="S132">
        <f>ROUND(O132-Q132,2)</f>
        <v/>
      </c>
      <c r="T132" s="3">
        <f>IFERROR(P132/O132,"")</f>
        <v/>
      </c>
      <c r="U132" s="3">
        <f>IFERROR(Q132/O132,"")</f>
        <v/>
      </c>
      <c r="V132" t="n">
        <v>401</v>
      </c>
      <c r="W132" t="n">
        <v>0</v>
      </c>
      <c r="X132" t="n">
        <v>0</v>
      </c>
      <c r="Y132">
        <f>ROUND(V132-W132,2)</f>
        <v/>
      </c>
      <c r="Z132">
        <f>ROUND(V132-X132,2)</f>
        <v/>
      </c>
      <c r="AA132" s="3">
        <f>IFERROR(W132/V132,"")</f>
        <v/>
      </c>
      <c r="AB132" s="3">
        <f>IFERROR(X132/V132,"")</f>
        <v/>
      </c>
      <c r="AC132" t="b">
        <v>0</v>
      </c>
      <c r="AD132" t="b">
        <v>0</v>
      </c>
      <c r="AE132" t="b">
        <v>0</v>
      </c>
      <c r="AF132" t="inlineStr">
        <is>
          <t>No</t>
        </is>
      </c>
      <c r="AI132" t="b">
        <v>0</v>
      </c>
      <c r="AJ132" t="n">
        <v>0</v>
      </c>
      <c r="AK132" t="inlineStr">
        <is>
          <t>EnBW Digital Office</t>
        </is>
      </c>
      <c r="AL132" t="inlineStr">
        <is>
          <t>Sales BL</t>
        </is>
      </c>
      <c r="AM132" t="inlineStr">
        <is>
          <t>SAL Team Kernbach</t>
        </is>
      </c>
      <c r="AN132" t="inlineStr">
        <is>
          <t>Capability Management (Tim T.)</t>
        </is>
      </c>
      <c r="AO132" t="inlineStr">
        <is>
          <t>bridgingIT GmbH</t>
        </is>
      </c>
      <c r="AP132" t="inlineStr">
        <is>
          <t>Mannheim</t>
        </is>
      </c>
      <c r="AQ132" t="inlineStr">
        <is>
          <t>Andreas Kernbach</t>
        </is>
      </c>
    </row>
    <row r="133">
      <c r="A133" t="inlineStr">
        <is>
          <t>10023</t>
        </is>
      </c>
      <c r="B133" t="inlineStr">
        <is>
          <t>28D22A</t>
        </is>
      </c>
      <c r="C133" t="inlineStr">
        <is>
          <t>https://app.matchical.com/Consulting/ConsultantDetail?ConsultantId=c517d320-0e32-43f1-a502-5f57f0f8c499</t>
        </is>
      </c>
      <c r="D133" t="inlineStr">
        <is>
          <t>Diana Gülker</t>
        </is>
      </c>
      <c r="E133" t="inlineStr">
        <is>
          <t>diana.guelker@bridging-it.de</t>
        </is>
      </c>
      <c r="F133" s="2" t="n">
        <v>44927</v>
      </c>
      <c r="G133" s="2" t="n">
        <v>40634</v>
      </c>
      <c r="H133" t="n">
        <v>18</v>
      </c>
      <c r="I133" t="n">
        <v>0</v>
      </c>
      <c r="J133" t="n">
        <v>1</v>
      </c>
      <c r="K133" s="2" t="n">
        <v>43465</v>
      </c>
      <c r="L133" s="2" t="n">
        <v>45839</v>
      </c>
      <c r="M133" s="2" t="n">
        <v>46022</v>
      </c>
      <c r="N133" t="b">
        <v>0</v>
      </c>
      <c r="O133" t="n">
        <v>38</v>
      </c>
      <c r="P133" t="n">
        <v>77.05</v>
      </c>
      <c r="Q133" t="n">
        <v>35.32</v>
      </c>
      <c r="R133">
        <f>ROUND(O133-P133,2)</f>
        <v/>
      </c>
      <c r="S133">
        <f>ROUND(O133-Q133,2)</f>
        <v/>
      </c>
      <c r="T133" s="3">
        <f>IFERROR(P133/O133,"")</f>
        <v/>
      </c>
      <c r="U133" s="3">
        <f>IFERROR(Q133/O133,"")</f>
        <v/>
      </c>
      <c r="V133" t="n">
        <v>141</v>
      </c>
      <c r="W133" t="n">
        <v>298.58</v>
      </c>
      <c r="X133" t="n">
        <v>114.77</v>
      </c>
      <c r="Y133">
        <f>ROUND(V133-W133,2)</f>
        <v/>
      </c>
      <c r="Z133">
        <f>ROUND(V133-X133,2)</f>
        <v/>
      </c>
      <c r="AA133" s="3">
        <f>IFERROR(W133/V133,"")</f>
        <v/>
      </c>
      <c r="AB133" s="3">
        <f>IFERROR(X133/V133,"")</f>
        <v/>
      </c>
      <c r="AC133" t="b">
        <v>0</v>
      </c>
      <c r="AD133" t="b">
        <v>0</v>
      </c>
      <c r="AE133" t="b">
        <v>0</v>
      </c>
      <c r="AF133" t="inlineStr">
        <is>
          <t>Yes</t>
        </is>
      </c>
      <c r="AG133" s="2" t="n">
        <v>46068</v>
      </c>
      <c r="AI133" t="b">
        <v>1</v>
      </c>
      <c r="AJ133" t="n">
        <v>4</v>
      </c>
      <c r="AK133" t="inlineStr">
        <is>
          <t>Ideas:
- Another area at Roche
- AC at C2S (Salih) - from Feb 16. Coordination
- Potential idea regarding Katharina/Dom at LBBW (still very immature)
- RheinLand Versicherungen as an AC</t>
        </is>
      </c>
      <c r="AL133" t="inlineStr">
        <is>
          <t>ORG bIT</t>
        </is>
      </c>
      <c r="AM133" t="inlineStr">
        <is>
          <t>DOC - Digital Organization Cologne (Diana G.)</t>
        </is>
      </c>
      <c r="AN133" t="inlineStr">
        <is>
          <t>BTC - Business Transformation Cologne (Anna S.)</t>
        </is>
      </c>
      <c r="AO133" t="inlineStr">
        <is>
          <t>bridgingIT GmbH</t>
        </is>
      </c>
      <c r="AP133" t="inlineStr">
        <is>
          <t>Köln</t>
        </is>
      </c>
      <c r="AQ133" t="inlineStr">
        <is>
          <t>Anna Schnorrenberger</t>
        </is>
      </c>
    </row>
    <row r="134">
      <c r="A134" t="inlineStr">
        <is>
          <t>3241</t>
        </is>
      </c>
      <c r="B134" t="inlineStr">
        <is>
          <t>4822F6</t>
        </is>
      </c>
      <c r="C134" t="inlineStr">
        <is>
          <t>https://app.matchical.com/Consulting/ConsultantDetail?ConsultantId=68a11e2d-67c6-4b2a-8e7b-59b9af6bcc19</t>
        </is>
      </c>
      <c r="D134" t="inlineStr">
        <is>
          <t>Diana Kliche</t>
        </is>
      </c>
      <c r="E134" t="inlineStr">
        <is>
          <t>diana.kliche@bridging-it.de</t>
        </is>
      </c>
      <c r="F134" s="2" t="n">
        <v>44593</v>
      </c>
      <c r="G134" s="2" t="n">
        <v>42248</v>
      </c>
      <c r="H134" t="n">
        <v>5</v>
      </c>
      <c r="I134" t="n">
        <v>0</v>
      </c>
      <c r="J134" t="n">
        <v>0</v>
      </c>
      <c r="L134" s="2" t="n">
        <v>45170</v>
      </c>
      <c r="M134" s="2" t="n">
        <v>45899</v>
      </c>
      <c r="N134" t="b">
        <v>0</v>
      </c>
      <c r="O134" t="n">
        <v>49</v>
      </c>
      <c r="P134" t="n">
        <v>43.99</v>
      </c>
      <c r="Q134" t="n">
        <v>42.14</v>
      </c>
      <c r="R134">
        <f>ROUND(O134-P134,2)</f>
        <v/>
      </c>
      <c r="S134">
        <f>ROUND(O134-Q134,2)</f>
        <v/>
      </c>
      <c r="T134" s="3">
        <f>IFERROR(P134/O134,"")</f>
        <v/>
      </c>
      <c r="U134" s="3">
        <f>IFERROR(Q134/O134,"")</f>
        <v/>
      </c>
      <c r="V134" t="n">
        <v>77</v>
      </c>
      <c r="W134" t="n">
        <v>55.01</v>
      </c>
      <c r="X134" t="n">
        <v>39.86</v>
      </c>
      <c r="Y134">
        <f>ROUND(V134-W134,2)</f>
        <v/>
      </c>
      <c r="Z134">
        <f>ROUND(V134-X134,2)</f>
        <v/>
      </c>
      <c r="AA134" s="3">
        <f>IFERROR(W134/V134,"")</f>
        <v/>
      </c>
      <c r="AB134" s="3">
        <f>IFERROR(X134/V134,"")</f>
        <v/>
      </c>
      <c r="AC134" t="b">
        <v>0</v>
      </c>
      <c r="AD134" t="b">
        <v>0</v>
      </c>
      <c r="AE134" t="b">
        <v>0</v>
      </c>
      <c r="AF134" t="inlineStr">
        <is>
          <t>Yes</t>
        </is>
      </c>
      <c r="AG134" s="2" t="n">
        <v>46461</v>
      </c>
      <c r="AI134" t="b">
        <v>1</v>
      </c>
      <c r="AJ134" t="n">
        <v>3</v>
      </c>
      <c r="AK134" t="inlineStr">
        <is>
          <t>Diana has solid theoretical and practical experience in project management, change management, and agility.</t>
        </is>
      </c>
      <c r="AL134" t="inlineStr">
        <is>
          <t>ORG bIT</t>
        </is>
      </c>
      <c r="AM134" t="inlineStr">
        <is>
          <t>PS Project Services (Ulrich W.)</t>
        </is>
      </c>
      <c r="AN134" t="inlineStr">
        <is>
          <t>TH Transformation Hub (Ulrich W.)</t>
        </is>
      </c>
      <c r="AO134" t="inlineStr">
        <is>
          <t>bridgingIT GmbH</t>
        </is>
      </c>
      <c r="AP134" t="inlineStr">
        <is>
          <t>Frankfurt</t>
        </is>
      </c>
      <c r="AQ134" t="inlineStr">
        <is>
          <t>Ulrich Waltinger</t>
        </is>
      </c>
    </row>
    <row r="135">
      <c r="A135" t="inlineStr">
        <is>
          <t>10244</t>
        </is>
      </c>
      <c r="B135" t="inlineStr">
        <is>
          <t>E21A88</t>
        </is>
      </c>
      <c r="C135" t="inlineStr">
        <is>
          <t>https://app.matchical.com/Consulting/ConsultantDetail?ConsultantId=98cdec09-99b5-41f7-9e58-99fefeeaf8c5</t>
        </is>
      </c>
      <c r="D135" t="inlineStr">
        <is>
          <t>Diane König</t>
        </is>
      </c>
      <c r="E135" t="inlineStr">
        <is>
          <t>diane.koenig@bridging-it.de</t>
        </is>
      </c>
      <c r="F135" s="2" t="n">
        <v>45292</v>
      </c>
      <c r="G135" s="2" t="n">
        <v>34912</v>
      </c>
      <c r="H135" t="n">
        <v>9</v>
      </c>
      <c r="I135" t="n">
        <v>0</v>
      </c>
      <c r="J135" t="n">
        <v>0</v>
      </c>
      <c r="L135" s="2" t="n">
        <v>45916</v>
      </c>
      <c r="M135" s="2" t="n">
        <v>46053</v>
      </c>
      <c r="N135" t="b">
        <v>0</v>
      </c>
      <c r="O135" t="n">
        <v>26</v>
      </c>
      <c r="P135" t="n">
        <v>41</v>
      </c>
      <c r="Q135" t="n">
        <v>25</v>
      </c>
      <c r="R135">
        <f>ROUND(O135-P135,2)</f>
        <v/>
      </c>
      <c r="S135">
        <f>ROUND(O135-Q135,2)</f>
        <v/>
      </c>
      <c r="T135" s="3">
        <f>IFERROR(P135/O135,"")</f>
        <v/>
      </c>
      <c r="U135" s="3">
        <f>IFERROR(Q135/O135,"")</f>
        <v/>
      </c>
      <c r="V135" t="n">
        <v>341</v>
      </c>
      <c r="W135" t="n">
        <v>155</v>
      </c>
      <c r="X135" t="n">
        <v>155</v>
      </c>
      <c r="Y135">
        <f>ROUND(V135-W135,2)</f>
        <v/>
      </c>
      <c r="Z135">
        <f>ROUND(V135-X135,2)</f>
        <v/>
      </c>
      <c r="AA135" s="3">
        <f>IFERROR(W135/V135,"")</f>
        <v/>
      </c>
      <c r="AB135" s="3">
        <f>IFERROR(X135/V135,"")</f>
        <v/>
      </c>
      <c r="AC135" t="b">
        <v>0</v>
      </c>
      <c r="AD135" t="b">
        <v>0</v>
      </c>
      <c r="AE135" t="b">
        <v>0</v>
      </c>
      <c r="AF135" t="inlineStr">
        <is>
          <t>No</t>
        </is>
      </c>
      <c r="AI135" t="b">
        <v>0</v>
      </c>
      <c r="AJ135" t="n">
        <v>0</v>
      </c>
      <c r="AK135" t="inlineStr"/>
      <c r="AL135" t="inlineStr">
        <is>
          <t>ES Enterprise Solutions (Gina H.)</t>
        </is>
      </c>
      <c r="AM135" t="inlineStr">
        <is>
          <t>DA Data &amp; AI Solutions (Ralf Fi.)</t>
        </is>
      </c>
      <c r="AN135" t="inlineStr">
        <is>
          <t>PA Platform &amp; Application Solutions (Thomas K.)</t>
        </is>
      </c>
      <c r="AO135" t="inlineStr">
        <is>
          <t>bridgingIT GmbH</t>
        </is>
      </c>
      <c r="AP135" t="inlineStr">
        <is>
          <t>Stuttgart</t>
        </is>
      </c>
      <c r="AQ135" t="inlineStr">
        <is>
          <t>Ralf Fischer</t>
        </is>
      </c>
    </row>
    <row r="136">
      <c r="A136" t="inlineStr">
        <is>
          <t>1463</t>
        </is>
      </c>
      <c r="B136" t="inlineStr">
        <is>
          <t>B85EC6</t>
        </is>
      </c>
      <c r="C136" t="inlineStr">
        <is>
          <t>https://app.matchical.com/Consulting/ConsultantDetail?ConsultantId=13a53e95-f399-4437-b3b1-d762fd35993c</t>
        </is>
      </c>
      <c r="D136" t="inlineStr">
        <is>
          <t>Dimitri Schwab</t>
        </is>
      </c>
      <c r="E136" t="inlineStr">
        <is>
          <t>dimitri.schwab@bridging-it.de</t>
        </is>
      </c>
      <c r="F136" s="2" t="n">
        <v>43922</v>
      </c>
      <c r="G136" s="2" t="n">
        <v>41518</v>
      </c>
      <c r="H136" t="n">
        <v>17</v>
      </c>
      <c r="I136" t="n">
        <v>0</v>
      </c>
      <c r="J136" t="n">
        <v>1</v>
      </c>
      <c r="K136" s="2" t="n">
        <v>44196</v>
      </c>
      <c r="L136" s="2" t="n">
        <v>45658</v>
      </c>
      <c r="M136" s="2" t="n">
        <v>46022</v>
      </c>
      <c r="N136" t="b">
        <v>0</v>
      </c>
      <c r="O136" t="n">
        <v>71</v>
      </c>
      <c r="P136" t="n">
        <v>189.85</v>
      </c>
      <c r="Q136" t="n">
        <v>70.8</v>
      </c>
      <c r="R136">
        <f>ROUND(O136-P136,2)</f>
        <v/>
      </c>
      <c r="S136">
        <f>ROUND(O136-Q136,2)</f>
        <v/>
      </c>
      <c r="T136" s="3">
        <f>IFERROR(P136/O136,"")</f>
        <v/>
      </c>
      <c r="U136" s="3">
        <f>IFERROR(Q136/O136,"")</f>
        <v/>
      </c>
      <c r="V136" t="n">
        <v>79</v>
      </c>
      <c r="W136" t="n">
        <v>130.88</v>
      </c>
      <c r="X136" t="n">
        <v>78.98</v>
      </c>
      <c r="Y136">
        <f>ROUND(V136-W136,2)</f>
        <v/>
      </c>
      <c r="Z136">
        <f>ROUND(V136-X136,2)</f>
        <v/>
      </c>
      <c r="AA136" s="3">
        <f>IFERROR(W136/V136,"")</f>
        <v/>
      </c>
      <c r="AB136" s="3">
        <f>IFERROR(X136/V136,"")</f>
        <v/>
      </c>
      <c r="AC136" t="b">
        <v>0</v>
      </c>
      <c r="AD136" t="b">
        <v>0</v>
      </c>
      <c r="AE136" t="b">
        <v>0</v>
      </c>
      <c r="AF136" t="inlineStr">
        <is>
          <t>No</t>
        </is>
      </c>
      <c r="AI136" t="b">
        <v>0</v>
      </c>
      <c r="AJ136" t="n">
        <v>0</v>
      </c>
      <c r="AK136" t="inlineStr">
        <is>
          <t>- [TransnetBW] Power BI (Thomas Kiri), [BASF] Data Engineer at AP (Mohammad F.)
- [PHOENIX] Project Dealmaker (Philip Rausch), [PHOENIX] SQL Hotel (Michael Hof)
- [NAYAK] Power BI Dashboard (Jochen Ruben), [Deka] Power BI (Achim Mortsiefer)
- Key skills: Python, Machine Learning, Mathematical Modeling, Power BI
- Industries: banks, insurance, research &amp; development</t>
        </is>
      </c>
      <c r="AL136" t="inlineStr">
        <is>
          <t>A&amp;SE Analytics &amp; Software Engineering (Philip R.)</t>
        </is>
      </c>
      <c r="AM136" t="inlineStr">
        <is>
          <t>DS Data Science (Dr. Philip W.)</t>
        </is>
      </c>
      <c r="AN136" t="inlineStr">
        <is>
          <t>A&amp;DDS - Analytics &amp; Data-driven Solutions (M. Hof)</t>
        </is>
      </c>
      <c r="AO136" t="inlineStr">
        <is>
          <t>bridgingIT GmbH</t>
        </is>
      </c>
      <c r="AP136" t="inlineStr">
        <is>
          <t>Mannheim</t>
        </is>
      </c>
      <c r="AQ136" t="inlineStr">
        <is>
          <t>Philip Wollfarth</t>
        </is>
      </c>
    </row>
    <row r="137">
      <c r="A137" t="inlineStr">
        <is>
          <t>1250</t>
        </is>
      </c>
      <c r="B137" t="inlineStr">
        <is>
          <t>257AD6</t>
        </is>
      </c>
      <c r="C137" t="inlineStr">
        <is>
          <t>https://app.matchical.com/Consulting/ConsultantDetail?ConsultantId=efd79a78-447d-4055-a4f2-4f8e98e912ce</t>
        </is>
      </c>
      <c r="D137" t="inlineStr">
        <is>
          <t>Dirk Braun</t>
        </is>
      </c>
      <c r="E137" t="inlineStr">
        <is>
          <t>dirk.braun@fastahead.com</t>
        </is>
      </c>
      <c r="F137" s="2" t="n">
        <v>41699</v>
      </c>
      <c r="G137" s="2" t="n">
        <v>36708</v>
      </c>
      <c r="H137" t="n">
        <v>30</v>
      </c>
      <c r="I137" t="n">
        <v>0</v>
      </c>
      <c r="J137" t="n">
        <v>5</v>
      </c>
      <c r="K137" s="2" t="n">
        <v>41852</v>
      </c>
      <c r="L137" s="2" t="n">
        <v>45824</v>
      </c>
      <c r="M137" s="2" t="n">
        <v>46022</v>
      </c>
      <c r="N137" t="b">
        <v>0</v>
      </c>
      <c r="O137" t="n">
        <v>144</v>
      </c>
      <c r="P137" t="n">
        <v>686</v>
      </c>
      <c r="Q137" t="n">
        <v>143.84</v>
      </c>
      <c r="R137">
        <f>ROUND(O137-P137,2)</f>
        <v/>
      </c>
      <c r="S137">
        <f>ROUND(O137-Q137,2)</f>
        <v/>
      </c>
      <c r="T137" s="3">
        <f>IFERROR(P137/O137,"")</f>
        <v/>
      </c>
      <c r="U137" s="3">
        <f>IFERROR(Q137/O137,"")</f>
        <v/>
      </c>
      <c r="V137" t="n">
        <v>164</v>
      </c>
      <c r="W137" t="n">
        <v>158</v>
      </c>
      <c r="X137" t="n">
        <v>143</v>
      </c>
      <c r="Y137">
        <f>ROUND(V137-W137,2)</f>
        <v/>
      </c>
      <c r="Z137">
        <f>ROUND(V137-X137,2)</f>
        <v/>
      </c>
      <c r="AA137" s="3">
        <f>IFERROR(W137/V137,"")</f>
        <v/>
      </c>
      <c r="AB137" s="3">
        <f>IFERROR(X137/V137,"")</f>
        <v/>
      </c>
      <c r="AC137" t="b">
        <v>0</v>
      </c>
      <c r="AD137" t="b">
        <v>0</v>
      </c>
      <c r="AE137" t="b">
        <v>0</v>
      </c>
      <c r="AF137" t="inlineStr">
        <is>
          <t>Yes</t>
        </is>
      </c>
      <c r="AG137" s="2" t="n">
        <v>46023</v>
      </c>
      <c r="AH137" s="2" t="n">
        <v>46387</v>
      </c>
      <c r="AI137" t="b">
        <v>1</v>
      </c>
      <c r="AJ137" t="n">
        <v>3</v>
      </c>
      <c r="AK137" t="inlineStr"/>
      <c r="AL137" t="inlineStr">
        <is>
          <t>ORG fastahead GmbH &amp; Co. KG</t>
        </is>
      </c>
      <c r="AM137" t="inlineStr">
        <is>
          <t>Principals</t>
        </is>
      </c>
      <c r="AN137" t="inlineStr">
        <is>
          <t>fah Dr. Michaela Warsitz</t>
        </is>
      </c>
      <c r="AO137" t="inlineStr">
        <is>
          <t>fastahead GmbH &amp; Co. KG</t>
        </is>
      </c>
      <c r="AP137" t="inlineStr">
        <is>
          <t>Mannheim</t>
        </is>
      </c>
      <c r="AQ137" t="inlineStr">
        <is>
          <t>Michaela Warsitz</t>
        </is>
      </c>
    </row>
    <row r="138">
      <c r="A138" t="inlineStr">
        <is>
          <t>4021</t>
        </is>
      </c>
      <c r="B138" t="inlineStr">
        <is>
          <t>B3BA0E</t>
        </is>
      </c>
      <c r="C138" t="inlineStr">
        <is>
          <t>https://app.matchical.com/Consulting/ConsultantDetail?ConsultantId=83b62afe-9c75-43ca-be46-2db32c2144c1</t>
        </is>
      </c>
      <c r="D138" t="inlineStr">
        <is>
          <t>Dirk Feddrich</t>
        </is>
      </c>
      <c r="E138" t="inlineStr">
        <is>
          <t>dirk.feddrich@bridging-it.de</t>
        </is>
      </c>
      <c r="F138" s="2" t="n">
        <v>42309</v>
      </c>
      <c r="G138" s="2" t="n">
        <v>35217</v>
      </c>
      <c r="H138" t="n">
        <v>21</v>
      </c>
      <c r="I138" t="n">
        <v>0</v>
      </c>
      <c r="J138" t="n">
        <v>2</v>
      </c>
      <c r="K138" s="2" t="n">
        <v>42310</v>
      </c>
      <c r="L138" s="2" t="n">
        <v>45658</v>
      </c>
      <c r="M138" s="2" t="n">
        <v>46022</v>
      </c>
      <c r="N138" t="b">
        <v>0</v>
      </c>
      <c r="O138" t="n">
        <v>124</v>
      </c>
      <c r="P138" t="n">
        <v>368</v>
      </c>
      <c r="Q138" t="n">
        <v>123.79</v>
      </c>
      <c r="R138">
        <f>ROUND(O138-P138,2)</f>
        <v/>
      </c>
      <c r="S138">
        <f>ROUND(O138-Q138,2)</f>
        <v/>
      </c>
      <c r="T138" s="3">
        <f>IFERROR(P138/O138,"")</f>
        <v/>
      </c>
      <c r="U138" s="3">
        <f>IFERROR(Q138/O138,"")</f>
        <v/>
      </c>
      <c r="V138" t="n">
        <v>233</v>
      </c>
      <c r="W138" t="n">
        <v>78</v>
      </c>
      <c r="X138" t="n">
        <v>78</v>
      </c>
      <c r="Y138">
        <f>ROUND(V138-W138,2)</f>
        <v/>
      </c>
      <c r="Z138">
        <f>ROUND(V138-X138,2)</f>
        <v/>
      </c>
      <c r="AA138" s="3">
        <f>IFERROR(W138/V138,"")</f>
        <v/>
      </c>
      <c r="AB138" s="3">
        <f>IFERROR(X138/V138,"")</f>
        <v/>
      </c>
      <c r="AC138" t="b">
        <v>0</v>
      </c>
      <c r="AD138" t="b">
        <v>0</v>
      </c>
      <c r="AE138" t="b">
        <v>0</v>
      </c>
      <c r="AF138" t="inlineStr">
        <is>
          <t>No</t>
        </is>
      </c>
      <c r="AI138" t="b">
        <v>1</v>
      </c>
      <c r="AJ138" t="n">
        <v>0</v>
      </c>
      <c r="AK138" t="inlineStr">
        <is>
          <t>Dirk is an experienced Scrum Master, Agile Coach, and SAFe Coach (since 2023 also SAFe Trainer) and feels most comfortable in a scaled agile environment where he can supervise one dedicated team or several teams.
Starting in January, Dirk will be engaged in a 20% assignment at 50Hertz, and will therefore be available for only four days per week.</t>
        </is>
      </c>
      <c r="AL138" t="inlineStr">
        <is>
          <t>ORG bIT Bayern</t>
        </is>
      </c>
      <c r="AM138" t="inlineStr">
        <is>
          <t>Agile Innovation - AIN (Simon S.)</t>
        </is>
      </c>
      <c r="AN138" t="inlineStr">
        <is>
          <t>BAT Business Agility &amp; Transformation (Marc S.)</t>
        </is>
      </c>
      <c r="AO138" t="inlineStr">
        <is>
          <t>bridgingIT GmbH</t>
        </is>
      </c>
      <c r="AP138" t="inlineStr">
        <is>
          <t>München</t>
        </is>
      </c>
      <c r="AQ138" t="inlineStr">
        <is>
          <t>Simon Sipple</t>
        </is>
      </c>
    </row>
    <row r="139">
      <c r="A139" t="inlineStr">
        <is>
          <t>2148</t>
        </is>
      </c>
      <c r="B139" t="inlineStr">
        <is>
          <t>E6CF51</t>
        </is>
      </c>
      <c r="C139" t="inlineStr">
        <is>
          <t>https://app.matchical.com/Consulting/ConsultantDetail?ConsultantId=9a799b1f-967f-474d-8ac9-9b7bba008801</t>
        </is>
      </c>
      <c r="D139" t="inlineStr">
        <is>
          <t>Dirk Kube</t>
        </is>
      </c>
      <c r="E139" t="inlineStr">
        <is>
          <t>dirk.kube@bridging-it.de</t>
        </is>
      </c>
      <c r="F139" s="2" t="n">
        <v>42614</v>
      </c>
      <c r="G139" s="2" t="n">
        <v>33086</v>
      </c>
      <c r="H139" t="n">
        <v>34</v>
      </c>
      <c r="I139" t="n">
        <v>0</v>
      </c>
      <c r="J139" t="n">
        <v>0</v>
      </c>
      <c r="L139" s="2" t="n">
        <v>45859</v>
      </c>
      <c r="M139" s="2" t="n">
        <v>45900</v>
      </c>
      <c r="N139" t="b">
        <v>0</v>
      </c>
      <c r="O139" t="n">
        <v>114</v>
      </c>
      <c r="P139" t="n">
        <v>162.65</v>
      </c>
      <c r="Q139" t="n">
        <v>113.77</v>
      </c>
      <c r="R139">
        <f>ROUND(O139-P139,2)</f>
        <v/>
      </c>
      <c r="S139">
        <f>ROUND(O139-Q139,2)</f>
        <v/>
      </c>
      <c r="T139" s="3">
        <f>IFERROR(P139/O139,"")</f>
        <v/>
      </c>
      <c r="U139" s="3">
        <f>IFERROR(Q139/O139,"")</f>
        <v/>
      </c>
      <c r="V139" t="n">
        <v>313</v>
      </c>
      <c r="W139" t="n">
        <v>66</v>
      </c>
      <c r="X139" t="n">
        <v>56</v>
      </c>
      <c r="Y139">
        <f>ROUND(V139-W139,2)</f>
        <v/>
      </c>
      <c r="Z139">
        <f>ROUND(V139-X139,2)</f>
        <v/>
      </c>
      <c r="AA139" s="3">
        <f>IFERROR(W139/V139,"")</f>
        <v/>
      </c>
      <c r="AB139" s="3">
        <f>IFERROR(X139/V139,"")</f>
        <v/>
      </c>
      <c r="AC139" t="b">
        <v>0</v>
      </c>
      <c r="AD139" t="b">
        <v>0</v>
      </c>
      <c r="AE139" t="b">
        <v>0</v>
      </c>
      <c r="AF139" t="inlineStr">
        <is>
          <t>No</t>
        </is>
      </c>
      <c r="AI139" t="b">
        <v>0</v>
      </c>
      <c r="AJ139" t="n">
        <v>0</v>
      </c>
      <c r="AK139" t="inlineStr">
        <is>
          <t>HG: Family reasons, remote work only. Dipl. Informatics with a specialization in medical informatics, trained social security clerk at AOK, 17 years of experience in billing systems for mobile communications, building a startup, IT deployments in the automotive and energy supply sectors, focus areas: IT management, processes and IT security, certified ISO 27001 Lead Auditor, BSI IT-Grundschutz, NIS2</t>
        </is>
      </c>
      <c r="AL139" t="inlineStr">
        <is>
          <t>IT Information Technology (Hauke G.)</t>
        </is>
      </c>
      <c r="AM139" t="inlineStr">
        <is>
          <t>PO IT-Processes &amp; Organization (Sonja B.)</t>
        </is>
      </c>
      <c r="AN139" t="inlineStr">
        <is>
          <t>ITM IT-Management (Jörg M.)</t>
        </is>
      </c>
      <c r="AO139" t="inlineStr">
        <is>
          <t>bridgingIT GmbH</t>
        </is>
      </c>
      <c r="AP139" t="inlineStr">
        <is>
          <t>Stuttgart</t>
        </is>
      </c>
      <c r="AQ139" t="inlineStr">
        <is>
          <t>Sonja Bürkle</t>
        </is>
      </c>
    </row>
    <row r="140">
      <c r="A140" t="inlineStr">
        <is>
          <t>8786</t>
        </is>
      </c>
      <c r="B140" t="inlineStr">
        <is>
          <t>2B8BE6</t>
        </is>
      </c>
      <c r="C140" t="inlineStr">
        <is>
          <t>https://app.matchical.com/Consulting/ConsultantDetail?ConsultantId=613bc8ac-35d4-4fc0-98be-b5f1052ecb53</t>
        </is>
      </c>
      <c r="D140" t="inlineStr">
        <is>
          <t>Dirk Ruttke</t>
        </is>
      </c>
      <c r="E140" t="inlineStr">
        <is>
          <t>dirk.ruttke@crafting-it.de</t>
        </is>
      </c>
      <c r="F140" s="2" t="n">
        <v>44726</v>
      </c>
      <c r="G140" s="2" t="n">
        <v>43899</v>
      </c>
      <c r="H140" t="n">
        <v>5</v>
      </c>
      <c r="I140" t="n">
        <v>0</v>
      </c>
      <c r="J140" t="n">
        <v>0</v>
      </c>
      <c r="L140" s="2" t="n">
        <v>45292</v>
      </c>
      <c r="M140" s="2" t="n">
        <v>45657</v>
      </c>
      <c r="N140" t="b">
        <v>0</v>
      </c>
      <c r="O140" t="n">
        <v>44</v>
      </c>
      <c r="P140" t="n">
        <v>37</v>
      </c>
      <c r="Q140" t="n">
        <v>24</v>
      </c>
      <c r="R140">
        <f>ROUND(O140-P140,2)</f>
        <v/>
      </c>
      <c r="S140">
        <f>ROUND(O140-Q140,2)</f>
        <v/>
      </c>
      <c r="T140" s="3">
        <f>IFERROR(P140/O140,"")</f>
        <v/>
      </c>
      <c r="U140" s="3">
        <f>IFERROR(Q140/O140,"")</f>
        <v/>
      </c>
      <c r="V140" t="n">
        <v>27</v>
      </c>
      <c r="W140" t="n">
        <v>0</v>
      </c>
      <c r="X140" t="n">
        <v>0</v>
      </c>
      <c r="Y140">
        <f>ROUND(V140-W140,2)</f>
        <v/>
      </c>
      <c r="Z140">
        <f>ROUND(V140-X140,2)</f>
        <v/>
      </c>
      <c r="AA140" s="3">
        <f>IFERROR(W140/V140,"")</f>
        <v/>
      </c>
      <c r="AB140" s="3">
        <f>IFERROR(X140/V140,"")</f>
        <v/>
      </c>
      <c r="AC140" t="b">
        <v>0</v>
      </c>
      <c r="AD140" t="b">
        <v>0</v>
      </c>
      <c r="AE140" t="b">
        <v>0</v>
      </c>
      <c r="AF140" t="inlineStr">
        <is>
          <t>No</t>
        </is>
      </c>
      <c r="AI140" t="b">
        <v>0</v>
      </c>
      <c r="AJ140" t="n">
        <v>0</v>
      </c>
      <c r="AK140" t="inlineStr"/>
      <c r="AL140" t="inlineStr">
        <is>
          <t>ORG cIT</t>
        </is>
      </c>
      <c r="AM140" t="inlineStr">
        <is>
          <t>cIT AMS / GIS Services (Michael B.)</t>
        </is>
      </c>
      <c r="AN140" t="inlineStr">
        <is>
          <t>cIT Service Delivery Magdeburg (Steffen A.)</t>
        </is>
      </c>
      <c r="AO140" t="inlineStr">
        <is>
          <t>craftingIT GmbH</t>
        </is>
      </c>
      <c r="AP140" t="inlineStr">
        <is>
          <t>Magdeburg</t>
        </is>
      </c>
      <c r="AQ140" t="inlineStr">
        <is>
          <t>Michael Buchter</t>
        </is>
      </c>
    </row>
    <row r="141">
      <c r="A141" t="inlineStr">
        <is>
          <t>8037</t>
        </is>
      </c>
      <c r="B141" t="inlineStr">
        <is>
          <t>E62AD6</t>
        </is>
      </c>
      <c r="C141" t="inlineStr">
        <is>
          <t>https://app.matchical.com/Consulting/ConsultantDetail?ConsultantId=e52e305f-3640-4d07-a67b-43f86b9f7415</t>
        </is>
      </c>
      <c r="D141" t="inlineStr">
        <is>
          <t>Dirk Schumann</t>
        </is>
      </c>
      <c r="E141" t="inlineStr">
        <is>
          <t>dirk.schumann@bridging-it.de</t>
        </is>
      </c>
      <c r="F141" s="2" t="n">
        <v>42217</v>
      </c>
      <c r="G141" s="2" t="n">
        <v>38322</v>
      </c>
      <c r="H141" t="n">
        <v>10</v>
      </c>
      <c r="I141" t="n">
        <v>0</v>
      </c>
      <c r="J141" t="n">
        <v>3</v>
      </c>
      <c r="K141" s="2" t="n">
        <v>44561</v>
      </c>
      <c r="L141" s="2" t="n">
        <v>45597</v>
      </c>
      <c r="M141" s="2" t="n">
        <v>45838</v>
      </c>
      <c r="N141" t="b">
        <v>0</v>
      </c>
      <c r="O141" t="n">
        <v>127</v>
      </c>
      <c r="P141" t="n">
        <v>103.97</v>
      </c>
      <c r="Q141" t="n">
        <v>75.97</v>
      </c>
      <c r="R141">
        <f>ROUND(O141-P141,2)</f>
        <v/>
      </c>
      <c r="S141">
        <f>ROUND(O141-Q141,2)</f>
        <v/>
      </c>
      <c r="T141" s="3">
        <f>IFERROR(P141/O141,"")</f>
        <v/>
      </c>
      <c r="U141" s="3">
        <f>IFERROR(Q141/O141,"")</f>
        <v/>
      </c>
      <c r="V141" t="n">
        <v>128</v>
      </c>
      <c r="W141" t="n">
        <v>0.03</v>
      </c>
      <c r="X141" t="n">
        <v>0.03</v>
      </c>
      <c r="Y141">
        <f>ROUND(V141-W141,2)</f>
        <v/>
      </c>
      <c r="Z141">
        <f>ROUND(V141-X141,2)</f>
        <v/>
      </c>
      <c r="AA141" s="3">
        <f>IFERROR(W141/V141,"")</f>
        <v/>
      </c>
      <c r="AB141" s="3">
        <f>IFERROR(X141/V141,"")</f>
        <v/>
      </c>
      <c r="AC141" t="b">
        <v>0</v>
      </c>
      <c r="AD141" t="b">
        <v>0</v>
      </c>
      <c r="AE141" t="b">
        <v>0</v>
      </c>
      <c r="AF141" t="inlineStr">
        <is>
          <t>No</t>
        </is>
      </c>
      <c r="AI141" t="b">
        <v>0</v>
      </c>
      <c r="AJ141" t="n">
        <v>0</v>
      </c>
      <c r="AK141" t="inlineStr"/>
      <c r="AL141" t="inlineStr">
        <is>
          <t>Geschäftsleitung und Support</t>
        </is>
      </c>
      <c r="AM141" t="inlineStr">
        <is>
          <t>Interne Applikationen</t>
        </is>
      </c>
      <c r="AN141" t="inlineStr">
        <is>
          <t>Frank Wallner</t>
        </is>
      </c>
      <c r="AO141" t="inlineStr">
        <is>
          <t>bridgingIT GmbH</t>
        </is>
      </c>
      <c r="AP141" t="inlineStr">
        <is>
          <t>Magdeburg</t>
        </is>
      </c>
      <c r="AQ141" t="inlineStr">
        <is>
          <t>Sabine Sessar</t>
        </is>
      </c>
    </row>
    <row r="142">
      <c r="A142" t="inlineStr">
        <is>
          <t>10396</t>
        </is>
      </c>
      <c r="B142" t="inlineStr">
        <is>
          <t>365FEA</t>
        </is>
      </c>
      <c r="C142" t="inlineStr">
        <is>
          <t>https://app.matchical.com/Consulting/ConsultantDetail?ConsultantId=80eb5aa9-ecd1-4d29-b255-f5ba43332fe9</t>
        </is>
      </c>
      <c r="D142" t="inlineStr">
        <is>
          <t>Dmitriy Apachev</t>
        </is>
      </c>
      <c r="E142" t="inlineStr">
        <is>
          <t>dmitriy.apachev@bridging-it.de</t>
        </is>
      </c>
      <c r="F142" s="2" t="n">
        <v>45901</v>
      </c>
      <c r="G142" s="2" t="n">
        <v>38169</v>
      </c>
      <c r="H142" t="n">
        <v>10</v>
      </c>
      <c r="I142" t="n">
        <v>0</v>
      </c>
      <c r="J142" t="n">
        <v>3</v>
      </c>
      <c r="K142" s="2" t="n">
        <v>40755</v>
      </c>
      <c r="L142" s="2" t="n">
        <v>45016</v>
      </c>
      <c r="M142" s="2" t="n">
        <v>45259</v>
      </c>
      <c r="N142" t="b">
        <v>0</v>
      </c>
      <c r="O142" t="n">
        <v>6</v>
      </c>
      <c r="P142" t="n">
        <v>17.18</v>
      </c>
      <c r="Q142" t="n">
        <v>5.78</v>
      </c>
      <c r="R142">
        <f>ROUND(O142-P142,2)</f>
        <v/>
      </c>
      <c r="S142">
        <f>ROUND(O142-Q142,2)</f>
        <v/>
      </c>
      <c r="T142" s="3">
        <f>IFERROR(P142/O142,"")</f>
        <v/>
      </c>
      <c r="U142" s="3">
        <f>IFERROR(Q142/O142,"")</f>
        <v/>
      </c>
      <c r="V142" t="n">
        <v>254</v>
      </c>
      <c r="W142" t="n">
        <v>347.82</v>
      </c>
      <c r="X142" t="n">
        <v>168.49</v>
      </c>
      <c r="Y142">
        <f>ROUND(V142-W142,2)</f>
        <v/>
      </c>
      <c r="Z142">
        <f>ROUND(V142-X142,2)</f>
        <v/>
      </c>
      <c r="AA142" s="3">
        <f>IFERROR(W142/V142,"")</f>
        <v/>
      </c>
      <c r="AB142" s="3">
        <f>IFERROR(X142/V142,"")</f>
        <v/>
      </c>
      <c r="AC142" t="b">
        <v>0</v>
      </c>
      <c r="AD142" t="b">
        <v>0</v>
      </c>
      <c r="AE142" t="b">
        <v>0</v>
      </c>
      <c r="AF142" t="inlineStr">
        <is>
          <t>Yes</t>
        </is>
      </c>
      <c r="AG142" s="2" t="n">
        <v>46174</v>
      </c>
      <c r="AI142" t="b">
        <v>1</v>
      </c>
      <c r="AJ142" t="n">
        <v>5</v>
      </c>
      <c r="AK142" t="inlineStr">
        <is>
          <t>Solution Architect for process- and data-oriented applications
Offered by EnBW in the context of Agentic Transformation</t>
        </is>
      </c>
      <c r="AL142" t="inlineStr">
        <is>
          <t>DO Digital Organizations (Michael H.)</t>
        </is>
      </c>
      <c r="AM142" t="inlineStr">
        <is>
          <t>PD Process Digitalization (Hermann L.)</t>
        </is>
      </c>
      <c r="AN142" t="inlineStr">
        <is>
          <t>DP Digital Processes (Hermann L.)</t>
        </is>
      </c>
      <c r="AO142" t="inlineStr">
        <is>
          <t>bridgingIT GmbH</t>
        </is>
      </c>
      <c r="AP142" t="inlineStr">
        <is>
          <t>Stuttgart</t>
        </is>
      </c>
      <c r="AQ142" t="inlineStr">
        <is>
          <t>Hermann Löh</t>
        </is>
      </c>
    </row>
    <row r="143">
      <c r="A143" t="inlineStr">
        <is>
          <t>10421</t>
        </is>
      </c>
      <c r="B143" t="inlineStr">
        <is>
          <t>72096D</t>
        </is>
      </c>
      <c r="C143" t="inlineStr">
        <is>
          <t>https://app.matchical.com/Consulting/ConsultantDetail?ConsultantId=34c9f12f-88b1-43e9-ba56-b32a0063774e</t>
        </is>
      </c>
      <c r="D143" t="inlineStr">
        <is>
          <t>Dominic Kluge</t>
        </is>
      </c>
      <c r="E143" t="inlineStr">
        <is>
          <t>dominic.kluge@bridging-it.de</t>
        </is>
      </c>
      <c r="F143" s="2" t="n">
        <v>46023</v>
      </c>
      <c r="G143" s="2" t="n">
        <v>42339</v>
      </c>
      <c r="H143" t="n">
        <v>4</v>
      </c>
      <c r="I143" t="n">
        <v>0</v>
      </c>
      <c r="J143" t="n">
        <v>0</v>
      </c>
      <c r="L143" s="2" t="n">
        <v>45016</v>
      </c>
      <c r="M143" s="2" t="n">
        <v>46021</v>
      </c>
      <c r="N143" t="b">
        <v>0</v>
      </c>
      <c r="O143" t="n">
        <v>2</v>
      </c>
      <c r="P143" t="n">
        <v>0</v>
      </c>
      <c r="Q143" t="n">
        <v>0</v>
      </c>
      <c r="R143">
        <f>ROUND(O143-P143,2)</f>
        <v/>
      </c>
      <c r="S143">
        <f>ROUND(O143-Q143,2)</f>
        <v/>
      </c>
      <c r="T143" s="3">
        <f>IFERROR(P143/O143,"")</f>
        <v/>
      </c>
      <c r="U143" s="3">
        <f>IFERROR(Q143/O143,"")</f>
        <v/>
      </c>
      <c r="V143" t="n">
        <v>121</v>
      </c>
      <c r="W143" t="n">
        <v>78</v>
      </c>
      <c r="X143" t="n">
        <v>75</v>
      </c>
      <c r="Y143">
        <f>ROUND(V143-W143,2)</f>
        <v/>
      </c>
      <c r="Z143">
        <f>ROUND(V143-X143,2)</f>
        <v/>
      </c>
      <c r="AA143" s="3">
        <f>IFERROR(W143/V143,"")</f>
        <v/>
      </c>
      <c r="AB143" s="3">
        <f>IFERROR(X143/V143,"")</f>
        <v/>
      </c>
      <c r="AC143" t="b">
        <v>0</v>
      </c>
      <c r="AD143" t="b">
        <v>0</v>
      </c>
      <c r="AE143" t="b">
        <v>0</v>
      </c>
      <c r="AF143" t="inlineStr">
        <is>
          <t>Yes</t>
        </is>
      </c>
      <c r="AG143" s="2" t="n">
        <v>46023</v>
      </c>
      <c r="AH143" s="2" t="n">
        <v>46081</v>
      </c>
      <c r="AI143" t="b">
        <v>1</v>
      </c>
      <c r="AJ143" t="n">
        <v>5</v>
      </c>
      <c r="AK143" t="inlineStr">
        <is>
          <t>Another Lead at AP Sensing</t>
        </is>
      </c>
      <c r="AL143" t="inlineStr">
        <is>
          <t>IT - Information Technology (HH)</t>
        </is>
      </c>
      <c r="AM143" t="inlineStr">
        <is>
          <t>BA - Business Applications (Hamed S.)</t>
        </is>
      </c>
      <c r="AN143" t="inlineStr">
        <is>
          <t>BAA HH (Torben H.)</t>
        </is>
      </c>
      <c r="AO143" t="inlineStr">
        <is>
          <t>bridgingIT GmbH</t>
        </is>
      </c>
      <c r="AP143" t="inlineStr">
        <is>
          <t>Hamburg</t>
        </is>
      </c>
      <c r="AQ143" t="inlineStr">
        <is>
          <t>Markus Stefan</t>
        </is>
      </c>
    </row>
    <row r="144">
      <c r="A144" t="inlineStr">
        <is>
          <t>2265</t>
        </is>
      </c>
      <c r="B144" t="inlineStr">
        <is>
          <t>9B19F0</t>
        </is>
      </c>
      <c r="C144" t="inlineStr">
        <is>
          <t>https://app.matchical.com/Consulting/ConsultantDetail?ConsultantId=b3b064b7-f688-48d6-908a-0e64babd5a53</t>
        </is>
      </c>
      <c r="D144" t="inlineStr">
        <is>
          <t>Dominik Borowski</t>
        </is>
      </c>
      <c r="E144" t="inlineStr">
        <is>
          <t>dominik.borowski@bridging-it.de</t>
        </is>
      </c>
      <c r="F144" s="2" t="n">
        <v>43905</v>
      </c>
      <c r="G144" s="2" t="n">
        <v>43661</v>
      </c>
      <c r="H144" t="n">
        <v>8</v>
      </c>
      <c r="I144" t="n">
        <v>0</v>
      </c>
      <c r="J144" t="n">
        <v>2</v>
      </c>
      <c r="K144" s="2" t="n">
        <v>45698</v>
      </c>
      <c r="L144" s="2" t="n">
        <v>45199</v>
      </c>
      <c r="M144" s="2" t="n">
        <v>45656</v>
      </c>
      <c r="N144" t="b">
        <v>0</v>
      </c>
      <c r="O144" t="n">
        <v>71</v>
      </c>
      <c r="P144" t="n">
        <v>79.75</v>
      </c>
      <c r="Q144" t="n">
        <v>71.31</v>
      </c>
      <c r="R144">
        <f>ROUND(O144-P144,2)</f>
        <v/>
      </c>
      <c r="S144">
        <f>ROUND(O144-Q144,2)</f>
        <v/>
      </c>
      <c r="T144" s="3">
        <f>IFERROR(P144/O144,"")</f>
        <v/>
      </c>
      <c r="U144" s="3">
        <f>IFERROR(Q144/O144,"")</f>
        <v/>
      </c>
      <c r="V144" t="n">
        <v>8</v>
      </c>
      <c r="W144" t="n">
        <v>8</v>
      </c>
      <c r="X144" t="n">
        <v>8</v>
      </c>
      <c r="Y144">
        <f>ROUND(V144-W144,2)</f>
        <v/>
      </c>
      <c r="Z144">
        <f>ROUND(V144-X144,2)</f>
        <v/>
      </c>
      <c r="AA144" s="3">
        <f>IFERROR(W144/V144,"")</f>
        <v/>
      </c>
      <c r="AB144" s="3">
        <f>IFERROR(X144/V144,"")</f>
        <v/>
      </c>
      <c r="AC144" t="b">
        <v>0</v>
      </c>
      <c r="AD144" t="b">
        <v>0</v>
      </c>
      <c r="AE144" t="b">
        <v>0</v>
      </c>
      <c r="AF144" t="inlineStr">
        <is>
          <t>Yes</t>
        </is>
      </c>
      <c r="AG144" s="2" t="n">
        <v>46113</v>
      </c>
      <c r="AI144" t="b">
        <v>0</v>
      </c>
      <c r="AJ144" t="n">
        <v>3</v>
      </c>
      <c r="AK144" t="inlineStr">
        <is>
          <t>2 days per week at EnBW</t>
        </is>
      </c>
      <c r="AL144" t="inlineStr">
        <is>
          <t>ES Enterprise Solutions BLN (Gina H.)</t>
        </is>
      </c>
      <c r="AM144" t="inlineStr">
        <is>
          <t>SE I BLN (Dominik S.)</t>
        </is>
      </c>
      <c r="AN144" t="inlineStr">
        <is>
          <t>SE Software Engineering BLN (Dominik S.)</t>
        </is>
      </c>
      <c r="AO144" t="inlineStr">
        <is>
          <t>bridgingIT GmbH</t>
        </is>
      </c>
      <c r="AP144" t="inlineStr">
        <is>
          <t>Berlin</t>
        </is>
      </c>
      <c r="AQ144" t="inlineStr">
        <is>
          <t>Dominik Schadow</t>
        </is>
      </c>
    </row>
    <row r="145">
      <c r="A145" t="inlineStr">
        <is>
          <t>4041</t>
        </is>
      </c>
      <c r="B145" t="inlineStr">
        <is>
          <t>D6B094</t>
        </is>
      </c>
      <c r="C145" t="inlineStr">
        <is>
          <t>https://app.matchical.com/Consulting/ConsultantDetail?ConsultantId=75402759-13f6-494a-b3d0-7bad862c25c8</t>
        </is>
      </c>
      <c r="D145" t="inlineStr">
        <is>
          <t>Dominik Figlestahler</t>
        </is>
      </c>
      <c r="E145" t="inlineStr">
        <is>
          <t>dominik.figlestahler@bridging-it.de</t>
        </is>
      </c>
      <c r="F145" s="2" t="n">
        <v>42522</v>
      </c>
      <c r="G145" s="2" t="n">
        <v>42522</v>
      </c>
      <c r="H145" t="n">
        <v>18</v>
      </c>
      <c r="I145" t="n">
        <v>0</v>
      </c>
      <c r="J145" t="n">
        <v>1</v>
      </c>
      <c r="K145" s="2" t="n">
        <v>45721</v>
      </c>
      <c r="L145" s="2" t="n">
        <v>45677</v>
      </c>
      <c r="M145" s="2" t="n">
        <v>45837</v>
      </c>
      <c r="N145" t="b">
        <v>0</v>
      </c>
      <c r="O145" t="n">
        <v>117</v>
      </c>
      <c r="P145" t="n">
        <v>142</v>
      </c>
      <c r="Q145" t="n">
        <v>107.5</v>
      </c>
      <c r="R145">
        <f>ROUND(O145-P145,2)</f>
        <v/>
      </c>
      <c r="S145">
        <f>ROUND(O145-Q145,2)</f>
        <v/>
      </c>
      <c r="T145" s="3">
        <f>IFERROR(P145/O145,"")</f>
        <v/>
      </c>
      <c r="U145" s="3">
        <f>IFERROR(Q145/O145,"")</f>
        <v/>
      </c>
      <c r="V145" t="n">
        <v>0</v>
      </c>
      <c r="W145" t="n">
        <v>0</v>
      </c>
      <c r="X145" t="n">
        <v>0</v>
      </c>
      <c r="Y145">
        <f>ROUND(V145-W145,2)</f>
        <v/>
      </c>
      <c r="Z145">
        <f>ROUND(V145-X145,2)</f>
        <v/>
      </c>
      <c r="AA145" s="3">
        <f>IFERROR(W145/V145,"")</f>
        <v/>
      </c>
      <c r="AB145" s="3">
        <f>IFERROR(X145/V145,"")</f>
        <v/>
      </c>
      <c r="AC145" t="b">
        <v>0</v>
      </c>
      <c r="AD145" t="b">
        <v>0</v>
      </c>
      <c r="AE145" t="b">
        <v>0</v>
      </c>
      <c r="AF145" t="inlineStr">
        <is>
          <t>Yes</t>
        </is>
      </c>
      <c r="AG145" s="2" t="n">
        <v>46143</v>
      </c>
      <c r="AI145" t="b">
        <v>1</v>
      </c>
      <c r="AJ145" t="n">
        <v>5</v>
      </c>
      <c r="AK145" t="inlineStr">
        <is>
          <t>Desired project role: Data Engineer
Interest: AWS, Databricks, Microsoft Fabric, Google Cloud
[BHS] Project B2600423 offered until June 30, 2026 (Andreas K.)</t>
        </is>
      </c>
      <c r="AL145" t="inlineStr">
        <is>
          <t>ORG bIT Bayern</t>
        </is>
      </c>
      <c r="AM145" t="inlineStr">
        <is>
          <t>DSA Data Solutions &amp; AI (Philip R.)</t>
        </is>
      </c>
      <c r="AN145" t="inlineStr">
        <is>
          <t>BPD Business Processes &amp; Data Engineering(Arne K.)</t>
        </is>
      </c>
      <c r="AO145" t="inlineStr">
        <is>
          <t>bridgingIT GmbH</t>
        </is>
      </c>
      <c r="AP145" t="inlineStr">
        <is>
          <t>München</t>
        </is>
      </c>
      <c r="AQ145" t="inlineStr">
        <is>
          <t>Philip Rausch</t>
        </is>
      </c>
    </row>
    <row r="146">
      <c r="A146" t="inlineStr">
        <is>
          <t>3042</t>
        </is>
      </c>
      <c r="B146" t="inlineStr">
        <is>
          <t>3463E9</t>
        </is>
      </c>
      <c r="C146" t="inlineStr">
        <is>
          <t>https://app.matchical.com/Consulting/ConsultantDetail?ConsultantId=46a8819c-9e98-484f-8ce4-25f83e58a857</t>
        </is>
      </c>
      <c r="D146" t="inlineStr">
        <is>
          <t>Dominik Hanft</t>
        </is>
      </c>
      <c r="E146" t="inlineStr">
        <is>
          <t>dominik.hanft@bridging-it.de</t>
        </is>
      </c>
      <c r="F146" s="2" t="n">
        <v>40725</v>
      </c>
      <c r="G146" s="2" t="n">
        <v>36982</v>
      </c>
      <c r="H146" t="n">
        <v>6</v>
      </c>
      <c r="I146" t="n">
        <v>0</v>
      </c>
      <c r="J146" t="n">
        <v>0</v>
      </c>
      <c r="L146" s="2" t="n">
        <v>43281</v>
      </c>
      <c r="M146" s="2" t="n">
        <v>43403</v>
      </c>
      <c r="N146" t="b">
        <v>0</v>
      </c>
      <c r="O146" t="n">
        <v>176</v>
      </c>
      <c r="P146" t="n">
        <v>51.99</v>
      </c>
      <c r="Q146" t="n">
        <v>51.99</v>
      </c>
      <c r="R146">
        <f>ROUND(O146-P146,2)</f>
        <v/>
      </c>
      <c r="S146">
        <f>ROUND(O146-Q146,2)</f>
        <v/>
      </c>
      <c r="T146" s="3">
        <f>IFERROR(P146/O146,"")</f>
        <v/>
      </c>
      <c r="U146" s="3">
        <f>IFERROR(Q146/O146,"")</f>
        <v/>
      </c>
      <c r="V146" t="n">
        <v>123</v>
      </c>
      <c r="W146" t="n">
        <v>18.01</v>
      </c>
      <c r="X146" t="n">
        <v>18.01</v>
      </c>
      <c r="Y146">
        <f>ROUND(V146-W146,2)</f>
        <v/>
      </c>
      <c r="Z146">
        <f>ROUND(V146-X146,2)</f>
        <v/>
      </c>
      <c r="AA146" s="3">
        <f>IFERROR(W146/V146,"")</f>
        <v/>
      </c>
      <c r="AB146" s="3">
        <f>IFERROR(X146/V146,"")</f>
        <v/>
      </c>
      <c r="AC146" t="b">
        <v>0</v>
      </c>
      <c r="AD146" t="b">
        <v>0</v>
      </c>
      <c r="AE146" t="b">
        <v>0</v>
      </c>
      <c r="AF146" t="inlineStr">
        <is>
          <t>No</t>
        </is>
      </c>
      <c r="AI146" t="b">
        <v>0</v>
      </c>
      <c r="AJ146" t="n">
        <v>0</v>
      </c>
      <c r="AK146" t="inlineStr"/>
      <c r="AL146" t="inlineStr">
        <is>
          <t>ORG bIT</t>
        </is>
      </c>
      <c r="AM146" t="inlineStr">
        <is>
          <t>SE Software Engineering Frankfurt (Dominik H.)</t>
        </is>
      </c>
      <c r="AN146" t="inlineStr">
        <is>
          <t>ES Enterprise Solutions (Dominik H.)</t>
        </is>
      </c>
      <c r="AO146" t="inlineStr">
        <is>
          <t>bridgingIT GmbH</t>
        </is>
      </c>
      <c r="AP146" t="inlineStr">
        <is>
          <t>Frankfurt</t>
        </is>
      </c>
      <c r="AQ146" t="inlineStr">
        <is>
          <t>Gerrit Seewald</t>
        </is>
      </c>
    </row>
    <row r="147">
      <c r="A147" t="inlineStr">
        <is>
          <t>2051</t>
        </is>
      </c>
      <c r="B147" t="inlineStr">
        <is>
          <t>D3267F</t>
        </is>
      </c>
      <c r="C147" t="inlineStr">
        <is>
          <t>https://app.matchical.com/Consulting/ConsultantDetail?ConsultantId=18a3d52c-7a98-4fc1-875d-df52d0065dd8</t>
        </is>
      </c>
      <c r="D147" t="inlineStr">
        <is>
          <t>Dominik Schadow</t>
        </is>
      </c>
      <c r="E147" t="inlineStr">
        <is>
          <t>dominik.schadow@bridging-it.de</t>
        </is>
      </c>
      <c r="F147" s="2" t="n">
        <v>41153</v>
      </c>
      <c r="G147" s="2" t="n">
        <v>38261</v>
      </c>
      <c r="H147" t="n">
        <v>23</v>
      </c>
      <c r="I147" t="n">
        <v>0</v>
      </c>
      <c r="J147" t="n">
        <v>3</v>
      </c>
      <c r="K147" s="2" t="n">
        <v>42443</v>
      </c>
      <c r="L147" s="2" t="n">
        <v>44767</v>
      </c>
      <c r="M147" s="2" t="n">
        <v>45290</v>
      </c>
      <c r="N147" t="b">
        <v>0</v>
      </c>
      <c r="O147" t="n">
        <v>162</v>
      </c>
      <c r="P147" t="n">
        <v>392</v>
      </c>
      <c r="Q147" t="n">
        <v>126</v>
      </c>
      <c r="R147">
        <f>ROUND(O147-P147,2)</f>
        <v/>
      </c>
      <c r="S147">
        <f>ROUND(O147-Q147,2)</f>
        <v/>
      </c>
      <c r="T147" s="3">
        <f>IFERROR(P147/O147,"")</f>
        <v/>
      </c>
      <c r="U147" s="3">
        <f>IFERROR(Q147/O147,"")</f>
        <v/>
      </c>
      <c r="V147" t="n">
        <v>95</v>
      </c>
      <c r="W147" t="n">
        <v>0</v>
      </c>
      <c r="X147" t="n">
        <v>0</v>
      </c>
      <c r="Y147">
        <f>ROUND(V147-W147,2)</f>
        <v/>
      </c>
      <c r="Z147">
        <f>ROUND(V147-X147,2)</f>
        <v/>
      </c>
      <c r="AA147" s="3">
        <f>IFERROR(W147/V147,"")</f>
        <v/>
      </c>
      <c r="AB147" s="3">
        <f>IFERROR(X147/V147,"")</f>
        <v/>
      </c>
      <c r="AC147" t="b">
        <v>0</v>
      </c>
      <c r="AD147" t="b">
        <v>0</v>
      </c>
      <c r="AE147" t="b">
        <v>0</v>
      </c>
      <c r="AF147" t="inlineStr">
        <is>
          <t>No</t>
        </is>
      </c>
      <c r="AI147" t="b">
        <v>0</v>
      </c>
      <c r="AJ147" t="n">
        <v>0</v>
      </c>
      <c r="AK147" t="inlineStr"/>
      <c r="AL147" t="inlineStr">
        <is>
          <t>ES Enterprise Solutions (Gina H.)</t>
        </is>
      </c>
      <c r="AM147" t="inlineStr">
        <is>
          <t>IEJ Java I (Dominik S.)</t>
        </is>
      </c>
      <c r="AN147" t="inlineStr">
        <is>
          <t>IEJ Individualentwicklung JAVA (Dominik S.)</t>
        </is>
      </c>
      <c r="AO147" t="inlineStr">
        <is>
          <t>bridgingIT GmbH</t>
        </is>
      </c>
      <c r="AP147" t="inlineStr">
        <is>
          <t>Stuttgart</t>
        </is>
      </c>
      <c r="AQ147" t="inlineStr">
        <is>
          <t>Gina Hallerberg</t>
        </is>
      </c>
    </row>
    <row r="148">
      <c r="A148" t="inlineStr">
        <is>
          <t>10097</t>
        </is>
      </c>
      <c r="B148" t="inlineStr">
        <is>
          <t>21A31D</t>
        </is>
      </c>
      <c r="C148" t="inlineStr">
        <is>
          <t>https://app.matchical.com/Consulting/ConsultantDetail?ConsultantId=02e6244d-fc81-461c-a651-c40285407990</t>
        </is>
      </c>
      <c r="D148" t="inlineStr">
        <is>
          <t>Dominik Schu</t>
        </is>
      </c>
      <c r="E148" t="inlineStr">
        <is>
          <t>dominik.schu@bridging-it.de</t>
        </is>
      </c>
      <c r="F148" s="2" t="n">
        <v>44986</v>
      </c>
      <c r="G148" s="2" t="n">
        <v>39995</v>
      </c>
      <c r="H148" t="n">
        <v>5</v>
      </c>
      <c r="I148" t="n">
        <v>0</v>
      </c>
      <c r="J148" t="n">
        <v>0</v>
      </c>
      <c r="L148" s="2" t="n">
        <v>45690</v>
      </c>
      <c r="M148" s="2" t="n">
        <v>46021</v>
      </c>
      <c r="N148" t="b">
        <v>0</v>
      </c>
      <c r="O148" t="n">
        <v>36</v>
      </c>
      <c r="P148" t="n">
        <v>29</v>
      </c>
      <c r="Q148" t="n">
        <v>29</v>
      </c>
      <c r="R148">
        <f>ROUND(O148-P148,2)</f>
        <v/>
      </c>
      <c r="S148">
        <f>ROUND(O148-Q148,2)</f>
        <v/>
      </c>
      <c r="T148" s="3">
        <f>IFERROR(P148/O148,"")</f>
        <v/>
      </c>
      <c r="U148" s="3">
        <f>IFERROR(Q148/O148,"")</f>
        <v/>
      </c>
      <c r="V148" t="n">
        <v>164</v>
      </c>
      <c r="W148" t="n">
        <v>64</v>
      </c>
      <c r="X148" t="n">
        <v>48</v>
      </c>
      <c r="Y148">
        <f>ROUND(V148-W148,2)</f>
        <v/>
      </c>
      <c r="Z148">
        <f>ROUND(V148-X148,2)</f>
        <v/>
      </c>
      <c r="AA148" s="3">
        <f>IFERROR(W148/V148,"")</f>
        <v/>
      </c>
      <c r="AB148" s="3">
        <f>IFERROR(X148/V148,"")</f>
        <v/>
      </c>
      <c r="AC148" t="b">
        <v>0</v>
      </c>
      <c r="AD148" t="b">
        <v>0</v>
      </c>
      <c r="AE148" t="b">
        <v>0</v>
      </c>
      <c r="AF148" t="inlineStr">
        <is>
          <t>Yes</t>
        </is>
      </c>
      <c r="AG148" s="2" t="n">
        <v>46048</v>
      </c>
      <c r="AI148" t="b">
        <v>1</v>
      </c>
      <c r="AJ148" t="n">
        <v>5</v>
      </c>
      <c r="AK148" t="inlineStr">
        <is>
          <t>Dominik is currently supporting Agile training sessions and could deliver them at the client's site.</t>
        </is>
      </c>
      <c r="AL148" t="inlineStr">
        <is>
          <t>ORG bIT</t>
        </is>
      </c>
      <c r="AM148" t="inlineStr">
        <is>
          <t>MaC - Management Cologne (Henning F.)</t>
        </is>
      </c>
      <c r="AN148" t="inlineStr">
        <is>
          <t>LMC - Location Management Cologne (Henning F.)</t>
        </is>
      </c>
      <c r="AO148" t="inlineStr">
        <is>
          <t>bridgingIT GmbH</t>
        </is>
      </c>
      <c r="AP148" t="inlineStr">
        <is>
          <t>Köln</t>
        </is>
      </c>
      <c r="AQ148" t="inlineStr">
        <is>
          <t>Henning Feldkamp</t>
        </is>
      </c>
    </row>
    <row r="149">
      <c r="A149" t="inlineStr">
        <is>
          <t>3240</t>
        </is>
      </c>
      <c r="B149" t="inlineStr">
        <is>
          <t>70CF97</t>
        </is>
      </c>
      <c r="C149" t="inlineStr">
        <is>
          <t>https://app.matchical.com/Consulting/ConsultantDetail?ConsultantId=2e6e3678-cdc3-4bea-860e-0a586a971e30</t>
        </is>
      </c>
      <c r="D149" t="inlineStr">
        <is>
          <t>Dominique Liebe</t>
        </is>
      </c>
      <c r="E149" t="inlineStr">
        <is>
          <t>dominique.liebe@bridging-it.de</t>
        </is>
      </c>
      <c r="F149" s="2" t="n">
        <v>44593</v>
      </c>
      <c r="G149" s="2" t="n">
        <v>43101</v>
      </c>
      <c r="H149" t="n">
        <v>6</v>
      </c>
      <c r="I149" t="n">
        <v>0</v>
      </c>
      <c r="J149" t="n">
        <v>0</v>
      </c>
      <c r="L149" s="2" t="n">
        <v>44651</v>
      </c>
      <c r="M149" s="2" t="n">
        <v>45534</v>
      </c>
      <c r="N149" t="b">
        <v>0</v>
      </c>
      <c r="O149" t="n">
        <v>49</v>
      </c>
      <c r="P149" t="n">
        <v>30.97</v>
      </c>
      <c r="Q149" t="n">
        <v>29.98</v>
      </c>
      <c r="R149">
        <f>ROUND(O149-P149,2)</f>
        <v/>
      </c>
      <c r="S149">
        <f>ROUND(O149-Q149,2)</f>
        <v/>
      </c>
      <c r="T149" s="3">
        <f>IFERROR(P149/O149,"")</f>
        <v/>
      </c>
      <c r="U149" s="3">
        <f>IFERROR(Q149/O149,"")</f>
        <v/>
      </c>
      <c r="V149" t="n">
        <v>49</v>
      </c>
      <c r="W149" t="n">
        <v>70</v>
      </c>
      <c r="X149" t="n">
        <v>42</v>
      </c>
      <c r="Y149">
        <f>ROUND(V149-W149,2)</f>
        <v/>
      </c>
      <c r="Z149">
        <f>ROUND(V149-X149,2)</f>
        <v/>
      </c>
      <c r="AA149" s="3">
        <f>IFERROR(W149/V149,"")</f>
        <v/>
      </c>
      <c r="AB149" s="3">
        <f>IFERROR(X149/V149,"")</f>
        <v/>
      </c>
      <c r="AC149" t="b">
        <v>0</v>
      </c>
      <c r="AD149" t="b">
        <v>0</v>
      </c>
      <c r="AE149" t="b">
        <v>0</v>
      </c>
      <c r="AF149" t="inlineStr">
        <is>
          <t>No</t>
        </is>
      </c>
      <c r="AI149" t="b">
        <v>0</v>
      </c>
      <c r="AJ149" t="n">
        <v>0</v>
      </c>
      <c r="AK149" t="inlineStr">
        <is>
          <t>Dominique has worked for the last two years as a Business Analyst and PO/PM Support on a SAFe-organized project. Dominique holds CPRE and SAFe certifications and is flexible regarding task assignments. We would prefer to place Dominique on a project as a Business Analyst, PO, or PO-Support.</t>
        </is>
      </c>
      <c r="AL149" t="inlineStr">
        <is>
          <t>ORG bIT</t>
        </is>
      </c>
      <c r="AM149" t="inlineStr">
        <is>
          <t>BAPO - BA and Product Ownership (Edgar K.)</t>
        </is>
      </c>
      <c r="AN149" t="inlineStr">
        <is>
          <t>ABC Analysing Business &amp; Collaboration (Edgar K.)</t>
        </is>
      </c>
      <c r="AO149" t="inlineStr">
        <is>
          <t>bridgingIT GmbH</t>
        </is>
      </c>
      <c r="AP149" t="inlineStr">
        <is>
          <t>Frankfurt</t>
        </is>
      </c>
      <c r="AQ149" t="inlineStr">
        <is>
          <t>Edgar Kauz</t>
        </is>
      </c>
    </row>
    <row r="150">
      <c r="A150" t="inlineStr">
        <is>
          <t>3190</t>
        </is>
      </c>
      <c r="B150" t="inlineStr">
        <is>
          <t>2AEAC6</t>
        </is>
      </c>
      <c r="C150" t="inlineStr">
        <is>
          <t>https://app.matchical.com/Consulting/ConsultantDetail?ConsultantId=c01e45d1-8d3d-4866-b611-9d809019d671</t>
        </is>
      </c>
      <c r="D150" t="inlineStr">
        <is>
          <t>Dominique Stender</t>
        </is>
      </c>
      <c r="E150" t="inlineStr">
        <is>
          <t>dominique.stender@bridging-it.de</t>
        </is>
      </c>
      <c r="F150" s="2" t="n">
        <v>43647</v>
      </c>
      <c r="G150" s="2" t="n">
        <v>36557</v>
      </c>
      <c r="H150" t="n">
        <v>11</v>
      </c>
      <c r="I150" t="n">
        <v>0</v>
      </c>
      <c r="J150" t="n">
        <v>2</v>
      </c>
      <c r="K150" s="2" t="n">
        <v>44837</v>
      </c>
      <c r="L150" s="2" t="n">
        <v>45077</v>
      </c>
      <c r="M150" s="2" t="n">
        <v>45656</v>
      </c>
      <c r="N150" t="b">
        <v>0</v>
      </c>
      <c r="O150" t="n">
        <v>80</v>
      </c>
      <c r="P150" t="n">
        <v>178.83</v>
      </c>
      <c r="Q150" t="n">
        <v>79.84</v>
      </c>
      <c r="R150">
        <f>ROUND(O150-P150,2)</f>
        <v/>
      </c>
      <c r="S150">
        <f>ROUND(O150-Q150,2)</f>
        <v/>
      </c>
      <c r="T150" s="3">
        <f>IFERROR(P150/O150,"")</f>
        <v/>
      </c>
      <c r="U150" s="3">
        <f>IFERROR(Q150/O150,"")</f>
        <v/>
      </c>
      <c r="V150" t="n">
        <v>233</v>
      </c>
      <c r="W150" t="n">
        <v>157.03</v>
      </c>
      <c r="X150" t="n">
        <v>129.03</v>
      </c>
      <c r="Y150">
        <f>ROUND(V150-W150,2)</f>
        <v/>
      </c>
      <c r="Z150">
        <f>ROUND(V150-X150,2)</f>
        <v/>
      </c>
      <c r="AA150" s="3">
        <f>IFERROR(W150/V150,"")</f>
        <v/>
      </c>
      <c r="AB150" s="3">
        <f>IFERROR(X150/V150,"")</f>
        <v/>
      </c>
      <c r="AC150" t="b">
        <v>0</v>
      </c>
      <c r="AD150" t="b">
        <v>0</v>
      </c>
      <c r="AE150" t="b">
        <v>0</v>
      </c>
      <c r="AF150" t="inlineStr">
        <is>
          <t>No</t>
        </is>
      </c>
      <c r="AI150" t="b">
        <v>1</v>
      </c>
      <c r="AJ150" t="n">
        <v>0</v>
      </c>
      <c r="AK150" t="inlineStr">
        <is>
          <t>SPC, Flight Level Coach, Agile Coach, Agile Transformation, Organizational Development; currently still in the DB InfraGO project</t>
        </is>
      </c>
      <c r="AL150" t="inlineStr">
        <is>
          <t>ORG bIT</t>
        </is>
      </c>
      <c r="AM150" t="inlineStr">
        <is>
          <t>AO Agile Organization (Katharina G.)</t>
        </is>
      </c>
      <c r="AN150" t="inlineStr">
        <is>
          <t>TH Transformation Hub (Ulrich W.)</t>
        </is>
      </c>
      <c r="AO150" t="inlineStr">
        <is>
          <t>bridgingIT GmbH</t>
        </is>
      </c>
      <c r="AP150" t="inlineStr">
        <is>
          <t>Frankfurt</t>
        </is>
      </c>
      <c r="AQ150" t="inlineStr">
        <is>
          <t>Katharina Gossen</t>
        </is>
      </c>
    </row>
    <row r="151">
      <c r="A151" t="inlineStr">
        <is>
          <t>10252</t>
        </is>
      </c>
      <c r="B151" t="inlineStr">
        <is>
          <t>234314</t>
        </is>
      </c>
      <c r="C151" t="inlineStr">
        <is>
          <t>https://app.matchical.com/Consulting/ConsultantDetail?ConsultantId=69a55da0-410e-4764-8fd9-db55cf43925f</t>
        </is>
      </c>
      <c r="D151" t="inlineStr">
        <is>
          <t>Draza Mihailovic</t>
        </is>
      </c>
      <c r="E151" t="inlineStr">
        <is>
          <t>draza.mihailovic@bridging-it.de</t>
        </is>
      </c>
      <c r="F151" s="2" t="n">
        <v>45323</v>
      </c>
      <c r="G151" s="2" t="n">
        <v>44409</v>
      </c>
      <c r="H151" t="n">
        <v>7</v>
      </c>
      <c r="I151" t="n">
        <v>0</v>
      </c>
      <c r="J151" t="n">
        <v>0</v>
      </c>
      <c r="L151" s="2" t="n">
        <v>45840</v>
      </c>
      <c r="M151" s="2" t="n">
        <v>46052</v>
      </c>
      <c r="N151" t="b">
        <v>0</v>
      </c>
      <c r="O151" t="n">
        <v>25</v>
      </c>
      <c r="P151" t="n">
        <v>27</v>
      </c>
      <c r="Q151" t="n">
        <v>22.5</v>
      </c>
      <c r="R151">
        <f>ROUND(O151-P151,2)</f>
        <v/>
      </c>
      <c r="S151">
        <f>ROUND(O151-Q151,2)</f>
        <v/>
      </c>
      <c r="T151" s="3">
        <f>IFERROR(P151/O151,"")</f>
        <v/>
      </c>
      <c r="U151" s="3">
        <f>IFERROR(Q151/O151,"")</f>
        <v/>
      </c>
      <c r="V151" t="n">
        <v>30</v>
      </c>
      <c r="W151" t="n">
        <v>38</v>
      </c>
      <c r="X151" t="n">
        <v>29.5</v>
      </c>
      <c r="Y151">
        <f>ROUND(V151-W151,2)</f>
        <v/>
      </c>
      <c r="Z151">
        <f>ROUND(V151-X151,2)</f>
        <v/>
      </c>
      <c r="AA151" s="3">
        <f>IFERROR(W151/V151,"")</f>
        <v/>
      </c>
      <c r="AB151" s="3">
        <f>IFERROR(X151/V151,"")</f>
        <v/>
      </c>
      <c r="AC151" t="b">
        <v>0</v>
      </c>
      <c r="AD151" t="b">
        <v>0</v>
      </c>
      <c r="AE151" t="b">
        <v>0</v>
      </c>
      <c r="AF151" t="inlineStr">
        <is>
          <t>Yes</t>
        </is>
      </c>
      <c r="AG151" s="2" t="n">
        <v>46023</v>
      </c>
      <c r="AH151" s="2" t="n">
        <v>46142</v>
      </c>
      <c r="AI151" t="b">
        <v>1</v>
      </c>
      <c r="AJ151" t="n">
        <v>5</v>
      </c>
      <c r="AK151" t="inlineStr"/>
      <c r="AL151" t="inlineStr">
        <is>
          <t>ORG bIT</t>
        </is>
      </c>
      <c r="AM151" t="inlineStr">
        <is>
          <t>BABA - BA and Business Architectures (Carsten S.)</t>
        </is>
      </c>
      <c r="AN151" t="inlineStr">
        <is>
          <t>ABC Analysing Business &amp; Collaboration (Edgar K.)</t>
        </is>
      </c>
      <c r="AO151" t="inlineStr">
        <is>
          <t>bridgingIT GmbH</t>
        </is>
      </c>
      <c r="AP151" t="inlineStr">
        <is>
          <t>Frankfurt</t>
        </is>
      </c>
      <c r="AQ151" t="inlineStr">
        <is>
          <t>Carsten Schindler</t>
        </is>
      </c>
    </row>
    <row r="152">
      <c r="A152" t="inlineStr">
        <is>
          <t>1078</t>
        </is>
      </c>
      <c r="B152" t="inlineStr">
        <is>
          <t>3BA9E7</t>
        </is>
      </c>
      <c r="C152" t="inlineStr">
        <is>
          <t>https://app.matchical.com/Consulting/ConsultantDetail?ConsultantId=da36b43d-cf3f-4fff-aa7e-5d32898dfd94</t>
        </is>
      </c>
      <c r="D152" t="inlineStr">
        <is>
          <t>Dunja Winkens</t>
        </is>
      </c>
      <c r="E152" t="inlineStr">
        <is>
          <t>dunja.winkens@bridging-it.de</t>
        </is>
      </c>
      <c r="F152" s="2" t="n">
        <v>39569</v>
      </c>
      <c r="G152" s="2" t="n">
        <v>34335</v>
      </c>
      <c r="H152" t="n">
        <v>44</v>
      </c>
      <c r="I152" t="n">
        <v>0</v>
      </c>
      <c r="J152" t="n">
        <v>0</v>
      </c>
      <c r="L152" s="2" t="n">
        <v>44992</v>
      </c>
      <c r="M152" s="2" t="n">
        <v>45746</v>
      </c>
      <c r="N152" t="b">
        <v>0</v>
      </c>
      <c r="O152" t="n">
        <v>214</v>
      </c>
      <c r="P152" t="n">
        <v>341.85</v>
      </c>
      <c r="Q152" t="n">
        <v>206.81</v>
      </c>
      <c r="R152">
        <f>ROUND(O152-P152,2)</f>
        <v/>
      </c>
      <c r="S152">
        <f>ROUND(O152-Q152,2)</f>
        <v/>
      </c>
      <c r="T152" s="3">
        <f>IFERROR(P152/O152,"")</f>
        <v/>
      </c>
      <c r="U152" s="3">
        <f>IFERROR(Q152/O152,"")</f>
        <v/>
      </c>
      <c r="V152" t="n">
        <v>172</v>
      </c>
      <c r="W152" t="n">
        <v>307.03</v>
      </c>
      <c r="X152" t="n">
        <v>171.96</v>
      </c>
      <c r="Y152">
        <f>ROUND(V152-W152,2)</f>
        <v/>
      </c>
      <c r="Z152">
        <f>ROUND(V152-X152,2)</f>
        <v/>
      </c>
      <c r="AA152" s="3">
        <f>IFERROR(W152/V152,"")</f>
        <v/>
      </c>
      <c r="AB152" s="3">
        <f>IFERROR(X152/V152,"")</f>
        <v/>
      </c>
      <c r="AC152" t="b">
        <v>0</v>
      </c>
      <c r="AD152" t="b">
        <v>0</v>
      </c>
      <c r="AE152" t="b">
        <v>0</v>
      </c>
      <c r="AF152" t="inlineStr">
        <is>
          <t>Yes</t>
        </is>
      </c>
      <c r="AG152" s="2" t="n">
        <v>46113</v>
      </c>
      <c r="AI152" t="b">
        <v>0</v>
      </c>
      <c r="AJ152" t="n">
        <v>3</v>
      </c>
      <c r="AK152" t="inlineStr">
        <is>
          <t>Currently, 100% of the project time as an architect at Roche (AWS migration, mobile backend, etc.).</t>
        </is>
      </c>
      <c r="AL152" t="inlineStr">
        <is>
          <t>ORG bIT</t>
        </is>
      </c>
      <c r="AM152" t="inlineStr">
        <is>
          <t>Location Mannheim Team (Michael M.)</t>
        </is>
      </c>
      <c r="AN152" t="inlineStr">
        <is>
          <t>LM - Location Mannheim Unit (Michael M.)</t>
        </is>
      </c>
      <c r="AO152" t="inlineStr">
        <is>
          <t>bridgingIT GmbH</t>
        </is>
      </c>
      <c r="AP152" t="inlineStr">
        <is>
          <t>Mannheim</t>
        </is>
      </c>
      <c r="AQ152" t="inlineStr">
        <is>
          <t>Michael Mohrbacher</t>
        </is>
      </c>
    </row>
    <row r="153">
      <c r="A153" t="inlineStr">
        <is>
          <t>10422</t>
        </is>
      </c>
      <c r="B153" t="inlineStr">
        <is>
          <t>FD2D4A</t>
        </is>
      </c>
      <c r="C153" t="inlineStr">
        <is>
          <t>https://app.matchical.com/Consulting/ConsultantDetail?ConsultantId=139dab0a-0eae-4ce8-a699-548723edbb4c</t>
        </is>
      </c>
      <c r="D153" t="inlineStr">
        <is>
          <t>Dustin Konischek</t>
        </is>
      </c>
      <c r="E153" t="inlineStr">
        <is>
          <t>dustin.konischek@bridging-it.de</t>
        </is>
      </c>
      <c r="F153" s="2" t="n">
        <v>46023</v>
      </c>
      <c r="G153" s="2" t="n">
        <v>41548</v>
      </c>
      <c r="H153" t="n">
        <v>2</v>
      </c>
      <c r="I153" t="n">
        <v>0</v>
      </c>
      <c r="J153" t="n">
        <v>0</v>
      </c>
      <c r="L153" s="2" t="n">
        <v>45322</v>
      </c>
      <c r="M153" s="2" t="n">
        <v>46021</v>
      </c>
      <c r="N153" t="b">
        <v>0</v>
      </c>
      <c r="O153" t="n">
        <v>2</v>
      </c>
      <c r="P153" t="n">
        <v>0</v>
      </c>
      <c r="Q153" t="n">
        <v>0</v>
      </c>
      <c r="R153">
        <f>ROUND(O153-P153,2)</f>
        <v/>
      </c>
      <c r="S153">
        <f>ROUND(O153-Q153,2)</f>
        <v/>
      </c>
      <c r="T153" s="3">
        <f>IFERROR(P153/O153,"")</f>
        <v/>
      </c>
      <c r="U153" s="3">
        <f>IFERROR(Q153/O153,"")</f>
        <v/>
      </c>
      <c r="V153" t="n">
        <v>147</v>
      </c>
      <c r="W153" t="n">
        <v>61</v>
      </c>
      <c r="X153" t="n">
        <v>61</v>
      </c>
      <c r="Y153">
        <f>ROUND(V153-W153,2)</f>
        <v/>
      </c>
      <c r="Z153">
        <f>ROUND(V153-X153,2)</f>
        <v/>
      </c>
      <c r="AA153" s="3">
        <f>IFERROR(W153/V153,"")</f>
        <v/>
      </c>
      <c r="AB153" s="3">
        <f>IFERROR(X153/V153,"")</f>
        <v/>
      </c>
      <c r="AC153" t="b">
        <v>0</v>
      </c>
      <c r="AD153" t="b">
        <v>0</v>
      </c>
      <c r="AE153" t="b">
        <v>0</v>
      </c>
      <c r="AF153" t="inlineStr">
        <is>
          <t>Yes</t>
        </is>
      </c>
      <c r="AG153" s="2" t="n">
        <v>46023</v>
      </c>
      <c r="AH153" s="2" t="n">
        <v>46112</v>
      </c>
      <c r="AI153" t="b">
        <v>1</v>
      </c>
      <c r="AJ153" t="n">
        <v>5</v>
      </c>
      <c r="AK153" t="inlineStr"/>
      <c r="AL153" t="inlineStr">
        <is>
          <t>IT - Information Technology (HH)</t>
        </is>
      </c>
      <c r="AM153" t="inlineStr">
        <is>
          <t>CSI - Cybersecurity &amp; IAM (Dean M.)</t>
        </is>
      </c>
      <c r="AN153" t="inlineStr">
        <is>
          <t>ITC HH (Nicole F.)</t>
        </is>
      </c>
      <c r="AO153" t="inlineStr">
        <is>
          <t>bridgingIT GmbH</t>
        </is>
      </c>
      <c r="AP153" t="inlineStr">
        <is>
          <t>Hamburg</t>
        </is>
      </c>
      <c r="AQ153" t="inlineStr">
        <is>
          <t>Dean Herzog-Meijer</t>
        </is>
      </c>
    </row>
    <row r="154">
      <c r="A154" t="inlineStr">
        <is>
          <t>1536</t>
        </is>
      </c>
      <c r="B154" t="inlineStr">
        <is>
          <t>61C92B</t>
        </is>
      </c>
      <c r="C154" t="inlineStr">
        <is>
          <t>https://app.matchical.com/Consulting/ConsultantDetail?ConsultantId=0df723ba-8cb9-4abf-bfee-6f80d77fbf4f</t>
        </is>
      </c>
      <c r="D154" t="inlineStr">
        <is>
          <t>Ebru Cobanoglu</t>
        </is>
      </c>
      <c r="E154" t="inlineStr">
        <is>
          <t>ebru.cobanoglu@bridging-it.de</t>
        </is>
      </c>
      <c r="F154" s="2" t="n">
        <v>44805</v>
      </c>
      <c r="G154" s="2" t="n">
        <v>43891</v>
      </c>
      <c r="H154" t="n">
        <v>9</v>
      </c>
      <c r="I154" t="n">
        <v>0</v>
      </c>
      <c r="J154" t="n">
        <v>1</v>
      </c>
      <c r="K154" s="2" t="n">
        <v>45838</v>
      </c>
      <c r="L154" s="2" t="n">
        <v>45658</v>
      </c>
      <c r="M154" s="2" t="n">
        <v>45869</v>
      </c>
      <c r="N154" t="b">
        <v>0</v>
      </c>
      <c r="O154" t="n">
        <v>42</v>
      </c>
      <c r="P154" t="n">
        <v>48.98</v>
      </c>
      <c r="Q154" t="n">
        <v>39.13</v>
      </c>
      <c r="R154">
        <f>ROUND(O154-P154,2)</f>
        <v/>
      </c>
      <c r="S154">
        <f>ROUND(O154-Q154,2)</f>
        <v/>
      </c>
      <c r="T154" s="3">
        <f>IFERROR(P154/O154,"")</f>
        <v/>
      </c>
      <c r="U154" s="3">
        <f>IFERROR(Q154/O154,"")</f>
        <v/>
      </c>
      <c r="V154" t="n">
        <v>30</v>
      </c>
      <c r="W154" t="n">
        <v>1.02</v>
      </c>
      <c r="X154" t="n">
        <v>0.87</v>
      </c>
      <c r="Y154">
        <f>ROUND(V154-W154,2)</f>
        <v/>
      </c>
      <c r="Z154">
        <f>ROUND(V154-X154,2)</f>
        <v/>
      </c>
      <c r="AA154" s="3">
        <f>IFERROR(W154/V154,"")</f>
        <v/>
      </c>
      <c r="AB154" s="3">
        <f>IFERROR(X154/V154,"")</f>
        <v/>
      </c>
      <c r="AC154" t="b">
        <v>0</v>
      </c>
      <c r="AD154" t="b">
        <v>0</v>
      </c>
      <c r="AE154" t="b">
        <v>0</v>
      </c>
      <c r="AF154" t="inlineStr">
        <is>
          <t>No</t>
        </is>
      </c>
      <c r="AI154" t="b">
        <v>0</v>
      </c>
      <c r="AJ154" t="n">
        <v>0</v>
      </c>
      <c r="AK154" t="inlineStr"/>
      <c r="AL154" t="inlineStr">
        <is>
          <t>ES Enterprise Solutions (Gina H.)</t>
        </is>
      </c>
      <c r="AM154" t="inlineStr">
        <is>
          <t>IEJ Java I (Dominik S.)</t>
        </is>
      </c>
      <c r="AN154" t="inlineStr">
        <is>
          <t>IEJ Individualentwicklung JAVA (Dominik S.)</t>
        </is>
      </c>
      <c r="AO154" t="inlineStr">
        <is>
          <t>bridgingIT GmbH</t>
        </is>
      </c>
      <c r="AP154" t="inlineStr">
        <is>
          <t>Stuttgart</t>
        </is>
      </c>
      <c r="AQ154" t="inlineStr">
        <is>
          <t>Dominik Schadow</t>
        </is>
      </c>
    </row>
    <row r="155">
      <c r="A155" t="inlineStr">
        <is>
          <t>3086</t>
        </is>
      </c>
      <c r="B155" t="inlineStr">
        <is>
          <t>B9EFE7</t>
        </is>
      </c>
      <c r="C155" t="inlineStr">
        <is>
          <t>https://app.matchical.com/Consulting/ConsultantDetail?ConsultantId=31a9362e-cf25-4b9a-b3cb-1b25153a31ca</t>
        </is>
      </c>
      <c r="D155" t="inlineStr">
        <is>
          <t>Edgar Kauz</t>
        </is>
      </c>
      <c r="E155" t="inlineStr">
        <is>
          <t>edgar.kauz@bridging-it.de</t>
        </is>
      </c>
      <c r="F155" s="2" t="n">
        <v>41913</v>
      </c>
      <c r="G155" s="2" t="n">
        <v>40452</v>
      </c>
      <c r="H155" t="n">
        <v>21</v>
      </c>
      <c r="I155" t="n">
        <v>0</v>
      </c>
      <c r="J155" t="n">
        <v>0</v>
      </c>
      <c r="L155" s="2" t="n">
        <v>45291</v>
      </c>
      <c r="M155" s="2" t="n">
        <v>46022</v>
      </c>
      <c r="N155" t="b">
        <v>0</v>
      </c>
      <c r="O155" t="n">
        <v>137</v>
      </c>
      <c r="P155" t="n">
        <v>156</v>
      </c>
      <c r="Q155" t="n">
        <v>130</v>
      </c>
      <c r="R155">
        <f>ROUND(O155-P155,2)</f>
        <v/>
      </c>
      <c r="S155">
        <f>ROUND(O155-Q155,2)</f>
        <v/>
      </c>
      <c r="T155" s="3">
        <f>IFERROR(P155/O155,"")</f>
        <v/>
      </c>
      <c r="U155" s="3">
        <f>IFERROR(Q155/O155,"")</f>
        <v/>
      </c>
      <c r="V155" t="n">
        <v>48</v>
      </c>
      <c r="W155" t="n">
        <v>71</v>
      </c>
      <c r="X155" t="n">
        <v>44</v>
      </c>
      <c r="Y155">
        <f>ROUND(V155-W155,2)</f>
        <v/>
      </c>
      <c r="Z155">
        <f>ROUND(V155-X155,2)</f>
        <v/>
      </c>
      <c r="AA155" s="3">
        <f>IFERROR(W155/V155,"")</f>
        <v/>
      </c>
      <c r="AB155" s="3">
        <f>IFERROR(X155/V155,"")</f>
        <v/>
      </c>
      <c r="AC155" t="b">
        <v>0</v>
      </c>
      <c r="AD155" t="b">
        <v>0</v>
      </c>
      <c r="AE155" t="b">
        <v>0</v>
      </c>
      <c r="AF155" t="inlineStr">
        <is>
          <t>No</t>
        </is>
      </c>
      <c r="AI155" t="b">
        <v>0</v>
      </c>
      <c r="AJ155" t="n">
        <v>0</v>
      </c>
      <c r="AK155" t="inlineStr"/>
      <c r="AL155" t="inlineStr">
        <is>
          <t>ORG bIT</t>
        </is>
      </c>
      <c r="AM155" t="inlineStr">
        <is>
          <t>BAPO - BA and Product Ownership (Edgar K.)</t>
        </is>
      </c>
      <c r="AN155" t="inlineStr">
        <is>
          <t>ABC Analysing Business &amp; Collaboration (Edgar K.)</t>
        </is>
      </c>
      <c r="AO155" t="inlineStr">
        <is>
          <t>bridgingIT GmbH</t>
        </is>
      </c>
      <c r="AP155" t="inlineStr">
        <is>
          <t>Frankfurt</t>
        </is>
      </c>
      <c r="AQ155" t="inlineStr">
        <is>
          <t>Gerrit Seewald</t>
        </is>
      </c>
    </row>
    <row r="156">
      <c r="A156" t="inlineStr">
        <is>
          <t>8379</t>
        </is>
      </c>
      <c r="B156" t="inlineStr">
        <is>
          <t>18D24B</t>
        </is>
      </c>
      <c r="C156" t="inlineStr">
        <is>
          <t>https://app.matchical.com/Consulting/ConsultantDetail?ConsultantId=808d3978-9711-46e0-9de7-7a7a99256f02</t>
        </is>
      </c>
      <c r="D156" t="inlineStr">
        <is>
          <t>Eduardo Perez</t>
        </is>
      </c>
      <c r="E156" t="inlineStr">
        <is>
          <t>eduardo.perez@crafting-it.de</t>
        </is>
      </c>
      <c r="F156" s="2" t="n">
        <v>43252</v>
      </c>
      <c r="G156" s="2" t="n">
        <v>37622</v>
      </c>
      <c r="H156" t="n">
        <v>7</v>
      </c>
      <c r="I156" t="n">
        <v>0</v>
      </c>
      <c r="J156" t="n">
        <v>0</v>
      </c>
      <c r="L156" s="2" t="n">
        <v>45292</v>
      </c>
      <c r="M156" s="2" t="n">
        <v>45657</v>
      </c>
      <c r="N156" t="b">
        <v>0</v>
      </c>
      <c r="O156" t="n">
        <v>93</v>
      </c>
      <c r="P156" t="n">
        <v>82</v>
      </c>
      <c r="Q156" t="n">
        <v>24</v>
      </c>
      <c r="R156">
        <f>ROUND(O156-P156,2)</f>
        <v/>
      </c>
      <c r="S156">
        <f>ROUND(O156-Q156,2)</f>
        <v/>
      </c>
      <c r="T156" s="3">
        <f>IFERROR(P156/O156,"")</f>
        <v/>
      </c>
      <c r="U156" s="3">
        <f>IFERROR(Q156/O156,"")</f>
        <v/>
      </c>
      <c r="V156" t="n">
        <v>185</v>
      </c>
      <c r="W156" t="n">
        <v>0</v>
      </c>
      <c r="X156" t="n">
        <v>0</v>
      </c>
      <c r="Y156">
        <f>ROUND(V156-W156,2)</f>
        <v/>
      </c>
      <c r="Z156">
        <f>ROUND(V156-X156,2)</f>
        <v/>
      </c>
      <c r="AA156" s="3">
        <f>IFERROR(W156/V156,"")</f>
        <v/>
      </c>
      <c r="AB156" s="3">
        <f>IFERROR(X156/V156,"")</f>
        <v/>
      </c>
      <c r="AC156" t="b">
        <v>0</v>
      </c>
      <c r="AD156" t="b">
        <v>0</v>
      </c>
      <c r="AE156" t="b">
        <v>0</v>
      </c>
      <c r="AF156" t="inlineStr">
        <is>
          <t>Yes</t>
        </is>
      </c>
      <c r="AG156" s="2" t="n">
        <v>45809</v>
      </c>
      <c r="AI156" t="b">
        <v>1</v>
      </c>
      <c r="AJ156" t="n">
        <v>3</v>
      </c>
      <c r="AK156" t="inlineStr"/>
      <c r="AL156" t="inlineStr">
        <is>
          <t>ORG cIT</t>
        </is>
      </c>
      <c r="AM156" t="inlineStr">
        <is>
          <t>cIT AMS / GIS Services (Michael B.)</t>
        </is>
      </c>
      <c r="AN156" t="inlineStr">
        <is>
          <t>cIT Service Delivery Magdeburg (Steffen A.)</t>
        </is>
      </c>
      <c r="AO156" t="inlineStr">
        <is>
          <t>craftingIT GmbH</t>
        </is>
      </c>
      <c r="AP156" t="inlineStr">
        <is>
          <t>Magdeburg</t>
        </is>
      </c>
      <c r="AQ156" t="inlineStr">
        <is>
          <t>Michael Buchter</t>
        </is>
      </c>
    </row>
    <row r="157">
      <c r="A157" t="inlineStr">
        <is>
          <t>2067</t>
        </is>
      </c>
      <c r="B157" t="inlineStr">
        <is>
          <t>B36CD2</t>
        </is>
      </c>
      <c r="C157" t="inlineStr">
        <is>
          <t>https://app.matchical.com/Consulting/ConsultantDetail?ConsultantId=99a8db3c-20b7-46f0-b802-3b884d181519</t>
        </is>
      </c>
      <c r="D157" t="inlineStr">
        <is>
          <t>Elisabeth Gerlinger</t>
        </is>
      </c>
      <c r="E157" t="inlineStr">
        <is>
          <t>elisabeth.gerlinger@bridging-it.de</t>
        </is>
      </c>
      <c r="F157" s="2" t="n">
        <v>41395</v>
      </c>
      <c r="G157" s="2" t="n">
        <v>39722</v>
      </c>
      <c r="H157" t="n">
        <v>15</v>
      </c>
      <c r="I157" t="n">
        <v>0</v>
      </c>
      <c r="J157" t="n">
        <v>0</v>
      </c>
      <c r="L157" s="2" t="n">
        <v>44081</v>
      </c>
      <c r="M157" s="2" t="n">
        <v>44651</v>
      </c>
      <c r="N157" t="b">
        <v>0</v>
      </c>
      <c r="O157" t="n">
        <v>154</v>
      </c>
      <c r="P157" t="n">
        <v>99</v>
      </c>
      <c r="Q157" t="n">
        <v>80</v>
      </c>
      <c r="R157">
        <f>ROUND(O157-P157,2)</f>
        <v/>
      </c>
      <c r="S157">
        <f>ROUND(O157-Q157,2)</f>
        <v/>
      </c>
      <c r="T157" s="3">
        <f>IFERROR(P157/O157,"")</f>
        <v/>
      </c>
      <c r="U157" s="3">
        <f>IFERROR(Q157/O157,"")</f>
        <v/>
      </c>
      <c r="V157" t="n">
        <v>55</v>
      </c>
      <c r="W157" t="n">
        <v>53</v>
      </c>
      <c r="X157" t="n">
        <v>53</v>
      </c>
      <c r="Y157">
        <f>ROUND(V157-W157,2)</f>
        <v/>
      </c>
      <c r="Z157">
        <f>ROUND(V157-X157,2)</f>
        <v/>
      </c>
      <c r="AA157" s="3">
        <f>IFERROR(W157/V157,"")</f>
        <v/>
      </c>
      <c r="AB157" s="3">
        <f>IFERROR(X157/V157,"")</f>
        <v/>
      </c>
      <c r="AC157" t="b">
        <v>0</v>
      </c>
      <c r="AD157" t="b">
        <v>0</v>
      </c>
      <c r="AE157" t="b">
        <v>0</v>
      </c>
      <c r="AF157" t="inlineStr">
        <is>
          <t>No</t>
        </is>
      </c>
      <c r="AG157" s="2" t="n">
        <v>43837</v>
      </c>
      <c r="AH157" s="2" t="n">
        <v>47848</v>
      </c>
      <c r="AI157" t="b">
        <v>0</v>
      </c>
      <c r="AJ157" t="n">
        <v>0</v>
      </c>
      <c r="AK157" t="inlineStr"/>
      <c r="AL157" t="inlineStr">
        <is>
          <t>ORG bIT Bayern</t>
        </is>
      </c>
      <c r="AM157" t="inlineStr">
        <is>
          <t>LM Location Management BAY (Eli G.)</t>
        </is>
      </c>
      <c r="AN157" t="inlineStr">
        <is>
          <t>LM Lokation MUC (Elisabeth G.)</t>
        </is>
      </c>
      <c r="AO157" t="inlineStr">
        <is>
          <t>bridgingIT GmbH</t>
        </is>
      </c>
      <c r="AP157" t="inlineStr">
        <is>
          <t>München</t>
        </is>
      </c>
      <c r="AQ157" t="inlineStr">
        <is>
          <t>Michael Hagenlocher</t>
        </is>
      </c>
    </row>
    <row r="158">
      <c r="A158" t="inlineStr">
        <is>
          <t>4090</t>
        </is>
      </c>
      <c r="B158" t="inlineStr">
        <is>
          <t>081E89</t>
        </is>
      </c>
      <c r="C158" t="inlineStr">
        <is>
          <t>https://app.matchical.com/Consulting/ConsultantDetail?ConsultantId=a64c5f73-30d5-4637-b3b3-a9ecf934d5ad</t>
        </is>
      </c>
      <c r="D158" t="inlineStr">
        <is>
          <t>Elisabeth Kuhn</t>
        </is>
      </c>
      <c r="E158" t="inlineStr">
        <is>
          <t>elisabeth.kuhn@bridging-it.de</t>
        </is>
      </c>
      <c r="F158" s="2" t="n">
        <v>43101</v>
      </c>
      <c r="G158" s="2" t="n">
        <v>39295</v>
      </c>
      <c r="H158" t="n">
        <v>8</v>
      </c>
      <c r="I158" t="n">
        <v>0</v>
      </c>
      <c r="J158" t="n">
        <v>2</v>
      </c>
      <c r="K158" s="2" t="n">
        <v>43100</v>
      </c>
      <c r="L158" s="2" t="n">
        <v>45305</v>
      </c>
      <c r="M158" s="2" t="n">
        <v>45953</v>
      </c>
      <c r="N158" t="b">
        <v>0</v>
      </c>
      <c r="O158" t="n">
        <v>98</v>
      </c>
      <c r="P158" t="n">
        <v>159.97</v>
      </c>
      <c r="Q158" t="n">
        <v>97.77</v>
      </c>
      <c r="R158">
        <f>ROUND(O158-P158,2)</f>
        <v/>
      </c>
      <c r="S158">
        <f>ROUND(O158-Q158,2)</f>
        <v/>
      </c>
      <c r="T158" s="3">
        <f>IFERROR(P158/O158,"")</f>
        <v/>
      </c>
      <c r="U158" s="3">
        <f>IFERROR(Q158/O158,"")</f>
        <v/>
      </c>
      <c r="V158" t="n">
        <v>125</v>
      </c>
      <c r="W158" t="n">
        <v>36.03</v>
      </c>
      <c r="X158" t="n">
        <v>36.02</v>
      </c>
      <c r="Y158">
        <f>ROUND(V158-W158,2)</f>
        <v/>
      </c>
      <c r="Z158">
        <f>ROUND(V158-X158,2)</f>
        <v/>
      </c>
      <c r="AA158" s="3">
        <f>IFERROR(W158/V158,"")</f>
        <v/>
      </c>
      <c r="AB158" s="3">
        <f>IFERROR(X158/V158,"")</f>
        <v/>
      </c>
      <c r="AC158" t="b">
        <v>0</v>
      </c>
      <c r="AD158" t="b">
        <v>0</v>
      </c>
      <c r="AE158" t="b">
        <v>0</v>
      </c>
      <c r="AF158" t="inlineStr">
        <is>
          <t>No</t>
        </is>
      </c>
      <c r="AI158" t="b">
        <v>1</v>
      </c>
      <c r="AJ158" t="n">
        <v>0</v>
      </c>
      <c r="AK158" t="inlineStr"/>
      <c r="AL158" t="inlineStr">
        <is>
          <t>A&amp;SE Analytics &amp; Software Engineering (Philip R.)</t>
        </is>
      </c>
      <c r="AM158" t="inlineStr">
        <is>
          <t>NET .NET Software Engineering (Christian Wi.)</t>
        </is>
      </c>
      <c r="AN158" t="inlineStr">
        <is>
          <t>FUN Fullstack Ninjas (Stefan Z.)</t>
        </is>
      </c>
      <c r="AO158" t="inlineStr">
        <is>
          <t>bridgingIT GmbH</t>
        </is>
      </c>
      <c r="AP158" t="inlineStr">
        <is>
          <t>Mannheim</t>
        </is>
      </c>
      <c r="AQ158" t="inlineStr">
        <is>
          <t>Christian Will</t>
        </is>
      </c>
    </row>
    <row r="159">
      <c r="A159" t="inlineStr">
        <is>
          <t>4084</t>
        </is>
      </c>
      <c r="B159" t="inlineStr">
        <is>
          <t>BE603D</t>
        </is>
      </c>
      <c r="C159" t="inlineStr">
        <is>
          <t>https://app.matchical.com/Consulting/ConsultantDetail?ConsultantId=e299fdaa-713b-4a2b-a5e4-3906febdc357</t>
        </is>
      </c>
      <c r="D159" t="inlineStr">
        <is>
          <t>Ella Ananina</t>
        </is>
      </c>
      <c r="E159" t="inlineStr">
        <is>
          <t>ella.ananina@bridging-it.de</t>
        </is>
      </c>
      <c r="F159" s="2" t="n">
        <v>42887</v>
      </c>
      <c r="G159" s="2" t="n">
        <v>32509</v>
      </c>
      <c r="H159" t="n">
        <v>23</v>
      </c>
      <c r="I159" t="n">
        <v>0</v>
      </c>
      <c r="J159" t="n">
        <v>0</v>
      </c>
      <c r="L159" s="2" t="n">
        <v>45106</v>
      </c>
      <c r="M159" s="2" t="n">
        <v>45841</v>
      </c>
      <c r="N159" t="b">
        <v>0</v>
      </c>
      <c r="O159" t="n">
        <v>105</v>
      </c>
      <c r="P159" t="n">
        <v>117.83</v>
      </c>
      <c r="Q159" t="n">
        <v>97.83</v>
      </c>
      <c r="R159">
        <f>ROUND(O159-P159,2)</f>
        <v/>
      </c>
      <c r="S159">
        <f>ROUND(O159-Q159,2)</f>
        <v/>
      </c>
      <c r="T159" s="3">
        <f>IFERROR(P159/O159,"")</f>
        <v/>
      </c>
      <c r="U159" s="3">
        <f>IFERROR(Q159/O159,"")</f>
        <v/>
      </c>
      <c r="V159" t="n">
        <v>341</v>
      </c>
      <c r="W159" t="n">
        <v>153</v>
      </c>
      <c r="X159" t="n">
        <v>138</v>
      </c>
      <c r="Y159">
        <f>ROUND(V159-W159,2)</f>
        <v/>
      </c>
      <c r="Z159">
        <f>ROUND(V159-X159,2)</f>
        <v/>
      </c>
      <c r="AA159" s="3">
        <f>IFERROR(W159/V159,"")</f>
        <v/>
      </c>
      <c r="AB159" s="3">
        <f>IFERROR(X159/V159,"")</f>
        <v/>
      </c>
      <c r="AC159" t="b">
        <v>0</v>
      </c>
      <c r="AD159" t="b">
        <v>0</v>
      </c>
      <c r="AE159" t="b">
        <v>0</v>
      </c>
      <c r="AF159" t="inlineStr">
        <is>
          <t>No</t>
        </is>
      </c>
      <c r="AI159" t="b">
        <v>1</v>
      </c>
      <c r="AJ159" t="n">
        <v>0</v>
      </c>
      <c r="AK159" t="inlineStr">
        <is>
          <t>Over the past few years, Ella has gained extensive expertise in health care and life sciences projects. She works autonomously, preferring to base her work on objectives and User Stories, using everything that modern project management frameworks offer [classic, agile, hybrid], which she then implements with a project team she leads and with suppliers.</t>
        </is>
      </c>
      <c r="AL159" t="inlineStr">
        <is>
          <t>ORG bIT</t>
        </is>
      </c>
      <c r="AM159" t="inlineStr">
        <is>
          <t>ITPM IT Projectmanagement (Torsten R.)</t>
        </is>
      </c>
      <c r="AN159" t="inlineStr">
        <is>
          <t>MIT Management of IT (Torsten R.)</t>
        </is>
      </c>
      <c r="AO159" t="inlineStr">
        <is>
          <t>bridgingIT GmbH</t>
        </is>
      </c>
      <c r="AP159" t="inlineStr">
        <is>
          <t>Frankfurt</t>
        </is>
      </c>
      <c r="AQ159" t="inlineStr">
        <is>
          <t>Torsten Rinck</t>
        </is>
      </c>
    </row>
    <row r="160">
      <c r="A160" t="inlineStr">
        <is>
          <t>10472</t>
        </is>
      </c>
      <c r="B160" t="inlineStr">
        <is>
          <t>151EFA</t>
        </is>
      </c>
      <c r="C160" t="inlineStr">
        <is>
          <t>https://app.matchical.com/Consulting/ConsultantDetail?ConsultantId=ce94f67b-b39a-4664-afe0-73ad28f53901</t>
        </is>
      </c>
      <c r="D160" t="inlineStr">
        <is>
          <t>Emily Gargerle</t>
        </is>
      </c>
      <c r="E160" t="inlineStr">
        <is>
          <t>emily.gargerle@bridging-it.de</t>
        </is>
      </c>
      <c r="F160" s="2" t="n">
        <v>46082</v>
      </c>
      <c r="H160" t="n">
        <v>2</v>
      </c>
      <c r="I160" t="n">
        <v>0</v>
      </c>
      <c r="J160" t="n">
        <v>0</v>
      </c>
      <c r="L160" s="2" t="n">
        <v>45230</v>
      </c>
      <c r="M160" s="2" t="n">
        <v>45990</v>
      </c>
      <c r="N160" t="b">
        <v>0</v>
      </c>
      <c r="O160" t="n">
        <v>0</v>
      </c>
      <c r="P160" t="n">
        <v>0</v>
      </c>
      <c r="Q160" t="n">
        <v>0</v>
      </c>
      <c r="R160">
        <f>ROUND(O160-P160,2)</f>
        <v/>
      </c>
      <c r="S160">
        <f>ROUND(O160-Q160,2)</f>
        <v/>
      </c>
      <c r="T160" s="3">
        <f>IFERROR(P160/O160,"")</f>
        <v/>
      </c>
      <c r="U160" s="3">
        <f>IFERROR(Q160/O160,"")</f>
        <v/>
      </c>
      <c r="V160" t="n">
        <v>1514</v>
      </c>
      <c r="W160" t="n">
        <v>31</v>
      </c>
      <c r="X160" t="n">
        <v>25.5</v>
      </c>
      <c r="Y160">
        <f>ROUND(V160-W160,2)</f>
        <v/>
      </c>
      <c r="Z160">
        <f>ROUND(V160-X160,2)</f>
        <v/>
      </c>
      <c r="AA160" s="3">
        <f>IFERROR(W160/V160,"")</f>
        <v/>
      </c>
      <c r="AB160" s="3">
        <f>IFERROR(X160/V160,"")</f>
        <v/>
      </c>
      <c r="AC160" t="b">
        <v>0</v>
      </c>
      <c r="AD160" t="b">
        <v>0</v>
      </c>
      <c r="AE160" t="b">
        <v>0</v>
      </c>
      <c r="AF160" t="inlineStr">
        <is>
          <t>Yes</t>
        </is>
      </c>
      <c r="AG160" s="2" t="n">
        <v>46082</v>
      </c>
      <c r="AI160" t="b">
        <v>1</v>
      </c>
      <c r="AJ160" t="n">
        <v>5</v>
      </c>
      <c r="AK160" t="inlineStr"/>
      <c r="AL160" t="inlineStr">
        <is>
          <t>IT - Information Technology (HH)</t>
        </is>
      </c>
      <c r="AM160" t="inlineStr">
        <is>
          <t>DAI - Data Analytics &amp; KI (Julia Sch.)</t>
        </is>
      </c>
      <c r="AN160" t="inlineStr">
        <is>
          <t>ITC HH (Nicole F.)</t>
        </is>
      </c>
      <c r="AO160" t="inlineStr">
        <is>
          <t>bridgingIT GmbH</t>
        </is>
      </c>
      <c r="AP160" t="inlineStr">
        <is>
          <t>Hamburg</t>
        </is>
      </c>
      <c r="AQ160" t="inlineStr">
        <is>
          <t>Markus Stefan</t>
        </is>
      </c>
    </row>
    <row r="161">
      <c r="A161" t="inlineStr">
        <is>
          <t>10402</t>
        </is>
      </c>
      <c r="B161" t="inlineStr">
        <is>
          <t>EB359F</t>
        </is>
      </c>
      <c r="C161" t="inlineStr">
        <is>
          <t>https://app.matchical.com/Consulting/ConsultantDetail?ConsultantId=1dfc84c1-9ec5-46aa-ba8e-193717d7267c</t>
        </is>
      </c>
      <c r="D161" t="inlineStr">
        <is>
          <t>Emma Prinz</t>
        </is>
      </c>
      <c r="E161" t="inlineStr">
        <is>
          <t>emma.prinz@bridging-it.de</t>
        </is>
      </c>
      <c r="F161" s="2" t="n">
        <v>45962</v>
      </c>
      <c r="G161" s="2" t="n">
        <v>44470</v>
      </c>
      <c r="H161" t="n">
        <v>7</v>
      </c>
      <c r="I161" t="n">
        <v>0</v>
      </c>
      <c r="J161" t="n">
        <v>0</v>
      </c>
      <c r="L161" s="2" t="n">
        <v>45657</v>
      </c>
      <c r="M161" s="2" t="n">
        <v>45715</v>
      </c>
      <c r="N161" t="b">
        <v>0</v>
      </c>
      <c r="O161" t="n">
        <v>4</v>
      </c>
      <c r="P161" t="n">
        <v>1.79</v>
      </c>
      <c r="Q161" t="n">
        <v>1.79</v>
      </c>
      <c r="R161">
        <f>ROUND(O161-P161,2)</f>
        <v/>
      </c>
      <c r="S161">
        <f>ROUND(O161-Q161,2)</f>
        <v/>
      </c>
      <c r="T161" s="3">
        <f>IFERROR(P161/O161,"")</f>
        <v/>
      </c>
      <c r="U161" s="3">
        <f>IFERROR(Q161/O161,"")</f>
        <v/>
      </c>
      <c r="V161" t="n">
        <v>49</v>
      </c>
      <c r="W161" t="n">
        <v>87.95999999999999</v>
      </c>
      <c r="X161" t="n">
        <v>46.54</v>
      </c>
      <c r="Y161">
        <f>ROUND(V161-W161,2)</f>
        <v/>
      </c>
      <c r="Z161">
        <f>ROUND(V161-X161,2)</f>
        <v/>
      </c>
      <c r="AA161" s="3">
        <f>IFERROR(W161/V161,"")</f>
        <v/>
      </c>
      <c r="AB161" s="3">
        <f>IFERROR(X161/V161,"")</f>
        <v/>
      </c>
      <c r="AC161" t="b">
        <v>0</v>
      </c>
      <c r="AD161" t="b">
        <v>0</v>
      </c>
      <c r="AE161" t="b">
        <v>0</v>
      </c>
      <c r="AF161" t="inlineStr">
        <is>
          <t>No</t>
        </is>
      </c>
      <c r="AI161" t="b">
        <v>1</v>
      </c>
      <c r="AJ161" t="n">
        <v>0</v>
      </c>
      <c r="AK161" t="inlineStr"/>
      <c r="AL161" t="inlineStr">
        <is>
          <t>ORG bIT</t>
        </is>
      </c>
      <c r="AM161" t="inlineStr">
        <is>
          <t>BABC - BA and Business Complexity BLN (Karola B.)</t>
        </is>
      </c>
      <c r="AN161" t="inlineStr">
        <is>
          <t>ABC Analysing Business &amp; Collab. BLN (Edgar K.)</t>
        </is>
      </c>
      <c r="AO161" t="inlineStr">
        <is>
          <t>bridgingIT GmbH</t>
        </is>
      </c>
      <c r="AP161" t="inlineStr">
        <is>
          <t>Berlin</t>
        </is>
      </c>
      <c r="AQ161" t="inlineStr">
        <is>
          <t>Karola Bischof</t>
        </is>
      </c>
    </row>
    <row r="162">
      <c r="A162" t="inlineStr">
        <is>
          <t>10059</t>
        </is>
      </c>
      <c r="B162" t="inlineStr">
        <is>
          <t>AB0018</t>
        </is>
      </c>
      <c r="C162" t="inlineStr">
        <is>
          <t>https://app.matchical.com/Consulting/ConsultantDetail?ConsultantId=c86068c7-a61e-4d59-9044-750d79fd81b3</t>
        </is>
      </c>
      <c r="D162" t="inlineStr">
        <is>
          <t>Enisa Alemi</t>
        </is>
      </c>
      <c r="E162" t="inlineStr">
        <is>
          <t>enisa.alemi@bridging-it.de</t>
        </is>
      </c>
      <c r="F162" s="2" t="n">
        <v>44986</v>
      </c>
      <c r="G162" s="2" t="n">
        <v>43952</v>
      </c>
      <c r="H162" t="n">
        <v>6</v>
      </c>
      <c r="I162" t="n">
        <v>0</v>
      </c>
      <c r="J162" t="n">
        <v>0</v>
      </c>
      <c r="L162" s="2" t="n">
        <v>45853</v>
      </c>
      <c r="M162" s="2" t="n">
        <v>46022</v>
      </c>
      <c r="N162" t="b">
        <v>0</v>
      </c>
      <c r="O162" t="n">
        <v>36</v>
      </c>
      <c r="P162" t="n">
        <v>48</v>
      </c>
      <c r="Q162" t="n">
        <v>35</v>
      </c>
      <c r="R162">
        <f>ROUND(O162-P162,2)</f>
        <v/>
      </c>
      <c r="S162">
        <f>ROUND(O162-Q162,2)</f>
        <v/>
      </c>
      <c r="T162" s="3">
        <f>IFERROR(P162/O162,"")</f>
        <v/>
      </c>
      <c r="U162" s="3">
        <f>IFERROR(Q162/O162,"")</f>
        <v/>
      </c>
      <c r="V162" t="n">
        <v>34</v>
      </c>
      <c r="W162" t="n">
        <v>31.97</v>
      </c>
      <c r="X162" t="n">
        <v>25.97</v>
      </c>
      <c r="Y162">
        <f>ROUND(V162-W162,2)</f>
        <v/>
      </c>
      <c r="Z162">
        <f>ROUND(V162-X162,2)</f>
        <v/>
      </c>
      <c r="AA162" s="3">
        <f>IFERROR(W162/V162,"")</f>
        <v/>
      </c>
      <c r="AB162" s="3">
        <f>IFERROR(X162/V162,"")</f>
        <v/>
      </c>
      <c r="AC162" t="b">
        <v>0</v>
      </c>
      <c r="AD162" t="b">
        <v>0</v>
      </c>
      <c r="AE162" t="b">
        <v>0</v>
      </c>
      <c r="AF162" t="inlineStr">
        <is>
          <t>No</t>
        </is>
      </c>
      <c r="AI162" t="b">
        <v>1</v>
      </c>
      <c r="AJ162" t="n">
        <v>0</v>
      </c>
      <c r="AK162" t="inlineStr">
        <is>
          <t>Enisa is currently working in a PMO at DVZ. She is seeking an entry as Scrum Master no earlier than July 2023.
Enisa has two years of professional experience in a scaled agile environment (SAFe) at Deutsche Bahn, predominantly as PMO. During this time, she gained experience in SAFe implementation and change management, and has occasionally taken on Scrum Master duties.</t>
        </is>
      </c>
      <c r="AL162" t="inlineStr">
        <is>
          <t>ORG bIT</t>
        </is>
      </c>
      <c r="AM162" t="inlineStr">
        <is>
          <t>AO Agile Organization (Katharina G.)</t>
        </is>
      </c>
      <c r="AN162" t="inlineStr">
        <is>
          <t>TH Transformation Hub (Ulrich W.)</t>
        </is>
      </c>
      <c r="AO162" t="inlineStr">
        <is>
          <t>bridgingIT GmbH</t>
        </is>
      </c>
      <c r="AP162" t="inlineStr">
        <is>
          <t>Frankfurt</t>
        </is>
      </c>
      <c r="AQ162" t="inlineStr">
        <is>
          <t>Katharina Gossen</t>
        </is>
      </c>
    </row>
    <row r="163">
      <c r="A163" t="inlineStr">
        <is>
          <t>3114</t>
        </is>
      </c>
      <c r="B163" t="inlineStr">
        <is>
          <t>927252</t>
        </is>
      </c>
      <c r="C163" t="inlineStr">
        <is>
          <t>https://app.matchical.com/Consulting/ConsultantDetail?ConsultantId=433ebd20-9515-4d07-bbd4-98048ca0cc9c</t>
        </is>
      </c>
      <c r="D163" t="inlineStr">
        <is>
          <t>Enrico Gatz</t>
        </is>
      </c>
      <c r="E163" t="inlineStr">
        <is>
          <t>enrico.gatz@bridging-it.de</t>
        </is>
      </c>
      <c r="F163" s="2" t="n">
        <v>42552</v>
      </c>
      <c r="G163" s="2" t="n">
        <v>38108</v>
      </c>
      <c r="H163" t="n">
        <v>19</v>
      </c>
      <c r="I163" t="n">
        <v>0</v>
      </c>
      <c r="J163" t="n">
        <v>0</v>
      </c>
      <c r="L163" s="2" t="n">
        <v>45658</v>
      </c>
      <c r="M163" s="2" t="n">
        <v>45837</v>
      </c>
      <c r="N163" t="b">
        <v>0</v>
      </c>
      <c r="O163" t="n">
        <v>116</v>
      </c>
      <c r="P163" t="n">
        <v>108</v>
      </c>
      <c r="Q163" t="n">
        <v>108</v>
      </c>
      <c r="R163">
        <f>ROUND(O163-P163,2)</f>
        <v/>
      </c>
      <c r="S163">
        <f>ROUND(O163-Q163,2)</f>
        <v/>
      </c>
      <c r="T163" s="3">
        <f>IFERROR(P163/O163,"")</f>
        <v/>
      </c>
      <c r="U163" s="3">
        <f>IFERROR(Q163/O163,"")</f>
        <v/>
      </c>
      <c r="V163" t="n">
        <v>146</v>
      </c>
      <c r="W163" t="n">
        <v>145.97</v>
      </c>
      <c r="X163" t="n">
        <v>145.97</v>
      </c>
      <c r="Y163">
        <f>ROUND(V163-W163,2)</f>
        <v/>
      </c>
      <c r="Z163">
        <f>ROUND(V163-X163,2)</f>
        <v/>
      </c>
      <c r="AA163" s="3">
        <f>IFERROR(W163/V163,"")</f>
        <v/>
      </c>
      <c r="AB163" s="3">
        <f>IFERROR(X163/V163,"")</f>
        <v/>
      </c>
      <c r="AC163" t="b">
        <v>0</v>
      </c>
      <c r="AD163" t="b">
        <v>0</v>
      </c>
      <c r="AE163" t="b">
        <v>0</v>
      </c>
      <c r="AF163" t="inlineStr">
        <is>
          <t>No</t>
        </is>
      </c>
      <c r="AI163" t="b">
        <v>0</v>
      </c>
      <c r="AJ163" t="n">
        <v>0</v>
      </c>
      <c r="AK163" t="inlineStr">
        <is>
          <t>Enrico is looking for a new project, gladly also a single engagement; temporary staffing is, of course, possible, and he is willing to travel. Technically, it should lean toward a Fullstack Developer role with Java/Spring Boot/Angular or Java/Java EE/Spring Boot/JSF.</t>
        </is>
      </c>
      <c r="AL163" t="inlineStr">
        <is>
          <t>ORG bIT</t>
        </is>
      </c>
      <c r="AM163" t="inlineStr">
        <is>
          <t>SE Software Engineering Frankfurt (Andreas M.)</t>
        </is>
      </c>
      <c r="AN163" t="inlineStr">
        <is>
          <t>ES Enterprise Solutions (Dominik H.)</t>
        </is>
      </c>
      <c r="AO163" t="inlineStr">
        <is>
          <t>bridgingIT GmbH</t>
        </is>
      </c>
      <c r="AP163" t="inlineStr">
        <is>
          <t>Frankfurt</t>
        </is>
      </c>
      <c r="AQ163" t="inlineStr">
        <is>
          <t>Andreas Morgenstern</t>
        </is>
      </c>
    </row>
    <row r="164">
      <c r="A164" t="inlineStr">
        <is>
          <t>10170</t>
        </is>
      </c>
      <c r="B164" t="inlineStr">
        <is>
          <t>0E3800</t>
        </is>
      </c>
      <c r="C164" t="inlineStr">
        <is>
          <t>https://app.matchical.com/Consulting/ConsultantDetail?ConsultantId=cb908354-b911-4b7c-81f4-e6a6e37905d1</t>
        </is>
      </c>
      <c r="D164" t="inlineStr">
        <is>
          <t>Erdogan Akin</t>
        </is>
      </c>
      <c r="E164" t="inlineStr">
        <is>
          <t>erdogan.akin@fastahead.com</t>
        </is>
      </c>
      <c r="F164" s="2" t="n">
        <v>45231</v>
      </c>
      <c r="G164" s="2" t="n">
        <v>40544</v>
      </c>
      <c r="H164" t="n">
        <v>10</v>
      </c>
      <c r="I164" t="n">
        <v>0</v>
      </c>
      <c r="J164" t="n">
        <v>0</v>
      </c>
      <c r="L164" s="2" t="n">
        <v>45796</v>
      </c>
      <c r="M164" s="2" t="n">
        <v>46022</v>
      </c>
      <c r="N164" t="b">
        <v>0</v>
      </c>
      <c r="O164" t="n">
        <v>28</v>
      </c>
      <c r="P164" t="n">
        <v>73.81</v>
      </c>
      <c r="Q164" t="n">
        <v>27.79</v>
      </c>
      <c r="R164">
        <f>ROUND(O164-P164,2)</f>
        <v/>
      </c>
      <c r="S164">
        <f>ROUND(O164-Q164,2)</f>
        <v/>
      </c>
      <c r="T164" s="3">
        <f>IFERROR(P164/O164,"")</f>
        <v/>
      </c>
      <c r="U164" s="3">
        <f>IFERROR(Q164/O164,"")</f>
        <v/>
      </c>
      <c r="V164" t="n">
        <v>154</v>
      </c>
      <c r="W164" t="n">
        <v>0</v>
      </c>
      <c r="X164" t="n">
        <v>0</v>
      </c>
      <c r="Y164">
        <f>ROUND(V164-W164,2)</f>
        <v/>
      </c>
      <c r="Z164">
        <f>ROUND(V164-X164,2)</f>
        <v/>
      </c>
      <c r="AA164" s="3">
        <f>IFERROR(W164/V164,"")</f>
        <v/>
      </c>
      <c r="AB164" s="3">
        <f>IFERROR(X164/V164,"")</f>
        <v/>
      </c>
      <c r="AC164" t="b">
        <v>0</v>
      </c>
      <c r="AD164" t="b">
        <v>0</v>
      </c>
      <c r="AE164" t="b">
        <v>0</v>
      </c>
      <c r="AF164" t="inlineStr">
        <is>
          <t>Yes</t>
        </is>
      </c>
      <c r="AG164" s="2" t="n">
        <v>46023</v>
      </c>
      <c r="AH164" s="2" t="n">
        <v>46112</v>
      </c>
      <c r="AI164" t="b">
        <v>1</v>
      </c>
      <c r="AJ164" t="n">
        <v>1</v>
      </c>
      <c r="AK164" t="inlineStr"/>
      <c r="AL164" t="inlineStr">
        <is>
          <t>ORG fastahead GmbH &amp; Co. KG</t>
        </is>
      </c>
      <c r="AM164" t="inlineStr">
        <is>
          <t>Enterprise Transformation (Dr. Barbara Vettel)</t>
        </is>
      </c>
      <c r="AN164" t="inlineStr">
        <is>
          <t>fah Dr. Barbara Vettel</t>
        </is>
      </c>
      <c r="AO164" t="inlineStr">
        <is>
          <t>fastahead GmbH &amp; Co. KG</t>
        </is>
      </c>
      <c r="AP164" t="inlineStr">
        <is>
          <t>Mannheim</t>
        </is>
      </c>
      <c r="AQ164" t="inlineStr">
        <is>
          <t>Barbara Vettel</t>
        </is>
      </c>
    </row>
    <row r="165">
      <c r="A165" t="inlineStr">
        <is>
          <t>2153</t>
        </is>
      </c>
      <c r="B165" t="inlineStr">
        <is>
          <t>F19344</t>
        </is>
      </c>
      <c r="C165" t="inlineStr">
        <is>
          <t>https://app.matchical.com/Consulting/ConsultantDetail?ConsultantId=2e7a49f1-ec6f-4818-9456-62f7c6e42fc5</t>
        </is>
      </c>
      <c r="D165" t="inlineStr">
        <is>
          <t>Erhan Nurdogan</t>
        </is>
      </c>
      <c r="E165" t="inlineStr">
        <is>
          <t>erhan.nurdogan@bridging-it.de</t>
        </is>
      </c>
      <c r="F165" s="2" t="n">
        <v>42614</v>
      </c>
      <c r="G165" s="2" t="n">
        <v>38544</v>
      </c>
      <c r="H165" t="n">
        <v>7</v>
      </c>
      <c r="I165" t="n">
        <v>0</v>
      </c>
      <c r="J165" t="n">
        <v>0</v>
      </c>
      <c r="L165" s="2" t="n">
        <v>44571</v>
      </c>
      <c r="M165" s="2" t="n">
        <v>44924</v>
      </c>
      <c r="N165" t="b">
        <v>0</v>
      </c>
      <c r="O165" t="n">
        <v>114</v>
      </c>
      <c r="P165" t="n">
        <v>90</v>
      </c>
      <c r="Q165" t="n">
        <v>63</v>
      </c>
      <c r="R165">
        <f>ROUND(O165-P165,2)</f>
        <v/>
      </c>
      <c r="S165">
        <f>ROUND(O165-Q165,2)</f>
        <v/>
      </c>
      <c r="T165" s="3">
        <f>IFERROR(P165/O165,"")</f>
        <v/>
      </c>
      <c r="U165" s="3">
        <f>IFERROR(Q165/O165,"")</f>
        <v/>
      </c>
      <c r="V165" t="n">
        <v>134</v>
      </c>
      <c r="W165" t="n">
        <v>0</v>
      </c>
      <c r="X165" t="n">
        <v>0</v>
      </c>
      <c r="Y165">
        <f>ROUND(V165-W165,2)</f>
        <v/>
      </c>
      <c r="Z165">
        <f>ROUND(V165-X165,2)</f>
        <v/>
      </c>
      <c r="AA165" s="3">
        <f>IFERROR(W165/V165,"")</f>
        <v/>
      </c>
      <c r="AB165" s="3">
        <f>IFERROR(X165/V165,"")</f>
        <v/>
      </c>
      <c r="AC165" t="b">
        <v>0</v>
      </c>
      <c r="AD165" t="b">
        <v>0</v>
      </c>
      <c r="AE165" t="b">
        <v>0</v>
      </c>
      <c r="AF165" t="inlineStr">
        <is>
          <t>No</t>
        </is>
      </c>
      <c r="AI165" t="b">
        <v>1</v>
      </c>
      <c r="AJ165" t="n">
        <v>0</v>
      </c>
      <c r="AK165" t="inlineStr">
        <is>
          <t>Current utilization: small order (5PT) at terrantsBW and (2PT) Bosch;</t>
        </is>
      </c>
      <c r="AL165" t="inlineStr">
        <is>
          <t>IT Information Technology (Hauke G.)</t>
        </is>
      </c>
      <c r="AM165" t="inlineStr">
        <is>
          <t>ITS IT Security (Erhan N.)</t>
        </is>
      </c>
      <c r="AN165" t="inlineStr">
        <is>
          <t>GRC IT-GRC (Erhan N.)</t>
        </is>
      </c>
      <c r="AO165" t="inlineStr">
        <is>
          <t>bridgingIT GmbH</t>
        </is>
      </c>
      <c r="AP165" t="inlineStr">
        <is>
          <t>Stuttgart</t>
        </is>
      </c>
      <c r="AQ165" t="inlineStr">
        <is>
          <t>Hauke Goppelt</t>
        </is>
      </c>
    </row>
    <row r="166">
      <c r="A166" t="inlineStr">
        <is>
          <t>10399</t>
        </is>
      </c>
      <c r="B166" t="inlineStr">
        <is>
          <t>B033AD</t>
        </is>
      </c>
      <c r="C166" t="inlineStr">
        <is>
          <t>https://app.matchical.com/Consulting/ConsultantDetail?ConsultantId=2b3870be-5b9c-4e0a-aae1-f0a1124d5ebc</t>
        </is>
      </c>
      <c r="D166" t="inlineStr">
        <is>
          <t>Esra Gülmez</t>
        </is>
      </c>
      <c r="E166" t="inlineStr">
        <is>
          <t>esra.guelmez@bridging-it.de</t>
        </is>
      </c>
      <c r="F166" s="2" t="n">
        <v>45931</v>
      </c>
      <c r="G166" s="2" t="n">
        <v>39479</v>
      </c>
      <c r="H166" t="n">
        <v>3</v>
      </c>
      <c r="I166" t="n">
        <v>0</v>
      </c>
      <c r="J166" t="n">
        <v>0</v>
      </c>
      <c r="L166" s="2" t="n">
        <v>44377</v>
      </c>
      <c r="M166" s="2" t="n">
        <v>45462</v>
      </c>
      <c r="N166" t="b">
        <v>0</v>
      </c>
      <c r="O166" t="n">
        <v>5</v>
      </c>
      <c r="P166" t="n">
        <v>4.53</v>
      </c>
      <c r="Q166" t="n">
        <v>4.53</v>
      </c>
      <c r="R166">
        <f>ROUND(O166-P166,2)</f>
        <v/>
      </c>
      <c r="S166">
        <f>ROUND(O166-Q166,2)</f>
        <v/>
      </c>
      <c r="T166" s="3">
        <f>IFERROR(P166/O166,"")</f>
        <v/>
      </c>
      <c r="U166" s="3">
        <f>IFERROR(Q166/O166,"")</f>
        <v/>
      </c>
      <c r="V166" t="n">
        <v>212</v>
      </c>
      <c r="W166" t="n">
        <v>89</v>
      </c>
      <c r="X166" t="n">
        <v>89</v>
      </c>
      <c r="Y166">
        <f>ROUND(V166-W166,2)</f>
        <v/>
      </c>
      <c r="Z166">
        <f>ROUND(V166-X166,2)</f>
        <v/>
      </c>
      <c r="AA166" s="3">
        <f>IFERROR(W166/V166,"")</f>
        <v/>
      </c>
      <c r="AB166" s="3">
        <f>IFERROR(X166/V166,"")</f>
        <v/>
      </c>
      <c r="AC166" t="b">
        <v>0</v>
      </c>
      <c r="AD166" t="b">
        <v>0</v>
      </c>
      <c r="AE166" t="b">
        <v>0</v>
      </c>
      <c r="AF166" t="inlineStr">
        <is>
          <t>Yes</t>
        </is>
      </c>
      <c r="AG166" s="2" t="n">
        <v>46113</v>
      </c>
      <c r="AI166" t="b">
        <v>1</v>
      </c>
      <c r="AJ166" t="n">
        <v>4</v>
      </c>
      <c r="AK166" t="inlineStr">
        <is>
          <t>Esra has received a verbal commitment for the PMO at MMS.</t>
        </is>
      </c>
      <c r="AL166" t="inlineStr">
        <is>
          <t>ORG bIT Bayern</t>
        </is>
      </c>
      <c r="AM166" t="inlineStr">
        <is>
          <t>BAA Business Analysis &amp; Architecture (Viktor P.)</t>
        </is>
      </c>
      <c r="AN166" t="inlineStr">
        <is>
          <t>BPD Business Processes &amp; Data Engineering(Arne K.)</t>
        </is>
      </c>
      <c r="AO166" t="inlineStr">
        <is>
          <t>bridgingIT GmbH</t>
        </is>
      </c>
      <c r="AP166" t="inlineStr">
        <is>
          <t>München</t>
        </is>
      </c>
      <c r="AQ166" t="inlineStr">
        <is>
          <t>Viktor Poloczek</t>
        </is>
      </c>
    </row>
    <row r="167">
      <c r="A167" t="inlineStr">
        <is>
          <t>10460</t>
        </is>
      </c>
      <c r="B167" t="inlineStr">
        <is>
          <t>C0F170</t>
        </is>
      </c>
      <c r="C167" t="inlineStr">
        <is>
          <t>https://app.matchical.com/Consulting/ConsultantDetail?ConsultantId=0a308489-db1d-450f-a19c-3a1aab0d5339</t>
        </is>
      </c>
      <c r="D167" t="inlineStr">
        <is>
          <t>Esther Ostermeyer</t>
        </is>
      </c>
      <c r="E167" t="inlineStr">
        <is>
          <t>esther.ostermeyer@bridging-it.de</t>
        </is>
      </c>
      <c r="F167" s="2" t="n">
        <v>46023</v>
      </c>
      <c r="G167" s="2" t="n">
        <v>32448</v>
      </c>
      <c r="H167" t="n">
        <v>4</v>
      </c>
      <c r="I167" t="n">
        <v>0</v>
      </c>
      <c r="J167" t="n">
        <v>0</v>
      </c>
      <c r="L167" s="2" t="n">
        <v>43465</v>
      </c>
      <c r="M167" s="2" t="n">
        <v>45316</v>
      </c>
      <c r="N167" t="b">
        <v>0</v>
      </c>
      <c r="O167" t="n">
        <v>2</v>
      </c>
      <c r="P167" t="n">
        <v>0</v>
      </c>
      <c r="Q167" t="n">
        <v>0</v>
      </c>
      <c r="R167">
        <f>ROUND(O167-P167,2)</f>
        <v/>
      </c>
      <c r="S167">
        <f>ROUND(O167-Q167,2)</f>
        <v/>
      </c>
      <c r="T167" s="3">
        <f>IFERROR(P167/O167,"")</f>
        <v/>
      </c>
      <c r="U167" s="3">
        <f>IFERROR(Q167/O167,"")</f>
        <v/>
      </c>
      <c r="V167" t="n">
        <v>446</v>
      </c>
      <c r="W167" t="n">
        <v>209</v>
      </c>
      <c r="X167" t="n">
        <v>188</v>
      </c>
      <c r="Y167">
        <f>ROUND(V167-W167,2)</f>
        <v/>
      </c>
      <c r="Z167">
        <f>ROUND(V167-X167,2)</f>
        <v/>
      </c>
      <c r="AA167" s="3">
        <f>IFERROR(W167/V167,"")</f>
        <v/>
      </c>
      <c r="AB167" s="3">
        <f>IFERROR(X167/V167,"")</f>
        <v/>
      </c>
      <c r="AC167" t="b">
        <v>0</v>
      </c>
      <c r="AD167" t="b">
        <v>0</v>
      </c>
      <c r="AE167" t="b">
        <v>0</v>
      </c>
      <c r="AF167" t="inlineStr">
        <is>
          <t>No</t>
        </is>
      </c>
      <c r="AI167" t="b">
        <v>1</v>
      </c>
      <c r="AJ167" t="n">
        <v>0</v>
      </c>
      <c r="AK167" t="inlineStr">
        <is>
          <t>Esther starts on January 1, 2026, with two days per week. She will begin these two days per week at BASF after a brief onboarding at bIT. If she appears in Eng- und Kapa-Tool, it is only because part-time is not correctly accounted for.</t>
        </is>
      </c>
      <c r="AL167" t="inlineStr">
        <is>
          <t>ORG bIT</t>
        </is>
      </c>
      <c r="AM167" t="inlineStr">
        <is>
          <t>Life Science Solutions FFM2 (Sabine S.)</t>
        </is>
      </c>
      <c r="AN167" t="inlineStr">
        <is>
          <t>CC Life Science Solutions (Sabine S.)</t>
        </is>
      </c>
      <c r="AO167" t="inlineStr">
        <is>
          <t>bridgingIT GmbH</t>
        </is>
      </c>
      <c r="AP167" t="inlineStr">
        <is>
          <t>Frankfurt</t>
        </is>
      </c>
      <c r="AQ167" t="inlineStr">
        <is>
          <t>Sabine Sessar</t>
        </is>
      </c>
    </row>
    <row r="168">
      <c r="A168" t="inlineStr">
        <is>
          <t>10323</t>
        </is>
      </c>
      <c r="B168" t="inlineStr">
        <is>
          <t>18E94E</t>
        </is>
      </c>
      <c r="C168" t="inlineStr">
        <is>
          <t>https://app.matchical.com/Consulting/ConsultantDetail?ConsultantId=f8a096bc-d366-40b6-bd94-a988eccde3b2</t>
        </is>
      </c>
      <c r="D168" t="inlineStr">
        <is>
          <t>Ethan Kiarash Bahmanyari</t>
        </is>
      </c>
      <c r="E168" t="inlineStr">
        <is>
          <t>ethan.kiarash.bahmanyari@bridging-it.de</t>
        </is>
      </c>
      <c r="F168" s="2" t="n">
        <v>45566</v>
      </c>
      <c r="G168" s="2" t="n">
        <v>44927</v>
      </c>
      <c r="H168" t="n">
        <v>8</v>
      </c>
      <c r="I168" t="n">
        <v>0</v>
      </c>
      <c r="J168" t="n">
        <v>1</v>
      </c>
      <c r="K168" s="2" t="n">
        <v>45657</v>
      </c>
      <c r="L168" s="2" t="n">
        <v>45579</v>
      </c>
      <c r="M168" s="2" t="n">
        <v>45657</v>
      </c>
      <c r="N168" t="b">
        <v>0</v>
      </c>
      <c r="O168" t="n">
        <v>17</v>
      </c>
      <c r="P168" t="n">
        <v>16</v>
      </c>
      <c r="Q168" t="n">
        <v>15</v>
      </c>
      <c r="R168">
        <f>ROUND(O168-P168,2)</f>
        <v/>
      </c>
      <c r="S168">
        <f>ROUND(O168-Q168,2)</f>
        <v/>
      </c>
      <c r="T168" s="3">
        <f>IFERROR(P168/O168,"")</f>
        <v/>
      </c>
      <c r="U168" s="3">
        <f>IFERROR(Q168/O168,"")</f>
        <v/>
      </c>
      <c r="V168" t="n">
        <v>21</v>
      </c>
      <c r="W168" t="n">
        <v>20.94</v>
      </c>
      <c r="X168" t="n">
        <v>20.94</v>
      </c>
      <c r="Y168">
        <f>ROUND(V168-W168,2)</f>
        <v/>
      </c>
      <c r="Z168">
        <f>ROUND(V168-X168,2)</f>
        <v/>
      </c>
      <c r="AA168" s="3">
        <f>IFERROR(W168/V168,"")</f>
        <v/>
      </c>
      <c r="AB168" s="3">
        <f>IFERROR(X168/V168,"")</f>
        <v/>
      </c>
      <c r="AC168" t="b">
        <v>0</v>
      </c>
      <c r="AD168" t="b">
        <v>0</v>
      </c>
      <c r="AE168" t="b">
        <v>0</v>
      </c>
      <c r="AF168" t="inlineStr">
        <is>
          <t>Yes</t>
        </is>
      </c>
      <c r="AG168" s="2" t="n">
        <v>46113</v>
      </c>
      <c r="AI168" t="b">
        <v>1</v>
      </c>
      <c r="AJ168" t="n">
        <v>5</v>
      </c>
      <c r="AK168" t="inlineStr"/>
      <c r="AL168" t="inlineStr">
        <is>
          <t>ES Enterprise Solutions (Gina H.)</t>
        </is>
      </c>
      <c r="AM168" t="inlineStr">
        <is>
          <t>IEJ Java I (Dominik S.)</t>
        </is>
      </c>
      <c r="AN168" t="inlineStr">
        <is>
          <t>IEJ Individualentwicklung JAVA (Dominik S.)</t>
        </is>
      </c>
      <c r="AO168" t="inlineStr">
        <is>
          <t>bridgingIT GmbH</t>
        </is>
      </c>
      <c r="AP168" t="inlineStr">
        <is>
          <t>Hamburg</t>
        </is>
      </c>
      <c r="AQ168" t="inlineStr">
        <is>
          <t>Dominik Schadow</t>
        </is>
      </c>
    </row>
    <row r="169">
      <c r="A169" t="inlineStr">
        <is>
          <t>1505</t>
        </is>
      </c>
      <c r="B169" t="inlineStr">
        <is>
          <t>3CFD8D</t>
        </is>
      </c>
      <c r="C169" t="inlineStr">
        <is>
          <t>https://app.matchical.com/Consulting/ConsultantDetail?ConsultantId=5c3fc2dd-949f-44bb-9f22-41cc0dfaf30f</t>
        </is>
      </c>
      <c r="D169" t="inlineStr">
        <is>
          <t>Etienne Trost</t>
        </is>
      </c>
      <c r="E169" t="inlineStr">
        <is>
          <t>etienne.trost@bridging-it.de</t>
        </is>
      </c>
      <c r="F169" s="2" t="n">
        <v>44774</v>
      </c>
      <c r="G169" s="2" t="n">
        <v>43101</v>
      </c>
      <c r="H169" t="n">
        <v>7</v>
      </c>
      <c r="I169" t="n">
        <v>0</v>
      </c>
      <c r="J169" t="n">
        <v>1</v>
      </c>
      <c r="K169" s="2" t="n">
        <v>45470</v>
      </c>
      <c r="L169" s="2" t="n">
        <v>45658</v>
      </c>
      <c r="M169" s="2" t="n">
        <v>45746</v>
      </c>
      <c r="N169" t="b">
        <v>0</v>
      </c>
      <c r="O169" t="n">
        <v>43</v>
      </c>
      <c r="P169" t="n">
        <v>51</v>
      </c>
      <c r="Q169" t="n">
        <v>42.81</v>
      </c>
      <c r="R169">
        <f>ROUND(O169-P169,2)</f>
        <v/>
      </c>
      <c r="S169">
        <f>ROUND(O169-Q169,2)</f>
        <v/>
      </c>
      <c r="T169" s="3">
        <f>IFERROR(P169/O169,"")</f>
        <v/>
      </c>
      <c r="U169" s="3">
        <f>IFERROR(Q169/O169,"")</f>
        <v/>
      </c>
      <c r="V169" t="n">
        <v>55</v>
      </c>
      <c r="W169" t="n">
        <v>55</v>
      </c>
      <c r="X169" t="n">
        <v>51</v>
      </c>
      <c r="Y169">
        <f>ROUND(V169-W169,2)</f>
        <v/>
      </c>
      <c r="Z169">
        <f>ROUND(V169-X169,2)</f>
        <v/>
      </c>
      <c r="AA169" s="3">
        <f>IFERROR(W169/V169,"")</f>
        <v/>
      </c>
      <c r="AB169" s="3">
        <f>IFERROR(X169/V169,"")</f>
        <v/>
      </c>
      <c r="AC169" t="b">
        <v>0</v>
      </c>
      <c r="AD169" t="b">
        <v>0</v>
      </c>
      <c r="AE169" t="b">
        <v>0</v>
      </c>
      <c r="AF169" t="inlineStr">
        <is>
          <t>No</t>
        </is>
      </c>
      <c r="AI169" t="b">
        <v>0</v>
      </c>
      <c r="AJ169" t="n">
        <v>0</v>
      </c>
      <c r="AK169" t="inlineStr">
        <is>
          <t>Etienne is currently at Bosch. However, it remains unclear whether he can be engaged for another assignment.</t>
        </is>
      </c>
      <c r="AL169" t="inlineStr">
        <is>
          <t>A&amp;SE Analytics &amp; Software Engineering (Philip R.)</t>
        </is>
      </c>
      <c r="AM169" t="inlineStr">
        <is>
          <t>FH Fullstack Heroes (Lars P.)</t>
        </is>
      </c>
      <c r="AN169" t="inlineStr">
        <is>
          <t>FUN Fullstack Ninjas (Stefan Z.)</t>
        </is>
      </c>
      <c r="AO169" t="inlineStr">
        <is>
          <t>bridgingIT GmbH</t>
        </is>
      </c>
      <c r="AP169" t="inlineStr">
        <is>
          <t>Mannheim</t>
        </is>
      </c>
      <c r="AQ169" t="inlineStr">
        <is>
          <t>Lars Preschke</t>
        </is>
      </c>
    </row>
    <row r="170">
      <c r="A170" t="inlineStr">
        <is>
          <t>10383</t>
        </is>
      </c>
      <c r="B170" t="inlineStr">
        <is>
          <t>E212C9</t>
        </is>
      </c>
      <c r="C170" t="inlineStr">
        <is>
          <t>https://app.matchical.com/Consulting/ConsultantDetail?ConsultantId=f2a0786d-da6a-4ee9-9f86-6c71ac14f1bc</t>
        </is>
      </c>
      <c r="D170" t="inlineStr">
        <is>
          <t>Evelyn Alicke</t>
        </is>
      </c>
      <c r="E170" t="inlineStr">
        <is>
          <t>evelyn.alicke@bridging-it.de</t>
        </is>
      </c>
      <c r="F170" s="2" t="n">
        <v>45870</v>
      </c>
      <c r="H170" t="n">
        <v>2</v>
      </c>
      <c r="I170" t="n">
        <v>0</v>
      </c>
      <c r="J170" t="n">
        <v>0</v>
      </c>
      <c r="L170" s="2" t="n">
        <v>45138</v>
      </c>
      <c r="M170" s="2" t="n">
        <v>45473</v>
      </c>
      <c r="N170" t="b">
        <v>1</v>
      </c>
      <c r="O170" t="n">
        <v>7</v>
      </c>
      <c r="P170" t="n">
        <v>0</v>
      </c>
      <c r="Q170" t="n">
        <v>0</v>
      </c>
      <c r="R170">
        <f>ROUND(O170-P170,2)</f>
        <v/>
      </c>
      <c r="S170">
        <f>ROUND(O170-Q170,2)</f>
        <v/>
      </c>
      <c r="T170" s="3">
        <f>IFERROR(P170/O170,"")</f>
        <v/>
      </c>
      <c r="U170" s="3">
        <f>IFERROR(Q170/O170,"")</f>
        <v/>
      </c>
      <c r="V170" t="n">
        <v>1507</v>
      </c>
      <c r="W170" t="n">
        <v>15</v>
      </c>
      <c r="X170" t="n">
        <v>15</v>
      </c>
      <c r="Y170">
        <f>ROUND(V170-W170,2)</f>
        <v/>
      </c>
      <c r="Z170">
        <f>ROUND(V170-X170,2)</f>
        <v/>
      </c>
      <c r="AA170" s="3">
        <f>IFERROR(W170/V170,"")</f>
        <v/>
      </c>
      <c r="AB170" s="3">
        <f>IFERROR(X170/V170,"")</f>
        <v/>
      </c>
      <c r="AC170" t="b">
        <v>0</v>
      </c>
      <c r="AD170" t="b">
        <v>0</v>
      </c>
      <c r="AE170" t="b">
        <v>0</v>
      </c>
      <c r="AF170" t="inlineStr">
        <is>
          <t>Yes</t>
        </is>
      </c>
      <c r="AG170" s="2" t="n">
        <v>46143</v>
      </c>
      <c r="AI170" t="b">
        <v>1</v>
      </c>
      <c r="AJ170" t="n">
        <v>1.19</v>
      </c>
      <c r="AK170" t="inlineStr">
        <is>
          <t>Leads: SBK</t>
        </is>
      </c>
      <c r="AL170" t="inlineStr">
        <is>
          <t>IT Information Technology (Hauke G.)</t>
        </is>
      </c>
      <c r="AM170" t="inlineStr">
        <is>
          <t>CT Cloud Technology II (Marc L.)</t>
        </is>
      </c>
      <c r="AN170" t="inlineStr">
        <is>
          <t>TC Technology &amp; Cloud (Martin S.)</t>
        </is>
      </c>
      <c r="AO170" t="inlineStr">
        <is>
          <t>bridgingIT GmbH</t>
        </is>
      </c>
      <c r="AP170" t="inlineStr">
        <is>
          <t>Stuttgart</t>
        </is>
      </c>
      <c r="AQ170" t="inlineStr">
        <is>
          <t>Marc Leunig</t>
        </is>
      </c>
    </row>
    <row r="171">
      <c r="A171" t="inlineStr">
        <is>
          <t>1502</t>
        </is>
      </c>
      <c r="B171" t="inlineStr">
        <is>
          <t>5F1F43</t>
        </is>
      </c>
      <c r="C171" t="inlineStr">
        <is>
          <t>https://app.matchical.com/Consulting/ConsultantDetail?ConsultantId=01c582de-92b6-4c97-af72-d4c53d0a4407</t>
        </is>
      </c>
      <c r="D171" t="inlineStr">
        <is>
          <t>Evelyn Kary-Hilsenbeck</t>
        </is>
      </c>
      <c r="E171" t="inlineStr">
        <is>
          <t>evelyn.kary-hilsenbeck@bridging-it.de</t>
        </is>
      </c>
      <c r="F171" s="2" t="n">
        <v>44621</v>
      </c>
      <c r="G171" s="2" t="n">
        <v>44105</v>
      </c>
      <c r="H171" t="n">
        <v>12</v>
      </c>
      <c r="I171" t="n">
        <v>0</v>
      </c>
      <c r="J171" t="n">
        <v>2</v>
      </c>
      <c r="K171" s="2" t="n">
        <v>45473</v>
      </c>
      <c r="L171" s="2" t="n">
        <v>45961</v>
      </c>
      <c r="M171" s="2" t="n">
        <v>46052</v>
      </c>
      <c r="N171" t="b">
        <v>0</v>
      </c>
      <c r="O171" t="n">
        <v>48</v>
      </c>
      <c r="P171" t="n">
        <v>106.97</v>
      </c>
      <c r="Q171" t="n">
        <v>47.84</v>
      </c>
      <c r="R171">
        <f>ROUND(O171-P171,2)</f>
        <v/>
      </c>
      <c r="S171">
        <f>ROUND(O171-Q171,2)</f>
        <v/>
      </c>
      <c r="T171" s="3">
        <f>IFERROR(P171/O171,"")</f>
        <v/>
      </c>
      <c r="U171" s="3">
        <f>IFERROR(Q171/O171,"")</f>
        <v/>
      </c>
      <c r="V171" t="n">
        <v>17</v>
      </c>
      <c r="W171" t="n">
        <v>19.03</v>
      </c>
      <c r="X171" t="n">
        <v>9.029999999999999</v>
      </c>
      <c r="Y171">
        <f>ROUND(V171-W171,2)</f>
        <v/>
      </c>
      <c r="Z171">
        <f>ROUND(V171-X171,2)</f>
        <v/>
      </c>
      <c r="AA171" s="3">
        <f>IFERROR(W171/V171,"")</f>
        <v/>
      </c>
      <c r="AB171" s="3">
        <f>IFERROR(X171/V171,"")</f>
        <v/>
      </c>
      <c r="AC171" t="b">
        <v>0</v>
      </c>
      <c r="AD171" t="b">
        <v>0</v>
      </c>
      <c r="AE171" t="b">
        <v>0</v>
      </c>
      <c r="AF171" t="inlineStr">
        <is>
          <t>Yes</t>
        </is>
      </c>
      <c r="AG171" s="2" t="n">
        <v>46023</v>
      </c>
      <c r="AI171" t="b">
        <v>1</v>
      </c>
      <c r="AJ171" t="n">
        <v>5</v>
      </c>
      <c r="AK171" t="inlineStr"/>
      <c r="AL171" t="inlineStr">
        <is>
          <t>T&amp;A - Transformation &amp; Agility (Arne K.)</t>
        </is>
      </c>
      <c r="AM171" t="inlineStr">
        <is>
          <t>E2E PM – Project &amp; Process Mgt. (Jennifer B.)</t>
        </is>
      </c>
      <c r="AN171" t="inlineStr">
        <is>
          <t>TBC - Transforming Business Concepts (Bastian T.)</t>
        </is>
      </c>
      <c r="AO171" t="inlineStr">
        <is>
          <t>bridgingIT GmbH</t>
        </is>
      </c>
      <c r="AP171" t="inlineStr">
        <is>
          <t>Mannheim</t>
        </is>
      </c>
      <c r="AQ171" t="inlineStr">
        <is>
          <t>Jennifer Bürgel</t>
        </is>
      </c>
    </row>
    <row r="172">
      <c r="A172" t="inlineStr">
        <is>
          <t>1431</t>
        </is>
      </c>
      <c r="B172" t="inlineStr">
        <is>
          <t>B9A63D</t>
        </is>
      </c>
      <c r="C172" t="inlineStr">
        <is>
          <t>https://app.matchical.com/Consulting/ConsultantDetail?ConsultantId=e8a171ff-34c6-4eb9-ad62-fef67ce744c3</t>
        </is>
      </c>
      <c r="D172" t="inlineStr">
        <is>
          <t>Fabian Greck</t>
        </is>
      </c>
      <c r="E172" t="inlineStr">
        <is>
          <t>fabian.greck@bridging-it.de</t>
        </is>
      </c>
      <c r="F172" s="2" t="n">
        <v>43344</v>
      </c>
      <c r="G172" s="2" t="n">
        <v>42887</v>
      </c>
      <c r="H172" t="n">
        <v>4</v>
      </c>
      <c r="I172" t="n">
        <v>0</v>
      </c>
      <c r="J172" t="n">
        <v>1</v>
      </c>
      <c r="K172" s="2" t="n">
        <v>44561</v>
      </c>
      <c r="L172" s="2" t="n">
        <v>45139</v>
      </c>
      <c r="M172" s="2" t="n">
        <v>45229</v>
      </c>
      <c r="N172" t="b">
        <v>0</v>
      </c>
      <c r="O172" t="n">
        <v>90</v>
      </c>
      <c r="P172" t="n">
        <v>113</v>
      </c>
      <c r="Q172" t="n">
        <v>84</v>
      </c>
      <c r="R172">
        <f>ROUND(O172-P172,2)</f>
        <v/>
      </c>
      <c r="S172">
        <f>ROUND(O172-Q172,2)</f>
        <v/>
      </c>
      <c r="T172" s="3">
        <f>IFERROR(P172/O172,"")</f>
        <v/>
      </c>
      <c r="U172" s="3">
        <f>IFERROR(Q172/O172,"")</f>
        <v/>
      </c>
      <c r="V172" t="n">
        <v>15</v>
      </c>
      <c r="W172" t="n">
        <v>0</v>
      </c>
      <c r="X172" t="n">
        <v>0</v>
      </c>
      <c r="Y172">
        <f>ROUND(V172-W172,2)</f>
        <v/>
      </c>
      <c r="Z172">
        <f>ROUND(V172-X172,2)</f>
        <v/>
      </c>
      <c r="AA172" s="3">
        <f>IFERROR(W172/V172,"")</f>
        <v/>
      </c>
      <c r="AB172" s="3">
        <f>IFERROR(X172/V172,"")</f>
        <v/>
      </c>
      <c r="AC172" t="b">
        <v>0</v>
      </c>
      <c r="AD172" t="b">
        <v>0</v>
      </c>
      <c r="AE172" t="b">
        <v>0</v>
      </c>
      <c r="AF172" t="inlineStr">
        <is>
          <t>Yes</t>
        </is>
      </c>
      <c r="AG172" s="2" t="n">
        <v>46235</v>
      </c>
      <c r="AI172" t="b">
        <v>0</v>
      </c>
      <c r="AJ172" t="n">
        <v>5</v>
      </c>
      <c r="AK172" t="inlineStr"/>
      <c r="AL172" t="inlineStr">
        <is>
          <t>IT - Information Technology (Sebastian L.)</t>
        </is>
      </c>
      <c r="AM172" t="inlineStr">
        <is>
          <t>ESM Enterprise Service Management (Christian Wo.)</t>
        </is>
      </c>
      <c r="AN172" t="inlineStr">
        <is>
          <t>C&amp;DO - Cloud &amp; DevOps (Sebastian L.)</t>
        </is>
      </c>
      <c r="AO172" t="inlineStr">
        <is>
          <t>bridgingIT GmbH</t>
        </is>
      </c>
      <c r="AP172" t="inlineStr">
        <is>
          <t>Mannheim</t>
        </is>
      </c>
      <c r="AQ172" t="inlineStr">
        <is>
          <t>Christian Wolf</t>
        </is>
      </c>
    </row>
    <row r="173">
      <c r="A173" t="inlineStr">
        <is>
          <t>10220</t>
        </is>
      </c>
      <c r="B173" t="inlineStr">
        <is>
          <t>341388</t>
        </is>
      </c>
      <c r="C173" t="inlineStr">
        <is>
          <t>https://app.matchical.com/Consulting/ConsultantDetail?ConsultantId=5121c2a0-dca4-41c8-9e87-088e23cd31d1</t>
        </is>
      </c>
      <c r="D173" t="inlineStr">
        <is>
          <t>Fabian Heidelberg</t>
        </is>
      </c>
      <c r="E173" t="inlineStr">
        <is>
          <t>fabian.heidelberg@fastahead.com</t>
        </is>
      </c>
      <c r="F173" s="2" t="n">
        <v>45292</v>
      </c>
      <c r="G173" s="2" t="n">
        <v>38930</v>
      </c>
      <c r="H173" t="n">
        <v>10</v>
      </c>
      <c r="I173" t="n">
        <v>0</v>
      </c>
      <c r="J173" t="n">
        <v>1</v>
      </c>
      <c r="K173" s="2" t="n">
        <v>45138</v>
      </c>
      <c r="L173" s="2" t="n">
        <v>44012</v>
      </c>
      <c r="M173" s="2" t="n">
        <v>45290</v>
      </c>
      <c r="N173" t="b">
        <v>0</v>
      </c>
      <c r="O173" t="n">
        <v>26</v>
      </c>
      <c r="P173" t="n">
        <v>25.08</v>
      </c>
      <c r="Q173" t="n">
        <v>21.99</v>
      </c>
      <c r="R173">
        <f>ROUND(O173-P173,2)</f>
        <v/>
      </c>
      <c r="S173">
        <f>ROUND(O173-Q173,2)</f>
        <v/>
      </c>
      <c r="T173" s="3">
        <f>IFERROR(P173/O173,"")</f>
        <v/>
      </c>
      <c r="U173" s="3">
        <f>IFERROR(Q173/O173,"")</f>
        <v/>
      </c>
      <c r="V173" t="n">
        <v>209</v>
      </c>
      <c r="W173" t="n">
        <v>254.92</v>
      </c>
      <c r="X173" t="n">
        <v>58.01</v>
      </c>
      <c r="Y173">
        <f>ROUND(V173-W173,2)</f>
        <v/>
      </c>
      <c r="Z173">
        <f>ROUND(V173-X173,2)</f>
        <v/>
      </c>
      <c r="AA173" s="3">
        <f>IFERROR(W173/V173,"")</f>
        <v/>
      </c>
      <c r="AB173" s="3">
        <f>IFERROR(X173/V173,"")</f>
        <v/>
      </c>
      <c r="AC173" t="b">
        <v>0</v>
      </c>
      <c r="AD173" t="b">
        <v>0</v>
      </c>
      <c r="AE173" t="b">
        <v>0</v>
      </c>
      <c r="AF173" t="inlineStr">
        <is>
          <t>No</t>
        </is>
      </c>
      <c r="AI173" t="b">
        <v>1</v>
      </c>
      <c r="AJ173" t="n">
        <v>0</v>
      </c>
      <c r="AK173" t="inlineStr">
        <is>
          <t>Fabian Heidelberg is currently offered to the following clients:
Media Markt Saturn
EnBW "APC"
50Hz
Mercedes-Benz</t>
        </is>
      </c>
      <c r="AL173" t="inlineStr">
        <is>
          <t>ORG fastahead GmbH &amp; Co. KG</t>
        </is>
      </c>
      <c r="AM173" t="inlineStr">
        <is>
          <t>User Experience Design</t>
        </is>
      </c>
      <c r="AN173" t="inlineStr">
        <is>
          <t>fah Tim Thierfelder</t>
        </is>
      </c>
      <c r="AO173" t="inlineStr">
        <is>
          <t>fastahead GmbH &amp; Co. KG</t>
        </is>
      </c>
      <c r="AP173" t="inlineStr">
        <is>
          <t>Stuttgart</t>
        </is>
      </c>
      <c r="AQ173" t="inlineStr">
        <is>
          <t>Anastasia Rettberg-Kluter</t>
        </is>
      </c>
    </row>
    <row r="174">
      <c r="A174" t="inlineStr">
        <is>
          <t>1487</t>
        </is>
      </c>
      <c r="B174" t="inlineStr">
        <is>
          <t>13A388</t>
        </is>
      </c>
      <c r="C174" t="inlineStr">
        <is>
          <t>https://app.matchical.com/Consulting/ConsultantDetail?ConsultantId=ce0cc79c-31a7-43e9-8b18-88b1385b7122</t>
        </is>
      </c>
      <c r="D174" t="inlineStr">
        <is>
          <t>Fabian Mieger</t>
        </is>
      </c>
      <c r="E174" t="inlineStr">
        <is>
          <t>fabian.mieger@bridging-it.de</t>
        </is>
      </c>
      <c r="F174" s="2" t="n">
        <v>44562</v>
      </c>
      <c r="G174" s="2" t="n">
        <v>42217</v>
      </c>
      <c r="H174" t="n">
        <v>6</v>
      </c>
      <c r="I174" t="n">
        <v>0</v>
      </c>
      <c r="J174" t="n">
        <v>2</v>
      </c>
      <c r="K174" s="2" t="n">
        <v>45761</v>
      </c>
      <c r="L174" s="2" t="n">
        <v>44895</v>
      </c>
      <c r="M174" s="2" t="n">
        <v>45504</v>
      </c>
      <c r="N174" t="b">
        <v>0</v>
      </c>
      <c r="O174" t="n">
        <v>50</v>
      </c>
      <c r="P174" t="n">
        <v>66.97</v>
      </c>
      <c r="Q174" t="n">
        <v>41.98</v>
      </c>
      <c r="R174">
        <f>ROUND(O174-P174,2)</f>
        <v/>
      </c>
      <c r="S174">
        <f>ROUND(O174-Q174,2)</f>
        <v/>
      </c>
      <c r="T174" s="3">
        <f>IFERROR(P174/O174,"")</f>
        <v/>
      </c>
      <c r="U174" s="3">
        <f>IFERROR(Q174/O174,"")</f>
        <v/>
      </c>
      <c r="V174" t="n">
        <v>77</v>
      </c>
      <c r="W174" t="n">
        <v>44.03</v>
      </c>
      <c r="X174" t="n">
        <v>44.02</v>
      </c>
      <c r="Y174">
        <f>ROUND(V174-W174,2)</f>
        <v/>
      </c>
      <c r="Z174">
        <f>ROUND(V174-X174,2)</f>
        <v/>
      </c>
      <c r="AA174" s="3">
        <f>IFERROR(W174/V174,"")</f>
        <v/>
      </c>
      <c r="AB174" s="3">
        <f>IFERROR(X174/V174,"")</f>
        <v/>
      </c>
      <c r="AC174" t="b">
        <v>0</v>
      </c>
      <c r="AD174" t="b">
        <v>0</v>
      </c>
      <c r="AE174" t="b">
        <v>0</v>
      </c>
      <c r="AF174" t="inlineStr">
        <is>
          <t>No</t>
        </is>
      </c>
      <c r="AI174" t="b">
        <v>0</v>
      </c>
      <c r="AJ174" t="n">
        <v>0</v>
      </c>
      <c r="AK174" t="inlineStr">
        <is>
          <t>Broad knowledge of administration and support, focused on technical DevOps.
Terraform, Azure Cloud, AWS, REST/SOAP, CI/CD (Git, Gitlab, Jenkins, Azure DevOps), ITIL, ...</t>
        </is>
      </c>
      <c r="AL174" t="inlineStr">
        <is>
          <t>IT - Information Technology (Sebastian L.)</t>
        </is>
      </c>
      <c r="AM174" t="inlineStr">
        <is>
          <t>DOE DevOps Enablement (Florian W.)</t>
        </is>
      </c>
      <c r="AN174" t="inlineStr">
        <is>
          <t>C&amp;DO - Cloud &amp; DevOps (Sebastian L.)</t>
        </is>
      </c>
      <c r="AO174" t="inlineStr">
        <is>
          <t>bridgingIT GmbH</t>
        </is>
      </c>
      <c r="AP174" t="inlineStr">
        <is>
          <t>Mannheim</t>
        </is>
      </c>
      <c r="AQ174" t="inlineStr">
        <is>
          <t>Florian Wendel</t>
        </is>
      </c>
    </row>
    <row r="175">
      <c r="A175" t="inlineStr">
        <is>
          <t>8689</t>
        </is>
      </c>
      <c r="B175" t="inlineStr">
        <is>
          <t>8AA3A9</t>
        </is>
      </c>
      <c r="C175" t="inlineStr">
        <is>
          <t>https://app.matchical.com/Consulting/ConsultantDetail?ConsultantId=77a281c9-e5f8-4a29-b03e-46190d52da0e</t>
        </is>
      </c>
      <c r="D175" t="inlineStr">
        <is>
          <t>Fabian Schütz</t>
        </is>
      </c>
      <c r="E175" t="inlineStr">
        <is>
          <t>fabian.schuetz@crafting-it.de</t>
        </is>
      </c>
      <c r="F175" s="2" t="n">
        <v>44378</v>
      </c>
      <c r="G175" s="2" t="n">
        <v>43160</v>
      </c>
      <c r="H175" t="n">
        <v>24</v>
      </c>
      <c r="I175" t="n">
        <v>0</v>
      </c>
      <c r="J175" t="n">
        <v>0</v>
      </c>
      <c r="L175" s="2" t="n">
        <v>44377</v>
      </c>
      <c r="M175" s="2" t="n">
        <v>45837</v>
      </c>
      <c r="N175" t="b">
        <v>0</v>
      </c>
      <c r="O175" t="n">
        <v>56</v>
      </c>
      <c r="P175" t="n">
        <v>316.9</v>
      </c>
      <c r="Q175" t="n">
        <v>49.98</v>
      </c>
      <c r="R175">
        <f>ROUND(O175-P175,2)</f>
        <v/>
      </c>
      <c r="S175">
        <f>ROUND(O175-Q175,2)</f>
        <v/>
      </c>
      <c r="T175" s="3">
        <f>IFERROR(P175/O175,"")</f>
        <v/>
      </c>
      <c r="U175" s="3">
        <f>IFERROR(Q175/O175,"")</f>
        <v/>
      </c>
      <c r="V175" t="n">
        <v>40</v>
      </c>
      <c r="W175" t="n">
        <v>0.1</v>
      </c>
      <c r="X175" t="n">
        <v>0.02</v>
      </c>
      <c r="Y175">
        <f>ROUND(V175-W175,2)</f>
        <v/>
      </c>
      <c r="Z175">
        <f>ROUND(V175-X175,2)</f>
        <v/>
      </c>
      <c r="AA175" s="3">
        <f>IFERROR(W175/V175,"")</f>
        <v/>
      </c>
      <c r="AB175" s="3">
        <f>IFERROR(X175/V175,"")</f>
        <v/>
      </c>
      <c r="AC175" t="b">
        <v>0</v>
      </c>
      <c r="AD175" t="b">
        <v>0</v>
      </c>
      <c r="AE175" t="b">
        <v>0</v>
      </c>
      <c r="AF175" t="inlineStr">
        <is>
          <t>No</t>
        </is>
      </c>
      <c r="AI175" t="b">
        <v>0</v>
      </c>
      <c r="AJ175" t="n">
        <v>0</v>
      </c>
      <c r="AK175" t="inlineStr"/>
      <c r="AL175" t="inlineStr">
        <is>
          <t>ORG cIT</t>
        </is>
      </c>
      <c r="AM175" t="inlineStr">
        <is>
          <t>cIT AMS / GIS Services (Michael B.)</t>
        </is>
      </c>
      <c r="AN175" t="inlineStr">
        <is>
          <t>cIT Service Delivery Magdeburg (Steffen A.)</t>
        </is>
      </c>
      <c r="AO175" t="inlineStr">
        <is>
          <t>craftingIT GmbH</t>
        </is>
      </c>
      <c r="AP175" t="inlineStr">
        <is>
          <t>Karlsruhe</t>
        </is>
      </c>
      <c r="AQ175" t="inlineStr">
        <is>
          <t>Michael Buchter</t>
        </is>
      </c>
    </row>
    <row r="176">
      <c r="A176" t="inlineStr">
        <is>
          <t>2246</t>
        </is>
      </c>
      <c r="B176" t="inlineStr">
        <is>
          <t>E1C936</t>
        </is>
      </c>
      <c r="C176" t="inlineStr">
        <is>
          <t>https://app.matchical.com/Consulting/ConsultantDetail?ConsultantId=e9ea4885-202d-46ed-8830-2e081cace565</t>
        </is>
      </c>
      <c r="D176" t="inlineStr">
        <is>
          <t>Fabian Wehrle</t>
        </is>
      </c>
      <c r="E176" t="inlineStr">
        <is>
          <t>fabian.wehrle@bridging-it.de</t>
        </is>
      </c>
      <c r="F176" s="2" t="n">
        <v>43556</v>
      </c>
      <c r="G176" s="2" t="n">
        <v>41518</v>
      </c>
      <c r="H176" t="n">
        <v>10</v>
      </c>
      <c r="I176" t="n">
        <v>0</v>
      </c>
      <c r="J176" t="n">
        <v>0</v>
      </c>
      <c r="L176" s="2" t="n">
        <v>44227</v>
      </c>
      <c r="M176" s="2" t="n">
        <v>44925</v>
      </c>
      <c r="N176" t="b">
        <v>0</v>
      </c>
      <c r="O176" t="n">
        <v>83</v>
      </c>
      <c r="P176" t="n">
        <v>100.9</v>
      </c>
      <c r="Q176" t="n">
        <v>78.90000000000001</v>
      </c>
      <c r="R176">
        <f>ROUND(O176-P176,2)</f>
        <v/>
      </c>
      <c r="S176">
        <f>ROUND(O176-Q176,2)</f>
        <v/>
      </c>
      <c r="T176" s="3">
        <f>IFERROR(P176/O176,"")</f>
        <v/>
      </c>
      <c r="U176" s="3">
        <f>IFERROR(Q176/O176,"")</f>
        <v/>
      </c>
      <c r="V176" t="n">
        <v>67</v>
      </c>
      <c r="W176" t="n">
        <v>43</v>
      </c>
      <c r="X176" t="n">
        <v>41</v>
      </c>
      <c r="Y176">
        <f>ROUND(V176-W176,2)</f>
        <v/>
      </c>
      <c r="Z176">
        <f>ROUND(V176-X176,2)</f>
        <v/>
      </c>
      <c r="AA176" s="3">
        <f>IFERROR(W176/V176,"")</f>
        <v/>
      </c>
      <c r="AB176" s="3">
        <f>IFERROR(X176/V176,"")</f>
        <v/>
      </c>
      <c r="AC176" t="b">
        <v>0</v>
      </c>
      <c r="AD176" t="b">
        <v>0</v>
      </c>
      <c r="AE176" t="b">
        <v>0</v>
      </c>
      <c r="AF176" t="inlineStr">
        <is>
          <t>Yes</t>
        </is>
      </c>
      <c r="AG176" s="2" t="n">
        <v>46082</v>
      </c>
      <c r="AI176" t="b">
        <v>0</v>
      </c>
      <c r="AJ176" t="n">
        <v>5</v>
      </c>
      <c r="AK176" t="inlineStr"/>
      <c r="AL176" t="inlineStr">
        <is>
          <t>IT Information Technology (Hauke G.)</t>
        </is>
      </c>
      <c r="AM176" t="inlineStr">
        <is>
          <t>CT Cloud Technology II (Marc L.)</t>
        </is>
      </c>
      <c r="AN176" t="inlineStr">
        <is>
          <t>TC Technology &amp; Cloud (Martin S.)</t>
        </is>
      </c>
      <c r="AO176" t="inlineStr">
        <is>
          <t>bridgingIT GmbH</t>
        </is>
      </c>
      <c r="AP176" t="inlineStr">
        <is>
          <t>Stuttgart</t>
        </is>
      </c>
      <c r="AQ176" t="inlineStr">
        <is>
          <t>Marc Leunig</t>
        </is>
      </c>
    </row>
    <row r="177">
      <c r="A177" t="inlineStr">
        <is>
          <t>10362</t>
        </is>
      </c>
      <c r="B177" t="inlineStr">
        <is>
          <t>A2AC8A</t>
        </is>
      </c>
      <c r="C177" t="inlineStr">
        <is>
          <t>https://app.matchical.com/Consulting/ConsultantDetail?ConsultantId=52ca72a1-f8f4-45f7-a5d6-42794e909aca</t>
        </is>
      </c>
      <c r="D177" t="inlineStr">
        <is>
          <t>Fabio Cosimo Andriulo</t>
        </is>
      </c>
      <c r="E177" t="inlineStr">
        <is>
          <t>fabio.andriulo@bridging-it.de</t>
        </is>
      </c>
      <c r="F177" s="2" t="n">
        <v>45870</v>
      </c>
      <c r="G177" s="2" t="n">
        <v>44958</v>
      </c>
      <c r="H177" t="n">
        <v>6</v>
      </c>
      <c r="I177" t="n">
        <v>0</v>
      </c>
      <c r="J177" t="n">
        <v>0</v>
      </c>
      <c r="L177" s="2" t="n">
        <v>45869</v>
      </c>
      <c r="M177" s="2" t="n">
        <v>45930</v>
      </c>
      <c r="N177" t="b">
        <v>0</v>
      </c>
      <c r="O177" t="n">
        <v>7</v>
      </c>
      <c r="P177" t="n">
        <v>1.97</v>
      </c>
      <c r="Q177" t="n">
        <v>1.97</v>
      </c>
      <c r="R177">
        <f>ROUND(O177-P177,2)</f>
        <v/>
      </c>
      <c r="S177">
        <f>ROUND(O177-Q177,2)</f>
        <v/>
      </c>
      <c r="T177" s="3">
        <f>IFERROR(P177/O177,"")</f>
        <v/>
      </c>
      <c r="U177" s="3">
        <f>IFERROR(Q177/O177,"")</f>
        <v/>
      </c>
      <c r="V177" t="n">
        <v>30</v>
      </c>
      <c r="W177" t="n">
        <v>24.03</v>
      </c>
      <c r="X177" t="n">
        <v>24.03</v>
      </c>
      <c r="Y177">
        <f>ROUND(V177-W177,2)</f>
        <v/>
      </c>
      <c r="Z177">
        <f>ROUND(V177-X177,2)</f>
        <v/>
      </c>
      <c r="AA177" s="3">
        <f>IFERROR(W177/V177,"")</f>
        <v/>
      </c>
      <c r="AB177" s="3">
        <f>IFERROR(X177/V177,"")</f>
        <v/>
      </c>
      <c r="AC177" t="b">
        <v>0</v>
      </c>
      <c r="AD177" t="b">
        <v>0</v>
      </c>
      <c r="AE177" t="b">
        <v>0</v>
      </c>
      <c r="AF177" t="inlineStr">
        <is>
          <t>Yes</t>
        </is>
      </c>
      <c r="AG177" s="2" t="n">
        <v>46023</v>
      </c>
      <c r="AI177" t="b">
        <v>1</v>
      </c>
      <c r="AJ177" t="n">
        <v>2.5</v>
      </c>
      <c r="AK177" t="inlineStr">
        <is>
          <t>Fabio has, in addition to heo.com, about 2.5 person-days of buffer.</t>
        </is>
      </c>
      <c r="AL177" t="inlineStr">
        <is>
          <t>A&amp;SE Analytics &amp; Software Engineering (Philip R.)</t>
        </is>
      </c>
      <c r="AM177" t="inlineStr">
        <is>
          <t>DP Data Platforms (Martin K.)</t>
        </is>
      </c>
      <c r="AN177" t="inlineStr">
        <is>
          <t>A&amp;DDS - Analytics &amp; Data-driven Solutions (M. Hof)</t>
        </is>
      </c>
      <c r="AO177" t="inlineStr">
        <is>
          <t>bridgingIT GmbH</t>
        </is>
      </c>
      <c r="AP177" t="inlineStr">
        <is>
          <t>Berlin</t>
        </is>
      </c>
      <c r="AQ177" t="inlineStr">
        <is>
          <t>Martin Klingenberg</t>
        </is>
      </c>
    </row>
    <row r="178">
      <c r="A178" t="inlineStr">
        <is>
          <t>10063</t>
        </is>
      </c>
      <c r="B178" t="inlineStr">
        <is>
          <t>899EF2</t>
        </is>
      </c>
      <c r="C178" t="inlineStr">
        <is>
          <t>https://app.matchical.com/Consulting/ConsultantDetail?ConsultantId=a6b41694-d5d2-4b8d-b8f3-a41754953875</t>
        </is>
      </c>
      <c r="D178" t="inlineStr">
        <is>
          <t>Felix Mehlhaus</t>
        </is>
      </c>
      <c r="E178" t="inlineStr">
        <is>
          <t>felix.mehlhaus@bridging-it.de</t>
        </is>
      </c>
      <c r="F178" s="2" t="n">
        <v>44958</v>
      </c>
      <c r="H178" t="n">
        <v>11</v>
      </c>
      <c r="I178" t="n">
        <v>0</v>
      </c>
      <c r="J178" t="n">
        <v>1</v>
      </c>
      <c r="K178" s="2" t="n">
        <v>45016</v>
      </c>
      <c r="L178" s="2" t="n">
        <v>45762</v>
      </c>
      <c r="M178" s="2" t="n">
        <v>45976</v>
      </c>
      <c r="N178" t="b">
        <v>0</v>
      </c>
      <c r="O178" t="n">
        <v>37</v>
      </c>
      <c r="P178" t="n">
        <v>90</v>
      </c>
      <c r="Q178" t="n">
        <v>36.76</v>
      </c>
      <c r="R178">
        <f>ROUND(O178-P178,2)</f>
        <v/>
      </c>
      <c r="S178">
        <f>ROUND(O178-Q178,2)</f>
        <v/>
      </c>
      <c r="T178" s="3">
        <f>IFERROR(P178/O178,"")</f>
        <v/>
      </c>
      <c r="U178" s="3">
        <f>IFERROR(Q178/O178,"")</f>
        <v/>
      </c>
      <c r="V178" t="n">
        <v>1477</v>
      </c>
      <c r="W178" t="n">
        <v>116</v>
      </c>
      <c r="X178" t="n">
        <v>92</v>
      </c>
      <c r="Y178">
        <f>ROUND(V178-W178,2)</f>
        <v/>
      </c>
      <c r="Z178">
        <f>ROUND(V178-X178,2)</f>
        <v/>
      </c>
      <c r="AA178" s="3">
        <f>IFERROR(W178/V178,"")</f>
        <v/>
      </c>
      <c r="AB178" s="3">
        <f>IFERROR(X178/V178,"")</f>
        <v/>
      </c>
      <c r="AC178" t="b">
        <v>0</v>
      </c>
      <c r="AD178" t="b">
        <v>0</v>
      </c>
      <c r="AE178" t="b">
        <v>0</v>
      </c>
      <c r="AF178" t="inlineStr">
        <is>
          <t>No</t>
        </is>
      </c>
      <c r="AI178" t="b">
        <v>1</v>
      </c>
      <c r="AJ178" t="n">
        <v>0</v>
      </c>
      <c r="AK178" t="inlineStr"/>
      <c r="AL178" t="inlineStr">
        <is>
          <t>ORG bIT</t>
        </is>
      </c>
      <c r="AM178" t="inlineStr">
        <is>
          <t>PS Project Services (Ulrich W.)</t>
        </is>
      </c>
      <c r="AN178" t="inlineStr">
        <is>
          <t>TH Transformation Hub (Ulrich W.)</t>
        </is>
      </c>
      <c r="AO178" t="inlineStr">
        <is>
          <t>bridgingIT GmbH</t>
        </is>
      </c>
      <c r="AP178" t="inlineStr">
        <is>
          <t>Frankfurt</t>
        </is>
      </c>
      <c r="AQ178" t="inlineStr">
        <is>
          <t>Ulrich Waltinger</t>
        </is>
      </c>
    </row>
    <row r="179">
      <c r="A179" t="inlineStr">
        <is>
          <t>1470</t>
        </is>
      </c>
      <c r="B179" t="inlineStr">
        <is>
          <t>B21663</t>
        </is>
      </c>
      <c r="C179" t="inlineStr">
        <is>
          <t>https://app.matchical.com/Consulting/ConsultantDetail?ConsultantId=4983b842-79cf-41ad-bf46-3888f2d7c3e2</t>
        </is>
      </c>
      <c r="D179" t="inlineStr">
        <is>
          <t>Felix Pille</t>
        </is>
      </c>
      <c r="E179" t="inlineStr">
        <is>
          <t>felix.pille@bridging-it.de</t>
        </is>
      </c>
      <c r="F179" s="2" t="n">
        <v>44136</v>
      </c>
      <c r="G179" s="2" t="n">
        <v>43009</v>
      </c>
      <c r="H179" t="n">
        <v>14</v>
      </c>
      <c r="I179" t="n">
        <v>0</v>
      </c>
      <c r="J179" t="n">
        <v>0</v>
      </c>
      <c r="L179" s="2" t="n">
        <v>45613</v>
      </c>
      <c r="M179" s="2" t="n">
        <v>46021</v>
      </c>
      <c r="N179" t="b">
        <v>0</v>
      </c>
      <c r="O179" t="n">
        <v>64</v>
      </c>
      <c r="P179" t="n">
        <v>102</v>
      </c>
      <c r="Q179" t="n">
        <v>60</v>
      </c>
      <c r="R179">
        <f>ROUND(O179-P179,2)</f>
        <v/>
      </c>
      <c r="S179">
        <f>ROUND(O179-Q179,2)</f>
        <v/>
      </c>
      <c r="T179" s="3">
        <f>IFERROR(P179/O179,"")</f>
        <v/>
      </c>
      <c r="U179" s="3">
        <f>IFERROR(Q179/O179,"")</f>
        <v/>
      </c>
      <c r="V179" t="n">
        <v>37</v>
      </c>
      <c r="W179" t="n">
        <v>9</v>
      </c>
      <c r="X179" t="n">
        <v>9</v>
      </c>
      <c r="Y179">
        <f>ROUND(V179-W179,2)</f>
        <v/>
      </c>
      <c r="Z179">
        <f>ROUND(V179-X179,2)</f>
        <v/>
      </c>
      <c r="AA179" s="3">
        <f>IFERROR(W179/V179,"")</f>
        <v/>
      </c>
      <c r="AB179" s="3">
        <f>IFERROR(X179/V179,"")</f>
        <v/>
      </c>
      <c r="AC179" t="b">
        <v>0</v>
      </c>
      <c r="AD179" t="b">
        <v>0</v>
      </c>
      <c r="AE179" t="b">
        <v>0</v>
      </c>
      <c r="AF179" t="inlineStr">
        <is>
          <t>No</t>
        </is>
      </c>
      <c r="AG179" s="2" t="n">
        <v>44228</v>
      </c>
      <c r="AI179" t="b">
        <v>0</v>
      </c>
      <c r="AJ179" t="n">
        <v>3</v>
      </c>
      <c r="AK179" t="inlineStr"/>
      <c r="AL179" t="inlineStr">
        <is>
          <t>IT - Information Technology (Sebastian L.)</t>
        </is>
      </c>
      <c r="AM179" t="inlineStr">
        <is>
          <t>ISM Information Security Management (Carsten T.)</t>
        </is>
      </c>
      <c r="AN179" t="inlineStr">
        <is>
          <t>O&amp;G - Organization &amp; Governance (Carsten T.)</t>
        </is>
      </c>
      <c r="AO179" t="inlineStr">
        <is>
          <t>bridgingIT GmbH</t>
        </is>
      </c>
      <c r="AP179" t="inlineStr">
        <is>
          <t>Mannheim</t>
        </is>
      </c>
      <c r="AQ179" t="inlineStr">
        <is>
          <t>Carsten Triebel</t>
        </is>
      </c>
    </row>
    <row r="180">
      <c r="A180" t="inlineStr">
        <is>
          <t>7031</t>
        </is>
      </c>
      <c r="B180" t="inlineStr">
        <is>
          <t>DB04D7</t>
        </is>
      </c>
      <c r="C180" t="inlineStr">
        <is>
          <t>https://app.matchical.com/Consulting/ConsultantDetail?ConsultantId=dc002a59-6b9d-4d3d-b1a3-9bcf10c7a123</t>
        </is>
      </c>
      <c r="D180" t="inlineStr">
        <is>
          <t>Florian Allerding</t>
        </is>
      </c>
      <c r="E180" t="inlineStr">
        <is>
          <t>florian.allerding@fastahead.com</t>
        </is>
      </c>
      <c r="F180" s="2" t="n">
        <v>44228</v>
      </c>
      <c r="G180" s="2" t="n">
        <v>39267</v>
      </c>
      <c r="H180" t="n">
        <v>6</v>
      </c>
      <c r="I180" t="n">
        <v>0</v>
      </c>
      <c r="J180" t="n">
        <v>3</v>
      </c>
      <c r="K180" s="2" t="n">
        <v>43890</v>
      </c>
      <c r="L180" s="2" t="n">
        <v>44844</v>
      </c>
      <c r="M180" s="2" t="n">
        <v>44926</v>
      </c>
      <c r="N180" t="b">
        <v>0</v>
      </c>
      <c r="O180" t="n">
        <v>61</v>
      </c>
      <c r="P180" t="n">
        <v>170.03</v>
      </c>
      <c r="Q180" t="n">
        <v>60.75</v>
      </c>
      <c r="R180">
        <f>ROUND(O180-P180,2)</f>
        <v/>
      </c>
      <c r="S180">
        <f>ROUND(O180-Q180,2)</f>
        <v/>
      </c>
      <c r="T180" s="3">
        <f>IFERROR(P180/O180,"")</f>
        <v/>
      </c>
      <c r="U180" s="3">
        <f>IFERROR(Q180/O180,"")</f>
        <v/>
      </c>
      <c r="V180" t="n">
        <v>163</v>
      </c>
      <c r="W180" t="n">
        <v>68.97</v>
      </c>
      <c r="X180" t="n">
        <v>62.32</v>
      </c>
      <c r="Y180">
        <f>ROUND(V180-W180,2)</f>
        <v/>
      </c>
      <c r="Z180">
        <f>ROUND(V180-X180,2)</f>
        <v/>
      </c>
      <c r="AA180" s="3">
        <f>IFERROR(W180/V180,"")</f>
        <v/>
      </c>
      <c r="AB180" s="3">
        <f>IFERROR(X180/V180,"")</f>
        <v/>
      </c>
      <c r="AC180" t="b">
        <v>0</v>
      </c>
      <c r="AD180" t="b">
        <v>0</v>
      </c>
      <c r="AE180" t="b">
        <v>0</v>
      </c>
      <c r="AF180" t="inlineStr">
        <is>
          <t>No</t>
        </is>
      </c>
      <c r="AI180" t="b">
        <v>1</v>
      </c>
      <c r="AJ180" t="n">
        <v>0</v>
      </c>
      <c r="AK180" t="inlineStr">
        <is>
          <t>80%</t>
        </is>
      </c>
      <c r="AL180" t="inlineStr">
        <is>
          <t>ORG fastahead GmbH &amp; Co. KG</t>
        </is>
      </c>
      <c r="AM180" t="inlineStr">
        <is>
          <t>Principals</t>
        </is>
      </c>
      <c r="AN180" t="inlineStr">
        <is>
          <t>fah Dr. Michaela Warsitz</t>
        </is>
      </c>
      <c r="AO180" t="inlineStr">
        <is>
          <t>fastahead GmbH &amp; Co. KG</t>
        </is>
      </c>
      <c r="AP180" t="inlineStr">
        <is>
          <t>Mannheim</t>
        </is>
      </c>
      <c r="AQ180" t="inlineStr">
        <is>
          <t>Michaela Warsitz</t>
        </is>
      </c>
    </row>
    <row r="181">
      <c r="A181" t="inlineStr">
        <is>
          <t>3257</t>
        </is>
      </c>
      <c r="B181" t="inlineStr">
        <is>
          <t>3D7E0B</t>
        </is>
      </c>
      <c r="C181" t="inlineStr">
        <is>
          <t>https://app.matchical.com/Consulting/ConsultantDetail?ConsultantId=2a2a8900-aed2-48a5-aac4-4a67e3d737a2</t>
        </is>
      </c>
      <c r="D181" t="inlineStr">
        <is>
          <t>Florian Goebel</t>
        </is>
      </c>
      <c r="E181" t="inlineStr">
        <is>
          <t>florian.goebel@bridging-it.de</t>
        </is>
      </c>
      <c r="F181" s="2" t="n">
        <v>44805</v>
      </c>
      <c r="G181" s="2" t="n">
        <v>40909</v>
      </c>
      <c r="H181" t="n">
        <v>9</v>
      </c>
      <c r="I181" t="n">
        <v>0</v>
      </c>
      <c r="J181" t="n">
        <v>1</v>
      </c>
      <c r="K181" s="2" t="n">
        <v>45291</v>
      </c>
      <c r="L181" s="2" t="n">
        <v>45199</v>
      </c>
      <c r="M181" s="2" t="n">
        <v>45290</v>
      </c>
      <c r="N181" t="b">
        <v>0</v>
      </c>
      <c r="O181" t="n">
        <v>42</v>
      </c>
      <c r="P181" t="n">
        <v>39</v>
      </c>
      <c r="Q181" t="n">
        <v>39</v>
      </c>
      <c r="R181">
        <f>ROUND(O181-P181,2)</f>
        <v/>
      </c>
      <c r="S181">
        <f>ROUND(O181-Q181,2)</f>
        <v/>
      </c>
      <c r="T181" s="3">
        <f>IFERROR(P181/O181,"")</f>
        <v/>
      </c>
      <c r="U181" s="3">
        <f>IFERROR(Q181/O181,"")</f>
        <v/>
      </c>
      <c r="V181" t="n">
        <v>128</v>
      </c>
      <c r="W181" t="n">
        <v>76</v>
      </c>
      <c r="X181" t="n">
        <v>76</v>
      </c>
      <c r="Y181">
        <f>ROUND(V181-W181,2)</f>
        <v/>
      </c>
      <c r="Z181">
        <f>ROUND(V181-X181,2)</f>
        <v/>
      </c>
      <c r="AA181" s="3">
        <f>IFERROR(W181/V181,"")</f>
        <v/>
      </c>
      <c r="AB181" s="3">
        <f>IFERROR(X181/V181,"")</f>
        <v/>
      </c>
      <c r="AC181" t="b">
        <v>0</v>
      </c>
      <c r="AD181" t="b">
        <v>0</v>
      </c>
      <c r="AE181" t="b">
        <v>0</v>
      </c>
      <c r="AF181" t="inlineStr">
        <is>
          <t>Yes</t>
        </is>
      </c>
      <c r="AG181" s="2" t="n">
        <v>46204</v>
      </c>
      <c r="AI181" t="b">
        <v>1</v>
      </c>
      <c r="AJ181" t="n">
        <v>5</v>
      </c>
      <c r="AK181" t="inlineStr"/>
      <c r="AL181" t="inlineStr">
        <is>
          <t>ORG bIT</t>
        </is>
      </c>
      <c r="AM181" t="inlineStr">
        <is>
          <t>BABA - BA and Business Architectures (Carsten S.)</t>
        </is>
      </c>
      <c r="AN181" t="inlineStr">
        <is>
          <t>ABC Analysing Business &amp; Collaboration (Edgar K.)</t>
        </is>
      </c>
      <c r="AO181" t="inlineStr">
        <is>
          <t>bridgingIT GmbH</t>
        </is>
      </c>
      <c r="AP181" t="inlineStr">
        <is>
          <t>Frankfurt</t>
        </is>
      </c>
      <c r="AQ181" t="inlineStr">
        <is>
          <t>Carsten Schindler</t>
        </is>
      </c>
    </row>
    <row r="182">
      <c r="A182" t="inlineStr">
        <is>
          <t>10193</t>
        </is>
      </c>
      <c r="B182" t="inlineStr">
        <is>
          <t>E1D5F7</t>
        </is>
      </c>
      <c r="C182" t="inlineStr">
        <is>
          <t>https://app.matchical.com/Consulting/ConsultantDetail?ConsultantId=dd003f17-9415-4268-8218-5c3ec188accb</t>
        </is>
      </c>
      <c r="D182" t="inlineStr">
        <is>
          <t>Florian Paul</t>
        </is>
      </c>
      <c r="E182" t="inlineStr">
        <is>
          <t>florian.paul@fastahead.com</t>
        </is>
      </c>
      <c r="F182" s="2" t="n">
        <v>45200</v>
      </c>
      <c r="G182" s="2" t="n">
        <v>34182</v>
      </c>
      <c r="H182" t="n">
        <v>12</v>
      </c>
      <c r="I182" t="n">
        <v>0</v>
      </c>
      <c r="J182" t="n">
        <v>0</v>
      </c>
      <c r="L182" s="2" t="n">
        <v>45271</v>
      </c>
      <c r="M182" s="2" t="n">
        <v>45656</v>
      </c>
      <c r="N182" t="b">
        <v>0</v>
      </c>
      <c r="O182" t="n">
        <v>29</v>
      </c>
      <c r="P182" t="n">
        <v>26.9</v>
      </c>
      <c r="Q182" t="n">
        <v>26.9</v>
      </c>
      <c r="R182">
        <f>ROUND(O182-P182,2)</f>
        <v/>
      </c>
      <c r="S182">
        <f>ROUND(O182-Q182,2)</f>
        <v/>
      </c>
      <c r="T182" s="3">
        <f>IFERROR(P182/O182,"")</f>
        <v/>
      </c>
      <c r="U182" s="3">
        <f>IFERROR(Q182/O182,"")</f>
        <v/>
      </c>
      <c r="V182" t="n">
        <v>362</v>
      </c>
      <c r="W182" t="n">
        <v>139</v>
      </c>
      <c r="X182" t="n">
        <v>89.5</v>
      </c>
      <c r="Y182">
        <f>ROUND(V182-W182,2)</f>
        <v/>
      </c>
      <c r="Z182">
        <f>ROUND(V182-X182,2)</f>
        <v/>
      </c>
      <c r="AA182" s="3">
        <f>IFERROR(W182/V182,"")</f>
        <v/>
      </c>
      <c r="AB182" s="3">
        <f>IFERROR(X182/V182,"")</f>
        <v/>
      </c>
      <c r="AC182" t="b">
        <v>0</v>
      </c>
      <c r="AD182" t="b">
        <v>0</v>
      </c>
      <c r="AE182" t="b">
        <v>0</v>
      </c>
      <c r="AF182" t="inlineStr">
        <is>
          <t>No</t>
        </is>
      </c>
      <c r="AI182" t="b">
        <v>1</v>
      </c>
      <c r="AJ182" t="n">
        <v>0</v>
      </c>
      <c r="AK182" t="inlineStr">
        <is>
          <t>Highly experienced transformation consultant, organizational development specialist, leadership coach, program manager, with extensive management experience in the insurance industry.</t>
        </is>
      </c>
      <c r="AL182" t="inlineStr">
        <is>
          <t>ORG fastahead GmbH &amp; Co. KG</t>
        </is>
      </c>
      <c r="AM182" t="inlineStr">
        <is>
          <t>Insurance (Florian P.)</t>
        </is>
      </c>
      <c r="AN182" t="inlineStr">
        <is>
          <t>fah Ralf Weygand</t>
        </is>
      </c>
      <c r="AO182" t="inlineStr">
        <is>
          <t>fastahead GmbH &amp; Co. KG</t>
        </is>
      </c>
      <c r="AP182" t="inlineStr">
        <is>
          <t>München</t>
        </is>
      </c>
      <c r="AQ182" t="inlineStr">
        <is>
          <t>Ralf Weygand</t>
        </is>
      </c>
    </row>
    <row r="183">
      <c r="A183" t="inlineStr">
        <is>
          <t>4075</t>
        </is>
      </c>
      <c r="B183" t="inlineStr">
        <is>
          <t>3357FF</t>
        </is>
      </c>
      <c r="C183" t="inlineStr">
        <is>
          <t>https://app.matchical.com/Consulting/ConsultantDetail?ConsultantId=0761582d-8d7c-4906-8e40-e55f25e503be</t>
        </is>
      </c>
      <c r="D183" t="inlineStr">
        <is>
          <t>Florian Sollinger</t>
        </is>
      </c>
      <c r="E183" t="inlineStr">
        <is>
          <t>florian.sollinger@bridging-it.de</t>
        </is>
      </c>
      <c r="F183" s="2" t="n">
        <v>42826</v>
      </c>
      <c r="G183" s="2" t="n">
        <v>40862</v>
      </c>
      <c r="H183" t="n">
        <v>12</v>
      </c>
      <c r="I183" t="n">
        <v>0</v>
      </c>
      <c r="J183" t="n">
        <v>0</v>
      </c>
      <c r="L183" s="2" t="n">
        <v>45199</v>
      </c>
      <c r="M183" s="2" t="n">
        <v>45746</v>
      </c>
      <c r="N183" t="b">
        <v>0</v>
      </c>
      <c r="O183" t="n">
        <v>107</v>
      </c>
      <c r="P183" t="n">
        <v>94</v>
      </c>
      <c r="Q183" t="n">
        <v>93</v>
      </c>
      <c r="R183">
        <f>ROUND(O183-P183,2)</f>
        <v/>
      </c>
      <c r="S183">
        <f>ROUND(O183-Q183,2)</f>
        <v/>
      </c>
      <c r="T183" s="3">
        <f>IFERROR(P183/O183,"")</f>
        <v/>
      </c>
      <c r="U183" s="3">
        <f>IFERROR(Q183/O183,"")</f>
        <v/>
      </c>
      <c r="V183" t="n">
        <v>65</v>
      </c>
      <c r="W183" t="n">
        <v>57.51</v>
      </c>
      <c r="X183" t="n">
        <v>56.51</v>
      </c>
      <c r="Y183">
        <f>ROUND(V183-W183,2)</f>
        <v/>
      </c>
      <c r="Z183">
        <f>ROUND(V183-X183,2)</f>
        <v/>
      </c>
      <c r="AA183" s="3">
        <f>IFERROR(W183/V183,"")</f>
        <v/>
      </c>
      <c r="AB183" s="3">
        <f>IFERROR(X183/V183,"")</f>
        <v/>
      </c>
      <c r="AC183" t="b">
        <v>0</v>
      </c>
      <c r="AD183" t="b">
        <v>0</v>
      </c>
      <c r="AE183" t="b">
        <v>0</v>
      </c>
      <c r="AF183" t="inlineStr">
        <is>
          <t>No</t>
        </is>
      </c>
      <c r="AI183" t="b">
        <v>0</v>
      </c>
      <c r="AJ183" t="n">
        <v>0</v>
      </c>
      <c r="AK183" t="inlineStr"/>
      <c r="AL183" t="inlineStr">
        <is>
          <t>ORG bIT Bayern</t>
        </is>
      </c>
      <c r="AM183" t="inlineStr">
        <is>
          <t>SEI Software Engineering I (Martin K.)</t>
        </is>
      </c>
      <c r="AN183" t="inlineStr">
        <is>
          <t>SEC Software Engineering &amp; Cloud (Eli G.)</t>
        </is>
      </c>
      <c r="AO183" t="inlineStr">
        <is>
          <t>bridgingIT GmbH</t>
        </is>
      </c>
      <c r="AP183" t="inlineStr">
        <is>
          <t>München</t>
        </is>
      </c>
      <c r="AQ183" t="inlineStr">
        <is>
          <t>Martin Kuck</t>
        </is>
      </c>
    </row>
    <row r="184">
      <c r="A184" t="inlineStr">
        <is>
          <t>3255</t>
        </is>
      </c>
      <c r="B184" t="inlineStr">
        <is>
          <t>DA2CD9</t>
        </is>
      </c>
      <c r="C184" t="inlineStr">
        <is>
          <t>https://app.matchical.com/Consulting/ConsultantDetail?ConsultantId=7ab1e8c2-191f-478c-a396-cd76ab13dc1d</t>
        </is>
      </c>
      <c r="D184" t="inlineStr">
        <is>
          <t>Florian Sommer</t>
        </is>
      </c>
      <c r="E184" t="inlineStr">
        <is>
          <t>florian.sommer@bridging-it.de</t>
        </is>
      </c>
      <c r="F184" s="2" t="n">
        <v>44823</v>
      </c>
      <c r="G184" s="2" t="n">
        <v>42614</v>
      </c>
      <c r="H184" t="n">
        <v>8</v>
      </c>
      <c r="I184" t="n">
        <v>0</v>
      </c>
      <c r="J184" t="n">
        <v>1</v>
      </c>
      <c r="K184" s="2" t="n">
        <v>45382</v>
      </c>
      <c r="L184" s="2" t="n">
        <v>44823</v>
      </c>
      <c r="M184" s="2" t="n">
        <v>45382</v>
      </c>
      <c r="N184" t="b">
        <v>0</v>
      </c>
      <c r="O184" t="n">
        <v>41</v>
      </c>
      <c r="P184" t="n">
        <v>52</v>
      </c>
      <c r="Q184" t="n">
        <v>41</v>
      </c>
      <c r="R184">
        <f>ROUND(O184-P184,2)</f>
        <v/>
      </c>
      <c r="S184">
        <f>ROUND(O184-Q184,2)</f>
        <v/>
      </c>
      <c r="T184" s="3">
        <f>IFERROR(P184/O184,"")</f>
        <v/>
      </c>
      <c r="U184" s="3">
        <f>IFERROR(Q184/O184,"")</f>
        <v/>
      </c>
      <c r="V184" t="n">
        <v>73</v>
      </c>
      <c r="W184" t="n">
        <v>111.93</v>
      </c>
      <c r="X184" t="n">
        <v>67.95999999999999</v>
      </c>
      <c r="Y184">
        <f>ROUND(V184-W184,2)</f>
        <v/>
      </c>
      <c r="Z184">
        <f>ROUND(V184-X184,2)</f>
        <v/>
      </c>
      <c r="AA184" s="3">
        <f>IFERROR(W184/V184,"")</f>
        <v/>
      </c>
      <c r="AB184" s="3">
        <f>IFERROR(X184/V184,"")</f>
        <v/>
      </c>
      <c r="AC184" t="b">
        <v>0</v>
      </c>
      <c r="AD184" t="b">
        <v>0</v>
      </c>
      <c r="AE184" t="b">
        <v>0</v>
      </c>
      <c r="AF184" t="inlineStr">
        <is>
          <t>Yes</t>
        </is>
      </c>
      <c r="AG184" s="2" t="n">
        <v>46082</v>
      </c>
      <c r="AI184" t="b">
        <v>1</v>
      </c>
      <c r="AJ184" t="n">
        <v>4</v>
      </c>
      <c r="AK184" t="inlineStr">
        <is>
          <t>Beyond his experience as a requirements manager and business analyst, Florian has extensive expertise in administering and customizing JIRA and Confluence.
We are preferably seeking a position for Florian as a Business Analyst or PO Support. He is also open to a more technical environment.
Florian works at 80% and has 40 days of vacation.</t>
        </is>
      </c>
      <c r="AL184" t="inlineStr">
        <is>
          <t>ORG bIT</t>
        </is>
      </c>
      <c r="AM184" t="inlineStr">
        <is>
          <t>BAPO - BA and Product Ownership (Edgar K.)</t>
        </is>
      </c>
      <c r="AN184" t="inlineStr">
        <is>
          <t>ABC Analysing Business &amp; Collaboration (Edgar K.)</t>
        </is>
      </c>
      <c r="AO184" t="inlineStr">
        <is>
          <t>bridgingIT GmbH</t>
        </is>
      </c>
      <c r="AP184" t="inlineStr">
        <is>
          <t>Frankfurt</t>
        </is>
      </c>
      <c r="AQ184" t="inlineStr">
        <is>
          <t>Edgar Kauz</t>
        </is>
      </c>
    </row>
    <row r="185">
      <c r="A185" t="inlineStr">
        <is>
          <t>1388</t>
        </is>
      </c>
      <c r="B185" t="inlineStr">
        <is>
          <t>253F71</t>
        </is>
      </c>
      <c r="C185" t="inlineStr">
        <is>
          <t>https://app.matchical.com/Consulting/ConsultantDetail?ConsultantId=702f86e2-419d-4e35-9611-a0335425dcf9</t>
        </is>
      </c>
      <c r="D185" t="inlineStr">
        <is>
          <t>Florian Wendel</t>
        </is>
      </c>
      <c r="E185" t="inlineStr">
        <is>
          <t>florian.wendel@bridging-it.de</t>
        </is>
      </c>
      <c r="F185" s="2" t="n">
        <v>42856</v>
      </c>
      <c r="G185" s="2" t="n">
        <v>41974</v>
      </c>
      <c r="H185" t="n">
        <v>18</v>
      </c>
      <c r="I185" t="n">
        <v>0</v>
      </c>
      <c r="J185" t="n">
        <v>1</v>
      </c>
      <c r="K185" s="2" t="n">
        <v>45901</v>
      </c>
      <c r="L185" s="2" t="n">
        <v>45900</v>
      </c>
      <c r="M185" s="2" t="n">
        <v>46021</v>
      </c>
      <c r="N185" t="b">
        <v>0</v>
      </c>
      <c r="O185" t="n">
        <v>106</v>
      </c>
      <c r="P185" t="n">
        <v>191</v>
      </c>
      <c r="Q185" t="n">
        <v>105.82</v>
      </c>
      <c r="R185">
        <f>ROUND(O185-P185,2)</f>
        <v/>
      </c>
      <c r="S185">
        <f>ROUND(O185-Q185,2)</f>
        <v/>
      </c>
      <c r="T185" s="3">
        <f>IFERROR(P185/O185,"")</f>
        <v/>
      </c>
      <c r="U185" s="3">
        <f>IFERROR(Q185/O185,"")</f>
        <v/>
      </c>
      <c r="V185" t="n">
        <v>29</v>
      </c>
      <c r="W185" t="n">
        <v>52</v>
      </c>
      <c r="X185" t="n">
        <v>28.98</v>
      </c>
      <c r="Y185">
        <f>ROUND(V185-W185,2)</f>
        <v/>
      </c>
      <c r="Z185">
        <f>ROUND(V185-X185,2)</f>
        <v/>
      </c>
      <c r="AA185" s="3">
        <f>IFERROR(W185/V185,"")</f>
        <v/>
      </c>
      <c r="AB185" s="3">
        <f>IFERROR(X185/V185,"")</f>
        <v/>
      </c>
      <c r="AC185" t="b">
        <v>0</v>
      </c>
      <c r="AD185" t="b">
        <v>0</v>
      </c>
      <c r="AE185" t="b">
        <v>0</v>
      </c>
      <c r="AF185" t="inlineStr">
        <is>
          <t>No</t>
        </is>
      </c>
      <c r="AI185" t="b">
        <v>0</v>
      </c>
      <c r="AJ185" t="n">
        <v>0</v>
      </c>
      <c r="AK185" t="inlineStr">
        <is>
          <t>Cloud architecture (AWS and Azure), DevOps coaching, DevOps engineering</t>
        </is>
      </c>
      <c r="AL185" t="inlineStr">
        <is>
          <t>IT - Information Technology (Sebastian L.)</t>
        </is>
      </c>
      <c r="AM185" t="inlineStr">
        <is>
          <t>DOE DevOps Enablement (Florian W.)</t>
        </is>
      </c>
      <c r="AN185" t="inlineStr">
        <is>
          <t>C&amp;DO - Cloud &amp; DevOps (Sebastian L.)</t>
        </is>
      </c>
      <c r="AO185" t="inlineStr">
        <is>
          <t>bridgingIT GmbH</t>
        </is>
      </c>
      <c r="AP185" t="inlineStr">
        <is>
          <t>Mannheim</t>
        </is>
      </c>
      <c r="AQ185" t="inlineStr">
        <is>
          <t>Sebastian Lenhard</t>
        </is>
      </c>
    </row>
    <row r="186">
      <c r="A186" t="inlineStr">
        <is>
          <t>10418</t>
        </is>
      </c>
      <c r="B186" t="inlineStr">
        <is>
          <t>39C8DC</t>
        </is>
      </c>
      <c r="C186" t="inlineStr">
        <is>
          <t>https://app.matchical.com/Consulting/ConsultantDetail?ConsultantId=9c5482d3-0a51-403d-b4c8-d7653a238d96</t>
        </is>
      </c>
      <c r="D186" t="inlineStr">
        <is>
          <t>Fortunato Di Donato</t>
        </is>
      </c>
      <c r="E186" t="inlineStr">
        <is>
          <t>fortunato.didonato@bridging-it.de</t>
        </is>
      </c>
      <c r="F186" s="2" t="n">
        <v>45992</v>
      </c>
      <c r="G186" s="2" t="n">
        <v>37622</v>
      </c>
      <c r="H186" t="n">
        <v>4</v>
      </c>
      <c r="I186" t="n">
        <v>0</v>
      </c>
      <c r="J186" t="n">
        <v>0</v>
      </c>
      <c r="L186" s="2" t="n">
        <v>44985</v>
      </c>
      <c r="M186" s="2" t="n">
        <v>45960</v>
      </c>
      <c r="N186" t="b">
        <v>0</v>
      </c>
      <c r="O186" t="n">
        <v>3</v>
      </c>
      <c r="P186" t="n">
        <v>2.81</v>
      </c>
      <c r="Q186" t="n">
        <v>1.82</v>
      </c>
      <c r="R186">
        <f>ROUND(O186-P186,2)</f>
        <v/>
      </c>
      <c r="S186">
        <f>ROUND(O186-Q186,2)</f>
        <v/>
      </c>
      <c r="T186" s="3">
        <f>IFERROR(P186/O186,"")</f>
        <v/>
      </c>
      <c r="U186" s="3">
        <f>IFERROR(Q186/O186,"")</f>
        <v/>
      </c>
      <c r="V186" t="n">
        <v>275</v>
      </c>
      <c r="W186" t="n">
        <v>177.06</v>
      </c>
      <c r="X186" t="n">
        <v>87.5</v>
      </c>
      <c r="Y186">
        <f>ROUND(V186-W186,2)</f>
        <v/>
      </c>
      <c r="Z186">
        <f>ROUND(V186-X186,2)</f>
        <v/>
      </c>
      <c r="AA186" s="3">
        <f>IFERROR(W186/V186,"")</f>
        <v/>
      </c>
      <c r="AB186" s="3">
        <f>IFERROR(X186/V186,"")</f>
        <v/>
      </c>
      <c r="AC186" t="b">
        <v>0</v>
      </c>
      <c r="AD186" t="b">
        <v>0</v>
      </c>
      <c r="AE186" t="b">
        <v>0</v>
      </c>
      <c r="AF186" t="inlineStr">
        <is>
          <t>Yes</t>
        </is>
      </c>
      <c r="AG186" s="2" t="n">
        <v>46023</v>
      </c>
      <c r="AI186" t="b">
        <v>0</v>
      </c>
      <c r="AJ186" t="n">
        <v>5</v>
      </c>
      <c r="AK186" t="inlineStr"/>
      <c r="AL186" t="inlineStr">
        <is>
          <t>IT - Information Technology (HH)</t>
        </is>
      </c>
      <c r="AM186" t="inlineStr">
        <is>
          <t>CRM I - Platform Solutions &amp; CRM (Fortunato D. D.)</t>
        </is>
      </c>
      <c r="AN186" t="inlineStr">
        <is>
          <t>BAA HH (Torben H.)</t>
        </is>
      </c>
      <c r="AO186" t="inlineStr">
        <is>
          <t>bridgingIT GmbH</t>
        </is>
      </c>
      <c r="AP186" t="inlineStr">
        <is>
          <t>Hamburg</t>
        </is>
      </c>
      <c r="AQ186" t="inlineStr">
        <is>
          <t>Torben Häder</t>
        </is>
      </c>
    </row>
    <row r="187">
      <c r="A187" t="inlineStr">
        <is>
          <t>2204</t>
        </is>
      </c>
      <c r="B187" t="inlineStr">
        <is>
          <t>70A647</t>
        </is>
      </c>
      <c r="C187" t="inlineStr">
        <is>
          <t>https://app.matchical.com/Consulting/ConsultantDetail?ConsultantId=44db989c-5585-4699-b217-b6248bb6288e</t>
        </is>
      </c>
      <c r="D187" t="inlineStr">
        <is>
          <t>Frank Gärtner</t>
        </is>
      </c>
      <c r="E187" t="inlineStr">
        <is>
          <t>frank.gaertner@bridging-it.de</t>
        </is>
      </c>
      <c r="F187" s="2" t="n">
        <v>43221</v>
      </c>
      <c r="G187" s="2" t="n">
        <v>35309</v>
      </c>
      <c r="H187" t="n">
        <v>13</v>
      </c>
      <c r="I187" t="n">
        <v>0</v>
      </c>
      <c r="J187" t="n">
        <v>5</v>
      </c>
      <c r="K187" s="2" t="n">
        <v>37011</v>
      </c>
      <c r="L187" s="2" t="n">
        <v>45689</v>
      </c>
      <c r="M187" s="2" t="n">
        <v>45930</v>
      </c>
      <c r="N187" t="b">
        <v>0</v>
      </c>
      <c r="O187" t="n">
        <v>94</v>
      </c>
      <c r="P187" t="n">
        <v>362.56</v>
      </c>
      <c r="Q187" t="n">
        <v>93.83</v>
      </c>
      <c r="R187">
        <f>ROUND(O187-P187,2)</f>
        <v/>
      </c>
      <c r="S187">
        <f>ROUND(O187-Q187,2)</f>
        <v/>
      </c>
      <c r="T187" s="3">
        <f>IFERROR(P187/O187,"")</f>
        <v/>
      </c>
      <c r="U187" s="3">
        <f>IFERROR(Q187/O187,"")</f>
        <v/>
      </c>
      <c r="V187" t="n">
        <v>260</v>
      </c>
      <c r="W187" t="n">
        <v>323.44</v>
      </c>
      <c r="X187" t="n">
        <v>171.42</v>
      </c>
      <c r="Y187">
        <f>ROUND(V187-W187,2)</f>
        <v/>
      </c>
      <c r="Z187">
        <f>ROUND(V187-X187,2)</f>
        <v/>
      </c>
      <c r="AA187" s="3">
        <f>IFERROR(W187/V187,"")</f>
        <v/>
      </c>
      <c r="AB187" s="3">
        <f>IFERROR(X187/V187,"")</f>
        <v/>
      </c>
      <c r="AC187" t="b">
        <v>0</v>
      </c>
      <c r="AD187" t="b">
        <v>0</v>
      </c>
      <c r="AE187" t="b">
        <v>0</v>
      </c>
      <c r="AF187" t="inlineStr">
        <is>
          <t>No</t>
        </is>
      </c>
      <c r="AI187" t="b">
        <v>0</v>
      </c>
      <c r="AJ187" t="n">
        <v>2.5</v>
      </c>
      <c r="AK187" t="inlineStr">
        <is>
          <t>- Active in various projects for Bosch, Dekra, EnBW and WGV
- Expansion of the customer base and the team</t>
        </is>
      </c>
      <c r="AL187" t="inlineStr">
        <is>
          <t>ES Enterprise Solutions (Gina H.)</t>
        </is>
      </c>
      <c r="AM187" t="inlineStr">
        <is>
          <t>CC Content &amp; Collaboration (Frank G.)</t>
        </is>
      </c>
      <c r="AN187" t="inlineStr">
        <is>
          <t>PA Platform &amp; Application Solutions (Thomas K.)</t>
        </is>
      </c>
      <c r="AO187" t="inlineStr">
        <is>
          <t>bridgingIT GmbH</t>
        </is>
      </c>
      <c r="AP187" t="inlineStr">
        <is>
          <t>Stuttgart</t>
        </is>
      </c>
      <c r="AQ187" t="inlineStr">
        <is>
          <t>Thomas Kiri</t>
        </is>
      </c>
    </row>
    <row r="188">
      <c r="A188" t="inlineStr">
        <is>
          <t>4065</t>
        </is>
      </c>
      <c r="B188" t="inlineStr">
        <is>
          <t>3897D6</t>
        </is>
      </c>
      <c r="C188" t="inlineStr">
        <is>
          <t>https://app.matchical.com/Consulting/ConsultantDetail?ConsultantId=cc3bcd55-70cd-4dc6-b297-7b18b86d3166</t>
        </is>
      </c>
      <c r="D188" t="inlineStr">
        <is>
          <t>Frank Rümmler</t>
        </is>
      </c>
      <c r="E188" t="inlineStr">
        <is>
          <t>frank.ruemmler@bridging-it.de</t>
        </is>
      </c>
      <c r="F188" s="2" t="n">
        <v>42614</v>
      </c>
      <c r="G188" s="2" t="n">
        <v>40603</v>
      </c>
      <c r="H188" t="n">
        <v>8</v>
      </c>
      <c r="I188" t="n">
        <v>0</v>
      </c>
      <c r="J188" t="n">
        <v>0</v>
      </c>
      <c r="L188" s="2" t="n">
        <v>44469</v>
      </c>
      <c r="M188" s="2" t="n">
        <v>45746</v>
      </c>
      <c r="N188" t="b">
        <v>0</v>
      </c>
      <c r="O188" t="n">
        <v>114</v>
      </c>
      <c r="P188" t="n">
        <v>101</v>
      </c>
      <c r="Q188" t="n">
        <v>101</v>
      </c>
      <c r="R188">
        <f>ROUND(O188-P188,2)</f>
        <v/>
      </c>
      <c r="S188">
        <f>ROUND(O188-Q188,2)</f>
        <v/>
      </c>
      <c r="T188" s="3">
        <f>IFERROR(P188/O188,"")</f>
        <v/>
      </c>
      <c r="U188" s="3">
        <f>IFERROR(Q188/O188,"")</f>
        <v/>
      </c>
      <c r="V188" t="n">
        <v>66</v>
      </c>
      <c r="W188" t="n">
        <v>58</v>
      </c>
      <c r="X188" t="n">
        <v>53</v>
      </c>
      <c r="Y188">
        <f>ROUND(V188-W188,2)</f>
        <v/>
      </c>
      <c r="Z188">
        <f>ROUND(V188-X188,2)</f>
        <v/>
      </c>
      <c r="AA188" s="3">
        <f>IFERROR(W188/V188,"")</f>
        <v/>
      </c>
      <c r="AB188" s="3">
        <f>IFERROR(X188/V188,"")</f>
        <v/>
      </c>
      <c r="AC188" t="b">
        <v>0</v>
      </c>
      <c r="AD188" t="b">
        <v>0</v>
      </c>
      <c r="AE188" t="b">
        <v>0</v>
      </c>
      <c r="AF188" t="inlineStr">
        <is>
          <t>No</t>
        </is>
      </c>
      <c r="AI188" t="b">
        <v>1</v>
      </c>
      <c r="AJ188" t="n">
        <v>0</v>
      </c>
      <c r="AK188" t="inlineStr">
        <is>
          <t>04.11.2016: Assignment at DB Training from 08.11.2016</t>
        </is>
      </c>
      <c r="AL188" t="inlineStr">
        <is>
          <t>ORG bIT Bayern</t>
        </is>
      </c>
      <c r="AM188" t="inlineStr">
        <is>
          <t>SEI Software Engineering I (Martin K.)</t>
        </is>
      </c>
      <c r="AN188" t="inlineStr">
        <is>
          <t>SEC Software Engineering &amp; Cloud (Eli G.)</t>
        </is>
      </c>
      <c r="AO188" t="inlineStr">
        <is>
          <t>bridgingIT GmbH</t>
        </is>
      </c>
      <c r="AP188" t="inlineStr">
        <is>
          <t>München</t>
        </is>
      </c>
      <c r="AQ188" t="inlineStr">
        <is>
          <t>Martin Kuck</t>
        </is>
      </c>
    </row>
    <row r="189">
      <c r="A189" t="inlineStr">
        <is>
          <t>7033</t>
        </is>
      </c>
      <c r="B189" t="inlineStr">
        <is>
          <t>445CFA</t>
        </is>
      </c>
      <c r="C189" t="inlineStr">
        <is>
          <t>https://app.matchical.com/Consulting/ConsultantDetail?ConsultantId=431b79bc-95d5-4383-a735-00dc11375f68</t>
        </is>
      </c>
      <c r="D189" t="inlineStr">
        <is>
          <t>Frank Sauler</t>
        </is>
      </c>
      <c r="E189" t="inlineStr">
        <is>
          <t>frank.sauler@fastahead.com</t>
        </is>
      </c>
      <c r="F189" s="2" t="n">
        <v>44228</v>
      </c>
      <c r="G189" s="2" t="n">
        <v>35309</v>
      </c>
      <c r="H189" t="n">
        <v>42</v>
      </c>
      <c r="I189" t="n">
        <v>0</v>
      </c>
      <c r="J189" t="n">
        <v>0</v>
      </c>
      <c r="L189" s="2" t="n">
        <v>45110</v>
      </c>
      <c r="M189" s="2" t="n">
        <v>45624</v>
      </c>
      <c r="N189" t="b">
        <v>0</v>
      </c>
      <c r="O189" t="n">
        <v>61</v>
      </c>
      <c r="P189" t="n">
        <v>57</v>
      </c>
      <c r="Q189" t="n">
        <v>41</v>
      </c>
      <c r="R189">
        <f>ROUND(O189-P189,2)</f>
        <v/>
      </c>
      <c r="S189">
        <f>ROUND(O189-Q189,2)</f>
        <v/>
      </c>
      <c r="T189" s="3">
        <f>IFERROR(P189/O189,"")</f>
        <v/>
      </c>
      <c r="U189" s="3">
        <f>IFERROR(Q189/O189,"")</f>
        <v/>
      </c>
      <c r="V189" t="n">
        <v>293</v>
      </c>
      <c r="W189" t="n">
        <v>285</v>
      </c>
      <c r="X189" t="n">
        <v>257</v>
      </c>
      <c r="Y189">
        <f>ROUND(V189-W189,2)</f>
        <v/>
      </c>
      <c r="Z189">
        <f>ROUND(V189-X189,2)</f>
        <v/>
      </c>
      <c r="AA189" s="3">
        <f>IFERROR(W189/V189,"")</f>
        <v/>
      </c>
      <c r="AB189" s="3">
        <f>IFERROR(X189/V189,"")</f>
        <v/>
      </c>
      <c r="AC189" t="b">
        <v>0</v>
      </c>
      <c r="AD189" t="b">
        <v>0</v>
      </c>
      <c r="AE189" t="b">
        <v>0</v>
      </c>
      <c r="AF189" t="inlineStr">
        <is>
          <t>Yes</t>
        </is>
      </c>
      <c r="AG189" s="2" t="n">
        <v>46023</v>
      </c>
      <c r="AI189" t="b">
        <v>1</v>
      </c>
      <c r="AJ189" t="n">
        <v>1</v>
      </c>
      <c r="AK189" t="inlineStr">
        <is>
          <t>PLM as a core topic, Digital Twin, Lead Consultant</t>
        </is>
      </c>
      <c r="AL189" t="inlineStr">
        <is>
          <t>ORG fastahead GmbH &amp; Co. KG</t>
        </is>
      </c>
      <c r="AM189" t="inlineStr">
        <is>
          <t>IT-Transition (D. Rheinwalt)</t>
        </is>
      </c>
      <c r="AN189" t="inlineStr">
        <is>
          <t>fah Daniel Rheinwalt</t>
        </is>
      </c>
      <c r="AO189" t="inlineStr">
        <is>
          <t>fastahead GmbH &amp; Co. KG</t>
        </is>
      </c>
      <c r="AP189" t="inlineStr">
        <is>
          <t>Stuttgart</t>
        </is>
      </c>
      <c r="AQ189" t="inlineStr">
        <is>
          <t>Daniel Rheinwalt</t>
        </is>
      </c>
    </row>
    <row r="190">
      <c r="A190" t="inlineStr">
        <is>
          <t>1002</t>
        </is>
      </c>
      <c r="B190" t="inlineStr">
        <is>
          <t>B5E1A3</t>
        </is>
      </c>
      <c r="C190" t="inlineStr">
        <is>
          <t>https://app.matchical.com/Consulting/ConsultantDetail?ConsultantId=bd74b97b-fff8-43e9-8fae-8f00dbad1355</t>
        </is>
      </c>
      <c r="D190" t="inlineStr">
        <is>
          <t>Frank Wallner</t>
        </is>
      </c>
      <c r="E190" t="inlineStr">
        <is>
          <t>frank.wallner@bridging-it.de</t>
        </is>
      </c>
      <c r="F190" s="2" t="n">
        <v>39569</v>
      </c>
      <c r="G190" s="2" t="n">
        <v>33604</v>
      </c>
      <c r="H190" t="n">
        <v>6</v>
      </c>
      <c r="I190" t="n">
        <v>0</v>
      </c>
      <c r="J190" t="n">
        <v>0</v>
      </c>
      <c r="L190" s="2" t="n">
        <v>41234</v>
      </c>
      <c r="M190" s="2" t="n">
        <v>41455</v>
      </c>
      <c r="N190" t="b">
        <v>0</v>
      </c>
      <c r="O190" t="n">
        <v>214</v>
      </c>
      <c r="P190" t="n">
        <v>96</v>
      </c>
      <c r="Q190" t="n">
        <v>48</v>
      </c>
      <c r="R190">
        <f>ROUND(O190-P190,2)</f>
        <v/>
      </c>
      <c r="S190">
        <f>ROUND(O190-Q190,2)</f>
        <v/>
      </c>
      <c r="T190" s="3">
        <f>IFERROR(P190/O190,"")</f>
        <v/>
      </c>
      <c r="U190" s="3">
        <f>IFERROR(Q190/O190,"")</f>
        <v/>
      </c>
      <c r="V190" t="n">
        <v>196</v>
      </c>
      <c r="W190" t="n">
        <v>0</v>
      </c>
      <c r="X190" t="n">
        <v>0</v>
      </c>
      <c r="Y190">
        <f>ROUND(V190-W190,2)</f>
        <v/>
      </c>
      <c r="Z190">
        <f>ROUND(V190-X190,2)</f>
        <v/>
      </c>
      <c r="AA190" s="3">
        <f>IFERROR(W190/V190,"")</f>
        <v/>
      </c>
      <c r="AB190" s="3">
        <f>IFERROR(X190/V190,"")</f>
        <v/>
      </c>
      <c r="AC190" t="b">
        <v>0</v>
      </c>
      <c r="AD190" t="b">
        <v>0</v>
      </c>
      <c r="AE190" t="b">
        <v>0</v>
      </c>
      <c r="AF190" t="inlineStr">
        <is>
          <t>No</t>
        </is>
      </c>
      <c r="AI190" t="b">
        <v>0</v>
      </c>
      <c r="AJ190" t="n">
        <v>0</v>
      </c>
      <c r="AK190" t="inlineStr"/>
      <c r="AL190" t="inlineStr">
        <is>
          <t>Geschäftsleitung und Support</t>
        </is>
      </c>
      <c r="AM190" t="inlineStr">
        <is>
          <t>CxO</t>
        </is>
      </c>
      <c r="AN190" t="inlineStr">
        <is>
          <t>CEO</t>
        </is>
      </c>
      <c r="AO190" t="inlineStr">
        <is>
          <t>bridgingIT GmbH</t>
        </is>
      </c>
      <c r="AP190" t="inlineStr">
        <is>
          <t>Mannheim</t>
        </is>
      </c>
      <c r="AQ190" t="inlineStr"/>
    </row>
    <row r="191">
      <c r="A191" t="inlineStr">
        <is>
          <t>8766</t>
        </is>
      </c>
      <c r="B191" t="inlineStr">
        <is>
          <t>907CF5</t>
        </is>
      </c>
      <c r="C191" t="inlineStr">
        <is>
          <t>https://app.matchical.com/Consulting/ConsultantDetail?ConsultantId=4a0a0ec6-9dd3-45ca-852d-62d989c85f39</t>
        </is>
      </c>
      <c r="D191" t="inlineStr">
        <is>
          <t>Franziska Jochum</t>
        </is>
      </c>
      <c r="E191" t="inlineStr">
        <is>
          <t>franziska.jochum@bridging-it.de</t>
        </is>
      </c>
      <c r="F191" s="2" t="n">
        <v>44713</v>
      </c>
      <c r="G191" s="2" t="n">
        <v>43313</v>
      </c>
      <c r="H191" t="n">
        <v>6</v>
      </c>
      <c r="I191" t="n">
        <v>0</v>
      </c>
      <c r="J191" t="n">
        <v>0</v>
      </c>
      <c r="L191" s="2" t="n">
        <v>44727</v>
      </c>
      <c r="M191" s="2" t="n">
        <v>45198</v>
      </c>
      <c r="N191" t="b">
        <v>0</v>
      </c>
      <c r="O191" t="n">
        <v>45</v>
      </c>
      <c r="P191" t="n">
        <v>15</v>
      </c>
      <c r="Q191" t="n">
        <v>15</v>
      </c>
      <c r="R191">
        <f>ROUND(O191-P191,2)</f>
        <v/>
      </c>
      <c r="S191">
        <f>ROUND(O191-Q191,2)</f>
        <v/>
      </c>
      <c r="T191" s="3">
        <f>IFERROR(P191/O191,"")</f>
        <v/>
      </c>
      <c r="U191" s="3">
        <f>IFERROR(Q191/O191,"")</f>
        <v/>
      </c>
      <c r="V191" t="n">
        <v>46</v>
      </c>
      <c r="W191" t="n">
        <v>119.93</v>
      </c>
      <c r="X191" t="n">
        <v>42.31</v>
      </c>
      <c r="Y191">
        <f>ROUND(V191-W191,2)</f>
        <v/>
      </c>
      <c r="Z191">
        <f>ROUND(V191-X191,2)</f>
        <v/>
      </c>
      <c r="AA191" s="3">
        <f>IFERROR(W191/V191,"")</f>
        <v/>
      </c>
      <c r="AB191" s="3">
        <f>IFERROR(X191/V191,"")</f>
        <v/>
      </c>
      <c r="AC191" t="b">
        <v>0</v>
      </c>
      <c r="AD191" t="b">
        <v>0</v>
      </c>
      <c r="AE191" t="b">
        <v>0</v>
      </c>
      <c r="AF191" t="inlineStr">
        <is>
          <t>Yes</t>
        </is>
      </c>
      <c r="AG191" s="2" t="n">
        <v>46174</v>
      </c>
      <c r="AI191" t="b">
        <v>0</v>
      </c>
      <c r="AJ191" t="n">
        <v>3</v>
      </c>
      <c r="AK191" t="inlineStr">
        <is>
          <t>Franziska is returning from parental leave in June at around 3 days per week -</t>
        </is>
      </c>
      <c r="AL191" t="inlineStr">
        <is>
          <t>ORG bIT Bayern</t>
        </is>
      </c>
      <c r="AM191" t="inlineStr">
        <is>
          <t>LM Location Management BAY (Eli G.)</t>
        </is>
      </c>
      <c r="AN191" t="inlineStr">
        <is>
          <t>LM Lokation MUC (Elisabeth G.)</t>
        </is>
      </c>
      <c r="AO191" t="inlineStr">
        <is>
          <t>bridgingIT GmbH</t>
        </is>
      </c>
      <c r="AP191" t="inlineStr">
        <is>
          <t>München</t>
        </is>
      </c>
      <c r="AQ191" t="inlineStr">
        <is>
          <t>Elisabeth Gerlinger</t>
        </is>
      </c>
    </row>
    <row r="192">
      <c r="A192" t="inlineStr">
        <is>
          <t>10050</t>
        </is>
      </c>
      <c r="B192" t="inlineStr">
        <is>
          <t>2EA1C8</t>
        </is>
      </c>
      <c r="C192" t="inlineStr">
        <is>
          <t>https://app.matchical.com/Consulting/ConsultantDetail?ConsultantId=2583a430-df56-4336-b7d9-220e123122fb</t>
        </is>
      </c>
      <c r="D192" t="inlineStr">
        <is>
          <t>Frederik Schupp</t>
        </is>
      </c>
      <c r="E192" t="inlineStr">
        <is>
          <t>frederik.schupp@bridging-it.de</t>
        </is>
      </c>
      <c r="F192" s="2" t="n">
        <v>44986</v>
      </c>
      <c r="G192" s="2" t="n">
        <v>41456</v>
      </c>
      <c r="H192" t="n">
        <v>16</v>
      </c>
      <c r="I192" t="n">
        <v>0</v>
      </c>
      <c r="J192" t="n">
        <v>0</v>
      </c>
      <c r="L192" s="2" t="n">
        <v>45726</v>
      </c>
      <c r="M192" s="2" t="n">
        <v>45930</v>
      </c>
      <c r="N192" t="b">
        <v>0</v>
      </c>
      <c r="O192" t="n">
        <v>36</v>
      </c>
      <c r="P192" t="n">
        <v>62.85</v>
      </c>
      <c r="Q192" t="n">
        <v>35.11</v>
      </c>
      <c r="R192">
        <f>ROUND(O192-P192,2)</f>
        <v/>
      </c>
      <c r="S192">
        <f>ROUND(O192-Q192,2)</f>
        <v/>
      </c>
      <c r="T192" s="3">
        <f>IFERROR(P192/O192,"")</f>
        <v/>
      </c>
      <c r="U192" s="3">
        <f>IFERROR(Q192/O192,"")</f>
        <v/>
      </c>
      <c r="V192" t="n">
        <v>116</v>
      </c>
      <c r="W192" t="n">
        <v>103</v>
      </c>
      <c r="X192" t="n">
        <v>60</v>
      </c>
      <c r="Y192">
        <f>ROUND(V192-W192,2)</f>
        <v/>
      </c>
      <c r="Z192">
        <f>ROUND(V192-X192,2)</f>
        <v/>
      </c>
      <c r="AA192" s="3">
        <f>IFERROR(W192/V192,"")</f>
        <v/>
      </c>
      <c r="AB192" s="3">
        <f>IFERROR(X192/V192,"")</f>
        <v/>
      </c>
      <c r="AC192" t="b">
        <v>0</v>
      </c>
      <c r="AD192" t="b">
        <v>0</v>
      </c>
      <c r="AE192" t="b">
        <v>0</v>
      </c>
      <c r="AF192" t="inlineStr">
        <is>
          <t>Yes</t>
        </is>
      </c>
      <c r="AG192" s="2" t="n">
        <v>45931</v>
      </c>
      <c r="AI192" t="b">
        <v>1</v>
      </c>
      <c r="AJ192" t="n">
        <v>2</v>
      </c>
      <c r="AK192" t="inlineStr">
        <is>
          <t>There is a possibility that Katja hands over her project assignment at SPIE for the Fleet project to Frederik.</t>
        </is>
      </c>
      <c r="AL192" t="inlineStr">
        <is>
          <t>ORG bIT</t>
        </is>
      </c>
      <c r="AM192" t="inlineStr">
        <is>
          <t>PACE - Project&amp;Analysis CGN Experts (Frederik S.)</t>
        </is>
      </c>
      <c r="AN192" t="inlineStr">
        <is>
          <t>DPC - Datalytics &amp; Process Cologne (Claudia P.)</t>
        </is>
      </c>
      <c r="AO192" t="inlineStr">
        <is>
          <t>bridgingIT GmbH</t>
        </is>
      </c>
      <c r="AP192" t="inlineStr">
        <is>
          <t>Köln</t>
        </is>
      </c>
      <c r="AQ192" t="inlineStr">
        <is>
          <t>Claudia Peters</t>
        </is>
      </c>
    </row>
    <row r="193">
      <c r="A193" t="inlineStr">
        <is>
          <t>10130</t>
        </is>
      </c>
      <c r="B193" t="inlineStr">
        <is>
          <t>426F3E</t>
        </is>
      </c>
      <c r="C193" t="inlineStr">
        <is>
          <t>https://app.matchical.com/Consulting/ConsultantDetail?ConsultantId=d46c5999-acff-4ccc-baf7-b9972b4e716e</t>
        </is>
      </c>
      <c r="D193" t="inlineStr">
        <is>
          <t>Funda Vural</t>
        </is>
      </c>
      <c r="E193" t="inlineStr">
        <is>
          <t>funda.vural@bridging-it.de</t>
        </is>
      </c>
      <c r="F193" s="2" t="n">
        <v>45047</v>
      </c>
      <c r="G193" s="2" t="n">
        <v>42491</v>
      </c>
      <c r="H193" t="n">
        <v>5</v>
      </c>
      <c r="I193" t="n">
        <v>0</v>
      </c>
      <c r="J193" t="n">
        <v>1</v>
      </c>
      <c r="K193" s="2" t="n">
        <v>45202</v>
      </c>
      <c r="L193" s="2" t="n">
        <v>45092</v>
      </c>
      <c r="M193" s="2" t="n">
        <v>45442</v>
      </c>
      <c r="N193" t="b">
        <v>0</v>
      </c>
      <c r="O193" t="n">
        <v>34</v>
      </c>
      <c r="P193" t="n">
        <v>40</v>
      </c>
      <c r="Q193" t="n">
        <v>33</v>
      </c>
      <c r="R193">
        <f>ROUND(O193-P193,2)</f>
        <v/>
      </c>
      <c r="S193">
        <f>ROUND(O193-Q193,2)</f>
        <v/>
      </c>
      <c r="T193" s="3">
        <f>IFERROR(P193/O193,"")</f>
        <v/>
      </c>
      <c r="U193" s="3">
        <f>IFERROR(Q193/O193,"")</f>
        <v/>
      </c>
      <c r="V193" t="n">
        <v>84</v>
      </c>
      <c r="W193" t="n">
        <v>56</v>
      </c>
      <c r="X193" t="n">
        <v>56</v>
      </c>
      <c r="Y193">
        <f>ROUND(V193-W193,2)</f>
        <v/>
      </c>
      <c r="Z193">
        <f>ROUND(V193-X193,2)</f>
        <v/>
      </c>
      <c r="AA193" s="3">
        <f>IFERROR(W193/V193,"")</f>
        <v/>
      </c>
      <c r="AB193" s="3">
        <f>IFERROR(X193/V193,"")</f>
        <v/>
      </c>
      <c r="AC193" t="b">
        <v>0</v>
      </c>
      <c r="AD193" t="b">
        <v>0</v>
      </c>
      <c r="AE193" t="b">
        <v>0</v>
      </c>
      <c r="AF193" t="inlineStr">
        <is>
          <t>No</t>
        </is>
      </c>
      <c r="AI193" t="b">
        <v>1</v>
      </c>
      <c r="AJ193" t="n">
        <v>0</v>
      </c>
      <c r="AK193" t="inlineStr"/>
      <c r="AL193" t="inlineStr">
        <is>
          <t>ORG bIT</t>
        </is>
      </c>
      <c r="AM193" t="inlineStr">
        <is>
          <t>AT Agile Transformation (Anna S.)</t>
        </is>
      </c>
      <c r="AN193" t="inlineStr">
        <is>
          <t>TH Transformation Hub (Ulrich W.)</t>
        </is>
      </c>
      <c r="AO193" t="inlineStr">
        <is>
          <t>bridgingIT GmbH</t>
        </is>
      </c>
      <c r="AP193" t="inlineStr">
        <is>
          <t>Frankfurt</t>
        </is>
      </c>
      <c r="AQ193" t="inlineStr">
        <is>
          <t>Anna Schnorrenberger</t>
        </is>
      </c>
    </row>
    <row r="194">
      <c r="A194" t="inlineStr">
        <is>
          <t>8159</t>
        </is>
      </c>
      <c r="B194" t="inlineStr">
        <is>
          <t>5E48B7</t>
        </is>
      </c>
      <c r="C194" t="inlineStr">
        <is>
          <t>https://app.matchical.com/Consulting/ConsultantDetail?ConsultantId=78e02195-88a2-4f87-8b30-b06afa011bc5</t>
        </is>
      </c>
      <c r="D194" t="inlineStr">
        <is>
          <t>Gabriel Kerkhoff</t>
        </is>
      </c>
      <c r="E194" t="inlineStr">
        <is>
          <t>gabriel.kerkhoff@crafting-it.de</t>
        </is>
      </c>
      <c r="F194" s="2" t="n">
        <v>42614</v>
      </c>
      <c r="G194" s="2" t="n">
        <v>37073</v>
      </c>
      <c r="H194" t="n">
        <v>5</v>
      </c>
      <c r="I194" t="n">
        <v>0</v>
      </c>
      <c r="J194" t="n">
        <v>0</v>
      </c>
      <c r="L194" s="2" t="n">
        <v>44562</v>
      </c>
      <c r="M194" s="2" t="n">
        <v>45372</v>
      </c>
      <c r="N194" t="b">
        <v>0</v>
      </c>
      <c r="O194" t="n">
        <v>114</v>
      </c>
      <c r="P194" t="n">
        <v>267</v>
      </c>
      <c r="Q194" t="n">
        <v>79</v>
      </c>
      <c r="R194">
        <f>ROUND(O194-P194,2)</f>
        <v/>
      </c>
      <c r="S194">
        <f>ROUND(O194-Q194,2)</f>
        <v/>
      </c>
      <c r="T194" s="3">
        <f>IFERROR(P194/O194,"")</f>
        <v/>
      </c>
      <c r="U194" s="3">
        <f>IFERROR(Q194/O194,"")</f>
        <v/>
      </c>
      <c r="V194" t="n">
        <v>182</v>
      </c>
      <c r="W194" t="n">
        <v>0</v>
      </c>
      <c r="X194" t="n">
        <v>0</v>
      </c>
      <c r="Y194">
        <f>ROUND(V194-W194,2)</f>
        <v/>
      </c>
      <c r="Z194">
        <f>ROUND(V194-X194,2)</f>
        <v/>
      </c>
      <c r="AA194" s="3">
        <f>IFERROR(W194/V194,"")</f>
        <v/>
      </c>
      <c r="AB194" s="3">
        <f>IFERROR(X194/V194,"")</f>
        <v/>
      </c>
      <c r="AC194" t="b">
        <v>0</v>
      </c>
      <c r="AD194" t="b">
        <v>0</v>
      </c>
      <c r="AE194" t="b">
        <v>0</v>
      </c>
      <c r="AF194" t="inlineStr">
        <is>
          <t>No</t>
        </is>
      </c>
      <c r="AI194" t="b">
        <v>1</v>
      </c>
      <c r="AJ194" t="n">
        <v>0</v>
      </c>
      <c r="AK194" t="inlineStr"/>
      <c r="AL194" t="inlineStr">
        <is>
          <t>ORG cIT</t>
        </is>
      </c>
      <c r="AM194" t="inlineStr">
        <is>
          <t>cIT IT Services</t>
        </is>
      </c>
      <c r="AN194" t="inlineStr">
        <is>
          <t>cIT Service Delivery Magdeburg (Steffen A.)</t>
        </is>
      </c>
      <c r="AO194" t="inlineStr">
        <is>
          <t>craftingIT GmbH</t>
        </is>
      </c>
      <c r="AP194" t="inlineStr">
        <is>
          <t>Magdeburg</t>
        </is>
      </c>
      <c r="AQ194" t="inlineStr">
        <is>
          <t>Marcel Kelle</t>
        </is>
      </c>
    </row>
    <row r="195">
      <c r="A195" t="inlineStr">
        <is>
          <t>10319</t>
        </is>
      </c>
      <c r="B195" t="inlineStr">
        <is>
          <t>54677A</t>
        </is>
      </c>
      <c r="C195" t="inlineStr">
        <is>
          <t>https://app.matchical.com/Consulting/ConsultantDetail?ConsultantId=37937424-564d-43fe-bb73-f7262866eec8</t>
        </is>
      </c>
      <c r="D195" t="inlineStr">
        <is>
          <t>George Porter</t>
        </is>
      </c>
      <c r="E195" t="inlineStr">
        <is>
          <t>george.porter@bridging-it.de</t>
        </is>
      </c>
      <c r="F195" s="2" t="n">
        <v>45566</v>
      </c>
      <c r="G195" s="2" t="n">
        <v>35674</v>
      </c>
      <c r="H195" t="n">
        <v>12</v>
      </c>
      <c r="I195" t="n">
        <v>0</v>
      </c>
      <c r="J195" t="n">
        <v>2</v>
      </c>
      <c r="K195" s="2" t="n">
        <v>44822</v>
      </c>
      <c r="L195" s="2" t="n">
        <v>45657</v>
      </c>
      <c r="M195" s="2" t="n">
        <v>45792</v>
      </c>
      <c r="N195" t="b">
        <v>0</v>
      </c>
      <c r="O195" t="n">
        <v>17</v>
      </c>
      <c r="P195" t="n">
        <v>28.29</v>
      </c>
      <c r="Q195" t="n">
        <v>16.79</v>
      </c>
      <c r="R195">
        <f>ROUND(O195-P195,2)</f>
        <v/>
      </c>
      <c r="S195">
        <f>ROUND(O195-Q195,2)</f>
        <v/>
      </c>
      <c r="T195" s="3">
        <f>IFERROR(P195/O195,"")</f>
        <v/>
      </c>
      <c r="U195" s="3">
        <f>IFERROR(Q195/O195,"")</f>
        <v/>
      </c>
      <c r="V195" t="n">
        <v>325</v>
      </c>
      <c r="W195" t="n">
        <v>221.71</v>
      </c>
      <c r="X195" t="n">
        <v>188.35</v>
      </c>
      <c r="Y195">
        <f>ROUND(V195-W195,2)</f>
        <v/>
      </c>
      <c r="Z195">
        <f>ROUND(V195-X195,2)</f>
        <v/>
      </c>
      <c r="AA195" s="3">
        <f>IFERROR(W195/V195,"")</f>
        <v/>
      </c>
      <c r="AB195" s="3">
        <f>IFERROR(X195/V195,"")</f>
        <v/>
      </c>
      <c r="AC195" t="b">
        <v>0</v>
      </c>
      <c r="AD195" t="b">
        <v>0</v>
      </c>
      <c r="AE195" t="b">
        <v>0</v>
      </c>
      <c r="AF195" t="inlineStr">
        <is>
          <t>No</t>
        </is>
      </c>
      <c r="AI195" t="b">
        <v>1</v>
      </c>
      <c r="AJ195" t="n">
        <v>0</v>
      </c>
      <c r="AK195" t="inlineStr">
        <is>
          <t>Project change request</t>
        </is>
      </c>
      <c r="AL195" t="inlineStr">
        <is>
          <t>ORG bIT</t>
        </is>
      </c>
      <c r="AM195" t="inlineStr">
        <is>
          <t>A&amp;PM Agility &amp; Project Management (Lutz K.)</t>
        </is>
      </c>
      <c r="AN195" t="inlineStr">
        <is>
          <t>TH Transformation Hub BLN (Ulrich W.)</t>
        </is>
      </c>
      <c r="AO195" t="inlineStr">
        <is>
          <t>bridgingIT GmbH</t>
        </is>
      </c>
      <c r="AP195" t="inlineStr">
        <is>
          <t>Berlin</t>
        </is>
      </c>
      <c r="AQ195" t="inlineStr">
        <is>
          <t>Lutz Kempf</t>
        </is>
      </c>
    </row>
    <row r="196">
      <c r="A196" t="inlineStr">
        <is>
          <t>8706</t>
        </is>
      </c>
      <c r="B196" t="inlineStr">
        <is>
          <t>E4C776</t>
        </is>
      </c>
      <c r="C196" t="inlineStr">
        <is>
          <t>https://app.matchical.com/Consulting/ConsultantDetail?ConsultantId=c6e29a54-2b85-42f5-9832-50034da98146</t>
        </is>
      </c>
      <c r="D196" t="inlineStr">
        <is>
          <t>Georgi Yakov</t>
        </is>
      </c>
      <c r="E196" t="inlineStr">
        <is>
          <t>georgi.yakov@bridging-it.de</t>
        </is>
      </c>
      <c r="F196" s="2" t="n">
        <v>44501</v>
      </c>
      <c r="G196" s="2" t="n">
        <v>43709</v>
      </c>
      <c r="H196" t="n">
        <v>7</v>
      </c>
      <c r="I196" t="n">
        <v>0</v>
      </c>
      <c r="J196" t="n">
        <v>2</v>
      </c>
      <c r="K196" s="2" t="n">
        <v>44652</v>
      </c>
      <c r="L196" s="2" t="n">
        <v>45291</v>
      </c>
      <c r="M196" s="2" t="n">
        <v>45375</v>
      </c>
      <c r="N196" t="b">
        <v>0</v>
      </c>
      <c r="O196" t="n">
        <v>52</v>
      </c>
      <c r="P196" t="n">
        <v>76</v>
      </c>
      <c r="Q196" t="n">
        <v>48</v>
      </c>
      <c r="R196">
        <f>ROUND(O196-P196,2)</f>
        <v/>
      </c>
      <c r="S196">
        <f>ROUND(O196-Q196,2)</f>
        <v/>
      </c>
      <c r="T196" s="3">
        <f>IFERROR(P196/O196,"")</f>
        <v/>
      </c>
      <c r="U196" s="3">
        <f>IFERROR(Q196/O196,"")</f>
        <v/>
      </c>
      <c r="V196" t="n">
        <v>26</v>
      </c>
      <c r="W196" t="n">
        <v>20.97</v>
      </c>
      <c r="X196" t="n">
        <v>20.97</v>
      </c>
      <c r="Y196">
        <f>ROUND(V196-W196,2)</f>
        <v/>
      </c>
      <c r="Z196">
        <f>ROUND(V196-X196,2)</f>
        <v/>
      </c>
      <c r="AA196" s="3">
        <f>IFERROR(W196/V196,"")</f>
        <v/>
      </c>
      <c r="AB196" s="3">
        <f>IFERROR(X196/V196,"")</f>
        <v/>
      </c>
      <c r="AC196" t="b">
        <v>0</v>
      </c>
      <c r="AD196" t="b">
        <v>0</v>
      </c>
      <c r="AE196" t="b">
        <v>0</v>
      </c>
      <c r="AF196" t="inlineStr">
        <is>
          <t>No</t>
        </is>
      </c>
      <c r="AI196" t="b">
        <v>1</v>
      </c>
      <c r="AJ196" t="n">
        <v>0</v>
      </c>
      <c r="AK196" t="inlineStr">
        <is>
          <t>Full-stack development SWD and Spie</t>
        </is>
      </c>
      <c r="AL196" t="inlineStr">
        <is>
          <t>A&amp;SE Analytics &amp; Software Engineering (Philip R.)</t>
        </is>
      </c>
      <c r="AM196" t="inlineStr">
        <is>
          <t>NET .NET Software Engineering (Christian Wi.)</t>
        </is>
      </c>
      <c r="AN196" t="inlineStr">
        <is>
          <t>FUN Fullstack Ninjas (Stefan Z.)</t>
        </is>
      </c>
      <c r="AO196" t="inlineStr">
        <is>
          <t>bridgingIT GmbH</t>
        </is>
      </c>
      <c r="AP196" t="inlineStr">
        <is>
          <t>Mannheim</t>
        </is>
      </c>
      <c r="AQ196" t="inlineStr">
        <is>
          <t>Christian Will</t>
        </is>
      </c>
    </row>
    <row r="197">
      <c r="A197" t="inlineStr">
        <is>
          <t>1072</t>
        </is>
      </c>
      <c r="B197" t="inlineStr">
        <is>
          <t>FF7909</t>
        </is>
      </c>
      <c r="C197" t="inlineStr">
        <is>
          <t>https://app.matchical.com/Consulting/ConsultantDetail?ConsultantId=d7c34650-ff94-4852-a620-e1bb2e01d4c7</t>
        </is>
      </c>
      <c r="D197" t="inlineStr">
        <is>
          <t>Gerald Stralucke</t>
        </is>
      </c>
      <c r="E197" t="inlineStr">
        <is>
          <t>gerald.stralucke@bridging-it.de</t>
        </is>
      </c>
      <c r="F197" s="2" t="n">
        <v>39569</v>
      </c>
      <c r="G197" s="2" t="n">
        <v>32143</v>
      </c>
      <c r="H197" t="n">
        <v>27</v>
      </c>
      <c r="I197" t="n">
        <v>0</v>
      </c>
      <c r="J197" t="n">
        <v>0</v>
      </c>
      <c r="L197" s="2" t="n">
        <v>44255</v>
      </c>
      <c r="M197" s="2" t="n">
        <v>45290</v>
      </c>
      <c r="N197" t="b">
        <v>0</v>
      </c>
      <c r="O197" t="n">
        <v>214</v>
      </c>
      <c r="P197" t="n">
        <v>321</v>
      </c>
      <c r="Q197" t="n">
        <v>192</v>
      </c>
      <c r="R197">
        <f>ROUND(O197-P197,2)</f>
        <v/>
      </c>
      <c r="S197">
        <f>ROUND(O197-Q197,2)</f>
        <v/>
      </c>
      <c r="T197" s="3">
        <f>IFERROR(P197/O197,"")</f>
        <v/>
      </c>
      <c r="U197" s="3">
        <f>IFERROR(Q197/O197,"")</f>
        <v/>
      </c>
      <c r="V197" t="n">
        <v>244</v>
      </c>
      <c r="W197" t="n">
        <v>0</v>
      </c>
      <c r="X197" t="n">
        <v>0</v>
      </c>
      <c r="Y197">
        <f>ROUND(V197-W197,2)</f>
        <v/>
      </c>
      <c r="Z197">
        <f>ROUND(V197-X197,2)</f>
        <v/>
      </c>
      <c r="AA197" s="3">
        <f>IFERROR(W197/V197,"")</f>
        <v/>
      </c>
      <c r="AB197" s="3">
        <f>IFERROR(X197/V197,"")</f>
        <v/>
      </c>
      <c r="AC197" t="b">
        <v>0</v>
      </c>
      <c r="AD197" t="b">
        <v>0</v>
      </c>
      <c r="AE197" t="b">
        <v>0</v>
      </c>
      <c r="AF197" t="inlineStr">
        <is>
          <t>No</t>
        </is>
      </c>
      <c r="AG197" s="2" t="n">
        <v>43983</v>
      </c>
      <c r="AH197" s="2" t="n">
        <v>44196</v>
      </c>
      <c r="AI197" t="b">
        <v>1</v>
      </c>
      <c r="AJ197" t="n">
        <v>4</v>
      </c>
      <c r="AK197" t="inlineStr">
        <is>
          <t>
</t>
        </is>
      </c>
      <c r="AL197" t="inlineStr">
        <is>
          <t>Geschäftsleitung und Support</t>
        </is>
      </c>
      <c r="AM197" t="inlineStr">
        <is>
          <t>CxO</t>
        </is>
      </c>
      <c r="AN197" t="inlineStr">
        <is>
          <t>CEO</t>
        </is>
      </c>
      <c r="AO197" t="inlineStr">
        <is>
          <t>bridgingIT GmbH</t>
        </is>
      </c>
      <c r="AP197" t="inlineStr">
        <is>
          <t>Stuttgart</t>
        </is>
      </c>
      <c r="AQ197" t="inlineStr">
        <is>
          <t>Simon Dillmann</t>
        </is>
      </c>
    </row>
    <row r="198">
      <c r="A198" t="inlineStr">
        <is>
          <t>3030</t>
        </is>
      </c>
      <c r="B198" t="inlineStr">
        <is>
          <t>D07EAC</t>
        </is>
      </c>
      <c r="C198" t="inlineStr">
        <is>
          <t>https://app.matchical.com/Consulting/ConsultantDetail?ConsultantId=afa5ffa0-5d99-4124-9a98-0b91befb79c4</t>
        </is>
      </c>
      <c r="D198" t="inlineStr">
        <is>
          <t>Gerrit Seewald</t>
        </is>
      </c>
      <c r="E198" t="inlineStr">
        <is>
          <t>gerrit.seewald@bridging-it.de</t>
        </is>
      </c>
      <c r="F198" s="2" t="n">
        <v>40360</v>
      </c>
      <c r="G198" s="2" t="n">
        <v>37012</v>
      </c>
      <c r="H198" t="n">
        <v>35</v>
      </c>
      <c r="I198" t="n">
        <v>0</v>
      </c>
      <c r="J198" t="n">
        <v>0</v>
      </c>
      <c r="L198" s="2" t="n">
        <v>45659</v>
      </c>
      <c r="M198" s="2" t="n">
        <v>46022</v>
      </c>
      <c r="N198" t="b">
        <v>0</v>
      </c>
      <c r="O198" t="n">
        <v>188</v>
      </c>
      <c r="P198" t="n">
        <v>281</v>
      </c>
      <c r="Q198" t="n">
        <v>180</v>
      </c>
      <c r="R198">
        <f>ROUND(O198-P198,2)</f>
        <v/>
      </c>
      <c r="S198">
        <f>ROUND(O198-Q198,2)</f>
        <v/>
      </c>
      <c r="T198" s="3">
        <f>IFERROR(P198/O198,"")</f>
        <v/>
      </c>
      <c r="U198" s="3">
        <f>IFERROR(Q198/O198,"")</f>
        <v/>
      </c>
      <c r="V198" t="n">
        <v>110</v>
      </c>
      <c r="W198" t="n">
        <v>137.06</v>
      </c>
      <c r="X198" t="n">
        <v>99.84999999999999</v>
      </c>
      <c r="Y198">
        <f>ROUND(V198-W198,2)</f>
        <v/>
      </c>
      <c r="Z198">
        <f>ROUND(V198-X198,2)</f>
        <v/>
      </c>
      <c r="AA198" s="3">
        <f>IFERROR(W198/V198,"")</f>
        <v/>
      </c>
      <c r="AB198" s="3">
        <f>IFERROR(X198/V198,"")</f>
        <v/>
      </c>
      <c r="AC198" t="b">
        <v>0</v>
      </c>
      <c r="AD198" t="b">
        <v>0</v>
      </c>
      <c r="AE198" t="b">
        <v>0</v>
      </c>
      <c r="AF198" t="inlineStr">
        <is>
          <t>No</t>
        </is>
      </c>
      <c r="AI198" t="b">
        <v>0</v>
      </c>
      <c r="AJ198" t="n">
        <v>0</v>
      </c>
      <c r="AK198" t="inlineStr"/>
      <c r="AL198" t="inlineStr">
        <is>
          <t>ORG bIT</t>
        </is>
      </c>
      <c r="AM198" t="inlineStr">
        <is>
          <t>LFFM Lokation Frankfurt (Gerrit S.)</t>
        </is>
      </c>
      <c r="AN198" t="inlineStr">
        <is>
          <t>LFFM Lokation Frankfurt (Gerrit.S.)</t>
        </is>
      </c>
      <c r="AO198" t="inlineStr">
        <is>
          <t>bridgingIT GmbH</t>
        </is>
      </c>
      <c r="AP198" t="inlineStr">
        <is>
          <t>Frankfurt</t>
        </is>
      </c>
      <c r="AQ198" t="inlineStr">
        <is>
          <t>Jochen Ruben</t>
        </is>
      </c>
    </row>
    <row r="199">
      <c r="A199" t="inlineStr">
        <is>
          <t>2185</t>
        </is>
      </c>
      <c r="B199" t="inlineStr">
        <is>
          <t>550B60</t>
        </is>
      </c>
      <c r="C199" t="inlineStr">
        <is>
          <t>https://app.matchical.com/Consulting/ConsultantDetail?ConsultantId=efc53acb-25f5-482f-b53d-2a54b3d77151</t>
        </is>
      </c>
      <c r="D199" t="inlineStr">
        <is>
          <t>Gina Hallerberg</t>
        </is>
      </c>
      <c r="E199" t="inlineStr">
        <is>
          <t>gina.hallerberg@bridging-it.de</t>
        </is>
      </c>
      <c r="F199" s="2" t="n">
        <v>43009</v>
      </c>
      <c r="G199" s="2" t="n">
        <v>37135</v>
      </c>
      <c r="H199" t="n">
        <v>7</v>
      </c>
      <c r="I199" t="n">
        <v>0</v>
      </c>
      <c r="J199" t="n">
        <v>0</v>
      </c>
      <c r="L199" s="2" t="n">
        <v>45579</v>
      </c>
      <c r="M199" s="2" t="n">
        <v>45980</v>
      </c>
      <c r="N199" t="b">
        <v>0</v>
      </c>
      <c r="O199" t="n">
        <v>101</v>
      </c>
      <c r="P199" t="n">
        <v>24</v>
      </c>
      <c r="Q199" t="n">
        <v>24</v>
      </c>
      <c r="R199">
        <f>ROUND(O199-P199,2)</f>
        <v/>
      </c>
      <c r="S199">
        <f>ROUND(O199-Q199,2)</f>
        <v/>
      </c>
      <c r="T199" s="3">
        <f>IFERROR(P199/O199,"")</f>
        <v/>
      </c>
      <c r="U199" s="3">
        <f>IFERROR(Q199/O199,"")</f>
        <v/>
      </c>
      <c r="V199" t="n">
        <v>193</v>
      </c>
      <c r="W199" t="n">
        <v>106</v>
      </c>
      <c r="X199" t="n">
        <v>106</v>
      </c>
      <c r="Y199">
        <f>ROUND(V199-W199,2)</f>
        <v/>
      </c>
      <c r="Z199">
        <f>ROUND(V199-X199,2)</f>
        <v/>
      </c>
      <c r="AA199" s="3">
        <f>IFERROR(W199/V199,"")</f>
        <v/>
      </c>
      <c r="AB199" s="3">
        <f>IFERROR(X199/V199,"")</f>
        <v/>
      </c>
      <c r="AC199" t="b">
        <v>0</v>
      </c>
      <c r="AD199" t="b">
        <v>0</v>
      </c>
      <c r="AE199" t="b">
        <v>0</v>
      </c>
      <c r="AF199" t="inlineStr">
        <is>
          <t>No</t>
        </is>
      </c>
      <c r="AG199" s="2" t="n">
        <v>43619</v>
      </c>
      <c r="AH199" s="2" t="n">
        <v>43830</v>
      </c>
      <c r="AI199" t="b">
        <v>0</v>
      </c>
      <c r="AJ199" t="n">
        <v>0</v>
      </c>
      <c r="AK199" t="inlineStr"/>
      <c r="AL199" t="inlineStr">
        <is>
          <t>ES Enterprise Solutions (Gina H.)</t>
        </is>
      </c>
      <c r="AM199" t="inlineStr">
        <is>
          <t>ES Line Management (Gina H.)</t>
        </is>
      </c>
      <c r="AN199" t="inlineStr">
        <is>
          <t>ES Line Management (Gina H.)</t>
        </is>
      </c>
      <c r="AO199" t="inlineStr">
        <is>
          <t>bridgingIT GmbH</t>
        </is>
      </c>
      <c r="AP199" t="inlineStr">
        <is>
          <t>Stuttgart</t>
        </is>
      </c>
      <c r="AQ199" t="inlineStr">
        <is>
          <t>Tim Kost</t>
        </is>
      </c>
    </row>
    <row r="200">
      <c r="A200" t="inlineStr">
        <is>
          <t>10181</t>
        </is>
      </c>
      <c r="B200" t="inlineStr">
        <is>
          <t>BDFF14</t>
        </is>
      </c>
      <c r="C200" t="inlineStr">
        <is>
          <t>https://app.matchical.com/Consulting/ConsultantDetail?ConsultantId=3028f3b6-c70c-4f3c-997a-a39f3f422f26</t>
        </is>
      </c>
      <c r="D200" t="inlineStr">
        <is>
          <t>Gloria Scheder</t>
        </is>
      </c>
      <c r="E200" t="inlineStr">
        <is>
          <t>gloria.scheder@bridging-it.de</t>
        </is>
      </c>
      <c r="F200" s="2" t="n">
        <v>45215</v>
      </c>
      <c r="G200" s="2" t="n">
        <v>39661</v>
      </c>
      <c r="H200" t="n">
        <v>4</v>
      </c>
      <c r="I200" t="n">
        <v>0</v>
      </c>
      <c r="J200" t="n">
        <v>2</v>
      </c>
      <c r="K200" s="2" t="n">
        <v>40694</v>
      </c>
      <c r="L200" s="2" t="n">
        <v>45319</v>
      </c>
      <c r="M200" s="2" t="n">
        <v>45740</v>
      </c>
      <c r="N200" t="b">
        <v>0</v>
      </c>
      <c r="O200" t="n">
        <v>28</v>
      </c>
      <c r="P200" t="n">
        <v>52.18</v>
      </c>
      <c r="Q200" t="n">
        <v>28.32</v>
      </c>
      <c r="R200">
        <f>ROUND(O200-P200,2)</f>
        <v/>
      </c>
      <c r="S200">
        <f>ROUND(O200-Q200,2)</f>
        <v/>
      </c>
      <c r="T200" s="3">
        <f>IFERROR(P200/O200,"")</f>
        <v/>
      </c>
      <c r="U200" s="3">
        <f>IFERROR(Q200/O200,"")</f>
        <v/>
      </c>
      <c r="V200" t="n">
        <v>182</v>
      </c>
      <c r="W200" t="n">
        <v>183.82</v>
      </c>
      <c r="X200" t="n">
        <v>141.46</v>
      </c>
      <c r="Y200">
        <f>ROUND(V200-W200,2)</f>
        <v/>
      </c>
      <c r="Z200">
        <f>ROUND(V200-X200,2)</f>
        <v/>
      </c>
      <c r="AA200" s="3">
        <f>IFERROR(W200/V200,"")</f>
        <v/>
      </c>
      <c r="AB200" s="3">
        <f>IFERROR(X200/V200,"")</f>
        <v/>
      </c>
      <c r="AC200" t="b">
        <v>0</v>
      </c>
      <c r="AD200" t="b">
        <v>0</v>
      </c>
      <c r="AE200" t="b">
        <v>0</v>
      </c>
      <c r="AF200" t="inlineStr">
        <is>
          <t>No</t>
        </is>
      </c>
      <c r="AI200" t="b">
        <v>0</v>
      </c>
      <c r="AJ200" t="n">
        <v>0</v>
      </c>
      <c r="AK200" t="inlineStr">
        <is>
          <t>Scrum Master, RTE Gloria has several years of experience as a Scrum Master and Product Owner, as well as leadership experience. As a former developer, she speaks with DevOps teams on an equal footing
Limited willingness to travel</t>
        </is>
      </c>
      <c r="AL200" t="inlineStr">
        <is>
          <t>ORG bIT</t>
        </is>
      </c>
      <c r="AM200" t="inlineStr">
        <is>
          <t>AO Agile Organization (Katharina G.)</t>
        </is>
      </c>
      <c r="AN200" t="inlineStr">
        <is>
          <t>TH Transformation Hub (Ulrich W.)</t>
        </is>
      </c>
      <c r="AO200" t="inlineStr">
        <is>
          <t>bridgingIT GmbH</t>
        </is>
      </c>
      <c r="AP200" t="inlineStr">
        <is>
          <t>Frankfurt</t>
        </is>
      </c>
      <c r="AQ200" t="inlineStr">
        <is>
          <t>Katharina Gossen</t>
        </is>
      </c>
    </row>
    <row r="201">
      <c r="A201" t="inlineStr">
        <is>
          <t>1167</t>
        </is>
      </c>
      <c r="B201" t="inlineStr">
        <is>
          <t>3D2D37</t>
        </is>
      </c>
      <c r="C201" t="inlineStr">
        <is>
          <t>https://app.matchical.com/Consulting/ConsultantDetail?ConsultantId=f056b337-06b4-4297-a07d-026d4b49dd25</t>
        </is>
      </c>
      <c r="D201" t="inlineStr">
        <is>
          <t>Götz Gärtner</t>
        </is>
      </c>
      <c r="E201" t="inlineStr">
        <is>
          <t>goetz.gaertner@bridging-it.de</t>
        </is>
      </c>
      <c r="F201" s="2" t="n">
        <v>40710</v>
      </c>
      <c r="G201" s="2" t="n">
        <v>35765</v>
      </c>
      <c r="H201" t="n">
        <v>10</v>
      </c>
      <c r="I201" t="n">
        <v>0</v>
      </c>
      <c r="J201" t="n">
        <v>5</v>
      </c>
      <c r="K201" s="2" t="n">
        <v>40711</v>
      </c>
      <c r="L201" s="2" t="n">
        <v>45984</v>
      </c>
      <c r="M201" s="2" t="n">
        <v>46012</v>
      </c>
      <c r="N201" t="b">
        <v>0</v>
      </c>
      <c r="O201" t="n">
        <v>176</v>
      </c>
      <c r="P201" t="n">
        <v>735</v>
      </c>
      <c r="Q201" t="n">
        <v>176.33</v>
      </c>
      <c r="R201">
        <f>ROUND(O201-P201,2)</f>
        <v/>
      </c>
      <c r="S201">
        <f>ROUND(O201-Q201,2)</f>
        <v/>
      </c>
      <c r="T201" s="3">
        <f>IFERROR(P201/O201,"")</f>
        <v/>
      </c>
      <c r="U201" s="3">
        <f>IFERROR(Q201/O201,"")</f>
        <v/>
      </c>
      <c r="V201" t="n">
        <v>162</v>
      </c>
      <c r="W201" t="n">
        <v>0</v>
      </c>
      <c r="X201" t="n">
        <v>0</v>
      </c>
      <c r="Y201">
        <f>ROUND(V201-W201,2)</f>
        <v/>
      </c>
      <c r="Z201">
        <f>ROUND(V201-X201,2)</f>
        <v/>
      </c>
      <c r="AA201" s="3">
        <f>IFERROR(W201/V201,"")</f>
        <v/>
      </c>
      <c r="AB201" s="3">
        <f>IFERROR(X201/V201,"")</f>
        <v/>
      </c>
      <c r="AC201" t="b">
        <v>0</v>
      </c>
      <c r="AD201" t="b">
        <v>0</v>
      </c>
      <c r="AE201" t="b">
        <v>0</v>
      </c>
      <c r="AF201" t="inlineStr">
        <is>
          <t>Yes</t>
        </is>
      </c>
      <c r="AG201" s="2" t="n">
        <v>46097</v>
      </c>
      <c r="AI201" t="b">
        <v>0</v>
      </c>
      <c r="AJ201" t="n">
        <v>5</v>
      </c>
      <c r="AK201" t="inlineStr">
        <is>
          <t>Current project support at VNG</t>
        </is>
      </c>
      <c r="AL201" t="inlineStr">
        <is>
          <t>A&amp;SE Analytics &amp; Software Engineering (Philip R.)</t>
        </is>
      </c>
      <c r="AM201" t="inlineStr">
        <is>
          <t>DE Data Engineering (M. Hof)</t>
        </is>
      </c>
      <c r="AN201" t="inlineStr">
        <is>
          <t>A&amp;DDS - Analytics &amp; Data-driven Solutions (M. Hof)</t>
        </is>
      </c>
      <c r="AO201" t="inlineStr">
        <is>
          <t>bridgingIT GmbH</t>
        </is>
      </c>
      <c r="AP201" t="inlineStr">
        <is>
          <t>Mannheim</t>
        </is>
      </c>
      <c r="AQ201" t="inlineStr">
        <is>
          <t>Michael Hof</t>
        </is>
      </c>
    </row>
    <row r="202">
      <c r="A202" t="inlineStr">
        <is>
          <t>1334</t>
        </is>
      </c>
      <c r="B202" t="inlineStr">
        <is>
          <t>3247FD</t>
        </is>
      </c>
      <c r="C202" t="inlineStr">
        <is>
          <t>https://app.matchical.com/Consulting/ConsultantDetail?ConsultantId=45d3f7b0-c8ef-470a-b5e4-d32852b3d0b0</t>
        </is>
      </c>
      <c r="D202" t="inlineStr">
        <is>
          <t>Gregor Speck</t>
        </is>
      </c>
      <c r="E202" t="inlineStr">
        <is>
          <t>gregor.speck@bridging-it.de</t>
        </is>
      </c>
      <c r="F202" s="2" t="n">
        <v>42491</v>
      </c>
      <c r="G202" s="2" t="n">
        <v>40545</v>
      </c>
      <c r="H202" t="n">
        <v>16</v>
      </c>
      <c r="I202" t="n">
        <v>0</v>
      </c>
      <c r="J202" t="n">
        <v>0</v>
      </c>
      <c r="L202" s="2" t="n">
        <v>44992</v>
      </c>
      <c r="M202" s="2" t="n">
        <v>45657</v>
      </c>
      <c r="N202" t="b">
        <v>0</v>
      </c>
      <c r="O202" t="n">
        <v>118</v>
      </c>
      <c r="P202" t="n">
        <v>178.01</v>
      </c>
      <c r="Q202" t="n">
        <v>101.6</v>
      </c>
      <c r="R202">
        <f>ROUND(O202-P202,2)</f>
        <v/>
      </c>
      <c r="S202">
        <f>ROUND(O202-Q202,2)</f>
        <v/>
      </c>
      <c r="T202" s="3">
        <f>IFERROR(P202/O202,"")</f>
        <v/>
      </c>
      <c r="U202" s="3">
        <f>IFERROR(Q202/O202,"")</f>
        <v/>
      </c>
      <c r="V202" t="n">
        <v>64</v>
      </c>
      <c r="W202" t="n">
        <v>69.93000000000001</v>
      </c>
      <c r="X202" t="n">
        <v>57.41</v>
      </c>
      <c r="Y202">
        <f>ROUND(V202-W202,2)</f>
        <v/>
      </c>
      <c r="Z202">
        <f>ROUND(V202-X202,2)</f>
        <v/>
      </c>
      <c r="AA202" s="3">
        <f>IFERROR(W202/V202,"")</f>
        <v/>
      </c>
      <c r="AB202" s="3">
        <f>IFERROR(X202/V202,"")</f>
        <v/>
      </c>
      <c r="AC202" t="b">
        <v>0</v>
      </c>
      <c r="AD202" t="b">
        <v>0</v>
      </c>
      <c r="AE202" t="b">
        <v>0</v>
      </c>
      <c r="AF202" t="inlineStr">
        <is>
          <t>No</t>
        </is>
      </c>
      <c r="AI202" t="b">
        <v>0</v>
      </c>
      <c r="AJ202" t="n">
        <v>0</v>
      </c>
      <c r="AK202" t="inlineStr">
        <is>
          <t>Leads:
- BASF (New Dawn)
- EnBW (Mark Zimmermann) OID: 0c6c1cfe-921f-ed11-b83d-000d3ab3f57
- Bosch Rexroth Kubernetes Development, OID: bbceabd4-5bc1-4346-9893-b6a4dee9f395
- Bahn (Individual request for Architect role) open request SA-00040841</t>
        </is>
      </c>
      <c r="AL202" t="inlineStr">
        <is>
          <t>A&amp;SE Analytics &amp; Software Engineering (Philip R.)</t>
        </is>
      </c>
      <c r="AM202" t="inlineStr">
        <is>
          <t>FH Fullstack Heroes (Lars P.)</t>
        </is>
      </c>
      <c r="AN202" t="inlineStr">
        <is>
          <t>FUN Fullstack Ninjas (Stefan Z.)</t>
        </is>
      </c>
      <c r="AO202" t="inlineStr">
        <is>
          <t>bridgingIT GmbH</t>
        </is>
      </c>
      <c r="AP202" t="inlineStr">
        <is>
          <t>Mannheim</t>
        </is>
      </c>
      <c r="AQ202" t="inlineStr">
        <is>
          <t>Lars Preschke</t>
        </is>
      </c>
    </row>
    <row r="203">
      <c r="A203" t="inlineStr">
        <is>
          <t>2052</t>
        </is>
      </c>
      <c r="B203" t="inlineStr">
        <is>
          <t>79B86D</t>
        </is>
      </c>
      <c r="C203" t="inlineStr">
        <is>
          <t>https://app.matchical.com/Consulting/ConsultantDetail?ConsultantId=68c84681-187a-41f6-9551-308586ec31ff</t>
        </is>
      </c>
      <c r="D203" t="inlineStr">
        <is>
          <t>Guido Klinge</t>
        </is>
      </c>
      <c r="E203" t="inlineStr">
        <is>
          <t>guido.klinge@bridging-it.de</t>
        </is>
      </c>
      <c r="F203" s="2" t="n">
        <v>41153</v>
      </c>
      <c r="G203" s="2" t="n">
        <v>36892</v>
      </c>
      <c r="H203" t="n">
        <v>31</v>
      </c>
      <c r="I203" t="n">
        <v>0</v>
      </c>
      <c r="J203" t="n">
        <v>2</v>
      </c>
      <c r="K203" s="2" t="n">
        <v>45312</v>
      </c>
      <c r="L203" s="2" t="n">
        <v>45597</v>
      </c>
      <c r="M203" s="2" t="n">
        <v>45808</v>
      </c>
      <c r="N203" t="b">
        <v>0</v>
      </c>
      <c r="O203" t="n">
        <v>162</v>
      </c>
      <c r="P203" t="n">
        <v>269.98</v>
      </c>
      <c r="Q203" t="n">
        <v>161.44</v>
      </c>
      <c r="R203">
        <f>ROUND(O203-P203,2)</f>
        <v/>
      </c>
      <c r="S203">
        <f>ROUND(O203-Q203,2)</f>
        <v/>
      </c>
      <c r="T203" s="3">
        <f>IFERROR(P203/O203,"")</f>
        <v/>
      </c>
      <c r="U203" s="3">
        <f>IFERROR(Q203/O203,"")</f>
        <v/>
      </c>
      <c r="V203" t="n">
        <v>140</v>
      </c>
      <c r="W203" t="n">
        <v>86.02</v>
      </c>
      <c r="X203" t="n">
        <v>70.56</v>
      </c>
      <c r="Y203">
        <f>ROUND(V203-W203,2)</f>
        <v/>
      </c>
      <c r="Z203">
        <f>ROUND(V203-X203,2)</f>
        <v/>
      </c>
      <c r="AA203" s="3">
        <f>IFERROR(W203/V203,"")</f>
        <v/>
      </c>
      <c r="AB203" s="3">
        <f>IFERROR(X203/V203,"")</f>
        <v/>
      </c>
      <c r="AC203" t="b">
        <v>0</v>
      </c>
      <c r="AD203" t="b">
        <v>0</v>
      </c>
      <c r="AE203" t="b">
        <v>0</v>
      </c>
      <c r="AF203" t="inlineStr">
        <is>
          <t>No</t>
        </is>
      </c>
      <c r="AI203" t="b">
        <v>0</v>
      </c>
      <c r="AJ203" t="n">
        <v>0</v>
      </c>
      <c r="AK203" t="inlineStr">
        <is>
          <t>Key skills:
* .NET software development (Backend, Frontend)
* Angular software development (Frontend)
* Azure</t>
        </is>
      </c>
      <c r="AL203" t="inlineStr">
        <is>
          <t>ES Enterprise Solutions (Gina H.)</t>
        </is>
      </c>
      <c r="AM203" t="inlineStr">
        <is>
          <t>IEM .Net I (Christoph M.)</t>
        </is>
      </c>
      <c r="AN203" t="inlineStr">
        <is>
          <t>IEJ Individualentwicklung JAVA (Dominik S.)</t>
        </is>
      </c>
      <c r="AO203" t="inlineStr">
        <is>
          <t>bridgingIT GmbH</t>
        </is>
      </c>
      <c r="AP203" t="inlineStr">
        <is>
          <t>Stuttgart</t>
        </is>
      </c>
      <c r="AQ203" t="inlineStr">
        <is>
          <t>Christoph Müller</t>
        </is>
      </c>
    </row>
    <row r="204">
      <c r="A204" t="inlineStr">
        <is>
          <t>2303</t>
        </is>
      </c>
      <c r="B204" t="inlineStr">
        <is>
          <t>29C638</t>
        </is>
      </c>
      <c r="C204" t="inlineStr">
        <is>
          <t>https://app.matchical.com/Consulting/ConsultantDetail?ConsultantId=dc9782e3-2027-46f3-8b2e-60b2af5986d8</t>
        </is>
      </c>
      <c r="D204" t="inlineStr">
        <is>
          <t>Gustavo Muñoz</t>
        </is>
      </c>
      <c r="E204" t="inlineStr">
        <is>
          <t>gustavo.munoz@bridging-it.de</t>
        </is>
      </c>
      <c r="F204" s="2" t="n">
        <v>44713</v>
      </c>
      <c r="G204" s="2" t="n">
        <v>41821</v>
      </c>
      <c r="H204" t="n">
        <v>7</v>
      </c>
      <c r="I204" t="n">
        <v>0</v>
      </c>
      <c r="J204" t="n">
        <v>1</v>
      </c>
      <c r="K204" s="2" t="n">
        <v>45139</v>
      </c>
      <c r="L204" s="2" t="n">
        <v>44712</v>
      </c>
      <c r="M204" s="2" t="n">
        <v>45198</v>
      </c>
      <c r="N204" t="b">
        <v>0</v>
      </c>
      <c r="O204" t="n">
        <v>45</v>
      </c>
      <c r="P204" t="n">
        <v>54.97</v>
      </c>
      <c r="Q204" t="n">
        <v>44.81</v>
      </c>
      <c r="R204">
        <f>ROUND(O204-P204,2)</f>
        <v/>
      </c>
      <c r="S204">
        <f>ROUND(O204-Q204,2)</f>
        <v/>
      </c>
      <c r="T204" s="3">
        <f>IFERROR(P204/O204,"")</f>
        <v/>
      </c>
      <c r="U204" s="3">
        <f>IFERROR(Q204/O204,"")</f>
        <v/>
      </c>
      <c r="V204" t="n">
        <v>95</v>
      </c>
      <c r="W204" t="n">
        <v>23</v>
      </c>
      <c r="X204" t="n">
        <v>16.99</v>
      </c>
      <c r="Y204">
        <f>ROUND(V204-W204,2)</f>
        <v/>
      </c>
      <c r="Z204">
        <f>ROUND(V204-X204,2)</f>
        <v/>
      </c>
      <c r="AA204" s="3">
        <f>IFERROR(W204/V204,"")</f>
        <v/>
      </c>
      <c r="AB204" s="3">
        <f>IFERROR(X204/V204,"")</f>
        <v/>
      </c>
      <c r="AC204" t="b">
        <v>0</v>
      </c>
      <c r="AD204" t="b">
        <v>0</v>
      </c>
      <c r="AE204" t="b">
        <v>0</v>
      </c>
      <c r="AF204" t="inlineStr">
        <is>
          <t>No</t>
        </is>
      </c>
      <c r="AI204" t="b">
        <v>0</v>
      </c>
      <c r="AJ204" t="n">
        <v>0</v>
      </c>
      <c r="AK204" t="inlineStr">
        <is>
          <t>We are awaiting the Komm.ONE extension until mid-2027. Alternatives are welcome. 
Project Manager, coordinator, Product Owner, requirements management. Experience in the public sector and energy. Gustavo is also active in the SAL and has experience in business development.</t>
        </is>
      </c>
      <c r="AL204" t="inlineStr">
        <is>
          <t>DO Digital Organizations (Michael H.)</t>
        </is>
      </c>
      <c r="AM204" t="inlineStr">
        <is>
          <t>BT Business Transform. II (Patrick D.)</t>
        </is>
      </c>
      <c r="AN204" t="inlineStr">
        <is>
          <t>BT Business Transformation (Julian D.)</t>
        </is>
      </c>
      <c r="AO204" t="inlineStr">
        <is>
          <t>bridgingIT GmbH</t>
        </is>
      </c>
      <c r="AP204" t="inlineStr">
        <is>
          <t>Stuttgart</t>
        </is>
      </c>
      <c r="AQ204" t="inlineStr">
        <is>
          <t>Patrick Dehner</t>
        </is>
      </c>
    </row>
    <row r="205">
      <c r="A205" t="inlineStr">
        <is>
          <t>2281</t>
        </is>
      </c>
      <c r="B205" t="inlineStr">
        <is>
          <t>207A7B</t>
        </is>
      </c>
      <c r="C205" t="inlineStr">
        <is>
          <t>https://app.matchical.com/Consulting/ConsultantDetail?ConsultantId=8a3727c1-313a-4038-87ef-a21c3f613f2a</t>
        </is>
      </c>
      <c r="D205" t="inlineStr">
        <is>
          <t>Hannah Hadaller</t>
        </is>
      </c>
      <c r="E205" t="inlineStr">
        <is>
          <t>hannah.hadaller@bridging-it.de</t>
        </is>
      </c>
      <c r="F205" s="2" t="n">
        <v>44317</v>
      </c>
      <c r="G205" s="2" t="n">
        <v>43191</v>
      </c>
      <c r="H205" t="n">
        <v>16</v>
      </c>
      <c r="I205" t="n">
        <v>0</v>
      </c>
      <c r="J205" t="n">
        <v>0</v>
      </c>
      <c r="L205" s="2" t="n">
        <v>45349</v>
      </c>
      <c r="M205" s="2" t="n">
        <v>45656</v>
      </c>
      <c r="N205" t="b">
        <v>0</v>
      </c>
      <c r="O205" t="n">
        <v>58</v>
      </c>
      <c r="P205" t="n">
        <v>134.8</v>
      </c>
      <c r="Q205" t="n">
        <v>48.63</v>
      </c>
      <c r="R205">
        <f>ROUND(O205-P205,2)</f>
        <v/>
      </c>
      <c r="S205">
        <f>ROUND(O205-Q205,2)</f>
        <v/>
      </c>
      <c r="T205" s="3">
        <f>IFERROR(P205/O205,"")</f>
        <v/>
      </c>
      <c r="U205" s="3">
        <f>IFERROR(Q205/O205,"")</f>
        <v/>
      </c>
      <c r="V205" t="n">
        <v>37</v>
      </c>
      <c r="W205" t="n">
        <v>73.2</v>
      </c>
      <c r="X205" t="n">
        <v>23.37</v>
      </c>
      <c r="Y205">
        <f>ROUND(V205-W205,2)</f>
        <v/>
      </c>
      <c r="Z205">
        <f>ROUND(V205-X205,2)</f>
        <v/>
      </c>
      <c r="AA205" s="3">
        <f>IFERROR(W205/V205,"")</f>
        <v/>
      </c>
      <c r="AB205" s="3">
        <f>IFERROR(X205/V205,"")</f>
        <v/>
      </c>
      <c r="AC205" t="b">
        <v>0</v>
      </c>
      <c r="AD205" t="b">
        <v>0</v>
      </c>
      <c r="AE205" t="b">
        <v>0</v>
      </c>
      <c r="AF205" t="inlineStr">
        <is>
          <t>Yes</t>
        </is>
      </c>
      <c r="AG205" s="2" t="n">
        <v>46296</v>
      </c>
      <c r="AI205" t="b">
        <v>1</v>
      </c>
      <c r="AJ205" t="n">
        <v>3</v>
      </c>
      <c r="AK205" t="inlineStr">
        <is>
          <t>Hannah may be available starting October in addition to her 40% SAL module. 
A versatile asset spanning from project management to coaching: systemic coach, Scrum Master (also under SAFe), project leadership paired with Change Management. Industry experience in Public, Energy, and Finance &amp; Retail. Hands-on mentality with a penchant for business development. Brings DevOps and CI/CD know-how.</t>
        </is>
      </c>
      <c r="AL205" t="inlineStr">
        <is>
          <t>DO Digital Organizations (Michael H.)</t>
        </is>
      </c>
      <c r="AM205" t="inlineStr">
        <is>
          <t>BT Business Transform. II (Patrick D.)</t>
        </is>
      </c>
      <c r="AN205" t="inlineStr">
        <is>
          <t>BT Business Transformation (Julian D.)</t>
        </is>
      </c>
      <c r="AO205" t="inlineStr">
        <is>
          <t>bridgingIT GmbH</t>
        </is>
      </c>
      <c r="AP205" t="inlineStr">
        <is>
          <t>Stuttgart</t>
        </is>
      </c>
      <c r="AQ205" t="inlineStr">
        <is>
          <t>Patrick Dehner</t>
        </is>
      </c>
    </row>
    <row r="206">
      <c r="A206" t="inlineStr">
        <is>
          <t>1484</t>
        </is>
      </c>
      <c r="B206" t="inlineStr">
        <is>
          <t>BAABAA</t>
        </is>
      </c>
      <c r="C206" t="inlineStr">
        <is>
          <t>https://app.matchical.com/Consulting/ConsultantDetail?ConsultantId=f2af4300-4662-4a40-b07c-77ad7b58b645</t>
        </is>
      </c>
      <c r="D206" t="inlineStr">
        <is>
          <t>Hannah Ringel</t>
        </is>
      </c>
      <c r="E206" t="inlineStr">
        <is>
          <t>hannah.ringel@bridging-it.de</t>
        </is>
      </c>
      <c r="F206" s="2" t="n">
        <v>44440</v>
      </c>
      <c r="G206" s="2" t="n">
        <v>43174</v>
      </c>
      <c r="H206" t="n">
        <v>7</v>
      </c>
      <c r="I206" t="n">
        <v>0</v>
      </c>
      <c r="J206" t="n">
        <v>2</v>
      </c>
      <c r="K206" s="2" t="n">
        <v>44196</v>
      </c>
      <c r="L206" s="2" t="n">
        <v>44848</v>
      </c>
      <c r="M206" s="2" t="n">
        <v>45365</v>
      </c>
      <c r="N206" t="b">
        <v>0</v>
      </c>
      <c r="O206" t="n">
        <v>54</v>
      </c>
      <c r="P206" t="n">
        <v>116.09</v>
      </c>
      <c r="Q206" t="n">
        <v>53.78</v>
      </c>
      <c r="R206">
        <f>ROUND(O206-P206,2)</f>
        <v/>
      </c>
      <c r="S206">
        <f>ROUND(O206-Q206,2)</f>
        <v/>
      </c>
      <c r="T206" s="3">
        <f>IFERROR(P206/O206,"")</f>
        <v/>
      </c>
      <c r="U206" s="3">
        <f>IFERROR(Q206/O206,"")</f>
        <v/>
      </c>
      <c r="V206" t="n">
        <v>42</v>
      </c>
      <c r="W206" t="n">
        <v>53.88</v>
      </c>
      <c r="X206" t="n">
        <v>39.47</v>
      </c>
      <c r="Y206">
        <f>ROUND(V206-W206,2)</f>
        <v/>
      </c>
      <c r="Z206">
        <f>ROUND(V206-X206,2)</f>
        <v/>
      </c>
      <c r="AA206" s="3">
        <f>IFERROR(W206/V206,"")</f>
        <v/>
      </c>
      <c r="AB206" s="3">
        <f>IFERROR(X206/V206,"")</f>
        <v/>
      </c>
      <c r="AC206" t="b">
        <v>0</v>
      </c>
      <c r="AD206" t="b">
        <v>0</v>
      </c>
      <c r="AE206" t="b">
        <v>0</v>
      </c>
      <c r="AF206" t="inlineStr">
        <is>
          <t>No</t>
        </is>
      </c>
      <c r="AG206" s="2" t="n">
        <v>46296</v>
      </c>
      <c r="AI206" t="b">
        <v>1</v>
      </c>
      <c r="AJ206" t="n">
        <v>0</v>
      </c>
      <c r="AK206" t="inlineStr">
        <is>
          <t>Hannah is seeking transformation projects in the areas of change management, process management, organizational development, business analysis, and team coaching.</t>
        </is>
      </c>
      <c r="AL206" t="inlineStr">
        <is>
          <t>T&amp;A - Transformation &amp; Agility (Arne K.)</t>
        </is>
      </c>
      <c r="AM206" t="inlineStr">
        <is>
          <t>P&amp;OS - Processes &amp; Organizational Str. (Raina B.)</t>
        </is>
      </c>
      <c r="AN206" t="inlineStr">
        <is>
          <t>TB - Transforming Business (Arne K.)</t>
        </is>
      </c>
      <c r="AO206" t="inlineStr">
        <is>
          <t>bridgingIT GmbH</t>
        </is>
      </c>
      <c r="AP206" t="inlineStr">
        <is>
          <t>Mannheim</t>
        </is>
      </c>
      <c r="AQ206" t="inlineStr">
        <is>
          <t>Raina Beck</t>
        </is>
      </c>
    </row>
    <row r="207">
      <c r="A207" t="inlineStr">
        <is>
          <t>1163</t>
        </is>
      </c>
      <c r="B207" t="inlineStr">
        <is>
          <t>86F976</t>
        </is>
      </c>
      <c r="C207" t="inlineStr">
        <is>
          <t>https://app.matchical.com/Consulting/ConsultantDetail?ConsultantId=95250ff2-30a0-4401-9d81-40532ffca42d</t>
        </is>
      </c>
      <c r="D207" t="inlineStr">
        <is>
          <t>Hans-Joachim Hanf</t>
        </is>
      </c>
      <c r="E207" t="inlineStr">
        <is>
          <t>hans-joachim.hanf@bridging-it.de</t>
        </is>
      </c>
      <c r="F207" s="2" t="n">
        <v>40695</v>
      </c>
      <c r="G207" s="2" t="n">
        <v>30682</v>
      </c>
      <c r="H207" t="n">
        <v>10</v>
      </c>
      <c r="I207" t="n">
        <v>0</v>
      </c>
      <c r="J207" t="n">
        <v>3</v>
      </c>
      <c r="K207" s="2" t="n">
        <v>44242</v>
      </c>
      <c r="L207" s="2" t="n">
        <v>45444</v>
      </c>
      <c r="M207" s="2" t="n">
        <v>45688</v>
      </c>
      <c r="N207" t="b">
        <v>0</v>
      </c>
      <c r="O207" t="n">
        <v>177</v>
      </c>
      <c r="P207" t="n">
        <v>215</v>
      </c>
      <c r="Q207" t="n">
        <v>123</v>
      </c>
      <c r="R207">
        <f>ROUND(O207-P207,2)</f>
        <v/>
      </c>
      <c r="S207">
        <f>ROUND(O207-Q207,2)</f>
        <v/>
      </c>
      <c r="T207" s="3">
        <f>IFERROR(P207/O207,"")</f>
        <v/>
      </c>
      <c r="U207" s="3">
        <f>IFERROR(Q207/O207,"")</f>
        <v/>
      </c>
      <c r="V207" t="n">
        <v>329</v>
      </c>
      <c r="W207" t="n">
        <v>0</v>
      </c>
      <c r="X207" t="n">
        <v>0</v>
      </c>
      <c r="Y207">
        <f>ROUND(V207-W207,2)</f>
        <v/>
      </c>
      <c r="Z207">
        <f>ROUND(V207-X207,2)</f>
        <v/>
      </c>
      <c r="AA207" s="3">
        <f>IFERROR(W207/V207,"")</f>
        <v/>
      </c>
      <c r="AB207" s="3">
        <f>IFERROR(X207/V207,"")</f>
        <v/>
      </c>
      <c r="AC207" t="b">
        <v>0</v>
      </c>
      <c r="AD207" t="b">
        <v>0</v>
      </c>
      <c r="AE207" t="b">
        <v>0</v>
      </c>
      <c r="AF207" t="inlineStr">
        <is>
          <t>No</t>
        </is>
      </c>
      <c r="AI207" t="b">
        <v>0</v>
      </c>
      <c r="AJ207" t="n">
        <v>0</v>
      </c>
      <c r="AK207" t="inlineStr"/>
      <c r="AL207" t="inlineStr">
        <is>
          <t>ES Enterprise Solutions (Gina H.)</t>
        </is>
      </c>
      <c r="AM207" t="inlineStr">
        <is>
          <t>PE Platform Engineering (Thomas K.)</t>
        </is>
      </c>
      <c r="AN207" t="inlineStr">
        <is>
          <t>PA Platform &amp; Application Solutions (Thomas K.)</t>
        </is>
      </c>
      <c r="AO207" t="inlineStr">
        <is>
          <t>bridgingIT GmbH</t>
        </is>
      </c>
      <c r="AP207" t="inlineStr">
        <is>
          <t>Stuttgart</t>
        </is>
      </c>
      <c r="AQ207" t="inlineStr">
        <is>
          <t>Thomas Kiri</t>
        </is>
      </c>
    </row>
    <row r="208">
      <c r="A208" t="inlineStr">
        <is>
          <t>5103</t>
        </is>
      </c>
      <c r="B208" t="inlineStr">
        <is>
          <t>4AFEEC</t>
        </is>
      </c>
      <c r="C208" t="inlineStr">
        <is>
          <t>https://app.matchical.com/Consulting/ConsultantDetail?ConsultantId=faa56325-eb6c-4b16-bbc6-8626f8f2caea</t>
        </is>
      </c>
      <c r="D208" t="inlineStr">
        <is>
          <t>Hanya Selmi</t>
        </is>
      </c>
      <c r="E208" t="inlineStr">
        <is>
          <t>hanya.selmi@bridging-it.de</t>
        </is>
      </c>
      <c r="F208" s="2" t="n">
        <v>44757</v>
      </c>
      <c r="G208" s="2" t="n">
        <v>44713</v>
      </c>
      <c r="H208" t="n">
        <v>6</v>
      </c>
      <c r="I208" t="n">
        <v>0</v>
      </c>
      <c r="J208" t="n">
        <v>5</v>
      </c>
      <c r="K208" s="2" t="n">
        <v>44562</v>
      </c>
      <c r="L208" s="2" t="n">
        <v>45043</v>
      </c>
      <c r="M208" s="2" t="n">
        <v>45168</v>
      </c>
      <c r="N208" t="b">
        <v>0</v>
      </c>
      <c r="O208" t="n">
        <v>43</v>
      </c>
      <c r="P208" t="n">
        <v>212.6</v>
      </c>
      <c r="Q208" t="n">
        <v>43.37</v>
      </c>
      <c r="R208">
        <f>ROUND(O208-P208,2)</f>
        <v/>
      </c>
      <c r="S208">
        <f>ROUND(O208-Q208,2)</f>
        <v/>
      </c>
      <c r="T208" s="3">
        <f>IFERROR(P208/O208,"")</f>
        <v/>
      </c>
      <c r="U208" s="3">
        <f>IFERROR(Q208/O208,"")</f>
        <v/>
      </c>
      <c r="V208" t="n">
        <v>1</v>
      </c>
      <c r="W208" t="n">
        <v>1.52</v>
      </c>
      <c r="X208" t="n">
        <v>0.47</v>
      </c>
      <c r="Y208">
        <f>ROUND(V208-W208,2)</f>
        <v/>
      </c>
      <c r="Z208">
        <f>ROUND(V208-X208,2)</f>
        <v/>
      </c>
      <c r="AA208" s="3">
        <f>IFERROR(W208/V208,"")</f>
        <v/>
      </c>
      <c r="AB208" s="3">
        <f>IFERROR(X208/V208,"")</f>
        <v/>
      </c>
      <c r="AC208" t="b">
        <v>0</v>
      </c>
      <c r="AD208" t="b">
        <v>0</v>
      </c>
      <c r="AE208" t="b">
        <v>0</v>
      </c>
      <c r="AF208" t="inlineStr">
        <is>
          <t>No</t>
        </is>
      </c>
      <c r="AI208" t="b">
        <v>0</v>
      </c>
      <c r="AJ208" t="n">
        <v>0</v>
      </c>
      <c r="AK208" t="inlineStr">
        <is>
          <t>BASF project. Extension is very likely.</t>
        </is>
      </c>
      <c r="AL208" t="inlineStr">
        <is>
          <t>ORG bIT</t>
        </is>
      </c>
      <c r="AM208" t="inlineStr">
        <is>
          <t>LSC - Life Science Cologne (Sascha B.)</t>
        </is>
      </c>
      <c r="AN208" t="inlineStr">
        <is>
          <t>CC Life Science Solutions (Sabine S.)</t>
        </is>
      </c>
      <c r="AO208" t="inlineStr">
        <is>
          <t>bridgingIT GmbH</t>
        </is>
      </c>
      <c r="AP208" t="inlineStr">
        <is>
          <t>Köln</t>
        </is>
      </c>
      <c r="AQ208" t="inlineStr">
        <is>
          <t>Sascha Beerhenke</t>
        </is>
      </c>
    </row>
    <row r="209">
      <c r="A209" t="inlineStr">
        <is>
          <t>10305</t>
        </is>
      </c>
      <c r="B209" t="inlineStr">
        <is>
          <t>25C542</t>
        </is>
      </c>
      <c r="C209" t="inlineStr">
        <is>
          <t>https://app.matchical.com/Consulting/ConsultantDetail?ConsultantId=6a686570-9986-45f8-94a7-2bcff335a713</t>
        </is>
      </c>
      <c r="D209" t="inlineStr">
        <is>
          <t>Harald Dietrich</t>
        </is>
      </c>
      <c r="E209" t="inlineStr">
        <is>
          <t>harald.dietrich@bridging-it.de</t>
        </is>
      </c>
      <c r="F209" s="2" t="n">
        <v>45474</v>
      </c>
      <c r="G209" s="2" t="n">
        <v>36251</v>
      </c>
      <c r="H209" t="n">
        <v>12</v>
      </c>
      <c r="I209" t="n">
        <v>0</v>
      </c>
      <c r="J209" t="n">
        <v>0</v>
      </c>
      <c r="L209" s="2" t="n">
        <v>45747</v>
      </c>
      <c r="M209" s="2" t="n">
        <v>46022</v>
      </c>
      <c r="N209" t="b">
        <v>0</v>
      </c>
      <c r="O209" t="n">
        <v>20</v>
      </c>
      <c r="P209" t="n">
        <v>20.65</v>
      </c>
      <c r="Q209" t="n">
        <v>19.65</v>
      </c>
      <c r="R209">
        <f>ROUND(O209-P209,2)</f>
        <v/>
      </c>
      <c r="S209">
        <f>ROUND(O209-Q209,2)</f>
        <v/>
      </c>
      <c r="T209" s="3">
        <f>IFERROR(P209/O209,"")</f>
        <v/>
      </c>
      <c r="U209" s="3">
        <f>IFERROR(Q209/O209,"")</f>
        <v/>
      </c>
      <c r="V209" t="n">
        <v>303</v>
      </c>
      <c r="W209" t="n">
        <v>134.13</v>
      </c>
      <c r="X209" t="n">
        <v>128.13</v>
      </c>
      <c r="Y209">
        <f>ROUND(V209-W209,2)</f>
        <v/>
      </c>
      <c r="Z209">
        <f>ROUND(V209-X209,2)</f>
        <v/>
      </c>
      <c r="AA209" s="3">
        <f>IFERROR(W209/V209,"")</f>
        <v/>
      </c>
      <c r="AB209" s="3">
        <f>IFERROR(X209/V209,"")</f>
        <v/>
      </c>
      <c r="AC209" t="b">
        <v>0</v>
      </c>
      <c r="AD209" t="b">
        <v>0</v>
      </c>
      <c r="AE209" t="b">
        <v>0</v>
      </c>
      <c r="AF209" t="inlineStr">
        <is>
          <t>No</t>
        </is>
      </c>
      <c r="AI209" t="b">
        <v>1</v>
      </c>
      <c r="AJ209" t="n">
        <v>0</v>
      </c>
      <c r="AK209" t="inlineStr">
        <is>
          <t>SAFe Coach, Agile Coach, Project Manager</t>
        </is>
      </c>
      <c r="AL209" t="inlineStr">
        <is>
          <t>DO Digital Organizations (Michael H.)</t>
        </is>
      </c>
      <c r="AM209" t="inlineStr">
        <is>
          <t>AO Agile Organizations (Andreas G.)</t>
        </is>
      </c>
      <c r="AN209" t="inlineStr">
        <is>
          <t>BT Business Transformation (Julian D.)</t>
        </is>
      </c>
      <c r="AO209" t="inlineStr">
        <is>
          <t>bridgingIT GmbH</t>
        </is>
      </c>
      <c r="AP209" t="inlineStr">
        <is>
          <t>Stuttgart</t>
        </is>
      </c>
      <c r="AQ209" t="inlineStr">
        <is>
          <t>Andreas Glasa</t>
        </is>
      </c>
    </row>
    <row r="210">
      <c r="A210" t="inlineStr">
        <is>
          <t>2001</t>
        </is>
      </c>
      <c r="B210" t="inlineStr">
        <is>
          <t>84B7AC</t>
        </is>
      </c>
      <c r="C210" t="inlineStr">
        <is>
          <t>https://app.matchical.com/Consulting/ConsultantDetail?ConsultantId=6c6429db-d754-427a-8c72-ef687d5e4468</t>
        </is>
      </c>
      <c r="D210" t="inlineStr">
        <is>
          <t>Hartmut John</t>
        </is>
      </c>
      <c r="E210" t="inlineStr">
        <is>
          <t>hartmut.john@bridging-it.de</t>
        </is>
      </c>
      <c r="F210" s="2" t="n">
        <v>39569</v>
      </c>
      <c r="G210" s="2" t="n">
        <v>35431</v>
      </c>
      <c r="H210" t="n">
        <v>28</v>
      </c>
      <c r="I210" t="n">
        <v>0</v>
      </c>
      <c r="J210" t="n">
        <v>3</v>
      </c>
      <c r="K210" s="2" t="n">
        <v>42552</v>
      </c>
      <c r="L210" s="2" t="n">
        <v>43591</v>
      </c>
      <c r="M210" s="2" t="n">
        <v>43799</v>
      </c>
      <c r="N210" t="b">
        <v>0</v>
      </c>
      <c r="O210" t="n">
        <v>214</v>
      </c>
      <c r="P210" t="n">
        <v>548</v>
      </c>
      <c r="Q210" t="n">
        <v>192</v>
      </c>
      <c r="R210">
        <f>ROUND(O210-P210,2)</f>
        <v/>
      </c>
      <c r="S210">
        <f>ROUND(O210-Q210,2)</f>
        <v/>
      </c>
      <c r="T210" s="3">
        <f>IFERROR(P210/O210,"")</f>
        <v/>
      </c>
      <c r="U210" s="3">
        <f>IFERROR(Q210/O210,"")</f>
        <v/>
      </c>
      <c r="V210" t="n">
        <v>136</v>
      </c>
      <c r="W210" t="n">
        <v>0</v>
      </c>
      <c r="X210" t="n">
        <v>0</v>
      </c>
      <c r="Y210">
        <f>ROUND(V210-W210,2)</f>
        <v/>
      </c>
      <c r="Z210">
        <f>ROUND(V210-X210,2)</f>
        <v/>
      </c>
      <c r="AA210" s="3">
        <f>IFERROR(W210/V210,"")</f>
        <v/>
      </c>
      <c r="AB210" s="3">
        <f>IFERROR(X210/V210,"")</f>
        <v/>
      </c>
      <c r="AC210" t="b">
        <v>0</v>
      </c>
      <c r="AD210" t="b">
        <v>0</v>
      </c>
      <c r="AE210" t="b">
        <v>0</v>
      </c>
      <c r="AF210" t="inlineStr">
        <is>
          <t>No</t>
        </is>
      </c>
      <c r="AI210" t="b">
        <v>1</v>
      </c>
      <c r="AJ210" t="n">
        <v>0</v>
      </c>
      <c r="AK210" t="inlineStr">
        <is>
          <t>Skills: IoT architecture / IT security concept (multi-year experience in the DPAG environment: data center, Web, IoT, SAP, ...)
Availability 1-2 days per week</t>
        </is>
      </c>
      <c r="AL210" t="inlineStr">
        <is>
          <t>ES Enterprise Solutions (Gina H.)</t>
        </is>
      </c>
      <c r="AM210" t="inlineStr">
        <is>
          <t>DA Data &amp; AI Solutions (Ralf Fi.)</t>
        </is>
      </c>
      <c r="AN210" t="inlineStr">
        <is>
          <t>PA Platform &amp; Application Solutions (Thomas K.)</t>
        </is>
      </c>
      <c r="AO210" t="inlineStr">
        <is>
          <t>bridgingIT GmbH</t>
        </is>
      </c>
      <c r="AP210" t="inlineStr">
        <is>
          <t>Stuttgart</t>
        </is>
      </c>
      <c r="AQ210" t="inlineStr">
        <is>
          <t>Ralf Fischer</t>
        </is>
      </c>
    </row>
    <row r="211">
      <c r="A211" t="inlineStr">
        <is>
          <t>2075</t>
        </is>
      </c>
      <c r="B211" t="inlineStr">
        <is>
          <t>B00754</t>
        </is>
      </c>
      <c r="C211" t="inlineStr">
        <is>
          <t>https://app.matchical.com/Consulting/ConsultantDetail?ConsultantId=1bff75c4-aa71-4b79-8262-d0250edb00f4</t>
        </is>
      </c>
      <c r="D211" t="inlineStr">
        <is>
          <t>Hauke Goppelt</t>
        </is>
      </c>
      <c r="E211" t="inlineStr">
        <is>
          <t>hauke.goppelt@bridging-it.de</t>
        </is>
      </c>
      <c r="F211" s="2" t="n">
        <v>41426</v>
      </c>
      <c r="G211" s="2" t="n">
        <v>33817</v>
      </c>
      <c r="H211" t="n">
        <v>8</v>
      </c>
      <c r="I211" t="n">
        <v>0</v>
      </c>
      <c r="J211" t="n">
        <v>0</v>
      </c>
      <c r="L211" s="2" t="n">
        <v>45139</v>
      </c>
      <c r="M211" s="2" t="n">
        <v>45687</v>
      </c>
      <c r="N211" t="b">
        <v>0</v>
      </c>
      <c r="O211" t="n">
        <v>153</v>
      </c>
      <c r="P211" t="n">
        <v>144</v>
      </c>
      <c r="Q211" t="n">
        <v>111</v>
      </c>
      <c r="R211">
        <f>ROUND(O211-P211,2)</f>
        <v/>
      </c>
      <c r="S211">
        <f>ROUND(O211-Q211,2)</f>
        <v/>
      </c>
      <c r="T211" s="3">
        <f>IFERROR(P211/O211,"")</f>
        <v/>
      </c>
      <c r="U211" s="3">
        <f>IFERROR(Q211/O211,"")</f>
        <v/>
      </c>
      <c r="V211" t="n">
        <v>250</v>
      </c>
      <c r="W211" t="n">
        <v>0</v>
      </c>
      <c r="X211" t="n">
        <v>0</v>
      </c>
      <c r="Y211">
        <f>ROUND(V211-W211,2)</f>
        <v/>
      </c>
      <c r="Z211">
        <f>ROUND(V211-X211,2)</f>
        <v/>
      </c>
      <c r="AA211" s="3">
        <f>IFERROR(W211/V211,"")</f>
        <v/>
      </c>
      <c r="AB211" s="3">
        <f>IFERROR(X211/V211,"")</f>
        <v/>
      </c>
      <c r="AC211" t="b">
        <v>0</v>
      </c>
      <c r="AD211" t="b">
        <v>0</v>
      </c>
      <c r="AE211" t="b">
        <v>0</v>
      </c>
      <c r="AF211" t="inlineStr">
        <is>
          <t>No</t>
        </is>
      </c>
      <c r="AI211" t="b">
        <v>0</v>
      </c>
      <c r="AJ211" t="n">
        <v>0</v>
      </c>
      <c r="AK211" t="inlineStr"/>
      <c r="AL211" t="inlineStr">
        <is>
          <t>IT Information Technology (Hauke G.)</t>
        </is>
      </c>
      <c r="AM211" t="inlineStr">
        <is>
          <t>IT Line Management (Hauke G.)</t>
        </is>
      </c>
      <c r="AN211" t="inlineStr">
        <is>
          <t>IT Line-Management (Hauke G.)</t>
        </is>
      </c>
      <c r="AO211" t="inlineStr">
        <is>
          <t>bridgingIT GmbH</t>
        </is>
      </c>
      <c r="AP211" t="inlineStr">
        <is>
          <t>Stuttgart</t>
        </is>
      </c>
      <c r="AQ211" t="inlineStr">
        <is>
          <t>Tim Kost</t>
        </is>
      </c>
    </row>
    <row r="212">
      <c r="A212" t="inlineStr">
        <is>
          <t>2288</t>
        </is>
      </c>
      <c r="B212" t="inlineStr">
        <is>
          <t>FDEDB6</t>
        </is>
      </c>
      <c r="C212" t="inlineStr">
        <is>
          <t>https://app.matchical.com/Consulting/ConsultantDetail?ConsultantId=d0a9b45d-9dd6-43bb-bd35-f708e7066404</t>
        </is>
      </c>
      <c r="D212" t="inlineStr">
        <is>
          <t>Heidi Foldenauer</t>
        </is>
      </c>
      <c r="E212" t="inlineStr">
        <is>
          <t>heidi.foldenauer@bridging-it.de</t>
        </is>
      </c>
      <c r="F212" s="2" t="n">
        <v>44470</v>
      </c>
      <c r="G212" s="2" t="n">
        <v>36404</v>
      </c>
      <c r="H212" t="n">
        <v>4</v>
      </c>
      <c r="I212" t="n">
        <v>0</v>
      </c>
      <c r="J212" t="n">
        <v>1</v>
      </c>
      <c r="K212" s="2" t="n">
        <v>44479</v>
      </c>
      <c r="L212" s="2" t="n">
        <v>44985</v>
      </c>
      <c r="M212" s="2" t="n">
        <v>45532</v>
      </c>
      <c r="N212" t="b">
        <v>0</v>
      </c>
      <c r="O212" t="n">
        <v>53</v>
      </c>
      <c r="P212" t="n">
        <v>70</v>
      </c>
      <c r="Q212" t="n">
        <v>52</v>
      </c>
      <c r="R212">
        <f>ROUND(O212-P212,2)</f>
        <v/>
      </c>
      <c r="S212">
        <f>ROUND(O212-Q212,2)</f>
        <v/>
      </c>
      <c r="T212" s="3">
        <f>IFERROR(P212/O212,"")</f>
        <v/>
      </c>
      <c r="U212" s="3">
        <f>IFERROR(Q212/O212,"")</f>
        <v/>
      </c>
      <c r="V212" t="n">
        <v>265</v>
      </c>
      <c r="W212" t="n">
        <v>68</v>
      </c>
      <c r="X212" t="n">
        <v>43</v>
      </c>
      <c r="Y212">
        <f>ROUND(V212-W212,2)</f>
        <v/>
      </c>
      <c r="Z212">
        <f>ROUND(V212-X212,2)</f>
        <v/>
      </c>
      <c r="AA212" s="3">
        <f>IFERROR(W212/V212,"")</f>
        <v/>
      </c>
      <c r="AB212" s="3">
        <f>IFERROR(X212/V212,"")</f>
        <v/>
      </c>
      <c r="AC212" t="b">
        <v>0</v>
      </c>
      <c r="AD212" t="b">
        <v>0</v>
      </c>
      <c r="AE212" t="b">
        <v>0</v>
      </c>
      <c r="AF212" t="inlineStr">
        <is>
          <t>No</t>
        </is>
      </c>
      <c r="AI212" t="b">
        <v>1</v>
      </c>
      <c r="AJ212" t="n">
        <v>0</v>
      </c>
      <c r="AK212" t="inlineStr">
        <is>
          <t>Business Process Management, Process Analysis, Process Design, Requirements Engineering, Management Consulting (strategic objectives, corporate development, program planning, etc.)</t>
        </is>
      </c>
      <c r="AL212" t="inlineStr">
        <is>
          <t>DO Digital Organizations (Michael H.)</t>
        </is>
      </c>
      <c r="AM212" t="inlineStr">
        <is>
          <t>BPE Business Process Excellence (Heidi F.)</t>
        </is>
      </c>
      <c r="AN212" t="inlineStr">
        <is>
          <t>BE Business Engineering (Heidi Foldenauer)</t>
        </is>
      </c>
      <c r="AO212" t="inlineStr">
        <is>
          <t>bridgingIT GmbH</t>
        </is>
      </c>
      <c r="AP212" t="inlineStr">
        <is>
          <t>Stuttgart</t>
        </is>
      </c>
      <c r="AQ212" t="inlineStr">
        <is>
          <t>Michael Hagenlocher</t>
        </is>
      </c>
    </row>
    <row r="213">
      <c r="A213" t="inlineStr">
        <is>
          <t>3229</t>
        </is>
      </c>
      <c r="B213" t="inlineStr">
        <is>
          <t>2EC5B4</t>
        </is>
      </c>
      <c r="C213" t="inlineStr">
        <is>
          <t>https://app.matchical.com/Consulting/ConsultantDetail?ConsultantId=a85d69ff-6ed7-43a6-9496-74e37863f466</t>
        </is>
      </c>
      <c r="D213" t="inlineStr">
        <is>
          <t>Helena Bähr</t>
        </is>
      </c>
      <c r="E213" t="inlineStr">
        <is>
          <t>helena.baehr@bridging-it.de</t>
        </is>
      </c>
      <c r="F213" s="2" t="n">
        <v>44531</v>
      </c>
      <c r="G213" s="2" t="n">
        <v>40452</v>
      </c>
      <c r="H213" t="n">
        <v>11</v>
      </c>
      <c r="I213" t="n">
        <v>0</v>
      </c>
      <c r="J213" t="n">
        <v>4</v>
      </c>
      <c r="K213" s="2" t="n">
        <v>43465</v>
      </c>
      <c r="L213" s="2" t="n">
        <v>45689</v>
      </c>
      <c r="M213" s="2" t="n">
        <v>46022</v>
      </c>
      <c r="N213" t="b">
        <v>0</v>
      </c>
      <c r="O213" t="n">
        <v>51</v>
      </c>
      <c r="P213" t="n">
        <v>192.31</v>
      </c>
      <c r="Q213" t="n">
        <v>50.79</v>
      </c>
      <c r="R213">
        <f>ROUND(O213-P213,2)</f>
        <v/>
      </c>
      <c r="S213">
        <f>ROUND(O213-Q213,2)</f>
        <v/>
      </c>
      <c r="T213" s="3">
        <f>IFERROR(P213/O213,"")</f>
        <v/>
      </c>
      <c r="U213" s="3">
        <f>IFERROR(Q213/O213,"")</f>
        <v/>
      </c>
      <c r="V213" t="n">
        <v>134</v>
      </c>
      <c r="W213" t="n">
        <v>166.69</v>
      </c>
      <c r="X213" t="n">
        <v>97.62</v>
      </c>
      <c r="Y213">
        <f>ROUND(V213-W213,2)</f>
        <v/>
      </c>
      <c r="Z213">
        <f>ROUND(V213-X213,2)</f>
        <v/>
      </c>
      <c r="AA213" s="3">
        <f>IFERROR(W213/V213,"")</f>
        <v/>
      </c>
      <c r="AB213" s="3">
        <f>IFERROR(X213/V213,"")</f>
        <v/>
      </c>
      <c r="AC213" t="b">
        <v>0</v>
      </c>
      <c r="AD213" t="b">
        <v>0</v>
      </c>
      <c r="AE213" t="b">
        <v>0</v>
      </c>
      <c r="AF213" t="inlineStr">
        <is>
          <t>No</t>
        </is>
      </c>
      <c r="AI213" t="b">
        <v>1</v>
      </c>
      <c r="AJ213" t="n">
        <v>0</v>
      </c>
      <c r="AK213" t="inlineStr">
        <is>
          <t>SPC, JIRA Expertise, Agile Coaching, Scrum Master</t>
        </is>
      </c>
      <c r="AL213" t="inlineStr">
        <is>
          <t>ORG bIT</t>
        </is>
      </c>
      <c r="AM213" t="inlineStr">
        <is>
          <t>AO Agile Organization (Katharina G.)</t>
        </is>
      </c>
      <c r="AN213" t="inlineStr">
        <is>
          <t>TH Transformation Hub (Ulrich W.)</t>
        </is>
      </c>
      <c r="AO213" t="inlineStr">
        <is>
          <t>bridgingIT GmbH</t>
        </is>
      </c>
      <c r="AP213" t="inlineStr">
        <is>
          <t>Frankfurt</t>
        </is>
      </c>
      <c r="AQ213" t="inlineStr">
        <is>
          <t>Katharina Gossen</t>
        </is>
      </c>
    </row>
    <row r="214">
      <c r="A214" t="inlineStr">
        <is>
          <t>1488</t>
        </is>
      </c>
      <c r="B214" t="inlineStr">
        <is>
          <t>536E97</t>
        </is>
      </c>
      <c r="C214" t="inlineStr">
        <is>
          <t>https://app.matchical.com/Consulting/ConsultantDetail?ConsultantId=656239af-ccf8-4f89-83f6-548cddac99b5</t>
        </is>
      </c>
      <c r="D214" t="inlineStr">
        <is>
          <t>Helga Gonzalez</t>
        </is>
      </c>
      <c r="E214" t="inlineStr">
        <is>
          <t>helga.gonzalez@bridging-it.de</t>
        </is>
      </c>
      <c r="F214" s="2" t="n">
        <v>44470</v>
      </c>
      <c r="G214" s="2" t="n">
        <v>41030</v>
      </c>
      <c r="H214" t="n">
        <v>17</v>
      </c>
      <c r="I214" t="n">
        <v>0</v>
      </c>
      <c r="J214" t="n">
        <v>3</v>
      </c>
      <c r="K214" s="2" t="n">
        <v>44561</v>
      </c>
      <c r="L214" s="2" t="n">
        <v>45589</v>
      </c>
      <c r="M214" s="2" t="n">
        <v>45930</v>
      </c>
      <c r="N214" t="b">
        <v>0</v>
      </c>
      <c r="O214" t="n">
        <v>53</v>
      </c>
      <c r="P214" t="n">
        <v>230.79</v>
      </c>
      <c r="Q214" t="n">
        <v>52.8</v>
      </c>
      <c r="R214">
        <f>ROUND(O214-P214,2)</f>
        <v/>
      </c>
      <c r="S214">
        <f>ROUND(O214-Q214,2)</f>
        <v/>
      </c>
      <c r="T214" s="3">
        <f>IFERROR(P214/O214,"")</f>
        <v/>
      </c>
      <c r="U214" s="3">
        <f>IFERROR(Q214/O214,"")</f>
        <v/>
      </c>
      <c r="V214" t="n">
        <v>113</v>
      </c>
      <c r="W214" t="n">
        <v>0</v>
      </c>
      <c r="X214" t="n">
        <v>0</v>
      </c>
      <c r="Y214">
        <f>ROUND(V214-W214,2)</f>
        <v/>
      </c>
      <c r="Z214">
        <f>ROUND(V214-X214,2)</f>
        <v/>
      </c>
      <c r="AA214" s="3">
        <f>IFERROR(W214/V214,"")</f>
        <v/>
      </c>
      <c r="AB214" s="3">
        <f>IFERROR(X214/V214,"")</f>
        <v/>
      </c>
      <c r="AC214" t="b">
        <v>0</v>
      </c>
      <c r="AD214" t="b">
        <v>0</v>
      </c>
      <c r="AE214" t="b">
        <v>0</v>
      </c>
      <c r="AF214" t="inlineStr">
        <is>
          <t>Yes</t>
        </is>
      </c>
      <c r="AG214" s="2" t="n">
        <v>46113</v>
      </c>
      <c r="AI214" t="b">
        <v>0</v>
      </c>
      <c r="AJ214" t="n">
        <v>5</v>
      </c>
      <c r="AK214" t="inlineStr">
        <is>
          <t>[EnBW] Likely extension in the current project context (Jan H.)
[dmTECH] Teams phonebook (Sebastian P.)</t>
        </is>
      </c>
      <c r="AL214" t="inlineStr">
        <is>
          <t>A&amp;SE Analytics &amp; Software Engineering (Philip R.)</t>
        </is>
      </c>
      <c r="AM214" t="inlineStr">
        <is>
          <t>DS Data Science (Dr. Philip W.)</t>
        </is>
      </c>
      <c r="AN214" t="inlineStr">
        <is>
          <t>A&amp;DDS - Analytics &amp; Data-driven Solutions (M. Hof)</t>
        </is>
      </c>
      <c r="AO214" t="inlineStr">
        <is>
          <t>bridgingIT GmbH</t>
        </is>
      </c>
      <c r="AP214" t="inlineStr">
        <is>
          <t>Mannheim</t>
        </is>
      </c>
      <c r="AQ214" t="inlineStr">
        <is>
          <t>Philip Wollfarth</t>
        </is>
      </c>
    </row>
    <row r="215">
      <c r="A215" t="inlineStr">
        <is>
          <t>2046</t>
        </is>
      </c>
      <c r="B215" t="inlineStr">
        <is>
          <t>1ABD3C</t>
        </is>
      </c>
      <c r="C215" t="inlineStr">
        <is>
          <t>https://app.matchical.com/Consulting/ConsultantDetail?ConsultantId=f12e287e-3236-4d9d-833e-19b5e5e5e338</t>
        </is>
      </c>
      <c r="D215" t="inlineStr">
        <is>
          <t>Helmut Eppinger</t>
        </is>
      </c>
      <c r="E215" t="inlineStr">
        <is>
          <t>helmut.eppinger@bridging-it.de</t>
        </is>
      </c>
      <c r="F215" s="2" t="n">
        <v>41000</v>
      </c>
      <c r="G215" s="2" t="n">
        <v>41001</v>
      </c>
      <c r="H215" t="n">
        <v>23</v>
      </c>
      <c r="I215" t="n">
        <v>0</v>
      </c>
      <c r="J215" t="n">
        <v>5</v>
      </c>
      <c r="K215" s="2" t="n">
        <v>41153</v>
      </c>
      <c r="L215" s="2" t="n">
        <v>45169</v>
      </c>
      <c r="M215" s="2" t="n">
        <v>45291</v>
      </c>
      <c r="N215" t="b">
        <v>0</v>
      </c>
      <c r="O215" t="n">
        <v>167</v>
      </c>
      <c r="P215" t="n">
        <v>523</v>
      </c>
      <c r="Q215" t="n">
        <v>165</v>
      </c>
      <c r="R215">
        <f>ROUND(O215-P215,2)</f>
        <v/>
      </c>
      <c r="S215">
        <f>ROUND(O215-Q215,2)</f>
        <v/>
      </c>
      <c r="T215" s="3">
        <f>IFERROR(P215/O215,"")</f>
        <v/>
      </c>
      <c r="U215" s="3">
        <f>IFERROR(Q215/O215,"")</f>
        <v/>
      </c>
      <c r="V215" t="n">
        <v>0</v>
      </c>
      <c r="W215" t="n">
        <v>0</v>
      </c>
      <c r="X215" t="n">
        <v>0</v>
      </c>
      <c r="Y215">
        <f>ROUND(V215-W215,2)</f>
        <v/>
      </c>
      <c r="Z215">
        <f>ROUND(V215-X215,2)</f>
        <v/>
      </c>
      <c r="AA215" s="3">
        <f>IFERROR(W215/V215,"")</f>
        <v/>
      </c>
      <c r="AB215" s="3">
        <f>IFERROR(X215/V215,"")</f>
        <v/>
      </c>
      <c r="AC215" t="b">
        <v>0</v>
      </c>
      <c r="AD215" t="b">
        <v>0</v>
      </c>
      <c r="AE215" t="b">
        <v>1</v>
      </c>
      <c r="AF215" t="inlineStr">
        <is>
          <t>No</t>
        </is>
      </c>
      <c r="AI215" t="b">
        <v>0</v>
      </c>
      <c r="AJ215" t="n">
        <v>0</v>
      </c>
      <c r="AK215" t="inlineStr">
        <is>
          <t>Deep expertise in information security, ISMS, ISO 27001, audits, NIS2, and BCM (Business Continuity Management). Broad knowledge in IT management, IT service management, merger/carve-out, and rollout management. Helmut is an absolute professional, especially in complex contexts, highly structured, goal-oriented, with a high level of technical understanding.</t>
        </is>
      </c>
      <c r="AL215" t="inlineStr">
        <is>
          <t>IT Information Technology (Hauke G.)</t>
        </is>
      </c>
      <c r="AM215" t="inlineStr">
        <is>
          <t>AM IT-Architecture Management (Wilfried W.)</t>
        </is>
      </c>
      <c r="AN215" t="inlineStr">
        <is>
          <t>ITM IT-Management (Jörg M.)</t>
        </is>
      </c>
      <c r="AO215" t="inlineStr">
        <is>
          <t>bridgingIT GmbH</t>
        </is>
      </c>
      <c r="AP215" t="inlineStr">
        <is>
          <t>Stuttgart</t>
        </is>
      </c>
      <c r="AQ215" t="inlineStr">
        <is>
          <t>Wilfried Wessel</t>
        </is>
      </c>
    </row>
    <row r="216">
      <c r="A216" t="inlineStr">
        <is>
          <t>5044</t>
        </is>
      </c>
      <c r="B216" t="inlineStr">
        <is>
          <t>26CDF4</t>
        </is>
      </c>
      <c r="C216" t="inlineStr">
        <is>
          <t>https://app.matchical.com/Consulting/ConsultantDetail?ConsultantId=c242460d-c631-4837-892b-6f0f97351050</t>
        </is>
      </c>
      <c r="D216" t="inlineStr">
        <is>
          <t>Henning Feldkamp</t>
        </is>
      </c>
      <c r="E216" t="inlineStr">
        <is>
          <t>henning.feldkamp@bridging-it.de</t>
        </is>
      </c>
      <c r="F216" s="2" t="n">
        <v>42370</v>
      </c>
      <c r="G216" s="2" t="n">
        <v>37104</v>
      </c>
      <c r="H216" t="n">
        <v>29</v>
      </c>
      <c r="I216" t="n">
        <v>0</v>
      </c>
      <c r="J216" t="n">
        <v>1</v>
      </c>
      <c r="K216" s="2" t="n">
        <v>43830</v>
      </c>
      <c r="L216" s="2" t="n">
        <v>44681</v>
      </c>
      <c r="M216" s="2" t="n">
        <v>45106</v>
      </c>
      <c r="N216" t="b">
        <v>0</v>
      </c>
      <c r="O216" t="n">
        <v>122</v>
      </c>
      <c r="P216" t="n">
        <v>144</v>
      </c>
      <c r="Q216" t="n">
        <v>93</v>
      </c>
      <c r="R216">
        <f>ROUND(O216-P216,2)</f>
        <v/>
      </c>
      <c r="S216">
        <f>ROUND(O216-Q216,2)</f>
        <v/>
      </c>
      <c r="T216" s="3">
        <f>IFERROR(P216/O216,"")</f>
        <v/>
      </c>
      <c r="U216" s="3">
        <f>IFERROR(Q216/O216,"")</f>
        <v/>
      </c>
      <c r="V216" t="n">
        <v>173</v>
      </c>
      <c r="W216" t="n">
        <v>233</v>
      </c>
      <c r="X216" t="n">
        <v>96</v>
      </c>
      <c r="Y216">
        <f>ROUND(V216-W216,2)</f>
        <v/>
      </c>
      <c r="Z216">
        <f>ROUND(V216-X216,2)</f>
        <v/>
      </c>
      <c r="AA216" s="3">
        <f>IFERROR(W216/V216,"")</f>
        <v/>
      </c>
      <c r="AB216" s="3">
        <f>IFERROR(X216/V216,"")</f>
        <v/>
      </c>
      <c r="AC216" t="b">
        <v>0</v>
      </c>
      <c r="AD216" t="b">
        <v>0</v>
      </c>
      <c r="AE216" t="b">
        <v>0</v>
      </c>
      <c r="AF216" t="inlineStr">
        <is>
          <t>No</t>
        </is>
      </c>
      <c r="AI216" t="b">
        <v>1</v>
      </c>
      <c r="AJ216" t="n">
        <v>0</v>
      </c>
      <c r="AK216" t="inlineStr"/>
      <c r="AL216" t="inlineStr">
        <is>
          <t>ORG bIT</t>
        </is>
      </c>
      <c r="AM216" t="inlineStr">
        <is>
          <t>MaC - Management Cologne (Henning F.)</t>
        </is>
      </c>
      <c r="AN216" t="inlineStr">
        <is>
          <t>LMC - Location Management Cologne (Henning F.)</t>
        </is>
      </c>
      <c r="AO216" t="inlineStr">
        <is>
          <t>bridgingIT GmbH</t>
        </is>
      </c>
      <c r="AP216" t="inlineStr">
        <is>
          <t>Köln</t>
        </is>
      </c>
      <c r="AQ216" t="inlineStr">
        <is>
          <t>Jochen Ruben</t>
        </is>
      </c>
    </row>
    <row r="217">
      <c r="A217" t="inlineStr">
        <is>
          <t>10239</t>
        </is>
      </c>
      <c r="B217" t="inlineStr">
        <is>
          <t>65D72F</t>
        </is>
      </c>
      <c r="C217" t="inlineStr">
        <is>
          <t>https://app.matchical.com/Consulting/ConsultantDetail?ConsultantId=4a86f3e1-0fc2-4ae1-8a43-10c9f74a344d</t>
        </is>
      </c>
      <c r="D217" t="inlineStr">
        <is>
          <t>Henrik Petzold</t>
        </is>
      </c>
      <c r="E217" t="inlineStr">
        <is>
          <t>henrik.petzold@crafting-it.de</t>
        </is>
      </c>
      <c r="F217" s="2" t="n">
        <v>45261</v>
      </c>
      <c r="G217" s="2" t="n">
        <v>36039</v>
      </c>
      <c r="H217" t="n">
        <v>2</v>
      </c>
      <c r="I217" t="n">
        <v>0</v>
      </c>
      <c r="J217" t="n">
        <v>1</v>
      </c>
      <c r="K217" s="2" t="n">
        <v>45382</v>
      </c>
      <c r="L217" s="2" t="n">
        <v>38807</v>
      </c>
      <c r="M217" s="2" t="n">
        <v>45137</v>
      </c>
      <c r="N217" t="b">
        <v>0</v>
      </c>
      <c r="O217" t="n">
        <v>27</v>
      </c>
      <c r="P217" t="n">
        <v>22</v>
      </c>
      <c r="Q217" t="n">
        <v>22</v>
      </c>
      <c r="R217">
        <f>ROUND(O217-P217,2)</f>
        <v/>
      </c>
      <c r="S217">
        <f>ROUND(O217-Q217,2)</f>
        <v/>
      </c>
      <c r="T217" s="3">
        <f>IFERROR(P217/O217,"")</f>
        <v/>
      </c>
      <c r="U217" s="3">
        <f>IFERROR(Q217/O217,"")</f>
        <v/>
      </c>
      <c r="V217" t="n">
        <v>303</v>
      </c>
      <c r="W217" t="n">
        <v>208</v>
      </c>
      <c r="X217" t="n">
        <v>208</v>
      </c>
      <c r="Y217">
        <f>ROUND(V217-W217,2)</f>
        <v/>
      </c>
      <c r="Z217">
        <f>ROUND(V217-X217,2)</f>
        <v/>
      </c>
      <c r="AA217" s="3">
        <f>IFERROR(W217/V217,"")</f>
        <v/>
      </c>
      <c r="AB217" s="3">
        <f>IFERROR(X217/V217,"")</f>
        <v/>
      </c>
      <c r="AC217" t="b">
        <v>0</v>
      </c>
      <c r="AD217" t="b">
        <v>0</v>
      </c>
      <c r="AE217" t="b">
        <v>0</v>
      </c>
      <c r="AF217" t="inlineStr">
        <is>
          <t>No</t>
        </is>
      </c>
      <c r="AI217" t="b">
        <v>0</v>
      </c>
      <c r="AJ217" t="n">
        <v>0</v>
      </c>
      <c r="AK217" t="inlineStr"/>
      <c r="AL217" t="inlineStr">
        <is>
          <t>ORG cIT</t>
        </is>
      </c>
      <c r="AM217" t="inlineStr">
        <is>
          <t>cIT Development</t>
        </is>
      </c>
      <c r="AN217" t="inlineStr">
        <is>
          <t>cIT Service Delivery Magdeburg (Steffen A.)</t>
        </is>
      </c>
      <c r="AO217" t="inlineStr">
        <is>
          <t>craftingIT GmbH</t>
        </is>
      </c>
      <c r="AP217" t="inlineStr">
        <is>
          <t>Magdeburg</t>
        </is>
      </c>
      <c r="AQ217" t="inlineStr">
        <is>
          <t>Jennifer Saalfeld</t>
        </is>
      </c>
    </row>
    <row r="218">
      <c r="A218" t="inlineStr">
        <is>
          <t>10308</t>
        </is>
      </c>
      <c r="B218" t="inlineStr">
        <is>
          <t>3D0C1B</t>
        </is>
      </c>
      <c r="C218" t="inlineStr">
        <is>
          <t>https://app.matchical.com/Consulting/ConsultantDetail?ConsultantId=84e28270-b85f-48ed-a2f1-93520dfe7865</t>
        </is>
      </c>
      <c r="D218" t="inlineStr">
        <is>
          <t>Henrik Piecha</t>
        </is>
      </c>
      <c r="E218" t="inlineStr">
        <is>
          <t>henrik.piecha@bridging-it.de</t>
        </is>
      </c>
      <c r="F218" s="2" t="n">
        <v>45658</v>
      </c>
      <c r="G218" s="2" t="n">
        <v>42979</v>
      </c>
      <c r="H218" t="n">
        <v>9</v>
      </c>
      <c r="I218" t="n">
        <v>0</v>
      </c>
      <c r="J218" t="n">
        <v>1</v>
      </c>
      <c r="K218" s="2" t="n">
        <v>45747</v>
      </c>
      <c r="L218" s="2" t="n">
        <v>45930</v>
      </c>
      <c r="M218" s="2" t="n">
        <v>46022</v>
      </c>
      <c r="N218" t="b">
        <v>0</v>
      </c>
      <c r="O218" t="n">
        <v>14</v>
      </c>
      <c r="P218" t="n">
        <v>30</v>
      </c>
      <c r="Q218" t="n">
        <v>13.77</v>
      </c>
      <c r="R218">
        <f>ROUND(O218-P218,2)</f>
        <v/>
      </c>
      <c r="S218">
        <f>ROUND(O218-Q218,2)</f>
        <v/>
      </c>
      <c r="T218" s="3">
        <f>IFERROR(P218/O218,"")</f>
        <v/>
      </c>
      <c r="U218" s="3">
        <f>IFERROR(Q218/O218,"")</f>
        <v/>
      </c>
      <c r="V218" t="n">
        <v>88</v>
      </c>
      <c r="W218" t="n">
        <v>57</v>
      </c>
      <c r="X218" t="n">
        <v>54</v>
      </c>
      <c r="Y218">
        <f>ROUND(V218-W218,2)</f>
        <v/>
      </c>
      <c r="Z218">
        <f>ROUND(V218-X218,2)</f>
        <v/>
      </c>
      <c r="AA218" s="3">
        <f>IFERROR(W218/V218,"")</f>
        <v/>
      </c>
      <c r="AB218" s="3">
        <f>IFERROR(X218/V218,"")</f>
        <v/>
      </c>
      <c r="AC218" t="b">
        <v>0</v>
      </c>
      <c r="AD218" t="b">
        <v>0</v>
      </c>
      <c r="AE218" t="b">
        <v>0</v>
      </c>
      <c r="AF218" t="inlineStr">
        <is>
          <t>No</t>
        </is>
      </c>
      <c r="AI218" t="b">
        <v>1</v>
      </c>
      <c r="AJ218" t="n">
        <v>0</v>
      </c>
      <c r="AK218" t="inlineStr"/>
      <c r="AL218" t="inlineStr">
        <is>
          <t>ES Enterprise Solutions (Gina H.)</t>
        </is>
      </c>
      <c r="AM218" t="inlineStr">
        <is>
          <t>PE Platform Engineering (Thomas K.)</t>
        </is>
      </c>
      <c r="AN218" t="inlineStr">
        <is>
          <t>PA Platform &amp; Application Solutions (Thomas K.)</t>
        </is>
      </c>
      <c r="AO218" t="inlineStr">
        <is>
          <t>bridgingIT GmbH</t>
        </is>
      </c>
      <c r="AP218" t="inlineStr">
        <is>
          <t>Stuttgart</t>
        </is>
      </c>
      <c r="AQ218" t="inlineStr">
        <is>
          <t>Thomas Kiri</t>
        </is>
      </c>
    </row>
    <row r="219">
      <c r="A219" t="inlineStr">
        <is>
          <t>2066</t>
        </is>
      </c>
      <c r="B219" t="inlineStr">
        <is>
          <t>B7DEC3</t>
        </is>
      </c>
      <c r="C219" t="inlineStr">
        <is>
          <t>https://app.matchical.com/Consulting/ConsultantDetail?ConsultantId=b0350dd2-b074-4968-9d27-dafc09adc15f</t>
        </is>
      </c>
      <c r="D219" t="inlineStr">
        <is>
          <t>Hermann Löh</t>
        </is>
      </c>
      <c r="E219" t="inlineStr">
        <is>
          <t>hermann.loeh@bridging-it.de</t>
        </is>
      </c>
      <c r="F219" s="2" t="n">
        <v>41275</v>
      </c>
      <c r="G219" s="2" t="n">
        <v>34973</v>
      </c>
      <c r="H219" t="n">
        <v>24</v>
      </c>
      <c r="I219" t="n">
        <v>0</v>
      </c>
      <c r="J219" t="n">
        <v>7</v>
      </c>
      <c r="K219" s="2" t="n">
        <v>38261</v>
      </c>
      <c r="L219" s="2" t="n">
        <v>43983</v>
      </c>
      <c r="M219" s="2" t="n">
        <v>45656</v>
      </c>
      <c r="N219" t="b">
        <v>0</v>
      </c>
      <c r="O219" t="n">
        <v>158</v>
      </c>
      <c r="P219" t="n">
        <v>772.51</v>
      </c>
      <c r="Q219" t="n">
        <v>157.77</v>
      </c>
      <c r="R219">
        <f>ROUND(O219-P219,2)</f>
        <v/>
      </c>
      <c r="S219">
        <f>ROUND(O219-Q219,2)</f>
        <v/>
      </c>
      <c r="T219" s="3">
        <f>IFERROR(P219/O219,"")</f>
        <v/>
      </c>
      <c r="U219" s="3">
        <f>IFERROR(Q219/O219,"")</f>
        <v/>
      </c>
      <c r="V219" t="n">
        <v>207</v>
      </c>
      <c r="W219" t="n">
        <v>311.49</v>
      </c>
      <c r="X219" t="n">
        <v>150.4</v>
      </c>
      <c r="Y219">
        <f>ROUND(V219-W219,2)</f>
        <v/>
      </c>
      <c r="Z219">
        <f>ROUND(V219-X219,2)</f>
        <v/>
      </c>
      <c r="AA219" s="3">
        <f>IFERROR(W219/V219,"")</f>
        <v/>
      </c>
      <c r="AB219" s="3">
        <f>IFERROR(X219/V219,"")</f>
        <v/>
      </c>
      <c r="AC219" t="b">
        <v>0</v>
      </c>
      <c r="AD219" t="b">
        <v>0</v>
      </c>
      <c r="AE219" t="b">
        <v>0</v>
      </c>
      <c r="AF219" t="inlineStr">
        <is>
          <t>No</t>
        </is>
      </c>
      <c r="AI219" t="b">
        <v>1</v>
      </c>
      <c r="AJ219" t="n">
        <v>0</v>
      </c>
      <c r="AK219" t="inlineStr"/>
      <c r="AL219" t="inlineStr">
        <is>
          <t>DO Digital Organizations (Michael H.)</t>
        </is>
      </c>
      <c r="AM219" t="inlineStr">
        <is>
          <t>PD Process Digitalization (Hermann L.)</t>
        </is>
      </c>
      <c r="AN219" t="inlineStr">
        <is>
          <t>DP Digital Processes (Hermann L.)</t>
        </is>
      </c>
      <c r="AO219" t="inlineStr">
        <is>
          <t>bridgingIT GmbH</t>
        </is>
      </c>
      <c r="AP219" t="inlineStr">
        <is>
          <t>Stuttgart</t>
        </is>
      </c>
      <c r="AQ219" t="inlineStr">
        <is>
          <t>Michael Hagenlocher</t>
        </is>
      </c>
    </row>
    <row r="220">
      <c r="A220" t="inlineStr">
        <is>
          <t>3214</t>
        </is>
      </c>
      <c r="B220" t="inlineStr">
        <is>
          <t>DB8857</t>
        </is>
      </c>
      <c r="C220" t="inlineStr">
        <is>
          <t>https://app.matchical.com/Consulting/ConsultantDetail?ConsultantId=b9d8c82a-e79b-4a99-b7e8-11896312d06e</t>
        </is>
      </c>
      <c r="D220" t="inlineStr">
        <is>
          <t>Holger Bohlen</t>
        </is>
      </c>
      <c r="E220" t="inlineStr">
        <is>
          <t>holger.bohlen@bridging-it.de</t>
        </is>
      </c>
      <c r="F220" s="2" t="n">
        <v>44228</v>
      </c>
      <c r="G220" s="2" t="n">
        <v>39448</v>
      </c>
      <c r="H220" t="n">
        <v>22</v>
      </c>
      <c r="I220" t="n">
        <v>0</v>
      </c>
      <c r="J220" t="n">
        <v>3</v>
      </c>
      <c r="K220" s="2" t="n">
        <v>43585</v>
      </c>
      <c r="L220" s="2" t="n">
        <v>43863</v>
      </c>
      <c r="M220" s="2" t="n">
        <v>44103</v>
      </c>
      <c r="N220" t="b">
        <v>0</v>
      </c>
      <c r="O220" t="n">
        <v>61</v>
      </c>
      <c r="P220" t="n">
        <v>178.1</v>
      </c>
      <c r="Q220" t="n">
        <v>60.75</v>
      </c>
      <c r="R220">
        <f>ROUND(O220-P220,2)</f>
        <v/>
      </c>
      <c r="S220">
        <f>ROUND(O220-Q220,2)</f>
        <v/>
      </c>
      <c r="T220" s="3">
        <f>IFERROR(P220/O220,"")</f>
        <v/>
      </c>
      <c r="U220" s="3">
        <f>IFERROR(Q220/O220,"")</f>
        <v/>
      </c>
      <c r="V220" t="n">
        <v>157</v>
      </c>
      <c r="W220" t="n">
        <v>231.9</v>
      </c>
      <c r="X220" t="n">
        <v>136.14</v>
      </c>
      <c r="Y220">
        <f>ROUND(V220-W220,2)</f>
        <v/>
      </c>
      <c r="Z220">
        <f>ROUND(V220-X220,2)</f>
        <v/>
      </c>
      <c r="AA220" s="3">
        <f>IFERROR(W220/V220,"")</f>
        <v/>
      </c>
      <c r="AB220" s="3">
        <f>IFERROR(X220/V220,"")</f>
        <v/>
      </c>
      <c r="AC220" t="b">
        <v>0</v>
      </c>
      <c r="AD220" t="b">
        <v>0</v>
      </c>
      <c r="AE220" t="b">
        <v>0</v>
      </c>
      <c r="AF220" t="inlineStr">
        <is>
          <t>No</t>
        </is>
      </c>
      <c r="AI220" t="b">
        <v>0</v>
      </c>
      <c r="AJ220" t="n">
        <v>0</v>
      </c>
      <c r="AK220" t="inlineStr"/>
      <c r="AL220" t="inlineStr">
        <is>
          <t>ORG bIT</t>
        </is>
      </c>
      <c r="AM220" t="inlineStr">
        <is>
          <t>Life Science Solutions FFM1 (Holger B.)</t>
        </is>
      </c>
      <c r="AN220" t="inlineStr">
        <is>
          <t>CC Life Science Solutions (Sabine S.)</t>
        </is>
      </c>
      <c r="AO220" t="inlineStr">
        <is>
          <t>bridgingIT GmbH</t>
        </is>
      </c>
      <c r="AP220" t="inlineStr">
        <is>
          <t>Mannheim</t>
        </is>
      </c>
      <c r="AQ220" t="inlineStr">
        <is>
          <t>Sabine Sessar</t>
        </is>
      </c>
    </row>
    <row r="221">
      <c r="A221" t="inlineStr">
        <is>
          <t>7046</t>
        </is>
      </c>
      <c r="B221" t="inlineStr">
        <is>
          <t>8F43EF</t>
        </is>
      </c>
      <c r="C221" t="inlineStr">
        <is>
          <t>https://app.matchical.com/Consulting/ConsultantDetail?ConsultantId=d7962082-2d1a-4bc3-8296-13ae4d5cf0ec</t>
        </is>
      </c>
      <c r="D221" t="inlineStr">
        <is>
          <t>Holger Stracker</t>
        </is>
      </c>
      <c r="E221" t="inlineStr">
        <is>
          <t>holger.stracker@fastahead.com</t>
        </is>
      </c>
      <c r="F221" s="2" t="n">
        <v>44743</v>
      </c>
      <c r="G221" s="2" t="n">
        <v>35839</v>
      </c>
      <c r="H221" t="n">
        <v>9</v>
      </c>
      <c r="I221" t="n">
        <v>0</v>
      </c>
      <c r="J221" t="n">
        <v>0</v>
      </c>
      <c r="L221" s="2" t="n">
        <v>45481</v>
      </c>
      <c r="M221" s="2" t="n">
        <v>45900</v>
      </c>
      <c r="N221" t="b">
        <v>0</v>
      </c>
      <c r="O221" t="n">
        <v>44</v>
      </c>
      <c r="P221" t="n">
        <v>49.19</v>
      </c>
      <c r="Q221" t="n">
        <v>38.3</v>
      </c>
      <c r="R221">
        <f>ROUND(O221-P221,2)</f>
        <v/>
      </c>
      <c r="S221">
        <f>ROUND(O221-Q221,2)</f>
        <v/>
      </c>
      <c r="T221" s="3">
        <f>IFERROR(P221/O221,"")</f>
        <v/>
      </c>
      <c r="U221" s="3">
        <f>IFERROR(Q221/O221,"")</f>
        <v/>
      </c>
      <c r="V221" t="n">
        <v>293</v>
      </c>
      <c r="W221" t="n">
        <v>0.8100000000000001</v>
      </c>
      <c r="X221" t="n">
        <v>0.7</v>
      </c>
      <c r="Y221">
        <f>ROUND(V221-W221,2)</f>
        <v/>
      </c>
      <c r="Z221">
        <f>ROUND(V221-X221,2)</f>
        <v/>
      </c>
      <c r="AA221" s="3">
        <f>IFERROR(W221/V221,"")</f>
        <v/>
      </c>
      <c r="AB221" s="3">
        <f>IFERROR(X221/V221,"")</f>
        <v/>
      </c>
      <c r="AC221" t="b">
        <v>0</v>
      </c>
      <c r="AD221" t="b">
        <v>0</v>
      </c>
      <c r="AE221" t="b">
        <v>0</v>
      </c>
      <c r="AF221" t="inlineStr">
        <is>
          <t>Yes</t>
        </is>
      </c>
      <c r="AG221" s="2" t="n">
        <v>46023</v>
      </c>
      <c r="AI221" t="b">
        <v>1</v>
      </c>
      <c r="AJ221" t="n">
        <v>5</v>
      </c>
      <c r="AK221" t="inlineStr">
        <is>
          <t>Please request Anastasia Kluter's profile.</t>
        </is>
      </c>
      <c r="AL221" t="inlineStr">
        <is>
          <t>ORG fastahead GmbH &amp; Co. KG</t>
        </is>
      </c>
      <c r="AM221" t="inlineStr">
        <is>
          <t>User Experience Design</t>
        </is>
      </c>
      <c r="AN221" t="inlineStr">
        <is>
          <t>fah Tim Thierfelder</t>
        </is>
      </c>
      <c r="AO221" t="inlineStr">
        <is>
          <t>fastahead GmbH &amp; Co. KG</t>
        </is>
      </c>
      <c r="AP221" t="inlineStr">
        <is>
          <t>Stuttgart</t>
        </is>
      </c>
      <c r="AQ221" t="inlineStr">
        <is>
          <t>Anastasia Rettberg-Kluter</t>
        </is>
      </c>
    </row>
    <row r="222">
      <c r="A222" t="inlineStr">
        <is>
          <t>1079</t>
        </is>
      </c>
      <c r="B222" t="inlineStr">
        <is>
          <t>9B3577</t>
        </is>
      </c>
      <c r="C222" t="inlineStr">
        <is>
          <t>https://app.matchical.com/Consulting/ConsultantDetail?ConsultantId=ac5b70fc-6ffb-4a81-a0c9-7c12dc05d58b</t>
        </is>
      </c>
      <c r="D222" t="inlineStr">
        <is>
          <t>Holger Zirnstein</t>
        </is>
      </c>
      <c r="E222" t="inlineStr">
        <is>
          <t>holger.zirnstein@bridging-it.de</t>
        </is>
      </c>
      <c r="F222" s="2" t="n">
        <v>39569</v>
      </c>
      <c r="G222" s="2" t="n">
        <v>34700</v>
      </c>
      <c r="H222" t="n">
        <v>56</v>
      </c>
      <c r="I222" t="n">
        <v>0</v>
      </c>
      <c r="J222" t="n">
        <v>0</v>
      </c>
      <c r="L222" s="2" t="n">
        <v>45931</v>
      </c>
      <c r="M222" s="2" t="n">
        <v>46022</v>
      </c>
      <c r="N222" t="b">
        <v>0</v>
      </c>
      <c r="O222" t="n">
        <v>214</v>
      </c>
      <c r="P222" t="n">
        <v>535.23</v>
      </c>
      <c r="Q222" t="n">
        <v>205.03</v>
      </c>
      <c r="R222">
        <f>ROUND(O222-P222,2)</f>
        <v/>
      </c>
      <c r="S222">
        <f>ROUND(O222-Q222,2)</f>
        <v/>
      </c>
      <c r="T222" s="3">
        <f>IFERROR(P222/O222,"")</f>
        <v/>
      </c>
      <c r="U222" s="3">
        <f>IFERROR(Q222/O222,"")</f>
        <v/>
      </c>
      <c r="V222" t="n">
        <v>160</v>
      </c>
      <c r="W222" t="n">
        <v>0</v>
      </c>
      <c r="X222" t="n">
        <v>0</v>
      </c>
      <c r="Y222">
        <f>ROUND(V222-W222,2)</f>
        <v/>
      </c>
      <c r="Z222">
        <f>ROUND(V222-X222,2)</f>
        <v/>
      </c>
      <c r="AA222" s="3">
        <f>IFERROR(W222/V222,"")</f>
        <v/>
      </c>
      <c r="AB222" s="3">
        <f>IFERROR(X222/V222,"")</f>
        <v/>
      </c>
      <c r="AC222" t="b">
        <v>0</v>
      </c>
      <c r="AD222" t="b">
        <v>0</v>
      </c>
      <c r="AE222" t="b">
        <v>0</v>
      </c>
      <c r="AF222" t="inlineStr">
        <is>
          <t>Yes</t>
        </is>
      </c>
      <c r="AG222" s="2" t="n">
        <v>46237</v>
      </c>
      <c r="AI222" t="b">
        <v>1</v>
      </c>
      <c r="AJ222" t="n">
        <v>2</v>
      </c>
      <c r="AK222" t="inlineStr">
        <is>
          <t>Key skills: IT architecture, cloud computing, IT security.</t>
        </is>
      </c>
      <c r="AL222" t="inlineStr">
        <is>
          <t>IT - Information Technology (Sebastian L.)</t>
        </is>
      </c>
      <c r="AM222" t="inlineStr">
        <is>
          <t>CS - Cyber Security (Jochen Ka.)</t>
        </is>
      </c>
      <c r="AN222" t="inlineStr">
        <is>
          <t>O&amp;G - Organization &amp; Governance (Carsten T.)</t>
        </is>
      </c>
      <c r="AO222" t="inlineStr">
        <is>
          <t>bridgingIT GmbH</t>
        </is>
      </c>
      <c r="AP222" t="inlineStr">
        <is>
          <t>Mannheim</t>
        </is>
      </c>
      <c r="AQ222" t="inlineStr">
        <is>
          <t>Jochen Kauba</t>
        </is>
      </c>
    </row>
    <row r="223">
      <c r="A223" t="inlineStr">
        <is>
          <t>2190</t>
        </is>
      </c>
      <c r="B223" t="inlineStr">
        <is>
          <t>E7A109</t>
        </is>
      </c>
      <c r="C223" t="inlineStr">
        <is>
          <t>https://app.matchical.com/Consulting/ConsultantDetail?ConsultantId=5497fb2e-0a7b-400a-ad4f-8eca7a7f8804</t>
        </is>
      </c>
      <c r="D223" t="inlineStr">
        <is>
          <t>Hong Santamaria Guerrero</t>
        </is>
      </c>
      <c r="E223" t="inlineStr">
        <is>
          <t>hong.santamaria.guerrero@fastahead.com</t>
        </is>
      </c>
      <c r="F223" s="2" t="n">
        <v>42979</v>
      </c>
      <c r="G223" s="2" t="n">
        <v>42979</v>
      </c>
      <c r="H223" t="n">
        <v>18</v>
      </c>
      <c r="I223" t="n">
        <v>0</v>
      </c>
      <c r="J223" t="n">
        <v>0</v>
      </c>
      <c r="L223" s="2" t="n">
        <v>45846</v>
      </c>
      <c r="M223" s="2" t="n">
        <v>45930</v>
      </c>
      <c r="N223" t="b">
        <v>0</v>
      </c>
      <c r="O223" t="n">
        <v>102</v>
      </c>
      <c r="P223" t="n">
        <v>72</v>
      </c>
      <c r="Q223" t="n">
        <v>45</v>
      </c>
      <c r="R223">
        <f>ROUND(O223-P223,2)</f>
        <v/>
      </c>
      <c r="S223">
        <f>ROUND(O223-Q223,2)</f>
        <v/>
      </c>
      <c r="T223" s="3">
        <f>IFERROR(P223/O223,"")</f>
        <v/>
      </c>
      <c r="U223" s="3">
        <f>IFERROR(Q223/O223,"")</f>
        <v/>
      </c>
      <c r="V223" t="n">
        <v>0</v>
      </c>
      <c r="W223" t="n">
        <v>0</v>
      </c>
      <c r="X223" t="n">
        <v>0</v>
      </c>
      <c r="Y223">
        <f>ROUND(V223-W223,2)</f>
        <v/>
      </c>
      <c r="Z223">
        <f>ROUND(V223-X223,2)</f>
        <v/>
      </c>
      <c r="AA223" s="3">
        <f>IFERROR(W223/V223,"")</f>
        <v/>
      </c>
      <c r="AB223" s="3">
        <f>IFERROR(X223/V223,"")</f>
        <v/>
      </c>
      <c r="AC223" t="b">
        <v>0</v>
      </c>
      <c r="AD223" t="b">
        <v>0</v>
      </c>
      <c r="AE223" t="b">
        <v>0</v>
      </c>
      <c r="AF223" t="inlineStr">
        <is>
          <t>Yes</t>
        </is>
      </c>
      <c r="AG223" s="2" t="n">
        <v>46030</v>
      </c>
      <c r="AI223" t="b">
        <v>0</v>
      </c>
      <c r="AJ223" t="n">
        <v>5</v>
      </c>
      <c r="AK223" t="inlineStr">
        <is>
          <t>Please request the profile through Anastasia Kluter.</t>
        </is>
      </c>
      <c r="AL223" t="inlineStr">
        <is>
          <t>ORG fastahead GmbH &amp; Co. KG</t>
        </is>
      </c>
      <c r="AM223" t="inlineStr">
        <is>
          <t>User Experience Design</t>
        </is>
      </c>
      <c r="AN223" t="inlineStr">
        <is>
          <t>fah Tim Thierfelder</t>
        </is>
      </c>
      <c r="AO223" t="inlineStr">
        <is>
          <t>fastahead GmbH &amp; Co. KG</t>
        </is>
      </c>
      <c r="AP223" t="inlineStr">
        <is>
          <t>Stuttgart</t>
        </is>
      </c>
      <c r="AQ223" t="inlineStr">
        <is>
          <t>Anastasia Rettberg-Kluter</t>
        </is>
      </c>
    </row>
    <row r="224">
      <c r="A224" t="inlineStr">
        <is>
          <t>3242</t>
        </is>
      </c>
      <c r="B224" t="inlineStr">
        <is>
          <t>3302CF</t>
        </is>
      </c>
      <c r="C224" t="inlineStr">
        <is>
          <t>https://app.matchical.com/Consulting/ConsultantDetail?ConsultantId=45864ac7-a562-4462-aeb3-c38c30f26cfe</t>
        </is>
      </c>
      <c r="D224" t="inlineStr">
        <is>
          <t>Ilka Simon</t>
        </is>
      </c>
      <c r="E224" t="inlineStr">
        <is>
          <t>ilka.simon@bridging-it.de</t>
        </is>
      </c>
      <c r="F224" s="2" t="n">
        <v>44606</v>
      </c>
      <c r="G224" s="2" t="n">
        <v>44607</v>
      </c>
      <c r="H224" t="n">
        <v>13</v>
      </c>
      <c r="I224" t="n">
        <v>0</v>
      </c>
      <c r="J224" t="n">
        <v>3</v>
      </c>
      <c r="K224" s="2" t="n">
        <v>44927</v>
      </c>
      <c r="L224" s="2" t="n">
        <v>45712</v>
      </c>
      <c r="M224" s="2" t="n">
        <v>46053</v>
      </c>
      <c r="N224" t="b">
        <v>0</v>
      </c>
      <c r="O224" t="n">
        <v>48</v>
      </c>
      <c r="P224" t="n">
        <v>144.44</v>
      </c>
      <c r="Q224" t="n">
        <v>48.33</v>
      </c>
      <c r="R224">
        <f>ROUND(O224-P224,2)</f>
        <v/>
      </c>
      <c r="S224">
        <f>ROUND(O224-Q224,2)</f>
        <v/>
      </c>
      <c r="T224" s="3">
        <f>IFERROR(P224/O224,"")</f>
        <v/>
      </c>
      <c r="U224" s="3">
        <f>IFERROR(Q224/O224,"")</f>
        <v/>
      </c>
      <c r="V224" t="n">
        <v>0</v>
      </c>
      <c r="W224" t="n">
        <v>0</v>
      </c>
      <c r="X224" t="n">
        <v>0</v>
      </c>
      <c r="Y224">
        <f>ROUND(V224-W224,2)</f>
        <v/>
      </c>
      <c r="Z224">
        <f>ROUND(V224-X224,2)</f>
        <v/>
      </c>
      <c r="AA224" s="3">
        <f>IFERROR(W224/V224,"")</f>
        <v/>
      </c>
      <c r="AB224" s="3">
        <f>IFERROR(X224/V224,"")</f>
        <v/>
      </c>
      <c r="AC224" t="b">
        <v>0</v>
      </c>
      <c r="AD224" t="b">
        <v>0</v>
      </c>
      <c r="AE224" t="b">
        <v>1</v>
      </c>
      <c r="AF224" t="inlineStr">
        <is>
          <t>Yes</t>
        </is>
      </c>
      <c r="AG224" s="2" t="n">
        <v>46204</v>
      </c>
      <c r="AI224" t="b">
        <v>1</v>
      </c>
      <c r="AJ224" t="n">
        <v>2.5</v>
      </c>
      <c r="AK224" t="inlineStr">
        <is>
          <t>On parental leave until the end of June, then back at 50% starting in June.</t>
        </is>
      </c>
      <c r="AL224" t="inlineStr">
        <is>
          <t>ORG bIT</t>
        </is>
      </c>
      <c r="AM224" t="inlineStr">
        <is>
          <t>Life Science Solutions FFM2 (Sabine S.)</t>
        </is>
      </c>
      <c r="AN224" t="inlineStr">
        <is>
          <t>CC Life Science Solutions (Sabine S.)</t>
        </is>
      </c>
      <c r="AO224" t="inlineStr">
        <is>
          <t>bridgingIT GmbH</t>
        </is>
      </c>
      <c r="AP224" t="inlineStr">
        <is>
          <t>Frankfurt</t>
        </is>
      </c>
      <c r="AQ224" t="inlineStr">
        <is>
          <t>Sabine Sessar</t>
        </is>
      </c>
    </row>
    <row r="225">
      <c r="A225" t="inlineStr">
        <is>
          <t>10474</t>
        </is>
      </c>
      <c r="B225" t="inlineStr">
        <is>
          <t>A74C75</t>
        </is>
      </c>
      <c r="C225" t="inlineStr">
        <is>
          <t>https://app.matchical.com/Consulting/ConsultantDetail?ConsultantId=1d11da72-9e21-44d5-8819-db2813f8a515</t>
        </is>
      </c>
      <c r="D225" t="inlineStr">
        <is>
          <t>Ines Marquardt</t>
        </is>
      </c>
      <c r="E225" t="inlineStr">
        <is>
          <t>ines.marquardt@bridging-it.de</t>
        </is>
      </c>
      <c r="F225" s="2" t="n">
        <v>46082</v>
      </c>
      <c r="H225" t="n">
        <v>2</v>
      </c>
      <c r="I225" t="n">
        <v>0</v>
      </c>
      <c r="J225" t="n">
        <v>0</v>
      </c>
      <c r="N225" t="b">
        <v>0</v>
      </c>
      <c r="O225" t="n">
        <v>0</v>
      </c>
      <c r="P225" t="n">
        <v>0</v>
      </c>
      <c r="Q225" t="n">
        <v>0</v>
      </c>
      <c r="R225">
        <f>ROUND(O225-P225,2)</f>
        <v/>
      </c>
      <c r="S225">
        <f>ROUND(O225-Q225,2)</f>
        <v/>
      </c>
      <c r="T225" s="3">
        <f>IFERROR(P225/O225,"")</f>
        <v/>
      </c>
      <c r="U225" s="3">
        <f>IFERROR(Q225/O225,"")</f>
        <v/>
      </c>
      <c r="V225" t="n">
        <v>1514</v>
      </c>
      <c r="W225" t="n">
        <v>22.8</v>
      </c>
      <c r="X225" t="n">
        <v>14.38</v>
      </c>
      <c r="Y225">
        <f>ROUND(V225-W225,2)</f>
        <v/>
      </c>
      <c r="Z225">
        <f>ROUND(V225-X225,2)</f>
        <v/>
      </c>
      <c r="AA225" s="3">
        <f>IFERROR(W225/V225,"")</f>
        <v/>
      </c>
      <c r="AB225" s="3">
        <f>IFERROR(X225/V225,"")</f>
        <v/>
      </c>
      <c r="AC225" t="b">
        <v>0</v>
      </c>
      <c r="AD225" t="b">
        <v>0</v>
      </c>
      <c r="AE225" t="b">
        <v>0</v>
      </c>
      <c r="AF225" t="inlineStr">
        <is>
          <t>Yes</t>
        </is>
      </c>
      <c r="AG225" s="2" t="n">
        <v>46082</v>
      </c>
      <c r="AI225" t="b">
        <v>1</v>
      </c>
      <c r="AJ225" t="n">
        <v>5</v>
      </c>
      <c r="AK225" t="inlineStr"/>
      <c r="AL225" t="inlineStr">
        <is>
          <t>IT - Information Technology (HH)</t>
        </is>
      </c>
      <c r="AM225" t="inlineStr">
        <is>
          <t>CRM II - Platform Solutions &amp; CRM (Ines M.)</t>
        </is>
      </c>
      <c r="AN225" t="inlineStr">
        <is>
          <t>BAA HH (Torben H.)</t>
        </is>
      </c>
      <c r="AO225" t="inlineStr">
        <is>
          <t>bridgingIT GmbH</t>
        </is>
      </c>
      <c r="AP225" t="inlineStr">
        <is>
          <t>Hamburg</t>
        </is>
      </c>
      <c r="AQ225" t="inlineStr">
        <is>
          <t>Markus Stefan</t>
        </is>
      </c>
    </row>
    <row r="226">
      <c r="A226" t="inlineStr">
        <is>
          <t>1047</t>
        </is>
      </c>
      <c r="B226" t="inlineStr">
        <is>
          <t>373103</t>
        </is>
      </c>
      <c r="C226" t="inlineStr">
        <is>
          <t>https://app.matchical.com/Consulting/ConsultantDetail?ConsultantId=d068d787-1c0d-4cfa-9a21-98ccc3483947</t>
        </is>
      </c>
      <c r="D226" t="inlineStr">
        <is>
          <t>Irina Haas</t>
        </is>
      </c>
      <c r="E226" t="inlineStr">
        <is>
          <t>irina.haas@bridging-it.de</t>
        </is>
      </c>
      <c r="F226" s="2" t="n">
        <v>39569</v>
      </c>
      <c r="G226" s="2" t="n">
        <v>37500</v>
      </c>
      <c r="H226" t="n">
        <v>22</v>
      </c>
      <c r="I226" t="n">
        <v>0</v>
      </c>
      <c r="J226" t="n">
        <v>0</v>
      </c>
      <c r="L226" s="2" t="n">
        <v>44992</v>
      </c>
      <c r="M226" s="2" t="n">
        <v>45746</v>
      </c>
      <c r="N226" t="b">
        <v>0</v>
      </c>
      <c r="O226" t="n">
        <v>214</v>
      </c>
      <c r="P226" t="n">
        <v>610.8</v>
      </c>
      <c r="Q226" t="n">
        <v>213.82</v>
      </c>
      <c r="R226">
        <f>ROUND(O226-P226,2)</f>
        <v/>
      </c>
      <c r="S226">
        <f>ROUND(O226-Q226,2)</f>
        <v/>
      </c>
      <c r="T226" s="3">
        <f>IFERROR(P226/O226,"")</f>
        <v/>
      </c>
      <c r="U226" s="3">
        <f>IFERROR(Q226/O226,"")</f>
        <v/>
      </c>
      <c r="V226" t="n">
        <v>68</v>
      </c>
      <c r="W226" t="n">
        <v>171.08</v>
      </c>
      <c r="X226" t="n">
        <v>62.23</v>
      </c>
      <c r="Y226">
        <f>ROUND(V226-W226,2)</f>
        <v/>
      </c>
      <c r="Z226">
        <f>ROUND(V226-X226,2)</f>
        <v/>
      </c>
      <c r="AA226" s="3">
        <f>IFERROR(W226/V226,"")</f>
        <v/>
      </c>
      <c r="AB226" s="3">
        <f>IFERROR(X226/V226,"")</f>
        <v/>
      </c>
      <c r="AC226" t="b">
        <v>0</v>
      </c>
      <c r="AD226" t="b">
        <v>0</v>
      </c>
      <c r="AE226" t="b">
        <v>0</v>
      </c>
      <c r="AF226" t="inlineStr">
        <is>
          <t>Yes</t>
        </is>
      </c>
      <c r="AG226" s="2" t="n">
        <v>46204</v>
      </c>
      <c r="AI226" t="b">
        <v>0</v>
      </c>
      <c r="AJ226" t="n">
        <v>3</v>
      </c>
      <c r="AK226" t="inlineStr">
        <is>
          <t>Irina is a highly experienced Java / Angular Fullstack Developer. She holds a 60% part-time contract and would like to be deployed on the project together with additional bIT colleagues. Currently, she allocates 24 hours to DI-FR.</t>
        </is>
      </c>
      <c r="AL226" t="inlineStr">
        <is>
          <t>A&amp;SE Analytics &amp; Software Engineering (Philip R.)</t>
        </is>
      </c>
      <c r="AM226" t="inlineStr">
        <is>
          <t>FH Fullstack Heroes (Lars P.)</t>
        </is>
      </c>
      <c r="AN226" t="inlineStr">
        <is>
          <t>FUN Fullstack Ninjas (Stefan Z.)</t>
        </is>
      </c>
      <c r="AO226" t="inlineStr">
        <is>
          <t>bridgingIT GmbH</t>
        </is>
      </c>
      <c r="AP226" t="inlineStr">
        <is>
          <t>Mannheim</t>
        </is>
      </c>
      <c r="AQ226" t="inlineStr">
        <is>
          <t>Lars Preschke</t>
        </is>
      </c>
    </row>
    <row r="227">
      <c r="A227" t="inlineStr">
        <is>
          <t>3245</t>
        </is>
      </c>
      <c r="B227" t="inlineStr">
        <is>
          <t>AA7FBC</t>
        </is>
      </c>
      <c r="C227" t="inlineStr">
        <is>
          <t>https://app.matchical.com/Consulting/ConsultantDetail?ConsultantId=414850ae-bbd9-4326-9c32-242b0bec83b2</t>
        </is>
      </c>
      <c r="D227" t="inlineStr">
        <is>
          <t>Iris Lichthardt</t>
        </is>
      </c>
      <c r="E227" t="inlineStr">
        <is>
          <t>iris.lichthardt@bridging-it.de</t>
        </is>
      </c>
      <c r="F227" s="2" t="n">
        <v>44652</v>
      </c>
      <c r="G227" s="2" t="n">
        <v>32583</v>
      </c>
      <c r="H227" t="n">
        <v>12</v>
      </c>
      <c r="I227" t="n">
        <v>0</v>
      </c>
      <c r="J227" t="n">
        <v>0</v>
      </c>
      <c r="L227" s="2" t="n">
        <v>44755</v>
      </c>
      <c r="M227" s="2" t="n">
        <v>45883</v>
      </c>
      <c r="N227" t="b">
        <v>0</v>
      </c>
      <c r="O227" t="n">
        <v>47</v>
      </c>
      <c r="P227" t="n">
        <v>75.92</v>
      </c>
      <c r="Q227" t="n">
        <v>45.92</v>
      </c>
      <c r="R227">
        <f>ROUND(O227-P227,2)</f>
        <v/>
      </c>
      <c r="S227">
        <f>ROUND(O227-Q227,2)</f>
        <v/>
      </c>
      <c r="T227" s="3">
        <f>IFERROR(P227/O227,"")</f>
        <v/>
      </c>
      <c r="U227" s="3">
        <f>IFERROR(Q227/O227,"")</f>
        <v/>
      </c>
      <c r="V227" t="n">
        <v>397</v>
      </c>
      <c r="W227" t="n">
        <v>159</v>
      </c>
      <c r="X227" t="n">
        <v>94</v>
      </c>
      <c r="Y227">
        <f>ROUND(V227-W227,2)</f>
        <v/>
      </c>
      <c r="Z227">
        <f>ROUND(V227-X227,2)</f>
        <v/>
      </c>
      <c r="AA227" s="3">
        <f>IFERROR(W227/V227,"")</f>
        <v/>
      </c>
      <c r="AB227" s="3">
        <f>IFERROR(X227/V227,"")</f>
        <v/>
      </c>
      <c r="AC227" t="b">
        <v>0</v>
      </c>
      <c r="AD227" t="b">
        <v>0</v>
      </c>
      <c r="AE227" t="b">
        <v>0</v>
      </c>
      <c r="AF227" t="inlineStr">
        <is>
          <t>No</t>
        </is>
      </c>
      <c r="AI227" t="b">
        <v>1</v>
      </c>
      <c r="AJ227" t="n">
        <v>0</v>
      </c>
      <c r="AK227" t="inlineStr">
        <is>
          <t>Iris will transfer to SAL on March 1.</t>
        </is>
      </c>
      <c r="AL227" t="inlineStr">
        <is>
          <t>ORG bIT</t>
        </is>
      </c>
      <c r="AM227" t="inlineStr">
        <is>
          <t>PS Project Services (Ulrich W.)</t>
        </is>
      </c>
      <c r="AN227" t="inlineStr">
        <is>
          <t>TH Transformation Hub (Ulrich W.)</t>
        </is>
      </c>
      <c r="AO227" t="inlineStr">
        <is>
          <t>bridgingIT GmbH</t>
        </is>
      </c>
      <c r="AP227" t="inlineStr">
        <is>
          <t>Frankfurt</t>
        </is>
      </c>
      <c r="AQ227" t="inlineStr">
        <is>
          <t>Ulrich Waltinger</t>
        </is>
      </c>
    </row>
    <row r="228">
      <c r="A228" t="inlineStr">
        <is>
          <t>2306</t>
        </is>
      </c>
      <c r="B228" t="inlineStr">
        <is>
          <t>C1E1E3</t>
        </is>
      </c>
      <c r="C228" t="inlineStr">
        <is>
          <t>https://app.matchical.com/Consulting/ConsultantDetail?ConsultantId=57dd607d-d5cd-44b9-9a8f-a71d70bfe446</t>
        </is>
      </c>
      <c r="D228" t="inlineStr">
        <is>
          <t>Isabel Reichert</t>
        </is>
      </c>
      <c r="E228" t="inlineStr">
        <is>
          <t>isabel.reichert@bridging-it.de</t>
        </is>
      </c>
      <c r="F228" s="2" t="n">
        <v>44743</v>
      </c>
      <c r="G228" s="2" t="n">
        <v>42522</v>
      </c>
      <c r="H228" t="n">
        <v>10</v>
      </c>
      <c r="I228" t="n">
        <v>0</v>
      </c>
      <c r="J228" t="n">
        <v>0</v>
      </c>
      <c r="L228" s="2" t="n">
        <v>44804</v>
      </c>
      <c r="M228" s="2" t="n">
        <v>45837</v>
      </c>
      <c r="N228" t="b">
        <v>0</v>
      </c>
      <c r="O228" t="n">
        <v>44</v>
      </c>
      <c r="P228" t="n">
        <v>66</v>
      </c>
      <c r="Q228" t="n">
        <v>36</v>
      </c>
      <c r="R228">
        <f>ROUND(O228-P228,2)</f>
        <v/>
      </c>
      <c r="S228">
        <f>ROUND(O228-Q228,2)</f>
        <v/>
      </c>
      <c r="T228" s="3">
        <f>IFERROR(P228/O228,"")</f>
        <v/>
      </c>
      <c r="U228" s="3">
        <f>IFERROR(Q228/O228,"")</f>
        <v/>
      </c>
      <c r="V228" t="n">
        <v>73</v>
      </c>
      <c r="W228" t="n">
        <v>40</v>
      </c>
      <c r="X228" t="n">
        <v>35</v>
      </c>
      <c r="Y228">
        <f>ROUND(V228-W228,2)</f>
        <v/>
      </c>
      <c r="Z228">
        <f>ROUND(V228-X228,2)</f>
        <v/>
      </c>
      <c r="AA228" s="3">
        <f>IFERROR(W228/V228,"")</f>
        <v/>
      </c>
      <c r="AB228" s="3">
        <f>IFERROR(X228/V228,"")</f>
        <v/>
      </c>
      <c r="AC228" t="b">
        <v>0</v>
      </c>
      <c r="AD228" t="b">
        <v>0</v>
      </c>
      <c r="AE228" t="b">
        <v>0</v>
      </c>
      <c r="AF228" t="inlineStr">
        <is>
          <t>No</t>
        </is>
      </c>
      <c r="AI228" t="b">
        <v>1</v>
      </c>
      <c r="AJ228" t="n">
        <v>0</v>
      </c>
      <c r="AK228" t="inlineStr">
        <is>
          <t>Extension option at dmTech B 10/25 will be clarified this summer. Open to project changes.
Processes, Projects, Change, OE, Coaching, Re-Organization, Strategy ||| Manufacturing, Retail, Logistics |||</t>
        </is>
      </c>
      <c r="AL228" t="inlineStr">
        <is>
          <t>DO Digital Organizations (Michael H.)</t>
        </is>
      </c>
      <c r="AM228" t="inlineStr">
        <is>
          <t>BT Business Transform. III (Valerie L.)</t>
        </is>
      </c>
      <c r="AN228" t="inlineStr">
        <is>
          <t>BT Business Transformation (Julian D.)</t>
        </is>
      </c>
      <c r="AO228" t="inlineStr">
        <is>
          <t>bridgingIT GmbH</t>
        </is>
      </c>
      <c r="AP228" t="inlineStr">
        <is>
          <t>Stuttgart</t>
        </is>
      </c>
      <c r="AQ228" t="inlineStr">
        <is>
          <t>Valerie Lorenz</t>
        </is>
      </c>
    </row>
    <row r="229">
      <c r="A229" t="inlineStr">
        <is>
          <t>3085</t>
        </is>
      </c>
      <c r="B229" t="inlineStr">
        <is>
          <t>700BC5</t>
        </is>
      </c>
      <c r="C229" t="inlineStr">
        <is>
          <t>https://app.matchical.com/Consulting/ConsultantDetail?ConsultantId=3ff4db0b-9d1f-496c-9799-18e481110c57</t>
        </is>
      </c>
      <c r="D229" t="inlineStr">
        <is>
          <t>Isabelle Fischer</t>
        </is>
      </c>
      <c r="E229" t="inlineStr">
        <is>
          <t>isabelle.fischer@bridging-it.de</t>
        </is>
      </c>
      <c r="F229" s="2" t="n">
        <v>41821</v>
      </c>
      <c r="G229" s="2" t="n">
        <v>38749</v>
      </c>
      <c r="H229" t="n">
        <v>15</v>
      </c>
      <c r="I229" t="n">
        <v>0</v>
      </c>
      <c r="J229" t="n">
        <v>0</v>
      </c>
      <c r="L229" s="2" t="n">
        <v>45565</v>
      </c>
      <c r="M229" s="2" t="n">
        <v>45656</v>
      </c>
      <c r="N229" t="b">
        <v>0</v>
      </c>
      <c r="O229" t="n">
        <v>140</v>
      </c>
      <c r="P229" t="n">
        <v>89</v>
      </c>
      <c r="Q229" t="n">
        <v>76</v>
      </c>
      <c r="R229">
        <f>ROUND(O229-P229,2)</f>
        <v/>
      </c>
      <c r="S229">
        <f>ROUND(O229-Q229,2)</f>
        <v/>
      </c>
      <c r="T229" s="3">
        <f>IFERROR(P229/O229,"")</f>
        <v/>
      </c>
      <c r="U229" s="3">
        <f>IFERROR(Q229/O229,"")</f>
        <v/>
      </c>
      <c r="V229" t="n">
        <v>101</v>
      </c>
      <c r="W229" t="n">
        <v>75</v>
      </c>
      <c r="X229" t="n">
        <v>75</v>
      </c>
      <c r="Y229">
        <f>ROUND(V229-W229,2)</f>
        <v/>
      </c>
      <c r="Z229">
        <f>ROUND(V229-X229,2)</f>
        <v/>
      </c>
      <c r="AA229" s="3">
        <f>IFERROR(W229/V229,"")</f>
        <v/>
      </c>
      <c r="AB229" s="3">
        <f>IFERROR(X229/V229,"")</f>
        <v/>
      </c>
      <c r="AC229" t="b">
        <v>0</v>
      </c>
      <c r="AD229" t="b">
        <v>0</v>
      </c>
      <c r="AE229" t="b">
        <v>0</v>
      </c>
      <c r="AF229" t="inlineStr">
        <is>
          <t>No</t>
        </is>
      </c>
      <c r="AI229" t="b">
        <v>0</v>
      </c>
      <c r="AJ229" t="n">
        <v>0</v>
      </c>
      <c r="AK229" t="inlineStr">
        <is>
          <t>Change management, sustainability, project management
preferably with a focus on process/requirements management or BCM
extensive international experience (including several languages spoken fluently)</t>
        </is>
      </c>
      <c r="AL229" t="inlineStr">
        <is>
          <t>DO Digital Organizations (Michael H.)</t>
        </is>
      </c>
      <c r="AM229" t="inlineStr">
        <is>
          <t>DO Line Management (Michael H.)</t>
        </is>
      </c>
      <c r="AN229" t="inlineStr">
        <is>
          <t>DO Line Management (Michael H.)</t>
        </is>
      </c>
      <c r="AO229" t="inlineStr">
        <is>
          <t>bridgingIT GmbH</t>
        </is>
      </c>
      <c r="AP229" t="inlineStr">
        <is>
          <t>Stuttgart</t>
        </is>
      </c>
      <c r="AQ229" t="inlineStr">
        <is>
          <t>Michael Hagenlocher</t>
        </is>
      </c>
    </row>
    <row r="230">
      <c r="A230" t="inlineStr">
        <is>
          <t>10403</t>
        </is>
      </c>
      <c r="B230" t="inlineStr">
        <is>
          <t>79E59D</t>
        </is>
      </c>
      <c r="C230" t="inlineStr">
        <is>
          <t>https://app.matchical.com/Consulting/ConsultantDetail?ConsultantId=2158ea3b-79f7-4748-a9aa-12cfa9fdd95e</t>
        </is>
      </c>
      <c r="D230" t="inlineStr">
        <is>
          <t>Ismail Memis</t>
        </is>
      </c>
      <c r="E230" t="inlineStr">
        <is>
          <t>ismail.memis@bridging-it.de</t>
        </is>
      </c>
      <c r="F230" s="2" t="n">
        <v>45962</v>
      </c>
      <c r="G230" s="2" t="n">
        <v>45231</v>
      </c>
      <c r="H230" t="n">
        <v>4</v>
      </c>
      <c r="I230" t="n">
        <v>0</v>
      </c>
      <c r="J230" t="n">
        <v>0</v>
      </c>
      <c r="L230" s="2" t="n">
        <v>45657</v>
      </c>
      <c r="M230" s="2" t="n">
        <v>45806</v>
      </c>
      <c r="N230" t="b">
        <v>0</v>
      </c>
      <c r="O230" t="n">
        <v>4</v>
      </c>
      <c r="P230" t="n">
        <v>3.76</v>
      </c>
      <c r="Q230" t="n">
        <v>3.76</v>
      </c>
      <c r="R230">
        <f>ROUND(O230-P230,2)</f>
        <v/>
      </c>
      <c r="S230">
        <f>ROUND(O230-Q230,2)</f>
        <v/>
      </c>
      <c r="T230" s="3">
        <f>IFERROR(P230/O230,"")</f>
        <v/>
      </c>
      <c r="U230" s="3">
        <f>IFERROR(Q230/O230,"")</f>
        <v/>
      </c>
      <c r="V230" t="n">
        <v>24</v>
      </c>
      <c r="W230" t="n">
        <v>15</v>
      </c>
      <c r="X230" t="n">
        <v>15</v>
      </c>
      <c r="Y230">
        <f>ROUND(V230-W230,2)</f>
        <v/>
      </c>
      <c r="Z230">
        <f>ROUND(V230-X230,2)</f>
        <v/>
      </c>
      <c r="AA230" s="3">
        <f>IFERROR(W230/V230,"")</f>
        <v/>
      </c>
      <c r="AB230" s="3">
        <f>IFERROR(X230/V230,"")</f>
        <v/>
      </c>
      <c r="AC230" t="b">
        <v>0</v>
      </c>
      <c r="AD230" t="b">
        <v>0</v>
      </c>
      <c r="AE230" t="b">
        <v>0</v>
      </c>
      <c r="AF230" t="inlineStr">
        <is>
          <t>No</t>
        </is>
      </c>
      <c r="AI230" t="b">
        <v>0</v>
      </c>
      <c r="AJ230" t="n">
        <v>0</v>
      </c>
      <c r="AK230" t="inlineStr"/>
      <c r="AL230" t="inlineStr">
        <is>
          <t>ES Enterprise Solutions (Gina H.)</t>
        </is>
      </c>
      <c r="AM230" t="inlineStr">
        <is>
          <t>IEJ Java II (Thomas K.)</t>
        </is>
      </c>
      <c r="AN230" t="inlineStr">
        <is>
          <t>IEJ Individualentwicklung JAVA (Dominik S.)</t>
        </is>
      </c>
      <c r="AO230" t="inlineStr">
        <is>
          <t>bridgingIT GmbH</t>
        </is>
      </c>
      <c r="AP230" t="inlineStr">
        <is>
          <t>Stuttgart</t>
        </is>
      </c>
      <c r="AQ230" t="inlineStr">
        <is>
          <t>Thomas Kopp</t>
        </is>
      </c>
    </row>
    <row r="231">
      <c r="A231" t="inlineStr">
        <is>
          <t>10245</t>
        </is>
      </c>
      <c r="B231" t="inlineStr">
        <is>
          <t>71F117</t>
        </is>
      </c>
      <c r="C231" t="inlineStr">
        <is>
          <t>https://app.matchical.com/Consulting/ConsultantDetail?ConsultantId=25565ab9-551d-4151-ad05-51700d5ce2f6</t>
        </is>
      </c>
      <c r="D231" t="inlineStr">
        <is>
          <t>Jacques Ngan</t>
        </is>
      </c>
      <c r="E231" t="inlineStr">
        <is>
          <t>jacques.ngan@bridging-it.de</t>
        </is>
      </c>
      <c r="F231" s="2" t="n">
        <v>45323</v>
      </c>
      <c r="G231" s="2" t="n">
        <v>36892</v>
      </c>
      <c r="H231" t="n">
        <v>6</v>
      </c>
      <c r="I231" t="n">
        <v>0</v>
      </c>
      <c r="J231" t="n">
        <v>0</v>
      </c>
      <c r="L231" s="2" t="n">
        <v>45473</v>
      </c>
      <c r="M231" s="2" t="n">
        <v>45657</v>
      </c>
      <c r="N231" t="b">
        <v>0</v>
      </c>
      <c r="O231" t="n">
        <v>25</v>
      </c>
      <c r="P231" t="n">
        <v>10.69</v>
      </c>
      <c r="Q231" t="n">
        <v>10.69</v>
      </c>
      <c r="R231">
        <f>ROUND(O231-P231,2)</f>
        <v/>
      </c>
      <c r="S231">
        <f>ROUND(O231-Q231,2)</f>
        <v/>
      </c>
      <c r="T231" s="3">
        <f>IFERROR(P231/O231,"")</f>
        <v/>
      </c>
      <c r="U231" s="3">
        <f>IFERROR(Q231/O231,"")</f>
        <v/>
      </c>
      <c r="V231" t="n">
        <v>277</v>
      </c>
      <c r="W231" t="n">
        <v>135.31</v>
      </c>
      <c r="X231" t="n">
        <v>135.31</v>
      </c>
      <c r="Y231">
        <f>ROUND(V231-W231,2)</f>
        <v/>
      </c>
      <c r="Z231">
        <f>ROUND(V231-X231,2)</f>
        <v/>
      </c>
      <c r="AA231" s="3">
        <f>IFERROR(W231/V231,"")</f>
        <v/>
      </c>
      <c r="AB231" s="3">
        <f>IFERROR(X231/V231,"")</f>
        <v/>
      </c>
      <c r="AC231" t="b">
        <v>0</v>
      </c>
      <c r="AD231" t="b">
        <v>0</v>
      </c>
      <c r="AE231" t="b">
        <v>0</v>
      </c>
      <c r="AF231" t="inlineStr">
        <is>
          <t>No</t>
        </is>
      </c>
      <c r="AI231" t="b">
        <v>1</v>
      </c>
      <c r="AJ231" t="n">
        <v>0</v>
      </c>
      <c r="AK231" t="inlineStr">
        <is>
          <t>Jacques is an experienced IT security consultant with more than 15 years of experience in information security, risk management, compliance, and the implementation of management systems. He has worked in cross-functional teams and stands out for his problem-solving skills.</t>
        </is>
      </c>
      <c r="AL231" t="inlineStr">
        <is>
          <t>IT Information Technology (Hauke G.)</t>
        </is>
      </c>
      <c r="AM231" t="inlineStr">
        <is>
          <t>ITS IT Security (Erhan N.)</t>
        </is>
      </c>
      <c r="AN231" t="inlineStr">
        <is>
          <t>GRC IT-GRC (Erhan N.)</t>
        </is>
      </c>
      <c r="AO231" t="inlineStr">
        <is>
          <t>bridgingIT GmbH</t>
        </is>
      </c>
      <c r="AP231" t="inlineStr">
        <is>
          <t>Stuttgart</t>
        </is>
      </c>
      <c r="AQ231" t="inlineStr">
        <is>
          <t>Erhan Nurdogan</t>
        </is>
      </c>
    </row>
    <row r="232">
      <c r="A232" t="inlineStr">
        <is>
          <t>2270</t>
        </is>
      </c>
      <c r="B232" t="inlineStr">
        <is>
          <t>C7B65F</t>
        </is>
      </c>
      <c r="C232" t="inlineStr">
        <is>
          <t>https://app.matchical.com/Consulting/ConsultantDetail?ConsultantId=fb867ef7-1114-4606-9b8e-ac16284937b1</t>
        </is>
      </c>
      <c r="D232" t="inlineStr">
        <is>
          <t>Jakob Beerlage</t>
        </is>
      </c>
      <c r="E232" t="inlineStr">
        <is>
          <t>jakob.beerlage@bridging-it.de</t>
        </is>
      </c>
      <c r="F232" s="2" t="n">
        <v>44136</v>
      </c>
      <c r="G232" s="2" t="n">
        <v>44136</v>
      </c>
      <c r="H232" t="n">
        <v>6</v>
      </c>
      <c r="I232" t="n">
        <v>0</v>
      </c>
      <c r="J232" t="n">
        <v>0</v>
      </c>
      <c r="L232" s="2" t="n">
        <v>44926</v>
      </c>
      <c r="M232" s="2" t="n">
        <v>45549</v>
      </c>
      <c r="N232" t="b">
        <v>0</v>
      </c>
      <c r="O232" t="n">
        <v>64</v>
      </c>
      <c r="P232" t="n">
        <v>67.90000000000001</v>
      </c>
      <c r="Q232" t="n">
        <v>60.9</v>
      </c>
      <c r="R232">
        <f>ROUND(O232-P232,2)</f>
        <v/>
      </c>
      <c r="S232">
        <f>ROUND(O232-Q232,2)</f>
        <v/>
      </c>
      <c r="T232" s="3">
        <f>IFERROR(P232/O232,"")</f>
        <v/>
      </c>
      <c r="U232" s="3">
        <f>IFERROR(Q232/O232,"")</f>
        <v/>
      </c>
      <c r="V232" t="n">
        <v>0</v>
      </c>
      <c r="W232" t="n">
        <v>0</v>
      </c>
      <c r="X232" t="n">
        <v>0</v>
      </c>
      <c r="Y232">
        <f>ROUND(V232-W232,2)</f>
        <v/>
      </c>
      <c r="Z232">
        <f>ROUND(V232-X232,2)</f>
        <v/>
      </c>
      <c r="AA232" s="3">
        <f>IFERROR(W232/V232,"")</f>
        <v/>
      </c>
      <c r="AB232" s="3">
        <f>IFERROR(X232/V232,"")</f>
        <v/>
      </c>
      <c r="AC232" t="b">
        <v>0</v>
      </c>
      <c r="AD232" t="b">
        <v>0</v>
      </c>
      <c r="AE232" t="b">
        <v>0</v>
      </c>
      <c r="AF232" t="inlineStr">
        <is>
          <t>Yes</t>
        </is>
      </c>
      <c r="AG232" s="2" t="n">
        <v>46113</v>
      </c>
      <c r="AI232" t="b">
        <v>1</v>
      </c>
      <c r="AJ232" t="n">
        <v>5</v>
      </c>
      <c r="AK232" t="inlineStr">
        <is>
          <t>Jakob Beerlage is an experienced IT security consultant. In the course of his project work, he has repeatedly supported teams in critical infrastructure in the development and certification of ISMS and has implemented security measures. His work has given him deep knowledge in the integration of new security processes as well as in meeting regulatory requirements.</t>
        </is>
      </c>
      <c r="AL232" t="inlineStr">
        <is>
          <t>IT Information Technology (Hauke G.)</t>
        </is>
      </c>
      <c r="AM232" t="inlineStr">
        <is>
          <t>ITS IT Security (Erhan N.)</t>
        </is>
      </c>
      <c r="AN232" t="inlineStr">
        <is>
          <t>GRC IT-GRC (Erhan N.)</t>
        </is>
      </c>
      <c r="AO232" t="inlineStr">
        <is>
          <t>bridgingIT GmbH</t>
        </is>
      </c>
      <c r="AP232" t="inlineStr">
        <is>
          <t>Stuttgart</t>
        </is>
      </c>
      <c r="AQ232" t="inlineStr">
        <is>
          <t>Erhan Nurdogan</t>
        </is>
      </c>
    </row>
    <row r="233">
      <c r="A233" t="inlineStr">
        <is>
          <t>10406</t>
        </is>
      </c>
      <c r="B233" t="inlineStr">
        <is>
          <t>DBB689</t>
        </is>
      </c>
      <c r="C233" t="inlineStr">
        <is>
          <t>https://app.matchical.com/Consulting/ConsultantDetail?ConsultantId=bbc824f9-a879-4f63-8002-4708ad771324</t>
        </is>
      </c>
      <c r="D233" t="inlineStr">
        <is>
          <t>Jamil-Michel Boujada</t>
        </is>
      </c>
      <c r="E233" t="inlineStr">
        <is>
          <t>jamil-michel.boujada@bridging-it.de</t>
        </is>
      </c>
      <c r="F233" s="2" t="n">
        <v>45962</v>
      </c>
      <c r="G233" s="2" t="n">
        <v>44470</v>
      </c>
      <c r="H233" t="n">
        <v>6</v>
      </c>
      <c r="I233" t="n">
        <v>0</v>
      </c>
      <c r="J233" t="n">
        <v>0</v>
      </c>
      <c r="L233" s="2" t="n">
        <v>45412</v>
      </c>
      <c r="M233" s="2" t="n">
        <v>45929</v>
      </c>
      <c r="N233" t="b">
        <v>0</v>
      </c>
      <c r="O233" t="n">
        <v>4</v>
      </c>
      <c r="P233" t="n">
        <v>0</v>
      </c>
      <c r="Q233" t="n">
        <v>0</v>
      </c>
      <c r="R233">
        <f>ROUND(O233-P233,2)</f>
        <v/>
      </c>
      <c r="S233">
        <f>ROUND(O233-Q233,2)</f>
        <v/>
      </c>
      <c r="T233" s="3">
        <f>IFERROR(P233/O233,"")</f>
        <v/>
      </c>
      <c r="U233" s="3">
        <f>IFERROR(Q233/O233,"")</f>
        <v/>
      </c>
      <c r="V233" t="n">
        <v>49</v>
      </c>
      <c r="W233" t="n">
        <v>54.97</v>
      </c>
      <c r="X233" t="n">
        <v>47.97</v>
      </c>
      <c r="Y233">
        <f>ROUND(V233-W233,2)</f>
        <v/>
      </c>
      <c r="Z233">
        <f>ROUND(V233-X233,2)</f>
        <v/>
      </c>
      <c r="AA233" s="3">
        <f>IFERROR(W233/V233,"")</f>
        <v/>
      </c>
      <c r="AB233" s="3">
        <f>IFERROR(X233/V233,"")</f>
        <v/>
      </c>
      <c r="AC233" t="b">
        <v>0</v>
      </c>
      <c r="AD233" t="b">
        <v>0</v>
      </c>
      <c r="AE233" t="b">
        <v>0</v>
      </c>
      <c r="AF233" t="inlineStr">
        <is>
          <t>No</t>
        </is>
      </c>
      <c r="AI233" t="b">
        <v>1</v>
      </c>
      <c r="AJ233" t="n">
        <v>0</v>
      </c>
      <c r="AK233" t="inlineStr"/>
      <c r="AL233" t="inlineStr">
        <is>
          <t>ORG bIT</t>
        </is>
      </c>
      <c r="AM233" t="inlineStr">
        <is>
          <t>CS Cloud Solutions (Timm B.)</t>
        </is>
      </c>
      <c r="AN233" t="inlineStr">
        <is>
          <t>MIT Management of IT (Torsten R.)</t>
        </is>
      </c>
      <c r="AO233" t="inlineStr">
        <is>
          <t>bridgingIT GmbH</t>
        </is>
      </c>
      <c r="AP233" t="inlineStr">
        <is>
          <t>Frankfurt</t>
        </is>
      </c>
      <c r="AQ233" t="inlineStr">
        <is>
          <t>Timm Bremus</t>
        </is>
      </c>
    </row>
    <row r="234">
      <c r="A234" t="inlineStr">
        <is>
          <t>4100</t>
        </is>
      </c>
      <c r="B234" t="inlineStr">
        <is>
          <t>7EBB85</t>
        </is>
      </c>
      <c r="C234" t="inlineStr">
        <is>
          <t>https://app.matchical.com/Consulting/ConsultantDetail?ConsultantId=b422a75d-bcb1-42a4-9c7a-f0128678fd3e</t>
        </is>
      </c>
      <c r="D234" t="inlineStr">
        <is>
          <t>Jan Heinemann</t>
        </is>
      </c>
      <c r="E234" t="inlineStr">
        <is>
          <t>jan.heinemann@bridging-it.de</t>
        </is>
      </c>
      <c r="F234" s="2" t="n">
        <v>43160</v>
      </c>
      <c r="G234" s="2" t="n">
        <v>40909</v>
      </c>
      <c r="H234" t="n">
        <v>14</v>
      </c>
      <c r="I234" t="n">
        <v>0</v>
      </c>
      <c r="J234" t="n">
        <v>0</v>
      </c>
      <c r="L234" s="2" t="n">
        <v>45292</v>
      </c>
      <c r="M234" s="2" t="n">
        <v>45837</v>
      </c>
      <c r="N234" t="b">
        <v>0</v>
      </c>
      <c r="O234" t="n">
        <v>96</v>
      </c>
      <c r="P234" t="n">
        <v>110</v>
      </c>
      <c r="Q234" t="n">
        <v>87</v>
      </c>
      <c r="R234">
        <f>ROUND(O234-P234,2)</f>
        <v/>
      </c>
      <c r="S234">
        <f>ROUND(O234-Q234,2)</f>
        <v/>
      </c>
      <c r="T234" s="3">
        <f>IFERROR(P234/O234,"")</f>
        <v/>
      </c>
      <c r="U234" s="3">
        <f>IFERROR(Q234/O234,"")</f>
        <v/>
      </c>
      <c r="V234" t="n">
        <v>74</v>
      </c>
      <c r="W234" t="n">
        <v>58</v>
      </c>
      <c r="X234" t="n">
        <v>52</v>
      </c>
      <c r="Y234">
        <f>ROUND(V234-W234,2)</f>
        <v/>
      </c>
      <c r="Z234">
        <f>ROUND(V234-X234,2)</f>
        <v/>
      </c>
      <c r="AA234" s="3">
        <f>IFERROR(W234/V234,"")</f>
        <v/>
      </c>
      <c r="AB234" s="3">
        <f>IFERROR(X234/V234,"")</f>
        <v/>
      </c>
      <c r="AC234" t="b">
        <v>0</v>
      </c>
      <c r="AD234" t="b">
        <v>0</v>
      </c>
      <c r="AE234" t="b">
        <v>0</v>
      </c>
      <c r="AF234" t="inlineStr">
        <is>
          <t>No</t>
        </is>
      </c>
      <c r="AI234" t="b">
        <v>0</v>
      </c>
      <c r="AJ234" t="n">
        <v>0</v>
      </c>
      <c r="AK234" t="inlineStr">
        <is>
          <t>Manager for two teams, therefore a maximum of 3.5 days per week, strategically ideally in-house account (enBW); other accounts are a second choice. Ideal project roles: Organizational Development Specialist, Agile Coach, Transformation Manager</t>
        </is>
      </c>
      <c r="AL234" t="inlineStr">
        <is>
          <t>T&amp;A - Transformation &amp; Agility (Arne K.)</t>
        </is>
      </c>
      <c r="AM234" t="inlineStr">
        <is>
          <t>PACE – Project Agility &amp; Cont' Evolution (Jan H.)</t>
        </is>
      </c>
      <c r="AN234" t="inlineStr">
        <is>
          <t>A&amp;PM Agility &amp; Project Management (Jan H.)</t>
        </is>
      </c>
      <c r="AO234" t="inlineStr">
        <is>
          <t>bridgingIT GmbH</t>
        </is>
      </c>
      <c r="AP234" t="inlineStr">
        <is>
          <t>Mannheim</t>
        </is>
      </c>
      <c r="AQ234" t="inlineStr">
        <is>
          <t>Arne Kunstmann</t>
        </is>
      </c>
    </row>
    <row r="235">
      <c r="A235" t="inlineStr">
        <is>
          <t>3031</t>
        </is>
      </c>
      <c r="B235" t="inlineStr">
        <is>
          <t>5D4721</t>
        </is>
      </c>
      <c r="C235" t="inlineStr">
        <is>
          <t>https://app.matchical.com/Consulting/ConsultantDetail?ConsultantId=5e92b606-2b7f-4406-bfab-7410d370e672</t>
        </is>
      </c>
      <c r="D235" t="inlineStr">
        <is>
          <t>Jan Vogel</t>
        </is>
      </c>
      <c r="E235" t="inlineStr">
        <is>
          <t>jan.vogel@bridging-it.de</t>
        </is>
      </c>
      <c r="F235" s="2" t="n">
        <v>40422</v>
      </c>
      <c r="G235" s="2" t="n">
        <v>39448</v>
      </c>
      <c r="H235" t="n">
        <v>22</v>
      </c>
      <c r="I235" t="n">
        <v>0</v>
      </c>
      <c r="J235" t="n">
        <v>2</v>
      </c>
      <c r="K235" s="2" t="n">
        <v>43465</v>
      </c>
      <c r="L235" s="2" t="n">
        <v>44837</v>
      </c>
      <c r="M235" s="2" t="n">
        <v>45015</v>
      </c>
      <c r="N235" t="b">
        <v>0</v>
      </c>
      <c r="O235" t="n">
        <v>186</v>
      </c>
      <c r="P235" t="n">
        <v>359.01</v>
      </c>
      <c r="Q235" t="n">
        <v>180.39</v>
      </c>
      <c r="R235">
        <f>ROUND(O235-P235,2)</f>
        <v/>
      </c>
      <c r="S235">
        <f>ROUND(O235-Q235,2)</f>
        <v/>
      </c>
      <c r="T235" s="3">
        <f>IFERROR(P235/O235,"")</f>
        <v/>
      </c>
      <c r="U235" s="3">
        <f>IFERROR(Q235/O235,"")</f>
        <v/>
      </c>
      <c r="V235" t="n">
        <v>32</v>
      </c>
      <c r="W235" t="n">
        <v>7.99</v>
      </c>
      <c r="X235" t="n">
        <v>5.61</v>
      </c>
      <c r="Y235">
        <f>ROUND(V235-W235,2)</f>
        <v/>
      </c>
      <c r="Z235">
        <f>ROUND(V235-X235,2)</f>
        <v/>
      </c>
      <c r="AA235" s="3">
        <f>IFERROR(W235/V235,"")</f>
        <v/>
      </c>
      <c r="AB235" s="3">
        <f>IFERROR(X235/V235,"")</f>
        <v/>
      </c>
      <c r="AC235" t="b">
        <v>0</v>
      </c>
      <c r="AD235" t="b">
        <v>0</v>
      </c>
      <c r="AE235" t="b">
        <v>0</v>
      </c>
      <c r="AF235" t="inlineStr">
        <is>
          <t>No</t>
        </is>
      </c>
      <c r="AI235" t="b">
        <v>0</v>
      </c>
      <c r="AJ235" t="n">
        <v>0</v>
      </c>
      <c r="AK235" t="inlineStr">
        <is>
          <t>Project assignments in IT service management (ITSM), transition, rollout, architecture, O365, etc., are sought in parallel with additional internal IT consulting at bIT.</t>
        </is>
      </c>
      <c r="AL235" t="inlineStr">
        <is>
          <t>ORG bIT</t>
        </is>
      </c>
      <c r="AM235" t="inlineStr">
        <is>
          <t>CS Cloud Solutions (Timm B.)</t>
        </is>
      </c>
      <c r="AN235" t="inlineStr">
        <is>
          <t>MIT Management of IT (Torsten R.)</t>
        </is>
      </c>
      <c r="AO235" t="inlineStr">
        <is>
          <t>bridgingIT GmbH</t>
        </is>
      </c>
      <c r="AP235" t="inlineStr">
        <is>
          <t>Frankfurt</t>
        </is>
      </c>
      <c r="AQ235" t="inlineStr">
        <is>
          <t>Timm Bremus</t>
        </is>
      </c>
    </row>
    <row r="236">
      <c r="A236" t="inlineStr">
        <is>
          <t>6528</t>
        </is>
      </c>
      <c r="B236" t="inlineStr">
        <is>
          <t>373500</t>
        </is>
      </c>
      <c r="C236" t="inlineStr">
        <is>
          <t>https://app.matchical.com/Consulting/ConsultantDetail?ConsultantId=c218065c-2e85-434f-aea3-949d84df8809</t>
        </is>
      </c>
      <c r="D236" t="inlineStr">
        <is>
          <t>Jan-Henning Wegener</t>
        </is>
      </c>
      <c r="E236" t="inlineStr">
        <is>
          <t>jan-henning.wegener@bridging-it.de</t>
        </is>
      </c>
      <c r="F236" s="2" t="n">
        <v>43252</v>
      </c>
      <c r="G236" s="2" t="n">
        <v>39539</v>
      </c>
      <c r="H236" t="n">
        <v>15</v>
      </c>
      <c r="I236" t="n">
        <v>0</v>
      </c>
      <c r="J236" t="n">
        <v>3</v>
      </c>
      <c r="K236" s="2" t="n">
        <v>44422</v>
      </c>
      <c r="L236" s="2" t="n">
        <v>45376</v>
      </c>
      <c r="M236" s="2" t="n">
        <v>45868</v>
      </c>
      <c r="N236" t="b">
        <v>0</v>
      </c>
      <c r="O236" t="n">
        <v>93</v>
      </c>
      <c r="P236" t="n">
        <v>239.95</v>
      </c>
      <c r="Q236" t="n">
        <v>92.81</v>
      </c>
      <c r="R236">
        <f>ROUND(O236-P236,2)</f>
        <v/>
      </c>
      <c r="S236">
        <f>ROUND(O236-Q236,2)</f>
        <v/>
      </c>
      <c r="T236" s="3">
        <f>IFERROR(P236/O236,"")</f>
        <v/>
      </c>
      <c r="U236" s="3">
        <f>IFERROR(Q236/O236,"")</f>
        <v/>
      </c>
      <c r="V236" t="n">
        <v>122</v>
      </c>
      <c r="W236" t="n">
        <v>34.05</v>
      </c>
      <c r="X236" t="n">
        <v>16.87</v>
      </c>
      <c r="Y236">
        <f>ROUND(V236-W236,2)</f>
        <v/>
      </c>
      <c r="Z236">
        <f>ROUND(V236-X236,2)</f>
        <v/>
      </c>
      <c r="AA236" s="3">
        <f>IFERROR(W236/V236,"")</f>
        <v/>
      </c>
      <c r="AB236" s="3">
        <f>IFERROR(X236/V236,"")</f>
        <v/>
      </c>
      <c r="AC236" t="b">
        <v>0</v>
      </c>
      <c r="AD236" t="b">
        <v>0</v>
      </c>
      <c r="AE236" t="b">
        <v>0</v>
      </c>
      <c r="AF236" t="inlineStr">
        <is>
          <t>No</t>
        </is>
      </c>
      <c r="AI236" t="b">
        <v>0</v>
      </c>
      <c r="AJ236" t="n">
        <v>0</v>
      </c>
      <c r="AK236" t="inlineStr">
        <is>
          <t>In addition to web frontend (Angular) skills, I also have experience in Location-Based Services (omlox/Deep Hub). I can be flexible with my available days, I am not tied to a week, and I may also delegate to colleagues on the team. =&gt; Contact Christoph Müller</t>
        </is>
      </c>
      <c r="AL236" t="inlineStr">
        <is>
          <t>A&amp;SE Analytics &amp; Software Engineering (Philip R.)</t>
        </is>
      </c>
      <c r="AM236" t="inlineStr">
        <is>
          <t>FA Fullstack Astronauts (Jochen K.)</t>
        </is>
      </c>
      <c r="AN236" t="inlineStr">
        <is>
          <t>FUN Fullstack Ninjas (Stefan Z.)</t>
        </is>
      </c>
      <c r="AO236" t="inlineStr">
        <is>
          <t>bridgingIT GmbH</t>
        </is>
      </c>
      <c r="AP236" t="inlineStr">
        <is>
          <t>Mannheim</t>
        </is>
      </c>
      <c r="AQ236" t="inlineStr">
        <is>
          <t>Jochen Kraushaar</t>
        </is>
      </c>
    </row>
    <row r="237">
      <c r="A237" t="inlineStr">
        <is>
          <t>10348</t>
        </is>
      </c>
      <c r="B237" t="inlineStr">
        <is>
          <t>0F9A33</t>
        </is>
      </c>
      <c r="C237" t="inlineStr">
        <is>
          <t>https://app.matchical.com/Consulting/ConsultantDetail?ConsultantId=7a1fbb0e-21f5-4d5c-bc61-e612d95cec30</t>
        </is>
      </c>
      <c r="D237" t="inlineStr">
        <is>
          <t>Janika Krull</t>
        </is>
      </c>
      <c r="E237" t="inlineStr">
        <is>
          <t>janika.krull@bridging-it.de</t>
        </is>
      </c>
      <c r="F237" s="2" t="n">
        <v>45658</v>
      </c>
      <c r="G237" s="2" t="n">
        <v>45047</v>
      </c>
      <c r="H237" t="n">
        <v>3</v>
      </c>
      <c r="I237" t="n">
        <v>0</v>
      </c>
      <c r="J237" t="n">
        <v>1</v>
      </c>
      <c r="K237" s="2" t="n">
        <v>45747</v>
      </c>
      <c r="L237" s="2" t="n">
        <v>45412</v>
      </c>
      <c r="M237" s="2" t="n">
        <v>45746</v>
      </c>
      <c r="N237" t="b">
        <v>0</v>
      </c>
      <c r="O237" t="n">
        <v>14</v>
      </c>
      <c r="P237" t="n">
        <v>12.9</v>
      </c>
      <c r="Q237" t="n">
        <v>12.9</v>
      </c>
      <c r="R237">
        <f>ROUND(O237-P237,2)</f>
        <v/>
      </c>
      <c r="S237">
        <f>ROUND(O237-Q237,2)</f>
        <v/>
      </c>
      <c r="T237" s="3">
        <f>IFERROR(P237/O237,"")</f>
        <v/>
      </c>
      <c r="U237" s="3">
        <f>IFERROR(Q237/O237,"")</f>
        <v/>
      </c>
      <c r="V237" t="n">
        <v>20</v>
      </c>
      <c r="W237" t="n">
        <v>14.1</v>
      </c>
      <c r="X237" t="n">
        <v>14.1</v>
      </c>
      <c r="Y237">
        <f>ROUND(V237-W237,2)</f>
        <v/>
      </c>
      <c r="Z237">
        <f>ROUND(V237-X237,2)</f>
        <v/>
      </c>
      <c r="AA237" s="3">
        <f>IFERROR(W237/V237,"")</f>
        <v/>
      </c>
      <c r="AB237" s="3">
        <f>IFERROR(X237/V237,"")</f>
        <v/>
      </c>
      <c r="AC237" t="b">
        <v>0</v>
      </c>
      <c r="AD237" t="b">
        <v>0</v>
      </c>
      <c r="AE237" t="b">
        <v>0</v>
      </c>
      <c r="AF237" t="inlineStr">
        <is>
          <t>No</t>
        </is>
      </c>
      <c r="AI237" t="b">
        <v>1</v>
      </c>
      <c r="AJ237" t="n">
        <v>0</v>
      </c>
      <c r="AK237" t="inlineStr"/>
      <c r="AL237" t="inlineStr">
        <is>
          <t>ORG bIT</t>
        </is>
      </c>
      <c r="AM237" t="inlineStr">
        <is>
          <t>AT Agile Transformation (Anna S.)</t>
        </is>
      </c>
      <c r="AN237" t="inlineStr">
        <is>
          <t>TH Transformation Hub (Ulrich W.)</t>
        </is>
      </c>
      <c r="AO237" t="inlineStr">
        <is>
          <t>bridgingIT GmbH</t>
        </is>
      </c>
      <c r="AP237" t="inlineStr">
        <is>
          <t>Frankfurt</t>
        </is>
      </c>
      <c r="AQ237" t="inlineStr">
        <is>
          <t>Anna Schnorrenberger</t>
        </is>
      </c>
    </row>
    <row r="238">
      <c r="A238" t="inlineStr">
        <is>
          <t>10303</t>
        </is>
      </c>
      <c r="B238" t="inlineStr">
        <is>
          <t>1C38DC</t>
        </is>
      </c>
      <c r="C238" t="inlineStr">
        <is>
          <t>https://app.matchical.com/Consulting/ConsultantDetail?ConsultantId=627e05d5-e6cf-48ca-8f82-059497d17eea</t>
        </is>
      </c>
      <c r="D238" t="inlineStr">
        <is>
          <t>Jannik Springmann</t>
        </is>
      </c>
      <c r="E238" t="inlineStr">
        <is>
          <t>jannik.springmann@bridging-it.de</t>
        </is>
      </c>
      <c r="F238" s="2" t="n">
        <v>45566</v>
      </c>
      <c r="G238" s="2" t="n">
        <v>43101</v>
      </c>
      <c r="H238" t="n">
        <v>7</v>
      </c>
      <c r="I238" t="n">
        <v>0</v>
      </c>
      <c r="J238" t="n">
        <v>1</v>
      </c>
      <c r="K238" s="2" t="n">
        <v>45627</v>
      </c>
      <c r="L238" s="2" t="n">
        <v>45658</v>
      </c>
      <c r="M238" s="2" t="n">
        <v>46022</v>
      </c>
      <c r="N238" t="b">
        <v>0</v>
      </c>
      <c r="O238" t="n">
        <v>17</v>
      </c>
      <c r="P238" t="n">
        <v>26</v>
      </c>
      <c r="Q238" t="n">
        <v>14</v>
      </c>
      <c r="R238">
        <f>ROUND(O238-P238,2)</f>
        <v/>
      </c>
      <c r="S238">
        <f>ROUND(O238-Q238,2)</f>
        <v/>
      </c>
      <c r="T238" s="3">
        <f>IFERROR(P238/O238,"")</f>
        <v/>
      </c>
      <c r="U238" s="3">
        <f>IFERROR(Q238/O238,"")</f>
        <v/>
      </c>
      <c r="V238" t="n">
        <v>81</v>
      </c>
      <c r="W238" t="n">
        <v>161.88</v>
      </c>
      <c r="X238" t="n">
        <v>80.98999999999999</v>
      </c>
      <c r="Y238">
        <f>ROUND(V238-W238,2)</f>
        <v/>
      </c>
      <c r="Z238">
        <f>ROUND(V238-X238,2)</f>
        <v/>
      </c>
      <c r="AA238" s="3">
        <f>IFERROR(W238/V238,"")</f>
        <v/>
      </c>
      <c r="AB238" s="3">
        <f>IFERROR(X238/V238,"")</f>
        <v/>
      </c>
      <c r="AC238" t="b">
        <v>0</v>
      </c>
      <c r="AD238" t="b">
        <v>0</v>
      </c>
      <c r="AE238" t="b">
        <v>0</v>
      </c>
      <c r="AF238" t="inlineStr">
        <is>
          <t>Yes</t>
        </is>
      </c>
      <c r="AG238" s="2" t="n">
        <v>46082</v>
      </c>
      <c r="AI238" t="b">
        <v>1</v>
      </c>
      <c r="AJ238" t="n">
        <v>5</v>
      </c>
      <c r="AK238" t="inlineStr"/>
      <c r="AL238" t="inlineStr">
        <is>
          <t>ORG bIT</t>
        </is>
      </c>
      <c r="AM238" t="inlineStr">
        <is>
          <t>SE Software Engineering Frankfurt (Timm B.)</t>
        </is>
      </c>
      <c r="AN238" t="inlineStr">
        <is>
          <t>ES Enterprise Solutions (Dominik H.)</t>
        </is>
      </c>
      <c r="AO238" t="inlineStr">
        <is>
          <t>bridgingIT GmbH</t>
        </is>
      </c>
      <c r="AP238" t="inlineStr">
        <is>
          <t>Frankfurt</t>
        </is>
      </c>
      <c r="AQ238" t="inlineStr">
        <is>
          <t>Timm Bremus</t>
        </is>
      </c>
    </row>
    <row r="239">
      <c r="A239" t="inlineStr">
        <is>
          <t>10127</t>
        </is>
      </c>
      <c r="B239" t="inlineStr">
        <is>
          <t>7043A0</t>
        </is>
      </c>
      <c r="C239" t="inlineStr">
        <is>
          <t>https://app.matchical.com/Consulting/ConsultantDetail?ConsultantId=d3f7758b-9c4b-4697-827c-f96ac4643fd0</t>
        </is>
      </c>
      <c r="D239" t="inlineStr">
        <is>
          <t>Jannis Breitenstein</t>
        </is>
      </c>
      <c r="E239" t="inlineStr">
        <is>
          <t>jannis.breitenstein@bridging-it.de</t>
        </is>
      </c>
      <c r="F239" s="2" t="n">
        <v>45139</v>
      </c>
      <c r="G239" s="2" t="n">
        <v>42948</v>
      </c>
      <c r="H239" t="n">
        <v>10</v>
      </c>
      <c r="I239" t="n">
        <v>0</v>
      </c>
      <c r="J239" t="n">
        <v>1</v>
      </c>
      <c r="K239" s="2" t="n">
        <v>45199</v>
      </c>
      <c r="L239" s="2" t="n">
        <v>45291</v>
      </c>
      <c r="M239" s="2" t="n">
        <v>45716</v>
      </c>
      <c r="N239" t="b">
        <v>0</v>
      </c>
      <c r="O239" t="n">
        <v>31</v>
      </c>
      <c r="P239" t="n">
        <v>58.9</v>
      </c>
      <c r="Q239" t="n">
        <v>28.62</v>
      </c>
      <c r="R239">
        <f>ROUND(O239-P239,2)</f>
        <v/>
      </c>
      <c r="S239">
        <f>ROUND(O239-Q239,2)</f>
        <v/>
      </c>
      <c r="T239" s="3">
        <f>IFERROR(P239/O239,"")</f>
        <v/>
      </c>
      <c r="U239" s="3">
        <f>IFERROR(Q239/O239,"")</f>
        <v/>
      </c>
      <c r="V239" t="n">
        <v>72</v>
      </c>
      <c r="W239" t="n">
        <v>84.97</v>
      </c>
      <c r="X239" t="n">
        <v>70.3</v>
      </c>
      <c r="Y239">
        <f>ROUND(V239-W239,2)</f>
        <v/>
      </c>
      <c r="Z239">
        <f>ROUND(V239-X239,2)</f>
        <v/>
      </c>
      <c r="AA239" s="3">
        <f>IFERROR(W239/V239,"")</f>
        <v/>
      </c>
      <c r="AB239" s="3">
        <f>IFERROR(X239/V239,"")</f>
        <v/>
      </c>
      <c r="AC239" t="b">
        <v>0</v>
      </c>
      <c r="AD239" t="b">
        <v>0</v>
      </c>
      <c r="AE239" t="b">
        <v>0</v>
      </c>
      <c r="AF239" t="inlineStr">
        <is>
          <t>No</t>
        </is>
      </c>
      <c r="AI239" t="b">
        <v>1</v>
      </c>
      <c r="AJ239" t="n">
        <v>0</v>
      </c>
      <c r="AK239" t="inlineStr">
        <is>
          <t>I am interested in projects in the north.</t>
        </is>
      </c>
      <c r="AL239" t="inlineStr">
        <is>
          <t>IT - Information Technology (Sebastian L.)</t>
        </is>
      </c>
      <c r="AM239" t="inlineStr">
        <is>
          <t>PAM Platform Architecture Management (David S.)</t>
        </is>
      </c>
      <c r="AN239" t="inlineStr">
        <is>
          <t>P&amp;DE - Platforms &amp; Digital Ecosystems (David S.)</t>
        </is>
      </c>
      <c r="AO239" t="inlineStr">
        <is>
          <t>bridgingIT GmbH</t>
        </is>
      </c>
      <c r="AP239" t="inlineStr">
        <is>
          <t>Hamburg</t>
        </is>
      </c>
      <c r="AQ239" t="inlineStr">
        <is>
          <t>David Schleweis</t>
        </is>
      </c>
    </row>
    <row r="240">
      <c r="A240" t="inlineStr">
        <is>
          <t>4007</t>
        </is>
      </c>
      <c r="B240" t="inlineStr">
        <is>
          <t>54F20C</t>
        </is>
      </c>
      <c r="C240" t="inlineStr">
        <is>
          <t>https://app.matchical.com/Consulting/ConsultantDetail?ConsultantId=6110fd97-2d54-4a61-9ce3-d3b9b001a4ba</t>
        </is>
      </c>
      <c r="D240" t="inlineStr">
        <is>
          <t>Janno Diekmann</t>
        </is>
      </c>
      <c r="E240" t="inlineStr">
        <is>
          <t>janno.diekmann@bridging-it.de</t>
        </is>
      </c>
      <c r="F240" s="2" t="n">
        <v>42095</v>
      </c>
      <c r="G240" s="2" t="n">
        <v>36892</v>
      </c>
      <c r="H240" t="n">
        <v>24</v>
      </c>
      <c r="I240" t="n">
        <v>0</v>
      </c>
      <c r="J240" t="n">
        <v>1</v>
      </c>
      <c r="K240" s="2" t="n">
        <v>45403</v>
      </c>
      <c r="L240" s="2" t="n">
        <v>45102</v>
      </c>
      <c r="M240" s="2" t="n">
        <v>45364</v>
      </c>
      <c r="N240" t="b">
        <v>0</v>
      </c>
      <c r="O240" t="n">
        <v>131</v>
      </c>
      <c r="P240" t="n">
        <v>112</v>
      </c>
      <c r="Q240" t="n">
        <v>112</v>
      </c>
      <c r="R240">
        <f>ROUND(O240-P240,2)</f>
        <v/>
      </c>
      <c r="S240">
        <f>ROUND(O240-Q240,2)</f>
        <v/>
      </c>
      <c r="T240" s="3">
        <f>IFERROR(P240/O240,"")</f>
        <v/>
      </c>
      <c r="U240" s="3">
        <f>IFERROR(Q240/O240,"")</f>
        <v/>
      </c>
      <c r="V240" t="n">
        <v>171</v>
      </c>
      <c r="W240" t="n">
        <v>171</v>
      </c>
      <c r="X240" t="n">
        <v>123</v>
      </c>
      <c r="Y240">
        <f>ROUND(V240-W240,2)</f>
        <v/>
      </c>
      <c r="Z240">
        <f>ROUND(V240-X240,2)</f>
        <v/>
      </c>
      <c r="AA240" s="3">
        <f>IFERROR(W240/V240,"")</f>
        <v/>
      </c>
      <c r="AB240" s="3">
        <f>IFERROR(X240/V240,"")</f>
        <v/>
      </c>
      <c r="AC240" t="b">
        <v>0</v>
      </c>
      <c r="AD240" t="b">
        <v>0</v>
      </c>
      <c r="AE240" t="b">
        <v>0</v>
      </c>
      <c r="AF240" t="inlineStr">
        <is>
          <t>Yes</t>
        </is>
      </c>
      <c r="AG240" s="2" t="n">
        <v>46082</v>
      </c>
      <c r="AI240" t="b">
        <v>1</v>
      </c>
      <c r="AJ240" t="n">
        <v>5</v>
      </c>
      <c r="AK240" t="inlineStr"/>
      <c r="AL240" t="inlineStr">
        <is>
          <t>ORG bIT Bayern</t>
        </is>
      </c>
      <c r="AM240" t="inlineStr">
        <is>
          <t>CDI Cloud DevOps &amp; IT-Architecture (Tim J.)</t>
        </is>
      </c>
      <c r="AN240" t="inlineStr">
        <is>
          <t>SEC Software Engineering &amp; Cloud (Eli G.)</t>
        </is>
      </c>
      <c r="AO240" t="inlineStr">
        <is>
          <t>bridgingIT GmbH</t>
        </is>
      </c>
      <c r="AP240" t="inlineStr">
        <is>
          <t>München</t>
        </is>
      </c>
      <c r="AQ240" t="inlineStr">
        <is>
          <t>Tim Jabke</t>
        </is>
      </c>
    </row>
    <row r="241">
      <c r="A241" t="inlineStr">
        <is>
          <t>1407</t>
        </is>
      </c>
      <c r="B241" t="inlineStr">
        <is>
          <t>98E9A1</t>
        </is>
      </c>
      <c r="C241" t="inlineStr">
        <is>
          <t>https://app.matchical.com/Consulting/ConsultantDetail?ConsultantId=2eb1799e-9557-4720-9ea1-61c6a3665977</t>
        </is>
      </c>
      <c r="D241" t="inlineStr">
        <is>
          <t>Jaqueline Dreisbach</t>
        </is>
      </c>
      <c r="E241" t="inlineStr">
        <is>
          <t>jaqueline.dreisbach@bridging-it.de</t>
        </is>
      </c>
      <c r="F241" s="2" t="n">
        <v>43009</v>
      </c>
      <c r="G241" s="2" t="n">
        <v>43009</v>
      </c>
      <c r="H241" t="n">
        <v>12</v>
      </c>
      <c r="I241" t="n">
        <v>0</v>
      </c>
      <c r="J241" t="n">
        <v>0</v>
      </c>
      <c r="L241" s="2" t="n">
        <v>45810</v>
      </c>
      <c r="M241" s="2" t="n">
        <v>45991</v>
      </c>
      <c r="N241" t="b">
        <v>0</v>
      </c>
      <c r="O241" t="n">
        <v>101</v>
      </c>
      <c r="P241" t="n">
        <v>60</v>
      </c>
      <c r="Q241" t="n">
        <v>52</v>
      </c>
      <c r="R241">
        <f>ROUND(O241-P241,2)</f>
        <v/>
      </c>
      <c r="S241">
        <f>ROUND(O241-Q241,2)</f>
        <v/>
      </c>
      <c r="T241" s="3">
        <f>IFERROR(P241/O241,"")</f>
        <v/>
      </c>
      <c r="U241" s="3">
        <f>IFERROR(Q241/O241,"")</f>
        <v/>
      </c>
      <c r="V241" t="n">
        <v>0</v>
      </c>
      <c r="W241" t="n">
        <v>0</v>
      </c>
      <c r="X241" t="n">
        <v>0</v>
      </c>
      <c r="Y241">
        <f>ROUND(V241-W241,2)</f>
        <v/>
      </c>
      <c r="Z241">
        <f>ROUND(V241-X241,2)</f>
        <v/>
      </c>
      <c r="AA241" s="3">
        <f>IFERROR(W241/V241,"")</f>
        <v/>
      </c>
      <c r="AB241" s="3">
        <f>IFERROR(X241/V241,"")</f>
        <v/>
      </c>
      <c r="AC241" t="b">
        <v>0</v>
      </c>
      <c r="AD241" t="b">
        <v>0</v>
      </c>
      <c r="AE241" t="b">
        <v>0</v>
      </c>
      <c r="AF241" t="inlineStr">
        <is>
          <t>No</t>
        </is>
      </c>
      <c r="AG241" s="2" t="n">
        <v>45658</v>
      </c>
      <c r="AI241" t="b">
        <v>0</v>
      </c>
      <c r="AJ241" t="n">
        <v>4</v>
      </c>
      <c r="AK241" t="inlineStr">
        <is>
          <t>Desired role: ScrumMaster, RTE
Availability: Monday - Friday, 6 h/day. (Part-time: 75%)
Current client: bIT SAL
Industry experience: Energy, Pharma, Retail</t>
        </is>
      </c>
      <c r="AL241" t="inlineStr">
        <is>
          <t>Sales BL</t>
        </is>
      </c>
      <c r="AM241" t="inlineStr">
        <is>
          <t>SAL Team Rüdiger</t>
        </is>
      </c>
      <c r="AN241" t="inlineStr">
        <is>
          <t>Capability Management (Tim T.)</t>
        </is>
      </c>
      <c r="AO241" t="inlineStr">
        <is>
          <t>bridgingIT GmbH</t>
        </is>
      </c>
      <c r="AP241" t="inlineStr">
        <is>
          <t>Mannheim</t>
        </is>
      </c>
      <c r="AQ241" t="inlineStr">
        <is>
          <t>Sonja Rüdiger</t>
        </is>
      </c>
    </row>
    <row r="242">
      <c r="A242" t="inlineStr">
        <is>
          <t>4142</t>
        </is>
      </c>
      <c r="B242" t="inlineStr">
        <is>
          <t>7EC9DC</t>
        </is>
      </c>
      <c r="C242" t="inlineStr">
        <is>
          <t>https://app.matchical.com/Consulting/ConsultantDetail?ConsultantId=01a8e5cc-49b5-497c-85eb-ea3fd32d33c0</t>
        </is>
      </c>
      <c r="D242" t="inlineStr">
        <is>
          <t>Jassin Akhlaqi</t>
        </is>
      </c>
      <c r="E242" t="inlineStr">
        <is>
          <t>jassin.akhlaqi@bridging-it.de</t>
        </is>
      </c>
      <c r="F242" s="2" t="n">
        <v>44713</v>
      </c>
      <c r="G242" s="2" t="n">
        <v>43556</v>
      </c>
      <c r="H242" t="n">
        <v>7</v>
      </c>
      <c r="I242" t="n">
        <v>0</v>
      </c>
      <c r="J242" t="n">
        <v>0</v>
      </c>
      <c r="L242" s="2" t="n">
        <v>45292</v>
      </c>
      <c r="M242" s="2" t="n">
        <v>45488</v>
      </c>
      <c r="N242" t="b">
        <v>0</v>
      </c>
      <c r="O242" t="n">
        <v>45</v>
      </c>
      <c r="P242" t="n">
        <v>21</v>
      </c>
      <c r="Q242" t="n">
        <v>21</v>
      </c>
      <c r="R242">
        <f>ROUND(O242-P242,2)</f>
        <v/>
      </c>
      <c r="S242">
        <f>ROUND(O242-Q242,2)</f>
        <v/>
      </c>
      <c r="T242" s="3">
        <f>IFERROR(P242/O242,"")</f>
        <v/>
      </c>
      <c r="U242" s="3">
        <f>IFERROR(Q242/O242,"")</f>
        <v/>
      </c>
      <c r="V242" t="n">
        <v>38</v>
      </c>
      <c r="W242" t="n">
        <v>28</v>
      </c>
      <c r="X242" t="n">
        <v>28</v>
      </c>
      <c r="Y242">
        <f>ROUND(V242-W242,2)</f>
        <v/>
      </c>
      <c r="Z242">
        <f>ROUND(V242-X242,2)</f>
        <v/>
      </c>
      <c r="AA242" s="3">
        <f>IFERROR(W242/V242,"")</f>
        <v/>
      </c>
      <c r="AB242" s="3">
        <f>IFERROR(X242/V242,"")</f>
        <v/>
      </c>
      <c r="AC242" t="b">
        <v>0</v>
      </c>
      <c r="AD242" t="b">
        <v>0</v>
      </c>
      <c r="AE242" t="b">
        <v>0</v>
      </c>
      <c r="AF242" t="inlineStr">
        <is>
          <t>Yes</t>
        </is>
      </c>
      <c r="AG242" s="2" t="n">
        <v>46113</v>
      </c>
      <c r="AI242" t="b">
        <v>0</v>
      </c>
      <c r="AJ242" t="n">
        <v>5</v>
      </c>
      <c r="AK242" t="inlineStr"/>
      <c r="AL242" t="inlineStr">
        <is>
          <t>ORG bIT Bayern</t>
        </is>
      </c>
      <c r="AM242" t="inlineStr">
        <is>
          <t>SEI Software Engineering I (Martin K.)</t>
        </is>
      </c>
      <c r="AN242" t="inlineStr">
        <is>
          <t>SEC Software Engineering &amp; Cloud (Eli G.)</t>
        </is>
      </c>
      <c r="AO242" t="inlineStr">
        <is>
          <t>bridgingIT GmbH</t>
        </is>
      </c>
      <c r="AP242" t="inlineStr">
        <is>
          <t>München</t>
        </is>
      </c>
      <c r="AQ242" t="inlineStr">
        <is>
          <t>Martin Kuck</t>
        </is>
      </c>
    </row>
    <row r="243">
      <c r="A243" t="inlineStr">
        <is>
          <t>1422</t>
        </is>
      </c>
      <c r="B243" t="inlineStr">
        <is>
          <t>262D07</t>
        </is>
      </c>
      <c r="C243" t="inlineStr">
        <is>
          <t>https://app.matchical.com/Consulting/ConsultantDetail?ConsultantId=884cc22b-6a1f-4252-b8b8-902966987350</t>
        </is>
      </c>
      <c r="D243" t="inlineStr">
        <is>
          <t>Jennifer Bürgel</t>
        </is>
      </c>
      <c r="E243" t="inlineStr">
        <is>
          <t>jennifer.buergel@bridging-it.de</t>
        </is>
      </c>
      <c r="F243" s="2" t="n">
        <v>43191</v>
      </c>
      <c r="G243" s="2" t="n">
        <v>41609</v>
      </c>
      <c r="H243" t="n">
        <v>9</v>
      </c>
      <c r="I243" t="n">
        <v>0</v>
      </c>
      <c r="J243" t="n">
        <v>2</v>
      </c>
      <c r="K243" s="2" t="n">
        <v>44500</v>
      </c>
      <c r="L243" s="2" t="n">
        <v>44357</v>
      </c>
      <c r="M243" s="2" t="n">
        <v>44561</v>
      </c>
      <c r="N243" t="b">
        <v>0</v>
      </c>
      <c r="O243" t="n">
        <v>95</v>
      </c>
      <c r="P243" t="n">
        <v>100</v>
      </c>
      <c r="Q243" t="n">
        <v>86</v>
      </c>
      <c r="R243">
        <f>ROUND(O243-P243,2)</f>
        <v/>
      </c>
      <c r="S243">
        <f>ROUND(O243-Q243,2)</f>
        <v/>
      </c>
      <c r="T243" s="3">
        <f>IFERROR(P243/O243,"")</f>
        <v/>
      </c>
      <c r="U243" s="3">
        <f>IFERROR(Q243/O243,"")</f>
        <v/>
      </c>
      <c r="V243" t="n">
        <v>52</v>
      </c>
      <c r="W243" t="n">
        <v>7</v>
      </c>
      <c r="X243" t="n">
        <v>7</v>
      </c>
      <c r="Y243">
        <f>ROUND(V243-W243,2)</f>
        <v/>
      </c>
      <c r="Z243">
        <f>ROUND(V243-X243,2)</f>
        <v/>
      </c>
      <c r="AA243" s="3">
        <f>IFERROR(W243/V243,"")</f>
        <v/>
      </c>
      <c r="AB243" s="3">
        <f>IFERROR(X243/V243,"")</f>
        <v/>
      </c>
      <c r="AC243" t="b">
        <v>0</v>
      </c>
      <c r="AD243" t="b">
        <v>0</v>
      </c>
      <c r="AE243" t="b">
        <v>0</v>
      </c>
      <c r="AF243" t="inlineStr">
        <is>
          <t>No</t>
        </is>
      </c>
      <c r="AI243" t="b">
        <v>1</v>
      </c>
      <c r="AJ243" t="n">
        <v>0</v>
      </c>
      <c r="AK243" t="inlineStr"/>
      <c r="AL243" t="inlineStr">
        <is>
          <t>T&amp;A - Transformation &amp; Agility (Arne K.)</t>
        </is>
      </c>
      <c r="AM243" t="inlineStr">
        <is>
          <t>E2E PM – Project &amp; Process Mgt. (Jennifer B.)</t>
        </is>
      </c>
      <c r="AN243" t="inlineStr">
        <is>
          <t>TBC - Transforming Business Concepts (Bastian T.)</t>
        </is>
      </c>
      <c r="AO243" t="inlineStr">
        <is>
          <t>bridgingIT GmbH</t>
        </is>
      </c>
      <c r="AP243" t="inlineStr">
        <is>
          <t>Mannheim</t>
        </is>
      </c>
      <c r="AQ243" t="inlineStr">
        <is>
          <t>Bastian Trauth</t>
        </is>
      </c>
    </row>
    <row r="244">
      <c r="A244" t="inlineStr">
        <is>
          <t>8467</t>
        </is>
      </c>
      <c r="B244" t="inlineStr">
        <is>
          <t>2D06B8</t>
        </is>
      </c>
      <c r="C244" t="inlineStr">
        <is>
          <t>https://app.matchical.com/Consulting/ConsultantDetail?ConsultantId=b717634e-4928-4671-94c0-d6727a8d1ef2</t>
        </is>
      </c>
      <c r="D244" t="inlineStr">
        <is>
          <t>Jennifer Saalfeld</t>
        </is>
      </c>
      <c r="E244" t="inlineStr">
        <is>
          <t>jennifer.saalfeld@crafting-it.de</t>
        </is>
      </c>
      <c r="F244" s="2" t="n">
        <v>43525</v>
      </c>
      <c r="G244" s="2" t="n">
        <v>43009</v>
      </c>
      <c r="H244" t="n">
        <v>14</v>
      </c>
      <c r="I244" t="n">
        <v>0</v>
      </c>
      <c r="J244" t="n">
        <v>1</v>
      </c>
      <c r="K244" s="2" t="n">
        <v>44530</v>
      </c>
      <c r="L244" s="2" t="n">
        <v>45658</v>
      </c>
      <c r="M244" s="2" t="n">
        <v>46022</v>
      </c>
      <c r="N244" t="b">
        <v>0</v>
      </c>
      <c r="O244" t="n">
        <v>84</v>
      </c>
      <c r="P244" t="n">
        <v>152.8</v>
      </c>
      <c r="Q244" t="n">
        <v>83.84</v>
      </c>
      <c r="R244">
        <f>ROUND(O244-P244,2)</f>
        <v/>
      </c>
      <c r="S244">
        <f>ROUND(O244-Q244,2)</f>
        <v/>
      </c>
      <c r="T244" s="3">
        <f>IFERROR(P244/O244,"")</f>
        <v/>
      </c>
      <c r="U244" s="3">
        <f>IFERROR(Q244/O244,"")</f>
        <v/>
      </c>
      <c r="V244" t="n">
        <v>17</v>
      </c>
      <c r="W244" t="n">
        <v>21.2</v>
      </c>
      <c r="X244" t="n">
        <v>8.699999999999999</v>
      </c>
      <c r="Y244">
        <f>ROUND(V244-W244,2)</f>
        <v/>
      </c>
      <c r="Z244">
        <f>ROUND(V244-X244,2)</f>
        <v/>
      </c>
      <c r="AA244" s="3">
        <f>IFERROR(W244/V244,"")</f>
        <v/>
      </c>
      <c r="AB244" s="3">
        <f>IFERROR(X244/V244,"")</f>
        <v/>
      </c>
      <c r="AC244" t="b">
        <v>0</v>
      </c>
      <c r="AD244" t="b">
        <v>0</v>
      </c>
      <c r="AE244" t="b">
        <v>0</v>
      </c>
      <c r="AF244" t="inlineStr">
        <is>
          <t>No</t>
        </is>
      </c>
      <c r="AI244" t="b">
        <v>1</v>
      </c>
      <c r="AJ244" t="n">
        <v>0</v>
      </c>
      <c r="AK244" t="inlineStr"/>
      <c r="AL244" t="inlineStr">
        <is>
          <t>ORG cIT</t>
        </is>
      </c>
      <c r="AM244" t="inlineStr">
        <is>
          <t>cIT Development</t>
        </is>
      </c>
      <c r="AN244" t="inlineStr">
        <is>
          <t>cIT Service Delivery Magdeburg (Steffen A.)</t>
        </is>
      </c>
      <c r="AO244" t="inlineStr">
        <is>
          <t>craftingIT GmbH</t>
        </is>
      </c>
      <c r="AP244" t="inlineStr">
        <is>
          <t>Magdeburg</t>
        </is>
      </c>
      <c r="AQ244" t="inlineStr">
        <is>
          <t>Steffen Adam</t>
        </is>
      </c>
    </row>
    <row r="245">
      <c r="A245" t="inlineStr">
        <is>
          <t>10370</t>
        </is>
      </c>
      <c r="B245" t="inlineStr">
        <is>
          <t>FEF7B8</t>
        </is>
      </c>
      <c r="C245" t="inlineStr">
        <is>
          <t>https://app.matchical.com/Consulting/ConsultantDetail?ConsultantId=a91ebde5-4383-4e21-b3bb-5fb0ac3d6cee</t>
        </is>
      </c>
      <c r="D245" t="inlineStr">
        <is>
          <t>Jens Greiner</t>
        </is>
      </c>
      <c r="E245" t="inlineStr">
        <is>
          <t>jens.greiner@bridging-it.de</t>
        </is>
      </c>
      <c r="F245" s="2" t="n">
        <v>45839</v>
      </c>
      <c r="G245" s="2" t="n">
        <v>35096</v>
      </c>
      <c r="H245" t="n">
        <v>9</v>
      </c>
      <c r="I245" t="n">
        <v>0</v>
      </c>
      <c r="J245" t="n">
        <v>3</v>
      </c>
      <c r="K245" s="2" t="n">
        <v>43496</v>
      </c>
      <c r="L245" s="2" t="n">
        <v>44712</v>
      </c>
      <c r="M245" s="2" t="n">
        <v>45564</v>
      </c>
      <c r="N245" t="b">
        <v>0</v>
      </c>
      <c r="O245" t="n">
        <v>8</v>
      </c>
      <c r="P245" t="n">
        <v>17.75</v>
      </c>
      <c r="Q245" t="n">
        <v>7.82</v>
      </c>
      <c r="R245">
        <f>ROUND(O245-P245,2)</f>
        <v/>
      </c>
      <c r="S245">
        <f>ROUND(O245-Q245,2)</f>
        <v/>
      </c>
      <c r="T245" s="3">
        <f>IFERROR(P245/O245,"")</f>
        <v/>
      </c>
      <c r="U245" s="3">
        <f>IFERROR(Q245/O245,"")</f>
        <v/>
      </c>
      <c r="V245" t="n">
        <v>353</v>
      </c>
      <c r="W245" t="n">
        <v>186.25</v>
      </c>
      <c r="X245" t="n">
        <v>123.44</v>
      </c>
      <c r="Y245">
        <f>ROUND(V245-W245,2)</f>
        <v/>
      </c>
      <c r="Z245">
        <f>ROUND(V245-X245,2)</f>
        <v/>
      </c>
      <c r="AA245" s="3">
        <f>IFERROR(W245/V245,"")</f>
        <v/>
      </c>
      <c r="AB245" s="3">
        <f>IFERROR(X245/V245,"")</f>
        <v/>
      </c>
      <c r="AC245" t="b">
        <v>0</v>
      </c>
      <c r="AD245" t="b">
        <v>0</v>
      </c>
      <c r="AE245" t="b">
        <v>0</v>
      </c>
      <c r="AF245" t="inlineStr">
        <is>
          <t>No</t>
        </is>
      </c>
      <c r="AI245" t="b">
        <v>1</v>
      </c>
      <c r="AJ245" t="n">
        <v>0</v>
      </c>
      <c r="AK245" t="inlineStr"/>
      <c r="AL245" t="inlineStr">
        <is>
          <t>T&amp;A - Transformation &amp; Agility (Arne K.)</t>
        </is>
      </c>
      <c r="AM245" t="inlineStr">
        <is>
          <t>PACE – Project Agility &amp; Cont' Evolution (Jan H.)</t>
        </is>
      </c>
      <c r="AN245" t="inlineStr">
        <is>
          <t>A&amp;PM Agility &amp; Project Management (Jan H.)</t>
        </is>
      </c>
      <c r="AO245" t="inlineStr">
        <is>
          <t>bridgingIT GmbH</t>
        </is>
      </c>
      <c r="AP245" t="inlineStr">
        <is>
          <t>Mannheim</t>
        </is>
      </c>
      <c r="AQ245" t="inlineStr">
        <is>
          <t>Jan Heinemann</t>
        </is>
      </c>
    </row>
    <row r="246">
      <c r="A246" t="inlineStr">
        <is>
          <t>7039</t>
        </is>
      </c>
      <c r="B246" t="inlineStr">
        <is>
          <t>2CB746</t>
        </is>
      </c>
      <c r="C246" t="inlineStr">
        <is>
          <t>https://app.matchical.com/Consulting/ConsultantDetail?ConsultantId=66c06bc4-7b45-45d6-8a3c-425b39b4eaf8</t>
        </is>
      </c>
      <c r="D246" t="inlineStr">
        <is>
          <t>Jens Küter</t>
        </is>
      </c>
      <c r="E246" t="inlineStr">
        <is>
          <t>jens.kueter@fastahead.com</t>
        </is>
      </c>
      <c r="F246" s="2" t="n">
        <v>44621</v>
      </c>
      <c r="G246" s="2" t="n">
        <v>33604</v>
      </c>
      <c r="H246" t="n">
        <v>6</v>
      </c>
      <c r="I246" t="n">
        <v>0</v>
      </c>
      <c r="J246" t="n">
        <v>0</v>
      </c>
      <c r="L246" s="2" t="n">
        <v>44874</v>
      </c>
      <c r="M246" s="2" t="n">
        <v>45736</v>
      </c>
      <c r="N246" t="b">
        <v>0</v>
      </c>
      <c r="O246" t="n">
        <v>48</v>
      </c>
      <c r="P246" t="n">
        <v>45.9</v>
      </c>
      <c r="Q246" t="n">
        <v>45.9</v>
      </c>
      <c r="R246">
        <f>ROUND(O246-P246,2)</f>
        <v/>
      </c>
      <c r="S246">
        <f>ROUND(O246-Q246,2)</f>
        <v/>
      </c>
      <c r="T246" s="3">
        <f>IFERROR(P246/O246,"")</f>
        <v/>
      </c>
      <c r="U246" s="3">
        <f>IFERROR(Q246/O246,"")</f>
        <v/>
      </c>
      <c r="V246" t="n">
        <v>362</v>
      </c>
      <c r="W246" t="n">
        <v>113.03</v>
      </c>
      <c r="X246" t="n">
        <v>113.03</v>
      </c>
      <c r="Y246">
        <f>ROUND(V246-W246,2)</f>
        <v/>
      </c>
      <c r="Z246">
        <f>ROUND(V246-X246,2)</f>
        <v/>
      </c>
      <c r="AA246" s="3">
        <f>IFERROR(W246/V246,"")</f>
        <v/>
      </c>
      <c r="AB246" s="3">
        <f>IFERROR(X246/V246,"")</f>
        <v/>
      </c>
      <c r="AC246" t="b">
        <v>0</v>
      </c>
      <c r="AD246" t="b">
        <v>0</v>
      </c>
      <c r="AE246" t="b">
        <v>0</v>
      </c>
      <c r="AF246" t="inlineStr">
        <is>
          <t>Yes</t>
        </is>
      </c>
      <c r="AG246" s="2" t="n">
        <v>46069</v>
      </c>
      <c r="AI246" t="b">
        <v>1</v>
      </c>
      <c r="AJ246" t="n">
        <v>5</v>
      </c>
      <c r="AK246" t="inlineStr"/>
      <c r="AL246" t="inlineStr">
        <is>
          <t>ORG fastahead GmbH &amp; Co. KG</t>
        </is>
      </c>
      <c r="AM246" t="inlineStr">
        <is>
          <t>Principals</t>
        </is>
      </c>
      <c r="AN246" t="inlineStr">
        <is>
          <t>fah Dr. Michaela Warsitz</t>
        </is>
      </c>
      <c r="AO246" t="inlineStr">
        <is>
          <t>fastahead GmbH &amp; Co. KG</t>
        </is>
      </c>
      <c r="AP246" t="inlineStr">
        <is>
          <t>Frankfurt</t>
        </is>
      </c>
      <c r="AQ246" t="inlineStr">
        <is>
          <t>Michaela Warsitz</t>
        </is>
      </c>
    </row>
    <row r="247">
      <c r="A247" t="inlineStr">
        <is>
          <t>1028</t>
        </is>
      </c>
      <c r="B247" t="inlineStr">
        <is>
          <t>88A652</t>
        </is>
      </c>
      <c r="C247" t="inlineStr">
        <is>
          <t>https://app.matchical.com/Consulting/ConsultantDetail?ConsultantId=4461fadc-fa70-4414-a6fd-9424721bca8b</t>
        </is>
      </c>
      <c r="D247" t="inlineStr">
        <is>
          <t>Jens Schumacher</t>
        </is>
      </c>
      <c r="E247" t="inlineStr">
        <is>
          <t>jens.schumacher@bridging-it.de</t>
        </is>
      </c>
      <c r="F247" s="2" t="n">
        <v>39569</v>
      </c>
      <c r="G247" s="2" t="n">
        <v>36434</v>
      </c>
      <c r="H247" t="n">
        <v>17</v>
      </c>
      <c r="I247" t="n">
        <v>0</v>
      </c>
      <c r="J247" t="n">
        <v>1</v>
      </c>
      <c r="K247" s="2" t="n">
        <v>44927</v>
      </c>
      <c r="L247" s="2" t="n">
        <v>44347</v>
      </c>
      <c r="M247" s="2" t="n">
        <v>44680</v>
      </c>
      <c r="N247" t="b">
        <v>0</v>
      </c>
      <c r="O247" t="n">
        <v>214</v>
      </c>
      <c r="P247" t="n">
        <v>350</v>
      </c>
      <c r="Q247" t="n">
        <v>200.17</v>
      </c>
      <c r="R247">
        <f>ROUND(O247-P247,2)</f>
        <v/>
      </c>
      <c r="S247">
        <f>ROUND(O247-Q247,2)</f>
        <v/>
      </c>
      <c r="T247" s="3">
        <f>IFERROR(P247/O247,"")</f>
        <v/>
      </c>
      <c r="U247" s="3">
        <f>IFERROR(Q247/O247,"")</f>
        <v/>
      </c>
      <c r="V247" t="n">
        <v>103</v>
      </c>
      <c r="W247" t="n">
        <v>45</v>
      </c>
      <c r="X247" t="n">
        <v>45</v>
      </c>
      <c r="Y247">
        <f>ROUND(V247-W247,2)</f>
        <v/>
      </c>
      <c r="Z247">
        <f>ROUND(V247-X247,2)</f>
        <v/>
      </c>
      <c r="AA247" s="3">
        <f>IFERROR(W247/V247,"")</f>
        <v/>
      </c>
      <c r="AB247" s="3">
        <f>IFERROR(X247/V247,"")</f>
        <v/>
      </c>
      <c r="AC247" t="b">
        <v>0</v>
      </c>
      <c r="AD247" t="b">
        <v>0</v>
      </c>
      <c r="AE247" t="b">
        <v>0</v>
      </c>
      <c r="AF247" t="inlineStr">
        <is>
          <t>Yes</t>
        </is>
      </c>
      <c r="AG247" s="2" t="n">
        <v>54791</v>
      </c>
      <c r="AI247" t="b">
        <v>1</v>
      </c>
      <c r="AJ247" t="n">
        <v>4</v>
      </c>
      <c r="AK247" t="inlineStr">
        <is>
          <t>Today's shopping list
* Milk
* Butter
* Cheese</t>
        </is>
      </c>
      <c r="AL247" t="inlineStr">
        <is>
          <t>Sales BL</t>
        </is>
      </c>
      <c r="AM247" t="inlineStr">
        <is>
          <t>SAL Team Schöne</t>
        </is>
      </c>
      <c r="AN247" t="inlineStr">
        <is>
          <t>Capability Management (Tim T.)</t>
        </is>
      </c>
      <c r="AO247" t="inlineStr">
        <is>
          <t>bridgingIT GmbH</t>
        </is>
      </c>
      <c r="AP247" t="inlineStr">
        <is>
          <t>Mannheim</t>
        </is>
      </c>
      <c r="AQ247" t="inlineStr">
        <is>
          <t>Roland Schöne</t>
        </is>
      </c>
    </row>
    <row r="248">
      <c r="A248" t="inlineStr">
        <is>
          <t>10301</t>
        </is>
      </c>
      <c r="B248" t="inlineStr">
        <is>
          <t>77ABE1</t>
        </is>
      </c>
      <c r="C248" t="inlineStr">
        <is>
          <t>https://app.matchical.com/Consulting/ConsultantDetail?ConsultantId=f203e4e1-707c-4888-8850-443696b48446</t>
        </is>
      </c>
      <c r="D248" t="inlineStr">
        <is>
          <t>Jérôme Dutzi</t>
        </is>
      </c>
      <c r="E248" t="inlineStr">
        <is>
          <t>jerome.dutzi@bridging-it.de</t>
        </is>
      </c>
      <c r="F248" s="2" t="n">
        <v>45566</v>
      </c>
      <c r="H248" t="n">
        <v>6</v>
      </c>
      <c r="I248" t="n">
        <v>0</v>
      </c>
      <c r="J248" t="n">
        <v>3</v>
      </c>
      <c r="K248" s="2" t="n">
        <v>44926</v>
      </c>
      <c r="L248" s="2" t="n">
        <v>45627</v>
      </c>
      <c r="M248" s="2" t="n">
        <v>45716</v>
      </c>
      <c r="N248" t="b">
        <v>0</v>
      </c>
      <c r="O248" t="n">
        <v>17</v>
      </c>
      <c r="P248" t="n">
        <v>50.78</v>
      </c>
      <c r="Q248" t="n">
        <v>16.79</v>
      </c>
      <c r="R248">
        <f>ROUND(O248-P248,2)</f>
        <v/>
      </c>
      <c r="S248">
        <f>ROUND(O248-Q248,2)</f>
        <v/>
      </c>
      <c r="T248" s="3">
        <f>IFERROR(P248/O248,"")</f>
        <v/>
      </c>
      <c r="U248" s="3">
        <f>IFERROR(Q248/O248,"")</f>
        <v/>
      </c>
      <c r="V248" t="n">
        <v>1497</v>
      </c>
      <c r="W248" t="n">
        <v>82.22</v>
      </c>
      <c r="X248" t="n">
        <v>42.1</v>
      </c>
      <c r="Y248">
        <f>ROUND(V248-W248,2)</f>
        <v/>
      </c>
      <c r="Z248">
        <f>ROUND(V248-X248,2)</f>
        <v/>
      </c>
      <c r="AA248" s="3">
        <f>IFERROR(W248/V248,"")</f>
        <v/>
      </c>
      <c r="AB248" s="3">
        <f>IFERROR(X248/V248,"")</f>
        <v/>
      </c>
      <c r="AC248" t="b">
        <v>0</v>
      </c>
      <c r="AD248" t="b">
        <v>0</v>
      </c>
      <c r="AE248" t="b">
        <v>0</v>
      </c>
      <c r="AF248" t="inlineStr">
        <is>
          <t>No</t>
        </is>
      </c>
      <c r="AI248" t="b">
        <v>1</v>
      </c>
      <c r="AJ248" t="n">
        <v>0</v>
      </c>
      <c r="AK248" t="inlineStr">
        <is>
          <t>New colleague starting on 01/10.
Senior Consultant in Microsoft365, Consultant in frontend development (Angular).
Profile is available</t>
        </is>
      </c>
      <c r="AL248" t="inlineStr">
        <is>
          <t>IT - Information Technology (Sebastian L.)</t>
        </is>
      </c>
      <c r="AM248" t="inlineStr">
        <is>
          <t>CS Collaboration Solutions (Sebastian P.)</t>
        </is>
      </c>
      <c r="AN248" t="inlineStr">
        <is>
          <t>P&amp;DE - Platforms &amp; Digital Ecosystems (David S.)</t>
        </is>
      </c>
      <c r="AO248" t="inlineStr">
        <is>
          <t>bridgingIT GmbH</t>
        </is>
      </c>
      <c r="AP248" t="inlineStr">
        <is>
          <t>Mannheim</t>
        </is>
      </c>
      <c r="AQ248" t="inlineStr">
        <is>
          <t>Sebastian Poth</t>
        </is>
      </c>
    </row>
    <row r="249">
      <c r="A249" t="inlineStr">
        <is>
          <t>10132</t>
        </is>
      </c>
      <c r="B249" t="inlineStr">
        <is>
          <t>AF5B6E</t>
        </is>
      </c>
      <c r="C249" t="inlineStr">
        <is>
          <t>https://app.matchical.com/Consulting/ConsultantDetail?ConsultantId=fe12d57d-4686-4dbc-b130-50ac7b90c1d6</t>
        </is>
      </c>
      <c r="D249" t="inlineStr">
        <is>
          <t>Jia You</t>
        </is>
      </c>
      <c r="E249" t="inlineStr">
        <is>
          <t>jia.you@fastahead.com</t>
        </is>
      </c>
      <c r="F249" s="2" t="n">
        <v>45108</v>
      </c>
      <c r="G249" s="2" t="n">
        <v>41640</v>
      </c>
      <c r="H249" t="n">
        <v>6</v>
      </c>
      <c r="I249" t="n">
        <v>0</v>
      </c>
      <c r="J249" t="n">
        <v>2</v>
      </c>
      <c r="K249" s="2" t="n">
        <v>45109</v>
      </c>
      <c r="L249" s="2" t="n">
        <v>45596</v>
      </c>
      <c r="M249" s="2" t="n">
        <v>46022</v>
      </c>
      <c r="N249" t="b">
        <v>0</v>
      </c>
      <c r="O249" t="n">
        <v>32</v>
      </c>
      <c r="P249" t="n">
        <v>68</v>
      </c>
      <c r="Q249" t="n">
        <v>31</v>
      </c>
      <c r="R249">
        <f>ROUND(O249-P249,2)</f>
        <v/>
      </c>
      <c r="S249">
        <f>ROUND(O249-Q249,2)</f>
        <v/>
      </c>
      <c r="T249" s="3">
        <f>IFERROR(P249/O249,"")</f>
        <v/>
      </c>
      <c r="U249" s="3">
        <f>IFERROR(Q249/O249,"")</f>
        <v/>
      </c>
      <c r="V249" t="n">
        <v>114</v>
      </c>
      <c r="W249" t="n">
        <v>39</v>
      </c>
      <c r="X249" t="n">
        <v>39</v>
      </c>
      <c r="Y249">
        <f>ROUND(V249-W249,2)</f>
        <v/>
      </c>
      <c r="Z249">
        <f>ROUND(V249-X249,2)</f>
        <v/>
      </c>
      <c r="AA249" s="3">
        <f>IFERROR(W249/V249,"")</f>
        <v/>
      </c>
      <c r="AB249" s="3">
        <f>IFERROR(X249/V249,"")</f>
        <v/>
      </c>
      <c r="AC249" t="b">
        <v>0</v>
      </c>
      <c r="AD249" t="b">
        <v>0</v>
      </c>
      <c r="AE249" t="b">
        <v>0</v>
      </c>
      <c r="AF249" t="inlineStr">
        <is>
          <t>Yes</t>
        </is>
      </c>
      <c r="AG249" s="2" t="n">
        <v>46082</v>
      </c>
      <c r="AI249" t="b">
        <v>1</v>
      </c>
      <c r="AJ249" t="n">
        <v>2.73</v>
      </c>
      <c r="AK249" t="inlineStr"/>
      <c r="AL249" t="inlineStr">
        <is>
          <t>ORG fastahead GmbH &amp; Co. KG</t>
        </is>
      </c>
      <c r="AM249" t="inlineStr">
        <is>
          <t>Digital Services and Process-Innovation</t>
        </is>
      </c>
      <c r="AN249" t="inlineStr">
        <is>
          <t>fah Paul Seelmeyer</t>
        </is>
      </c>
      <c r="AO249" t="inlineStr">
        <is>
          <t>fastahead GmbH &amp; Co. KG</t>
        </is>
      </c>
      <c r="AP249" t="inlineStr">
        <is>
          <t>Berlin</t>
        </is>
      </c>
      <c r="AQ249" t="inlineStr">
        <is>
          <t>Paul Seelmeyer</t>
        </is>
      </c>
    </row>
    <row r="250">
      <c r="A250" t="inlineStr">
        <is>
          <t>2319</t>
        </is>
      </c>
      <c r="B250" t="inlineStr">
        <is>
          <t>D3053B</t>
        </is>
      </c>
      <c r="C250" t="inlineStr">
        <is>
          <t>https://app.matchical.com/Consulting/ConsultantDetail?ConsultantId=cc9eb49d-21a7-4e87-83be-2ba0a20688c4</t>
        </is>
      </c>
      <c r="D250" t="inlineStr">
        <is>
          <t>Joachim Konicke</t>
        </is>
      </c>
      <c r="E250" t="inlineStr">
        <is>
          <t>joachim.konicke@bridging-it.de</t>
        </is>
      </c>
      <c r="F250" s="2" t="n">
        <v>44805</v>
      </c>
      <c r="G250" s="2" t="n">
        <v>32143</v>
      </c>
      <c r="H250" t="n">
        <v>10</v>
      </c>
      <c r="I250" t="n">
        <v>0</v>
      </c>
      <c r="J250" t="n">
        <v>1</v>
      </c>
      <c r="K250" s="2" t="n">
        <v>45761</v>
      </c>
      <c r="L250" s="2" t="n">
        <v>45263</v>
      </c>
      <c r="M250" s="2" t="n">
        <v>45746</v>
      </c>
      <c r="N250" t="b">
        <v>0</v>
      </c>
      <c r="O250" t="n">
        <v>42</v>
      </c>
      <c r="P250" t="n">
        <v>47.97</v>
      </c>
      <c r="Q250" t="n">
        <v>41.79</v>
      </c>
      <c r="R250">
        <f>ROUND(O250-P250,2)</f>
        <v/>
      </c>
      <c r="S250">
        <f>ROUND(O250-Q250,2)</f>
        <v/>
      </c>
      <c r="T250" s="3">
        <f>IFERROR(P250/O250,"")</f>
        <v/>
      </c>
      <c r="U250" s="3">
        <f>IFERROR(Q250/O250,"")</f>
        <v/>
      </c>
      <c r="V250" t="n">
        <v>416</v>
      </c>
      <c r="W250" t="n">
        <v>129.03</v>
      </c>
      <c r="X250" t="n">
        <v>129.03</v>
      </c>
      <c r="Y250">
        <f>ROUND(V250-W250,2)</f>
        <v/>
      </c>
      <c r="Z250">
        <f>ROUND(V250-X250,2)</f>
        <v/>
      </c>
      <c r="AA250" s="3">
        <f>IFERROR(W250/V250,"")</f>
        <v/>
      </c>
      <c r="AB250" s="3">
        <f>IFERROR(X250/V250,"")</f>
        <v/>
      </c>
      <c r="AC250" t="b">
        <v>0</v>
      </c>
      <c r="AD250" t="b">
        <v>0</v>
      </c>
      <c r="AE250" t="b">
        <v>0</v>
      </c>
      <c r="AF250" t="inlineStr">
        <is>
          <t>No</t>
        </is>
      </c>
      <c r="AI250" t="b">
        <v>1</v>
      </c>
      <c r="AJ250" t="n">
        <v>0</v>
      </c>
      <c r="AK250" t="inlineStr">
        <is>
          <t>Availability subject to change, as I started at SPIE CNG but am not yet assigned to a project. Dedicated and highly experienced IT Senior Consultant in the field of technology and management consulting, specializing in IT architectures, agile project management, and analytics management. Particularly experienced in the public sector.</t>
        </is>
      </c>
      <c r="AL250" t="inlineStr">
        <is>
          <t>IT Information Technology (Hauke G.)</t>
        </is>
      </c>
      <c r="AM250" t="inlineStr">
        <is>
          <t>AM IT-Architecture Management (Wilfried W.)</t>
        </is>
      </c>
      <c r="AN250" t="inlineStr">
        <is>
          <t>ITM IT-Management (Jörg M.)</t>
        </is>
      </c>
      <c r="AO250" t="inlineStr">
        <is>
          <t>bridgingIT GmbH</t>
        </is>
      </c>
      <c r="AP250" t="inlineStr">
        <is>
          <t>Stuttgart</t>
        </is>
      </c>
      <c r="AQ250" t="inlineStr">
        <is>
          <t>Wilfried Wessel</t>
        </is>
      </c>
    </row>
    <row r="251">
      <c r="A251" t="inlineStr">
        <is>
          <t>10262</t>
        </is>
      </c>
      <c r="B251" t="inlineStr">
        <is>
          <t>38AA3F</t>
        </is>
      </c>
      <c r="C251" t="inlineStr">
        <is>
          <t>https://app.matchical.com/Consulting/ConsultantDetail?ConsultantId=daa106ac-c659-4454-b153-07d79f95f619</t>
        </is>
      </c>
      <c r="D251" t="inlineStr">
        <is>
          <t>Jochen Kauba</t>
        </is>
      </c>
      <c r="E251" t="inlineStr">
        <is>
          <t>jochen.kauba@bridging-it.de</t>
        </is>
      </c>
      <c r="F251" s="2" t="n">
        <v>45352</v>
      </c>
      <c r="G251" s="2" t="n">
        <v>39722</v>
      </c>
      <c r="H251" t="n">
        <v>5</v>
      </c>
      <c r="I251" t="n">
        <v>0</v>
      </c>
      <c r="J251" t="n">
        <v>1</v>
      </c>
      <c r="K251" s="2" t="n">
        <v>45796</v>
      </c>
      <c r="L251" s="2" t="n">
        <v>42825</v>
      </c>
      <c r="M251" s="2" t="n">
        <v>45290</v>
      </c>
      <c r="N251" t="b">
        <v>0</v>
      </c>
      <c r="O251" t="n">
        <v>24</v>
      </c>
      <c r="P251" t="n">
        <v>28.91</v>
      </c>
      <c r="Q251" t="n">
        <v>18.62</v>
      </c>
      <c r="R251">
        <f>ROUND(O251-P251,2)</f>
        <v/>
      </c>
      <c r="S251">
        <f>ROUND(O251-Q251,2)</f>
        <v/>
      </c>
      <c r="T251" s="3">
        <f>IFERROR(P251/O251,"")</f>
        <v/>
      </c>
      <c r="U251" s="3">
        <f>IFERROR(Q251/O251,"")</f>
        <v/>
      </c>
      <c r="V251" t="n">
        <v>185</v>
      </c>
      <c r="W251" t="n">
        <v>166</v>
      </c>
      <c r="X251" t="n">
        <v>101</v>
      </c>
      <c r="Y251">
        <f>ROUND(V251-W251,2)</f>
        <v/>
      </c>
      <c r="Z251">
        <f>ROUND(V251-X251,2)</f>
        <v/>
      </c>
      <c r="AA251" s="3">
        <f>IFERROR(W251/V251,"")</f>
        <v/>
      </c>
      <c r="AB251" s="3">
        <f>IFERROR(X251/V251,"")</f>
        <v/>
      </c>
      <c r="AC251" t="b">
        <v>0</v>
      </c>
      <c r="AD251" t="b">
        <v>0</v>
      </c>
      <c r="AE251" t="b">
        <v>0</v>
      </c>
      <c r="AF251" t="inlineStr">
        <is>
          <t>No</t>
        </is>
      </c>
      <c r="AI251" t="b">
        <v>1</v>
      </c>
      <c r="AJ251" t="n">
        <v>0</v>
      </c>
      <c r="AK251" t="inlineStr"/>
      <c r="AL251" t="inlineStr">
        <is>
          <t>IT - Information Technology (Sebastian L.)</t>
        </is>
      </c>
      <c r="AM251" t="inlineStr">
        <is>
          <t>CS - Cyber Security (Jochen Ka.)</t>
        </is>
      </c>
      <c r="AN251" t="inlineStr">
        <is>
          <t>O&amp;G - Organization &amp; Governance (Carsten T.)</t>
        </is>
      </c>
      <c r="AO251" t="inlineStr">
        <is>
          <t>bridgingIT GmbH</t>
        </is>
      </c>
      <c r="AP251" t="inlineStr">
        <is>
          <t>Mannheim</t>
        </is>
      </c>
      <c r="AQ251" t="inlineStr">
        <is>
          <t>Carsten Triebel</t>
        </is>
      </c>
    </row>
    <row r="252">
      <c r="A252" t="inlineStr">
        <is>
          <t>1371</t>
        </is>
      </c>
      <c r="B252" t="inlineStr">
        <is>
          <t>21B65D</t>
        </is>
      </c>
      <c r="C252" t="inlineStr">
        <is>
          <t>https://app.matchical.com/Consulting/ConsultantDetail?ConsultantId=c9ea28f6-8211-4578-9af9-972a26063655</t>
        </is>
      </c>
      <c r="D252" t="inlineStr">
        <is>
          <t>Jochen Kraushaar</t>
        </is>
      </c>
      <c r="E252" t="inlineStr">
        <is>
          <t>jochen.kraushaar@bridging-it.de</t>
        </is>
      </c>
      <c r="F252" s="2" t="n">
        <v>42736</v>
      </c>
      <c r="G252" s="2" t="n">
        <v>40087</v>
      </c>
      <c r="H252" t="n">
        <v>7</v>
      </c>
      <c r="I252" t="n">
        <v>0</v>
      </c>
      <c r="J252" t="n">
        <v>1</v>
      </c>
      <c r="K252" s="2" t="n">
        <v>44927</v>
      </c>
      <c r="L252" s="2" t="n">
        <v>44927</v>
      </c>
      <c r="M252" s="2" t="n">
        <v>45291</v>
      </c>
      <c r="N252" t="b">
        <v>0</v>
      </c>
      <c r="O252" t="n">
        <v>110</v>
      </c>
      <c r="P252" t="n">
        <v>137</v>
      </c>
      <c r="Q252" t="n">
        <v>109.77</v>
      </c>
      <c r="R252">
        <f>ROUND(O252-P252,2)</f>
        <v/>
      </c>
      <c r="S252">
        <f>ROUND(O252-Q252,2)</f>
        <v/>
      </c>
      <c r="T252" s="3">
        <f>IFERROR(P252/O252,"")</f>
        <v/>
      </c>
      <c r="U252" s="3">
        <f>IFERROR(Q252/O252,"")</f>
        <v/>
      </c>
      <c r="V252" t="n">
        <v>87</v>
      </c>
      <c r="W252" t="n">
        <v>0</v>
      </c>
      <c r="X252" t="n">
        <v>0</v>
      </c>
      <c r="Y252">
        <f>ROUND(V252-W252,2)</f>
        <v/>
      </c>
      <c r="Z252">
        <f>ROUND(V252-X252,2)</f>
        <v/>
      </c>
      <c r="AA252" s="3">
        <f>IFERROR(W252/V252,"")</f>
        <v/>
      </c>
      <c r="AB252" s="3">
        <f>IFERROR(X252/V252,"")</f>
        <v/>
      </c>
      <c r="AC252" t="b">
        <v>0</v>
      </c>
      <c r="AD252" t="b">
        <v>0</v>
      </c>
      <c r="AE252" t="b">
        <v>0</v>
      </c>
      <c r="AF252" t="inlineStr">
        <is>
          <t>Yes</t>
        </is>
      </c>
      <c r="AG252" s="2" t="n">
        <v>46113</v>
      </c>
      <c r="AI252" t="b">
        <v>0</v>
      </c>
      <c r="AJ252" t="n">
        <v>4</v>
      </c>
      <c r="AK252" t="inlineStr"/>
      <c r="AL252" t="inlineStr">
        <is>
          <t>A&amp;SE Analytics &amp; Software Engineering (Philip R.)</t>
        </is>
      </c>
      <c r="AM252" t="inlineStr">
        <is>
          <t>FA Fullstack Astronauts (Jochen K.)</t>
        </is>
      </c>
      <c r="AN252" t="inlineStr">
        <is>
          <t>FUN Fullstack Ninjas (Stefan Z.)</t>
        </is>
      </c>
      <c r="AO252" t="inlineStr">
        <is>
          <t>bridgingIT GmbH</t>
        </is>
      </c>
      <c r="AP252" t="inlineStr">
        <is>
          <t>Mannheim</t>
        </is>
      </c>
      <c r="AQ252" t="inlineStr">
        <is>
          <t>Stefan Zilch</t>
        </is>
      </c>
    </row>
    <row r="253">
      <c r="A253" t="inlineStr">
        <is>
          <t>1005</t>
        </is>
      </c>
      <c r="B253" t="inlineStr">
        <is>
          <t>413E84</t>
        </is>
      </c>
      <c r="C253" t="inlineStr">
        <is>
          <t>https://app.matchical.com/Consulting/ConsultantDetail?ConsultantId=9d816abc-e5d5-40f9-ad51-153374371e62</t>
        </is>
      </c>
      <c r="D253" t="inlineStr">
        <is>
          <t>Jochen Ruben</t>
        </is>
      </c>
      <c r="E253" t="inlineStr">
        <is>
          <t>jochen.ruben@bridging-it.de</t>
        </is>
      </c>
      <c r="F253" s="2" t="n">
        <v>39508</v>
      </c>
      <c r="G253" s="2" t="n">
        <v>36526</v>
      </c>
      <c r="H253" t="n">
        <v>18</v>
      </c>
      <c r="I253" t="n">
        <v>0</v>
      </c>
      <c r="J253" t="n">
        <v>2</v>
      </c>
      <c r="K253" s="2" t="n">
        <v>42735</v>
      </c>
      <c r="L253" s="2" t="n">
        <v>39600</v>
      </c>
      <c r="M253" s="2" t="n">
        <v>45015</v>
      </c>
      <c r="N253" t="b">
        <v>0</v>
      </c>
      <c r="O253" t="n">
        <v>216</v>
      </c>
      <c r="P253" t="n">
        <v>540.95</v>
      </c>
      <c r="Q253" t="n">
        <v>215.82</v>
      </c>
      <c r="R253">
        <f>ROUND(O253-P253,2)</f>
        <v/>
      </c>
      <c r="S253">
        <f>ROUND(O253-Q253,2)</f>
        <v/>
      </c>
      <c r="T253" s="3">
        <f>IFERROR(P253/O253,"")</f>
        <v/>
      </c>
      <c r="U253" s="3">
        <f>IFERROR(Q253/O253,"")</f>
        <v/>
      </c>
      <c r="V253" t="n">
        <v>98</v>
      </c>
      <c r="W253" t="n">
        <v>159.05</v>
      </c>
      <c r="X253" t="n">
        <v>88.23999999999999</v>
      </c>
      <c r="Y253">
        <f>ROUND(V253-W253,2)</f>
        <v/>
      </c>
      <c r="Z253">
        <f>ROUND(V253-X253,2)</f>
        <v/>
      </c>
      <c r="AA253" s="3">
        <f>IFERROR(W253/V253,"")</f>
        <v/>
      </c>
      <c r="AB253" s="3">
        <f>IFERROR(X253/V253,"")</f>
        <v/>
      </c>
      <c r="AC253" t="b">
        <v>0</v>
      </c>
      <c r="AD253" t="b">
        <v>0</v>
      </c>
      <c r="AE253" t="b">
        <v>0</v>
      </c>
      <c r="AF253" t="inlineStr">
        <is>
          <t>No</t>
        </is>
      </c>
      <c r="AI253" t="b">
        <v>0</v>
      </c>
      <c r="AJ253" t="n">
        <v>0</v>
      </c>
      <c r="AK253" t="inlineStr"/>
      <c r="AL253" t="inlineStr">
        <is>
          <t>Geschäftsleitung und Support</t>
        </is>
      </c>
      <c r="AM253" t="inlineStr">
        <is>
          <t>Frank Wallner</t>
        </is>
      </c>
      <c r="AN253" t="inlineStr">
        <is>
          <t>Frank Wallner</t>
        </is>
      </c>
      <c r="AO253" t="inlineStr">
        <is>
          <t>bridgingIT GmbH</t>
        </is>
      </c>
      <c r="AP253" t="inlineStr">
        <is>
          <t>Mannheim</t>
        </is>
      </c>
      <c r="AQ253" t="inlineStr">
        <is>
          <t>Frank Wallner</t>
        </is>
      </c>
    </row>
    <row r="254">
      <c r="A254" t="inlineStr">
        <is>
          <t>3133</t>
        </is>
      </c>
      <c r="B254" t="inlineStr">
        <is>
          <t>F47718</t>
        </is>
      </c>
      <c r="C254" t="inlineStr">
        <is>
          <t>https://app.matchical.com/Consulting/ConsultantDetail?ConsultantId=055ce91a-923a-4994-b77e-9b4a375f0f64</t>
        </is>
      </c>
      <c r="D254" t="inlineStr">
        <is>
          <t>Johannes Johannsen</t>
        </is>
      </c>
      <c r="E254" t="inlineStr">
        <is>
          <t>johannes.johannsen@bridging-it.de</t>
        </is>
      </c>
      <c r="F254" s="2" t="n">
        <v>42826</v>
      </c>
      <c r="G254" s="2" t="n">
        <v>40817</v>
      </c>
      <c r="H254" t="n">
        <v>20</v>
      </c>
      <c r="I254" t="n">
        <v>0</v>
      </c>
      <c r="J254" t="n">
        <v>1</v>
      </c>
      <c r="K254" s="2" t="n">
        <v>45774</v>
      </c>
      <c r="L254" s="2" t="n">
        <v>45508</v>
      </c>
      <c r="M254" s="2" t="n">
        <v>45657</v>
      </c>
      <c r="N254" t="b">
        <v>0</v>
      </c>
      <c r="O254" t="n">
        <v>107</v>
      </c>
      <c r="P254" t="n">
        <v>94</v>
      </c>
      <c r="Q254" t="n">
        <v>94</v>
      </c>
      <c r="R254">
        <f>ROUND(O254-P254,2)</f>
        <v/>
      </c>
      <c r="S254">
        <f>ROUND(O254-Q254,2)</f>
        <v/>
      </c>
      <c r="T254" s="3">
        <f>IFERROR(P254/O254,"")</f>
        <v/>
      </c>
      <c r="U254" s="3">
        <f>IFERROR(Q254/O254,"")</f>
        <v/>
      </c>
      <c r="V254" t="n">
        <v>66</v>
      </c>
      <c r="W254" t="n">
        <v>40</v>
      </c>
      <c r="X254" t="n">
        <v>29</v>
      </c>
      <c r="Y254">
        <f>ROUND(V254-W254,2)</f>
        <v/>
      </c>
      <c r="Z254">
        <f>ROUND(V254-X254,2)</f>
        <v/>
      </c>
      <c r="AA254" s="3">
        <f>IFERROR(W254/V254,"")</f>
        <v/>
      </c>
      <c r="AB254" s="3">
        <f>IFERROR(X254/V254,"")</f>
        <v/>
      </c>
      <c r="AC254" t="b">
        <v>0</v>
      </c>
      <c r="AD254" t="b">
        <v>0</v>
      </c>
      <c r="AE254" t="b">
        <v>0</v>
      </c>
      <c r="AF254" t="inlineStr">
        <is>
          <t>No</t>
        </is>
      </c>
      <c r="AI254" t="b">
        <v>1</v>
      </c>
      <c r="AJ254" t="n">
        <v>0</v>
      </c>
      <c r="AK254" t="inlineStr">
        <is>
          <t>Johannes has a verbal commitment from 50Hz. The offer has been sent to the client. However, the ordering process is not yet complete.</t>
        </is>
      </c>
      <c r="AL254" t="inlineStr">
        <is>
          <t>ORG bIT</t>
        </is>
      </c>
      <c r="AM254" t="inlineStr">
        <is>
          <t>BABC - BA and Business Complexity (Karola B.)</t>
        </is>
      </c>
      <c r="AN254" t="inlineStr">
        <is>
          <t>ABC Analysing Business &amp; Collaboration (Edgar K.)</t>
        </is>
      </c>
      <c r="AO254" t="inlineStr">
        <is>
          <t>bridgingIT GmbH</t>
        </is>
      </c>
      <c r="AP254" t="inlineStr">
        <is>
          <t>Frankfurt</t>
        </is>
      </c>
      <c r="AQ254" t="inlineStr">
        <is>
          <t>Karola Bischof</t>
        </is>
      </c>
    </row>
    <row r="255">
      <c r="A255" t="inlineStr">
        <is>
          <t>10423</t>
        </is>
      </c>
      <c r="B255" t="inlineStr">
        <is>
          <t>7A8B64</t>
        </is>
      </c>
      <c r="C255" t="inlineStr">
        <is>
          <t>https://app.matchical.com/Consulting/ConsultantDetail?ConsultantId=6db057a7-386a-46db-bed6-dcebb2a24d18</t>
        </is>
      </c>
      <c r="D255" t="inlineStr">
        <is>
          <t>Johannes Kruber</t>
        </is>
      </c>
      <c r="E255" t="inlineStr">
        <is>
          <t>johannes.kruber@bridging-it.de</t>
        </is>
      </c>
      <c r="F255" s="2" t="n">
        <v>46023</v>
      </c>
      <c r="H255" t="n">
        <v>2</v>
      </c>
      <c r="I255" t="n">
        <v>0</v>
      </c>
      <c r="J255" t="n">
        <v>0</v>
      </c>
      <c r="L255" s="2" t="n">
        <v>44135</v>
      </c>
      <c r="M255" s="2" t="n">
        <v>45746</v>
      </c>
      <c r="N255" t="b">
        <v>0</v>
      </c>
      <c r="O255" t="n">
        <v>2</v>
      </c>
      <c r="P255" t="n">
        <v>0</v>
      </c>
      <c r="Q255" t="n">
        <v>0</v>
      </c>
      <c r="R255">
        <f>ROUND(O255-P255,2)</f>
        <v/>
      </c>
      <c r="S255">
        <f>ROUND(O255-Q255,2)</f>
        <v/>
      </c>
      <c r="T255" s="3">
        <f>IFERROR(P255/O255,"")</f>
        <v/>
      </c>
      <c r="U255" s="3">
        <f>IFERROR(Q255/O255,"")</f>
        <v/>
      </c>
      <c r="V255" t="n">
        <v>1512</v>
      </c>
      <c r="W255" t="n">
        <v>68</v>
      </c>
      <c r="X255" t="n">
        <v>66</v>
      </c>
      <c r="Y255">
        <f>ROUND(V255-W255,2)</f>
        <v/>
      </c>
      <c r="Z255">
        <f>ROUND(V255-X255,2)</f>
        <v/>
      </c>
      <c r="AA255" s="3">
        <f>IFERROR(W255/V255,"")</f>
        <v/>
      </c>
      <c r="AB255" s="3">
        <f>IFERROR(X255/V255,"")</f>
        <v/>
      </c>
      <c r="AC255" t="b">
        <v>0</v>
      </c>
      <c r="AD255" t="b">
        <v>0</v>
      </c>
      <c r="AE255" t="b">
        <v>0</v>
      </c>
      <c r="AF255" t="inlineStr">
        <is>
          <t>Yes</t>
        </is>
      </c>
      <c r="AG255" s="2" t="n">
        <v>46023</v>
      </c>
      <c r="AH255" s="2" t="n">
        <v>46081</v>
      </c>
      <c r="AI255" t="b">
        <v>1</v>
      </c>
      <c r="AJ255" t="n">
        <v>5</v>
      </c>
      <c r="AK255" t="inlineStr"/>
      <c r="AL255" t="inlineStr">
        <is>
          <t>IT - Information Technology (HH)</t>
        </is>
      </c>
      <c r="AM255" t="inlineStr">
        <is>
          <t>BA - Business Applications (Hamed S.)</t>
        </is>
      </c>
      <c r="AN255" t="inlineStr">
        <is>
          <t>BAA HH (Torben H.)</t>
        </is>
      </c>
      <c r="AO255" t="inlineStr">
        <is>
          <t>bridgingIT GmbH</t>
        </is>
      </c>
      <c r="AP255" t="inlineStr">
        <is>
          <t>Hamburg</t>
        </is>
      </c>
      <c r="AQ255" t="inlineStr">
        <is>
          <t>Markus Stefan</t>
        </is>
      </c>
    </row>
    <row r="256">
      <c r="A256" t="inlineStr">
        <is>
          <t>1445</t>
        </is>
      </c>
      <c r="B256" t="inlineStr">
        <is>
          <t>42236A</t>
        </is>
      </c>
      <c r="C256" t="inlineStr">
        <is>
          <t>https://app.matchical.com/Consulting/ConsultantDetail?ConsultantId=7c2331d3-d46a-460e-9413-7f1505967007</t>
        </is>
      </c>
      <c r="D256" t="inlineStr">
        <is>
          <t>Johannes Stang</t>
        </is>
      </c>
      <c r="E256" t="inlineStr">
        <is>
          <t>johannes.stang@bridging-it.de</t>
        </is>
      </c>
      <c r="F256" s="2" t="n">
        <v>43430</v>
      </c>
      <c r="G256" s="2" t="n">
        <v>43430</v>
      </c>
      <c r="H256" t="n">
        <v>11</v>
      </c>
      <c r="I256" t="n">
        <v>0</v>
      </c>
      <c r="J256" t="n">
        <v>3</v>
      </c>
      <c r="K256" s="2" t="n">
        <v>43446</v>
      </c>
      <c r="L256" s="2" t="n">
        <v>45658</v>
      </c>
      <c r="M256" s="2" t="n">
        <v>45838</v>
      </c>
      <c r="N256" t="b">
        <v>0</v>
      </c>
      <c r="O256" t="n">
        <v>87</v>
      </c>
      <c r="P256" t="n">
        <v>301</v>
      </c>
      <c r="Q256" t="n">
        <v>86.97</v>
      </c>
      <c r="R256">
        <f>ROUND(O256-P256,2)</f>
        <v/>
      </c>
      <c r="S256">
        <f>ROUND(O256-Q256,2)</f>
        <v/>
      </c>
      <c r="T256" s="3">
        <f>IFERROR(P256/O256,"")</f>
        <v/>
      </c>
      <c r="U256" s="3">
        <f>IFERROR(Q256/O256,"")</f>
        <v/>
      </c>
      <c r="V256" t="n">
        <v>0</v>
      </c>
      <c r="W256" t="n">
        <v>0</v>
      </c>
      <c r="X256" t="n">
        <v>0</v>
      </c>
      <c r="Y256">
        <f>ROUND(V256-W256,2)</f>
        <v/>
      </c>
      <c r="Z256">
        <f>ROUND(V256-X256,2)</f>
        <v/>
      </c>
      <c r="AA256" s="3">
        <f>IFERROR(W256/V256,"")</f>
        <v/>
      </c>
      <c r="AB256" s="3">
        <f>IFERROR(X256/V256,"")</f>
        <v/>
      </c>
      <c r="AC256" t="b">
        <v>0</v>
      </c>
      <c r="AD256" t="b">
        <v>0</v>
      </c>
      <c r="AE256" t="b">
        <v>0</v>
      </c>
      <c r="AF256" t="inlineStr">
        <is>
          <t>Yes</t>
        </is>
      </c>
      <c r="AG256" s="2" t="n">
        <v>46113</v>
      </c>
      <c r="AI256" t="b">
        <v>1</v>
      </c>
      <c r="AJ256" t="n">
        <v>4.55</v>
      </c>
      <c r="AK256" t="inlineStr">
        <is>
          <t>Five days are also possible after consultation
Currently a Lead at 50Hz "Fullstack Developer (3) - TMD .NET Engineering for the project WUP Framework"
Feedback from BASF (his current project) will not be available until December.</t>
        </is>
      </c>
      <c r="AL256" t="inlineStr">
        <is>
          <t>A&amp;SE Analytics &amp; Software Engineering (Philip R.)</t>
        </is>
      </c>
      <c r="AM256" t="inlineStr">
        <is>
          <t>NET .NET Software Engineering (Christian Wi.)</t>
        </is>
      </c>
      <c r="AN256" t="inlineStr">
        <is>
          <t>FUN Fullstack Ninjas (Stefan Z.)</t>
        </is>
      </c>
      <c r="AO256" t="inlineStr">
        <is>
          <t>bridgingIT GmbH</t>
        </is>
      </c>
      <c r="AP256" t="inlineStr">
        <is>
          <t>Mannheim</t>
        </is>
      </c>
      <c r="AQ256" t="inlineStr">
        <is>
          <t>Christian Will</t>
        </is>
      </c>
    </row>
    <row r="257">
      <c r="A257" t="inlineStr">
        <is>
          <t>10307</t>
        </is>
      </c>
      <c r="B257" t="inlineStr">
        <is>
          <t>C124D5</t>
        </is>
      </c>
      <c r="C257" t="inlineStr">
        <is>
          <t>https://app.matchical.com/Consulting/ConsultantDetail?ConsultantId=403863be-ed74-4e35-82ce-c8a558d9ced2</t>
        </is>
      </c>
      <c r="D257" t="inlineStr">
        <is>
          <t>Johannes Ströbele</t>
        </is>
      </c>
      <c r="E257" t="inlineStr">
        <is>
          <t>johannes.stroebele@bridging-it.de</t>
        </is>
      </c>
      <c r="F257" s="2" t="n">
        <v>45566</v>
      </c>
      <c r="G257" s="2" t="n">
        <v>44287</v>
      </c>
      <c r="H257" t="n">
        <v>6</v>
      </c>
      <c r="I257" t="n">
        <v>0</v>
      </c>
      <c r="J257" t="n">
        <v>1</v>
      </c>
      <c r="K257" s="2" t="n">
        <v>45705</v>
      </c>
      <c r="L257" s="2" t="n">
        <v>45382</v>
      </c>
      <c r="M257" s="2" t="n">
        <v>45564</v>
      </c>
      <c r="N257" t="b">
        <v>0</v>
      </c>
      <c r="O257" t="n">
        <v>17</v>
      </c>
      <c r="P257" t="n">
        <v>11</v>
      </c>
      <c r="Q257" t="n">
        <v>11</v>
      </c>
      <c r="R257">
        <f>ROUND(O257-P257,2)</f>
        <v/>
      </c>
      <c r="S257">
        <f>ROUND(O257-Q257,2)</f>
        <v/>
      </c>
      <c r="T257" s="3">
        <f>IFERROR(P257/O257,"")</f>
        <v/>
      </c>
      <c r="U257" s="3">
        <f>IFERROR(Q257/O257,"")</f>
        <v/>
      </c>
      <c r="V257" t="n">
        <v>42</v>
      </c>
      <c r="W257" t="n">
        <v>47.97</v>
      </c>
      <c r="X257" t="n">
        <v>42.02</v>
      </c>
      <c r="Y257">
        <f>ROUND(V257-W257,2)</f>
        <v/>
      </c>
      <c r="Z257">
        <f>ROUND(V257-X257,2)</f>
        <v/>
      </c>
      <c r="AA257" s="3">
        <f>IFERROR(W257/V257,"")</f>
        <v/>
      </c>
      <c r="AB257" s="3">
        <f>IFERROR(X257/V257,"")</f>
        <v/>
      </c>
      <c r="AC257" t="b">
        <v>0</v>
      </c>
      <c r="AD257" t="b">
        <v>0</v>
      </c>
      <c r="AE257" t="b">
        <v>0</v>
      </c>
      <c r="AF257" t="inlineStr">
        <is>
          <t>No</t>
        </is>
      </c>
      <c r="AI257" t="b">
        <v>0</v>
      </c>
      <c r="AJ257" t="n">
        <v>0</v>
      </c>
      <c r="AK257" t="inlineStr"/>
      <c r="AL257" t="inlineStr">
        <is>
          <t>ES Enterprise Solutions (Gina H.)</t>
        </is>
      </c>
      <c r="AM257" t="inlineStr">
        <is>
          <t>IEJ Java II (Thomas K.)</t>
        </is>
      </c>
      <c r="AN257" t="inlineStr">
        <is>
          <t>IEJ Individualentwicklung JAVA (Dominik S.)</t>
        </is>
      </c>
      <c r="AO257" t="inlineStr">
        <is>
          <t>bridgingIT GmbH</t>
        </is>
      </c>
      <c r="AP257" t="inlineStr">
        <is>
          <t>Stuttgart</t>
        </is>
      </c>
      <c r="AQ257" t="inlineStr">
        <is>
          <t>Thomas Kopp</t>
        </is>
      </c>
    </row>
    <row r="258">
      <c r="A258" t="inlineStr">
        <is>
          <t>10226</t>
        </is>
      </c>
      <c r="B258" t="inlineStr">
        <is>
          <t>42F9D5</t>
        </is>
      </c>
      <c r="C258" t="inlineStr">
        <is>
          <t>https://app.matchical.com/Consulting/ConsultantDetail?ConsultantId=66c4556e-ce72-4903-b77b-29e7ff9d627e</t>
        </is>
      </c>
      <c r="D258" t="inlineStr">
        <is>
          <t>Jonas Forth</t>
        </is>
      </c>
      <c r="E258" t="inlineStr">
        <is>
          <t>jonas.forth@fastahead.com</t>
        </is>
      </c>
      <c r="F258" s="2" t="n">
        <v>45292</v>
      </c>
      <c r="G258" s="2" t="n">
        <v>42948</v>
      </c>
      <c r="H258" t="n">
        <v>3</v>
      </c>
      <c r="I258" t="n">
        <v>0</v>
      </c>
      <c r="J258" t="n">
        <v>0</v>
      </c>
      <c r="L258" s="2" t="n">
        <v>44804</v>
      </c>
      <c r="M258" s="2" t="n">
        <v>45290</v>
      </c>
      <c r="N258" t="b">
        <v>0</v>
      </c>
      <c r="O258" t="n">
        <v>26</v>
      </c>
      <c r="P258" t="n">
        <v>0</v>
      </c>
      <c r="Q258" t="n">
        <v>0</v>
      </c>
      <c r="R258">
        <f>ROUND(O258-P258,2)</f>
        <v/>
      </c>
      <c r="S258">
        <f>ROUND(O258-Q258,2)</f>
        <v/>
      </c>
      <c r="T258" s="3">
        <f>IFERROR(P258/O258,"")</f>
        <v/>
      </c>
      <c r="U258" s="3">
        <f>IFERROR(Q258/O258,"")</f>
        <v/>
      </c>
      <c r="V258" t="n">
        <v>77</v>
      </c>
      <c r="W258" t="n">
        <v>30</v>
      </c>
      <c r="X258" t="n">
        <v>24</v>
      </c>
      <c r="Y258">
        <f>ROUND(V258-W258,2)</f>
        <v/>
      </c>
      <c r="Z258">
        <f>ROUND(V258-X258,2)</f>
        <v/>
      </c>
      <c r="AA258" s="3">
        <f>IFERROR(W258/V258,"")</f>
        <v/>
      </c>
      <c r="AB258" s="3">
        <f>IFERROR(X258/V258,"")</f>
        <v/>
      </c>
      <c r="AC258" t="b">
        <v>0</v>
      </c>
      <c r="AD258" t="b">
        <v>0</v>
      </c>
      <c r="AE258" t="b">
        <v>0</v>
      </c>
      <c r="AF258" t="inlineStr">
        <is>
          <t>Yes</t>
        </is>
      </c>
      <c r="AG258" s="2" t="n">
        <v>46082</v>
      </c>
      <c r="AH258" s="2" t="n">
        <v>46387</v>
      </c>
      <c r="AI258" t="b">
        <v>1</v>
      </c>
      <c r="AJ258" t="n">
        <v>5</v>
      </c>
      <c r="AK258" t="inlineStr"/>
      <c r="AL258" t="inlineStr">
        <is>
          <t>ORG fastahead GmbH &amp; Co. KG</t>
        </is>
      </c>
      <c r="AM258" t="inlineStr">
        <is>
          <t>IT-Transition (D. Rheinwalt)</t>
        </is>
      </c>
      <c r="AN258" t="inlineStr">
        <is>
          <t>fah Daniel Rheinwalt</t>
        </is>
      </c>
      <c r="AO258" t="inlineStr">
        <is>
          <t>fastahead GmbH &amp; Co. KG</t>
        </is>
      </c>
      <c r="AP258" t="inlineStr">
        <is>
          <t>Hamburg</t>
        </is>
      </c>
      <c r="AQ258" t="inlineStr">
        <is>
          <t>Daniel Rheinwalt</t>
        </is>
      </c>
    </row>
    <row r="259">
      <c r="A259" t="inlineStr">
        <is>
          <t>1535</t>
        </is>
      </c>
      <c r="B259" t="inlineStr">
        <is>
          <t>99BF3E</t>
        </is>
      </c>
      <c r="C259" t="inlineStr">
        <is>
          <t>https://app.matchical.com/Consulting/ConsultantDetail?ConsultantId=a5ccfb0b-3ecd-4aa1-8a8f-108bf7ca5b39</t>
        </is>
      </c>
      <c r="D259" t="inlineStr">
        <is>
          <t>Jonathan Borger</t>
        </is>
      </c>
      <c r="E259" t="inlineStr">
        <is>
          <t>jonathan.borger@bridging-it.de</t>
        </is>
      </c>
      <c r="F259" s="2" t="n">
        <v>44805</v>
      </c>
      <c r="G259" s="2" t="n">
        <v>44805</v>
      </c>
      <c r="H259" t="n">
        <v>7</v>
      </c>
      <c r="I259" t="n">
        <v>0</v>
      </c>
      <c r="J259" t="n">
        <v>0</v>
      </c>
      <c r="L259" s="2" t="n">
        <v>45565</v>
      </c>
      <c r="M259" s="2" t="n">
        <v>45961</v>
      </c>
      <c r="N259" t="b">
        <v>0</v>
      </c>
      <c r="O259" t="n">
        <v>42</v>
      </c>
      <c r="P259" t="n">
        <v>44</v>
      </c>
      <c r="Q259" t="n">
        <v>33</v>
      </c>
      <c r="R259">
        <f>ROUND(O259-P259,2)</f>
        <v/>
      </c>
      <c r="S259">
        <f>ROUND(O259-Q259,2)</f>
        <v/>
      </c>
      <c r="T259" s="3">
        <f>IFERROR(P259/O259,"")</f>
        <v/>
      </c>
      <c r="U259" s="3">
        <f>IFERROR(Q259/O259,"")</f>
        <v/>
      </c>
      <c r="V259" t="n">
        <v>0</v>
      </c>
      <c r="W259" t="n">
        <v>0</v>
      </c>
      <c r="X259" t="n">
        <v>0</v>
      </c>
      <c r="Y259">
        <f>ROUND(V259-W259,2)</f>
        <v/>
      </c>
      <c r="Z259">
        <f>ROUND(V259-X259,2)</f>
        <v/>
      </c>
      <c r="AA259" s="3">
        <f>IFERROR(W259/V259,"")</f>
        <v/>
      </c>
      <c r="AB259" s="3">
        <f>IFERROR(X259/V259,"")</f>
        <v/>
      </c>
      <c r="AC259" t="b">
        <v>0</v>
      </c>
      <c r="AD259" t="b">
        <v>0</v>
      </c>
      <c r="AE259" t="b">
        <v>0</v>
      </c>
      <c r="AF259" t="inlineStr">
        <is>
          <t>No</t>
        </is>
      </c>
      <c r="AI259" t="b">
        <v>0</v>
      </c>
      <c r="AJ259" t="n">
        <v>0</v>
      </c>
      <c r="AK259" t="inlineStr">
        <is>
          <t>Jonathan started with us on 01.09 as a trainee. During his trainee program, he will immerse himself in DevOps topics on Azure. Therefore, from 01.03 onward, we are looking for a project for him as ASC. Before that, we would be happy for him to participate in a role where he can shadow and apply the skills he has learned.</t>
        </is>
      </c>
      <c r="AL259" t="inlineStr">
        <is>
          <t>IT - Information Technology (Sebastian L.)</t>
        </is>
      </c>
      <c r="AM259" t="inlineStr">
        <is>
          <t>ESM Enterprise Service Management (Christian Wo.)</t>
        </is>
      </c>
      <c r="AN259" t="inlineStr">
        <is>
          <t>C&amp;DO - Cloud &amp; DevOps (Sebastian L.)</t>
        </is>
      </c>
      <c r="AO259" t="inlineStr">
        <is>
          <t>bridgingIT GmbH</t>
        </is>
      </c>
      <c r="AP259" t="inlineStr">
        <is>
          <t>Mannheim</t>
        </is>
      </c>
      <c r="AQ259" t="inlineStr">
        <is>
          <t>Christian Wolf</t>
        </is>
      </c>
    </row>
    <row r="260">
      <c r="A260" t="inlineStr">
        <is>
          <t>10420</t>
        </is>
      </c>
      <c r="B260" t="inlineStr">
        <is>
          <t>5EAC4A</t>
        </is>
      </c>
      <c r="C260" t="inlineStr">
        <is>
          <t>https://app.matchical.com/Consulting/ConsultantDetail?ConsultantId=97c685a8-f963-44c1-abf3-a79f85397849</t>
        </is>
      </c>
      <c r="D260" t="inlineStr">
        <is>
          <t>Jörg Karsten</t>
        </is>
      </c>
      <c r="E260" t="inlineStr">
        <is>
          <t>joerg.karsten@bridging-it.de</t>
        </is>
      </c>
      <c r="F260" s="2" t="n">
        <v>46054</v>
      </c>
      <c r="G260" s="2" t="n">
        <v>37073</v>
      </c>
      <c r="H260" t="n">
        <v>2</v>
      </c>
      <c r="I260" t="n">
        <v>0</v>
      </c>
      <c r="J260" t="n">
        <v>0</v>
      </c>
      <c r="L260" s="2" t="n">
        <v>45808</v>
      </c>
      <c r="M260" s="2" t="n">
        <v>46021</v>
      </c>
      <c r="N260" t="b">
        <v>0</v>
      </c>
      <c r="O260" t="n">
        <v>1</v>
      </c>
      <c r="P260" t="n">
        <v>0</v>
      </c>
      <c r="Q260" t="n">
        <v>0</v>
      </c>
      <c r="R260">
        <f>ROUND(O260-P260,2)</f>
        <v/>
      </c>
      <c r="S260">
        <f>ROUND(O260-Q260,2)</f>
        <v/>
      </c>
      <c r="T260" s="3">
        <f>IFERROR(P260/O260,"")</f>
        <v/>
      </c>
      <c r="U260" s="3">
        <f>IFERROR(Q260/O260,"")</f>
        <v/>
      </c>
      <c r="V260" t="n">
        <v>295</v>
      </c>
      <c r="W260" t="n">
        <v>19</v>
      </c>
      <c r="X260" t="n">
        <v>14</v>
      </c>
      <c r="Y260">
        <f>ROUND(V260-W260,2)</f>
        <v/>
      </c>
      <c r="Z260">
        <f>ROUND(V260-X260,2)</f>
        <v/>
      </c>
      <c r="AA260" s="3">
        <f>IFERROR(W260/V260,"")</f>
        <v/>
      </c>
      <c r="AB260" s="3">
        <f>IFERROR(X260/V260,"")</f>
        <v/>
      </c>
      <c r="AC260" t="b">
        <v>0</v>
      </c>
      <c r="AD260" t="b">
        <v>0</v>
      </c>
      <c r="AE260" t="b">
        <v>0</v>
      </c>
      <c r="AF260" t="inlineStr">
        <is>
          <t>Yes</t>
        </is>
      </c>
      <c r="AG260" s="2" t="n">
        <v>46054</v>
      </c>
      <c r="AI260" t="b">
        <v>1</v>
      </c>
      <c r="AJ260" t="n">
        <v>2</v>
      </c>
      <c r="AK260" t="inlineStr"/>
      <c r="AL260" t="inlineStr">
        <is>
          <t>IT - Information Technology (HH)</t>
        </is>
      </c>
      <c r="AM260" t="inlineStr">
        <is>
          <t>CSI - Cybersecurity &amp; IAM (Dean M.)</t>
        </is>
      </c>
      <c r="AN260" t="inlineStr">
        <is>
          <t>ITC HH (Nicole F.)</t>
        </is>
      </c>
      <c r="AO260" t="inlineStr">
        <is>
          <t>bridgingIT GmbH</t>
        </is>
      </c>
      <c r="AP260" t="inlineStr">
        <is>
          <t>Hamburg</t>
        </is>
      </c>
      <c r="AQ260" t="inlineStr">
        <is>
          <t>Dean Herzog-Meijer</t>
        </is>
      </c>
    </row>
    <row r="261">
      <c r="A261" t="inlineStr">
        <is>
          <t>2312</t>
        </is>
      </c>
      <c r="B261" t="inlineStr">
        <is>
          <t>482DEC</t>
        </is>
      </c>
      <c r="C261" t="inlineStr">
        <is>
          <t>https://app.matchical.com/Consulting/ConsultantDetail?ConsultantId=71c494c8-66cb-43ef-a7be-e566679fb34a</t>
        </is>
      </c>
      <c r="D261" t="inlineStr">
        <is>
          <t>Jörg Merz</t>
        </is>
      </c>
      <c r="E261" t="inlineStr">
        <is>
          <t>joerg.merz@bridging-it.de</t>
        </is>
      </c>
      <c r="F261" s="2" t="n">
        <v>44713</v>
      </c>
      <c r="G261" s="2" t="n">
        <v>35947</v>
      </c>
      <c r="H261" t="n">
        <v>2</v>
      </c>
      <c r="I261" t="n">
        <v>0</v>
      </c>
      <c r="J261" t="n">
        <v>1</v>
      </c>
      <c r="K261" s="2" t="n">
        <v>43190</v>
      </c>
      <c r="L261" s="2" t="n">
        <v>43982</v>
      </c>
      <c r="M261" s="2" t="n">
        <v>44407</v>
      </c>
      <c r="N261" t="b">
        <v>0</v>
      </c>
      <c r="O261" t="n">
        <v>45</v>
      </c>
      <c r="P261" t="n">
        <v>44.41</v>
      </c>
      <c r="Q261" t="n">
        <v>41.1</v>
      </c>
      <c r="R261">
        <f>ROUND(O261-P261,2)</f>
        <v/>
      </c>
      <c r="S261">
        <f>ROUND(O261-Q261,2)</f>
        <v/>
      </c>
      <c r="T261" s="3">
        <f>IFERROR(P261/O261,"")</f>
        <v/>
      </c>
      <c r="U261" s="3">
        <f>IFERROR(Q261/O261,"")</f>
        <v/>
      </c>
      <c r="V261" t="n">
        <v>288</v>
      </c>
      <c r="W261" t="n">
        <v>63.59</v>
      </c>
      <c r="X261" t="n">
        <v>52.9</v>
      </c>
      <c r="Y261">
        <f>ROUND(V261-W261,2)</f>
        <v/>
      </c>
      <c r="Z261">
        <f>ROUND(V261-X261,2)</f>
        <v/>
      </c>
      <c r="AA261" s="3">
        <f>IFERROR(W261/V261,"")</f>
        <v/>
      </c>
      <c r="AB261" s="3">
        <f>IFERROR(X261/V261,"")</f>
        <v/>
      </c>
      <c r="AC261" t="b">
        <v>0</v>
      </c>
      <c r="AD261" t="b">
        <v>0</v>
      </c>
      <c r="AE261" t="b">
        <v>0</v>
      </c>
      <c r="AF261" t="inlineStr">
        <is>
          <t>No</t>
        </is>
      </c>
      <c r="AI261" t="b">
        <v>0</v>
      </c>
      <c r="AJ261" t="n">
        <v>0</v>
      </c>
      <c r="AK261" t="inlineStr"/>
      <c r="AL261" t="inlineStr">
        <is>
          <t>IT Information Technology (Hauke G.)</t>
        </is>
      </c>
      <c r="AM261" t="inlineStr">
        <is>
          <t>ITM Unit Management (Jörg M.)</t>
        </is>
      </c>
      <c r="AN261" t="inlineStr">
        <is>
          <t>ITM IT-Management (Jörg M.)</t>
        </is>
      </c>
      <c r="AO261" t="inlineStr">
        <is>
          <t>bridgingIT GmbH</t>
        </is>
      </c>
      <c r="AP261" t="inlineStr">
        <is>
          <t>Stuttgart</t>
        </is>
      </c>
      <c r="AQ261" t="inlineStr">
        <is>
          <t>Hauke Goppelt</t>
        </is>
      </c>
    </row>
    <row r="262">
      <c r="A262" t="inlineStr">
        <is>
          <t>2278</t>
        </is>
      </c>
      <c r="B262" t="inlineStr">
        <is>
          <t>077797</t>
        </is>
      </c>
      <c r="C262" t="inlineStr">
        <is>
          <t>https://app.matchical.com/Consulting/ConsultantDetail?ConsultantId=6ca937f3-eaa1-4403-ba61-21cd8d62d2e3</t>
        </is>
      </c>
      <c r="D262" t="inlineStr">
        <is>
          <t>Josip Perkovic</t>
        </is>
      </c>
      <c r="E262" t="inlineStr">
        <is>
          <t>josip.perkovic@bridging-it.de</t>
        </is>
      </c>
      <c r="F262" s="2" t="n">
        <v>44256</v>
      </c>
      <c r="G262" s="2" t="n">
        <v>43009</v>
      </c>
      <c r="H262" t="n">
        <v>5</v>
      </c>
      <c r="I262" t="n">
        <v>0</v>
      </c>
      <c r="J262" t="n">
        <v>1</v>
      </c>
      <c r="K262" s="2" t="n">
        <v>45298</v>
      </c>
      <c r="L262" s="2" t="n">
        <v>44773</v>
      </c>
      <c r="M262" s="2" t="n">
        <v>45291</v>
      </c>
      <c r="N262" t="b">
        <v>0</v>
      </c>
      <c r="O262" t="n">
        <v>60</v>
      </c>
      <c r="P262" t="n">
        <v>59.05</v>
      </c>
      <c r="Q262" t="n">
        <v>53.54</v>
      </c>
      <c r="R262">
        <f>ROUND(O262-P262,2)</f>
        <v/>
      </c>
      <c r="S262">
        <f>ROUND(O262-Q262,2)</f>
        <v/>
      </c>
      <c r="T262" s="3">
        <f>IFERROR(P262/O262,"")</f>
        <v/>
      </c>
      <c r="U262" s="3">
        <f>IFERROR(Q262/O262,"")</f>
        <v/>
      </c>
      <c r="V262" t="n">
        <v>41</v>
      </c>
      <c r="W262" t="n">
        <v>1.95</v>
      </c>
      <c r="X262" t="n">
        <v>1.46</v>
      </c>
      <c r="Y262">
        <f>ROUND(V262-W262,2)</f>
        <v/>
      </c>
      <c r="Z262">
        <f>ROUND(V262-X262,2)</f>
        <v/>
      </c>
      <c r="AA262" s="3">
        <f>IFERROR(W262/V262,"")</f>
        <v/>
      </c>
      <c r="AB262" s="3">
        <f>IFERROR(X262/V262,"")</f>
        <v/>
      </c>
      <c r="AC262" t="b">
        <v>0</v>
      </c>
      <c r="AD262" t="b">
        <v>0</v>
      </c>
      <c r="AE262" t="b">
        <v>0</v>
      </c>
      <c r="AF262" t="inlineStr">
        <is>
          <t>No</t>
        </is>
      </c>
      <c r="AI262" t="b">
        <v>0</v>
      </c>
      <c r="AJ262" t="n">
        <v>0</v>
      </c>
      <c r="AK262" t="inlineStr">
        <is>
          <t>Currently with stackit on a project, the assignment is likely to be extended.</t>
        </is>
      </c>
      <c r="AL262" t="inlineStr">
        <is>
          <t>ES Enterprise Solutions (Gina H.)</t>
        </is>
      </c>
      <c r="AM262" t="inlineStr">
        <is>
          <t>IEJ Java I (Dominik S.)</t>
        </is>
      </c>
      <c r="AN262" t="inlineStr">
        <is>
          <t>IEJ Individualentwicklung JAVA (Dominik S.)</t>
        </is>
      </c>
      <c r="AO262" t="inlineStr">
        <is>
          <t>bridgingIT GmbH</t>
        </is>
      </c>
      <c r="AP262" t="inlineStr">
        <is>
          <t>Stuttgart</t>
        </is>
      </c>
      <c r="AQ262" t="inlineStr">
        <is>
          <t>Dominik Schadow</t>
        </is>
      </c>
    </row>
    <row r="263">
      <c r="A263" t="inlineStr">
        <is>
          <t>10163</t>
        </is>
      </c>
      <c r="B263" t="inlineStr">
        <is>
          <t>C5D820</t>
        </is>
      </c>
      <c r="C263" t="inlineStr">
        <is>
          <t>https://app.matchical.com/Consulting/ConsultantDetail?ConsultantId=a2f5ea7d-40b5-4600-8241-8b52a5dea9d1</t>
        </is>
      </c>
      <c r="D263" t="inlineStr">
        <is>
          <t>Julia Niedack</t>
        </is>
      </c>
      <c r="E263" t="inlineStr">
        <is>
          <t>julia.niedack@bridging-it.de</t>
        </is>
      </c>
      <c r="F263" s="2" t="n">
        <v>45306</v>
      </c>
      <c r="G263" s="2" t="n">
        <v>42917</v>
      </c>
      <c r="H263" t="n">
        <v>9</v>
      </c>
      <c r="I263" t="n">
        <v>0</v>
      </c>
      <c r="J263" t="n">
        <v>1</v>
      </c>
      <c r="K263" s="2" t="n">
        <v>46005</v>
      </c>
      <c r="L263" s="2" t="n">
        <v>45505</v>
      </c>
      <c r="M263" s="2" t="n">
        <v>46022</v>
      </c>
      <c r="N263" t="b">
        <v>0</v>
      </c>
      <c r="O263" t="n">
        <v>25</v>
      </c>
      <c r="P263" t="n">
        <v>30</v>
      </c>
      <c r="Q263" t="n">
        <v>18</v>
      </c>
      <c r="R263">
        <f>ROUND(O263-P263,2)</f>
        <v/>
      </c>
      <c r="S263">
        <f>ROUND(O263-Q263,2)</f>
        <v/>
      </c>
      <c r="T263" s="3">
        <f>IFERROR(P263/O263,"")</f>
        <v/>
      </c>
      <c r="U263" s="3">
        <f>IFERROR(Q263/O263,"")</f>
        <v/>
      </c>
      <c r="V263" t="n">
        <v>78</v>
      </c>
      <c r="W263" t="n">
        <v>117</v>
      </c>
      <c r="X263" t="n">
        <v>62</v>
      </c>
      <c r="Y263">
        <f>ROUND(V263-W263,2)</f>
        <v/>
      </c>
      <c r="Z263">
        <f>ROUND(V263-X263,2)</f>
        <v/>
      </c>
      <c r="AA263" s="3">
        <f>IFERROR(W263/V263,"")</f>
        <v/>
      </c>
      <c r="AB263" s="3">
        <f>IFERROR(X263/V263,"")</f>
        <v/>
      </c>
      <c r="AC263" t="b">
        <v>0</v>
      </c>
      <c r="AD263" t="b">
        <v>0</v>
      </c>
      <c r="AE263" t="b">
        <v>0</v>
      </c>
      <c r="AF263" t="inlineStr">
        <is>
          <t>Yes</t>
        </is>
      </c>
      <c r="AG263" s="2" t="n">
        <v>46113</v>
      </c>
      <c r="AI263" t="b">
        <v>1</v>
      </c>
      <c r="AJ263" t="n">
        <v>1.5</v>
      </c>
      <c r="AK263" t="inlineStr">
        <is>
          <t>Julia works 2 days per month at BSR and 50% at Komm.ONE.</t>
        </is>
      </c>
      <c r="AL263" t="inlineStr">
        <is>
          <t>ORG bIT</t>
        </is>
      </c>
      <c r="AM263" t="inlineStr">
        <is>
          <t>A&amp;PM Agility &amp; Project Management (Lutz K.)</t>
        </is>
      </c>
      <c r="AN263" t="inlineStr">
        <is>
          <t>TH Transformation Hub BLN (Ulrich W.)</t>
        </is>
      </c>
      <c r="AO263" t="inlineStr">
        <is>
          <t>bridgingIT GmbH</t>
        </is>
      </c>
      <c r="AP263" t="inlineStr">
        <is>
          <t>Berlin</t>
        </is>
      </c>
      <c r="AQ263" t="inlineStr">
        <is>
          <t>Lutz Kempf</t>
        </is>
      </c>
    </row>
    <row r="264">
      <c r="A264" t="inlineStr">
        <is>
          <t>10431</t>
        </is>
      </c>
      <c r="B264" t="inlineStr">
        <is>
          <t>96E8AB</t>
        </is>
      </c>
      <c r="C264" t="inlineStr">
        <is>
          <t>https://app.matchical.com/Consulting/ConsultantDetail?ConsultantId=51b4310c-2635-4c91-a56d-31bc3704b183</t>
        </is>
      </c>
      <c r="D264" t="inlineStr">
        <is>
          <t>Julia Papadopoulos</t>
        </is>
      </c>
      <c r="E264" t="inlineStr">
        <is>
          <t>julia.papadopoulos@bridging-it.de</t>
        </is>
      </c>
      <c r="F264" s="2" t="n">
        <v>46054</v>
      </c>
      <c r="G264" s="2" t="n">
        <v>41456</v>
      </c>
      <c r="H264" t="n">
        <v>6</v>
      </c>
      <c r="I264" t="n">
        <v>0</v>
      </c>
      <c r="J264" t="n">
        <v>0</v>
      </c>
      <c r="L264" s="2" t="n">
        <v>45716</v>
      </c>
      <c r="M264" s="2" t="n">
        <v>46021</v>
      </c>
      <c r="N264" t="b">
        <v>0</v>
      </c>
      <c r="O264" t="n">
        <v>1</v>
      </c>
      <c r="P264" t="n">
        <v>0</v>
      </c>
      <c r="Q264" t="n">
        <v>0</v>
      </c>
      <c r="R264">
        <f>ROUND(O264-P264,2)</f>
        <v/>
      </c>
      <c r="S264">
        <f>ROUND(O264-Q264,2)</f>
        <v/>
      </c>
      <c r="T264" s="3">
        <f>IFERROR(P264/O264,"")</f>
        <v/>
      </c>
      <c r="U264" s="3">
        <f>IFERROR(Q264/O264,"")</f>
        <v/>
      </c>
      <c r="V264" t="n">
        <v>151</v>
      </c>
      <c r="W264" t="n">
        <v>126.98</v>
      </c>
      <c r="X264" t="n">
        <v>126.98</v>
      </c>
      <c r="Y264">
        <f>ROUND(V264-W264,2)</f>
        <v/>
      </c>
      <c r="Z264">
        <f>ROUND(V264-X264,2)</f>
        <v/>
      </c>
      <c r="AA264" s="3">
        <f>IFERROR(W264/V264,"")</f>
        <v/>
      </c>
      <c r="AB264" s="3">
        <f>IFERROR(X264/V264,"")</f>
        <v/>
      </c>
      <c r="AC264" t="b">
        <v>0</v>
      </c>
      <c r="AD264" t="b">
        <v>0</v>
      </c>
      <c r="AE264" t="b">
        <v>0</v>
      </c>
      <c r="AF264" t="inlineStr">
        <is>
          <t>Yes</t>
        </is>
      </c>
      <c r="AG264" s="2" t="n">
        <v>46054</v>
      </c>
      <c r="AI264" t="b">
        <v>1</v>
      </c>
      <c r="AJ264" t="n">
        <v>5</v>
      </c>
      <c r="AK264" t="inlineStr">
        <is>
          <t>1. Scrum Master
2. Project Manager/ PMO
3. Finance and Accounting</t>
        </is>
      </c>
      <c r="AL264" t="inlineStr">
        <is>
          <t>IT - Information Technology (HH)</t>
        </is>
      </c>
      <c r="AM264" t="inlineStr">
        <is>
          <t>CG - Cloud Governance (Leyla V.)</t>
        </is>
      </c>
      <c r="AN264" t="inlineStr">
        <is>
          <t>ITC HH (Nicole F.)</t>
        </is>
      </c>
      <c r="AO264" t="inlineStr">
        <is>
          <t>bridgingIT GmbH</t>
        </is>
      </c>
      <c r="AP264" t="inlineStr">
        <is>
          <t>Hamburg</t>
        </is>
      </c>
      <c r="AQ264" t="inlineStr">
        <is>
          <t>Leyla Varli</t>
        </is>
      </c>
    </row>
    <row r="265">
      <c r="A265" t="inlineStr">
        <is>
          <t>8746</t>
        </is>
      </c>
      <c r="B265" t="inlineStr">
        <is>
          <t>1C453E</t>
        </is>
      </c>
      <c r="C265" t="inlineStr">
        <is>
          <t>https://app.matchical.com/Consulting/ConsultantDetail?ConsultantId=0e311836-e464-455e-a861-334908396a50</t>
        </is>
      </c>
      <c r="D265" t="inlineStr">
        <is>
          <t>Julia Schott</t>
        </is>
      </c>
      <c r="E265" t="inlineStr">
        <is>
          <t>julia.schott@bridging-it.de</t>
        </is>
      </c>
      <c r="F265" s="2" t="n">
        <v>44652</v>
      </c>
      <c r="G265" s="2" t="n">
        <v>37135</v>
      </c>
      <c r="H265" t="n">
        <v>7</v>
      </c>
      <c r="I265" t="n">
        <v>0</v>
      </c>
      <c r="J265" t="n">
        <v>0</v>
      </c>
      <c r="L265" s="2" t="n">
        <v>45712</v>
      </c>
      <c r="M265" s="2" t="n">
        <v>45930</v>
      </c>
      <c r="N265" t="b">
        <v>0</v>
      </c>
      <c r="O265" t="n">
        <v>47</v>
      </c>
      <c r="P265" t="n">
        <v>37.97</v>
      </c>
      <c r="Q265" t="n">
        <v>37.97</v>
      </c>
      <c r="R265">
        <f>ROUND(O265-P265,2)</f>
        <v/>
      </c>
      <c r="S265">
        <f>ROUND(O265-Q265,2)</f>
        <v/>
      </c>
      <c r="T265" s="3">
        <f>IFERROR(P265/O265,"")</f>
        <v/>
      </c>
      <c r="U265" s="3">
        <f>IFERROR(Q265/O265,"")</f>
        <v/>
      </c>
      <c r="V265" t="n">
        <v>247</v>
      </c>
      <c r="W265" t="n">
        <v>90.03</v>
      </c>
      <c r="X265" t="n">
        <v>90.03</v>
      </c>
      <c r="Y265">
        <f>ROUND(V265-W265,2)</f>
        <v/>
      </c>
      <c r="Z265">
        <f>ROUND(V265-X265,2)</f>
        <v/>
      </c>
      <c r="AA265" s="3">
        <f>IFERROR(W265/V265,"")</f>
        <v/>
      </c>
      <c r="AB265" s="3">
        <f>IFERROR(X265/V265,"")</f>
        <v/>
      </c>
      <c r="AC265" t="b">
        <v>0</v>
      </c>
      <c r="AD265" t="b">
        <v>0</v>
      </c>
      <c r="AE265" t="b">
        <v>0</v>
      </c>
      <c r="AF265" t="inlineStr">
        <is>
          <t>Yes</t>
        </is>
      </c>
      <c r="AG265" s="2" t="n">
        <v>45978</v>
      </c>
      <c r="AI265" t="b">
        <v>0</v>
      </c>
      <c r="AJ265" t="n">
        <v>4</v>
      </c>
      <c r="AK265" t="inlineStr"/>
      <c r="AL265" t="inlineStr">
        <is>
          <t>ORG bIT Bayern</t>
        </is>
      </c>
      <c r="AM265" t="inlineStr">
        <is>
          <t>TG Transformation Guidance (Clemens L.)</t>
        </is>
      </c>
      <c r="AN265" t="inlineStr">
        <is>
          <t>BAT Business Agility &amp; Transformation (Marc S.)</t>
        </is>
      </c>
      <c r="AO265" t="inlineStr">
        <is>
          <t>bridgingIT GmbH</t>
        </is>
      </c>
      <c r="AP265" t="inlineStr">
        <is>
          <t>München</t>
        </is>
      </c>
      <c r="AQ265" t="inlineStr">
        <is>
          <t>Clemens Lindner</t>
        </is>
      </c>
    </row>
    <row r="266">
      <c r="A266" t="inlineStr">
        <is>
          <t>2292</t>
        </is>
      </c>
      <c r="B266" t="inlineStr">
        <is>
          <t>F6C09C</t>
        </is>
      </c>
      <c r="C266" t="inlineStr">
        <is>
          <t>https://app.matchical.com/Consulting/ConsultantDetail?ConsultantId=fec07c35-cf0e-4a65-b9eb-2bcca95306b3</t>
        </is>
      </c>
      <c r="D266" t="inlineStr">
        <is>
          <t>Julian Barthle</t>
        </is>
      </c>
      <c r="E266" t="inlineStr">
        <is>
          <t>julian.barthle@bridging-it.de</t>
        </is>
      </c>
      <c r="F266" s="2" t="n">
        <v>44501</v>
      </c>
      <c r="G266" s="2" t="n">
        <v>42309</v>
      </c>
      <c r="H266" t="n">
        <v>8</v>
      </c>
      <c r="I266" t="n">
        <v>0</v>
      </c>
      <c r="J266" t="n">
        <v>2</v>
      </c>
      <c r="K266" s="2" t="n">
        <v>44316</v>
      </c>
      <c r="L266" s="2" t="n">
        <v>44501</v>
      </c>
      <c r="M266" s="2" t="n">
        <v>44680</v>
      </c>
      <c r="N266" t="b">
        <v>0</v>
      </c>
      <c r="O266" t="n">
        <v>52</v>
      </c>
      <c r="P266" t="n">
        <v>73.01000000000001</v>
      </c>
      <c r="Q266" t="n">
        <v>51.78</v>
      </c>
      <c r="R266">
        <f>ROUND(O266-P266,2)</f>
        <v/>
      </c>
      <c r="S266">
        <f>ROUND(O266-Q266,2)</f>
        <v/>
      </c>
      <c r="T266" s="3">
        <f>IFERROR(P266/O266,"")</f>
        <v/>
      </c>
      <c r="U266" s="3">
        <f>IFERROR(Q266/O266,"")</f>
        <v/>
      </c>
      <c r="V266" t="n">
        <v>72</v>
      </c>
      <c r="W266" t="n">
        <v>40.99</v>
      </c>
      <c r="X266" t="n">
        <v>40.28</v>
      </c>
      <c r="Y266">
        <f>ROUND(V266-W266,2)</f>
        <v/>
      </c>
      <c r="Z266">
        <f>ROUND(V266-X266,2)</f>
        <v/>
      </c>
      <c r="AA266" s="3">
        <f>IFERROR(W266/V266,"")</f>
        <v/>
      </c>
      <c r="AB266" s="3">
        <f>IFERROR(X266/V266,"")</f>
        <v/>
      </c>
      <c r="AC266" t="b">
        <v>0</v>
      </c>
      <c r="AD266" t="b">
        <v>0</v>
      </c>
      <c r="AE266" t="b">
        <v>0</v>
      </c>
      <c r="AF266" t="inlineStr">
        <is>
          <t>No</t>
        </is>
      </c>
      <c r="AI266" t="b">
        <v>1</v>
      </c>
      <c r="AJ266" t="n">
        <v>0</v>
      </c>
      <c r="AK266" t="inlineStr">
        <is>
          <t>Julian Barthle is an experienced IT project manager as well as IT service manager. His core competencies lie in IT project management, IT architectures, IT service management, ITIL, and rollout management. He is characterized by a structured and goal-oriented way of working, acts in a solution-oriented manner, and can effectively connect, optimize, and manage IT and business units.</t>
        </is>
      </c>
      <c r="AL266" t="inlineStr">
        <is>
          <t>IT Information Technology (Hauke G.)</t>
        </is>
      </c>
      <c r="AM266" t="inlineStr">
        <is>
          <t>PO IT-Processes &amp; Organization (Sonja B.)</t>
        </is>
      </c>
      <c r="AN266" t="inlineStr">
        <is>
          <t>ITM IT-Management (Jörg M.)</t>
        </is>
      </c>
      <c r="AO266" t="inlineStr">
        <is>
          <t>bridgingIT GmbH</t>
        </is>
      </c>
      <c r="AP266" t="inlineStr">
        <is>
          <t>Stuttgart</t>
        </is>
      </c>
      <c r="AQ266" t="inlineStr">
        <is>
          <t>Sonja Bürkle</t>
        </is>
      </c>
    </row>
    <row r="267">
      <c r="A267" t="inlineStr">
        <is>
          <t>2207</t>
        </is>
      </c>
      <c r="B267" t="inlineStr">
        <is>
          <t>DEFA18</t>
        </is>
      </c>
      <c r="C267" t="inlineStr">
        <is>
          <t>https://app.matchical.com/Consulting/ConsultantDetail?ConsultantId=92b46caa-8c64-4f74-a350-ef156abd975c</t>
        </is>
      </c>
      <c r="D267" t="inlineStr">
        <is>
          <t>Julian Dahlbender</t>
        </is>
      </c>
      <c r="E267" t="inlineStr">
        <is>
          <t>julian.dahlbender@bridging-it.de</t>
        </is>
      </c>
      <c r="F267" s="2" t="n">
        <v>43191</v>
      </c>
      <c r="G267" s="2" t="n">
        <v>41000</v>
      </c>
      <c r="H267" t="n">
        <v>18</v>
      </c>
      <c r="I267" t="n">
        <v>0</v>
      </c>
      <c r="J267" t="n">
        <v>3</v>
      </c>
      <c r="K267" s="2" t="n">
        <v>44227</v>
      </c>
      <c r="L267" s="2" t="n">
        <v>44620</v>
      </c>
      <c r="M267" s="2" t="n">
        <v>44984</v>
      </c>
      <c r="N267" t="b">
        <v>0</v>
      </c>
      <c r="O267" t="n">
        <v>95</v>
      </c>
      <c r="P267" t="n">
        <v>260</v>
      </c>
      <c r="Q267" t="n">
        <v>94.81999999999999</v>
      </c>
      <c r="R267">
        <f>ROUND(O267-P267,2)</f>
        <v/>
      </c>
      <c r="S267">
        <f>ROUND(O267-Q267,2)</f>
        <v/>
      </c>
      <c r="T267" s="3">
        <f>IFERROR(P267/O267,"")</f>
        <v/>
      </c>
      <c r="U267" s="3">
        <f>IFERROR(Q267/O267,"")</f>
        <v/>
      </c>
      <c r="V267" t="n">
        <v>72</v>
      </c>
      <c r="W267" t="n">
        <v>82</v>
      </c>
      <c r="X267" t="n">
        <v>71.98</v>
      </c>
      <c r="Y267">
        <f>ROUND(V267-W267,2)</f>
        <v/>
      </c>
      <c r="Z267">
        <f>ROUND(V267-X267,2)</f>
        <v/>
      </c>
      <c r="AA267" s="3">
        <f>IFERROR(W267/V267,"")</f>
        <v/>
      </c>
      <c r="AB267" s="3">
        <f>IFERROR(X267/V267,"")</f>
        <v/>
      </c>
      <c r="AC267" t="b">
        <v>0</v>
      </c>
      <c r="AD267" t="b">
        <v>0</v>
      </c>
      <c r="AE267" t="b">
        <v>0</v>
      </c>
      <c r="AF267" t="inlineStr">
        <is>
          <t>No</t>
        </is>
      </c>
      <c r="AI267" t="b">
        <v>1</v>
      </c>
      <c r="AJ267" t="n">
        <v>0</v>
      </c>
      <c r="AK267" t="inlineStr">
        <is>
          <t>Strategy, Transformation &amp; Project Management. With some flexibility, up to 4 days per week can be accommodated, if a team can start in the background and is allowed to do so.</t>
        </is>
      </c>
      <c r="AL267" t="inlineStr">
        <is>
          <t>DO Digital Organizations (Michael H.)</t>
        </is>
      </c>
      <c r="AM267" t="inlineStr">
        <is>
          <t>BT Unit Management (Julian D.)</t>
        </is>
      </c>
      <c r="AN267" t="inlineStr">
        <is>
          <t>BT Business Transformation (Julian D.)</t>
        </is>
      </c>
      <c r="AO267" t="inlineStr">
        <is>
          <t>bridgingIT GmbH</t>
        </is>
      </c>
      <c r="AP267" t="inlineStr">
        <is>
          <t>Stuttgart</t>
        </is>
      </c>
      <c r="AQ267" t="inlineStr">
        <is>
          <t>Michael Hagenlocher</t>
        </is>
      </c>
    </row>
    <row r="268">
      <c r="A268" t="inlineStr">
        <is>
          <t>10339</t>
        </is>
      </c>
      <c r="B268" t="inlineStr">
        <is>
          <t>86078C</t>
        </is>
      </c>
      <c r="C268" t="inlineStr">
        <is>
          <t>https://app.matchical.com/Consulting/ConsultantDetail?ConsultantId=e1ef288e-f8ce-48e3-bd03-9a4137b25a58</t>
        </is>
      </c>
      <c r="D268" t="inlineStr">
        <is>
          <t>Julian Freier</t>
        </is>
      </c>
      <c r="E268" t="inlineStr">
        <is>
          <t>julian.freier@bridging-it.de</t>
        </is>
      </c>
      <c r="F268" s="2" t="n">
        <v>45597</v>
      </c>
      <c r="G268" s="2" t="n">
        <v>43405</v>
      </c>
      <c r="H268" t="n">
        <v>9</v>
      </c>
      <c r="I268" t="n">
        <v>0</v>
      </c>
      <c r="J268" t="n">
        <v>0</v>
      </c>
      <c r="L268" s="2" t="n">
        <v>45839</v>
      </c>
      <c r="M268" s="2" t="n">
        <v>45930</v>
      </c>
      <c r="N268" t="b">
        <v>0</v>
      </c>
      <c r="O268" t="n">
        <v>16</v>
      </c>
      <c r="P268" t="n">
        <v>17.83</v>
      </c>
      <c r="Q268" t="n">
        <v>15.77</v>
      </c>
      <c r="R268">
        <f>ROUND(O268-P268,2)</f>
        <v/>
      </c>
      <c r="S268">
        <f>ROUND(O268-Q268,2)</f>
        <v/>
      </c>
      <c r="T268" s="3">
        <f>IFERROR(P268/O268,"")</f>
        <v/>
      </c>
      <c r="U268" s="3">
        <f>IFERROR(Q268/O268,"")</f>
        <v/>
      </c>
      <c r="V268" t="n">
        <v>72</v>
      </c>
      <c r="W268" t="n">
        <v>69.95</v>
      </c>
      <c r="X268" t="n">
        <v>54.95</v>
      </c>
      <c r="Y268">
        <f>ROUND(V268-W268,2)</f>
        <v/>
      </c>
      <c r="Z268">
        <f>ROUND(V268-X268,2)</f>
        <v/>
      </c>
      <c r="AA268" s="3">
        <f>IFERROR(W268/V268,"")</f>
        <v/>
      </c>
      <c r="AB268" s="3">
        <f>IFERROR(X268/V268,"")</f>
        <v/>
      </c>
      <c r="AC268" t="b">
        <v>0</v>
      </c>
      <c r="AD268" t="b">
        <v>0</v>
      </c>
      <c r="AE268" t="b">
        <v>0</v>
      </c>
      <c r="AF268" t="inlineStr">
        <is>
          <t>Yes</t>
        </is>
      </c>
      <c r="AG268" s="2" t="n">
        <v>46235</v>
      </c>
      <c r="AI268" t="b">
        <v>1</v>
      </c>
      <c r="AJ268" t="n">
        <v>1.14</v>
      </c>
      <c r="AK268" t="inlineStr">
        <is>
          <t>Julian Freier is an experienced IT Service Manager with expertise in IT transformation projects. His focus areas include the setup of IT service desks, current IT solutions, hardware trends, IT service management, ITIL, and rollout management. He works goal-driven, identifies technical and business requirements, tracks market developments, and evaluates suitable IT solutions.</t>
        </is>
      </c>
      <c r="AL268" t="inlineStr">
        <is>
          <t>IT Information Technology (Hauke G.)</t>
        </is>
      </c>
      <c r="AM268" t="inlineStr">
        <is>
          <t>PO IT-Processes &amp; Organization (Sonja B.)</t>
        </is>
      </c>
      <c r="AN268" t="inlineStr">
        <is>
          <t>ITM IT-Management (Jörg M.)</t>
        </is>
      </c>
      <c r="AO268" t="inlineStr">
        <is>
          <t>bridgingIT GmbH</t>
        </is>
      </c>
      <c r="AP268" t="inlineStr">
        <is>
          <t>Stuttgart</t>
        </is>
      </c>
      <c r="AQ268" t="inlineStr">
        <is>
          <t>Sonja Bürkle</t>
        </is>
      </c>
    </row>
    <row r="269">
      <c r="A269" t="inlineStr">
        <is>
          <t>3250</t>
        </is>
      </c>
      <c r="B269" t="inlineStr">
        <is>
          <t>F397A2</t>
        </is>
      </c>
      <c r="C269" t="inlineStr">
        <is>
          <t>https://app.matchical.com/Consulting/ConsultantDetail?ConsultantId=9708f904-0197-4115-9870-1e1abfee28a0</t>
        </is>
      </c>
      <c r="D269" t="inlineStr">
        <is>
          <t>Julian Mood</t>
        </is>
      </c>
      <c r="E269" t="inlineStr">
        <is>
          <t>julian.mood@bridging-it.de</t>
        </is>
      </c>
      <c r="F269" s="2" t="n">
        <v>44713</v>
      </c>
      <c r="G269" s="2" t="n">
        <v>43657</v>
      </c>
      <c r="H269" t="n">
        <v>7</v>
      </c>
      <c r="I269" t="n">
        <v>0</v>
      </c>
      <c r="J269" t="n">
        <v>4</v>
      </c>
      <c r="K269" s="2" t="n">
        <v>44712</v>
      </c>
      <c r="L269" s="2" t="n">
        <v>44255</v>
      </c>
      <c r="M269" s="2" t="n">
        <v>44346</v>
      </c>
      <c r="N269" t="b">
        <v>0</v>
      </c>
      <c r="O269" t="n">
        <v>45</v>
      </c>
      <c r="P269" t="n">
        <v>144.97</v>
      </c>
      <c r="Q269" t="n">
        <v>44.81</v>
      </c>
      <c r="R269">
        <f>ROUND(O269-P269,2)</f>
        <v/>
      </c>
      <c r="S269">
        <f>ROUND(O269-Q269,2)</f>
        <v/>
      </c>
      <c r="T269" s="3">
        <f>IFERROR(P269/O269,"")</f>
        <v/>
      </c>
      <c r="U269" s="3">
        <f>IFERROR(Q269/O269,"")</f>
        <v/>
      </c>
      <c r="V269" t="n">
        <v>35</v>
      </c>
      <c r="W269" t="n">
        <v>16</v>
      </c>
      <c r="X269" t="n">
        <v>15.98</v>
      </c>
      <c r="Y269">
        <f>ROUND(V269-W269,2)</f>
        <v/>
      </c>
      <c r="Z269">
        <f>ROUND(V269-X269,2)</f>
        <v/>
      </c>
      <c r="AA269" s="3">
        <f>IFERROR(W269/V269,"")</f>
        <v/>
      </c>
      <c r="AB269" s="3">
        <f>IFERROR(X269/V269,"")</f>
        <v/>
      </c>
      <c r="AC269" t="b">
        <v>0</v>
      </c>
      <c r="AD269" t="b">
        <v>0</v>
      </c>
      <c r="AE269" t="b">
        <v>0</v>
      </c>
      <c r="AF269" t="inlineStr">
        <is>
          <t>No</t>
        </is>
      </c>
      <c r="AI269" t="b">
        <v>1</v>
      </c>
      <c r="AJ269" t="n">
        <v>0</v>
      </c>
      <c r="AK269" t="inlineStr"/>
      <c r="AL269" t="inlineStr">
        <is>
          <t>ORG bIT</t>
        </is>
      </c>
      <c r="AM269" t="inlineStr">
        <is>
          <t>SE Software Engineering Frankfurt (Steffen F.)</t>
        </is>
      </c>
      <c r="AN269" t="inlineStr">
        <is>
          <t>ES Enterprise Solutions (Dominik H.)</t>
        </is>
      </c>
      <c r="AO269" t="inlineStr">
        <is>
          <t>bridgingIT GmbH</t>
        </is>
      </c>
      <c r="AP269" t="inlineStr">
        <is>
          <t>Frankfurt</t>
        </is>
      </c>
      <c r="AQ269" t="inlineStr">
        <is>
          <t>Steffen Flick</t>
        </is>
      </c>
    </row>
    <row r="270">
      <c r="A270" t="inlineStr">
        <is>
          <t>3144</t>
        </is>
      </c>
      <c r="B270" t="inlineStr">
        <is>
          <t>6F8D05</t>
        </is>
      </c>
      <c r="C270" t="inlineStr">
        <is>
          <t>https://app.matchical.com/Consulting/ConsultantDetail?ConsultantId=576af32f-2eba-48fa-b4b9-ba5c93ef429e</t>
        </is>
      </c>
      <c r="D270" t="inlineStr">
        <is>
          <t>Julian Weidmann</t>
        </is>
      </c>
      <c r="E270" t="inlineStr">
        <is>
          <t>julian.weidmann@bridging-it.de</t>
        </is>
      </c>
      <c r="F270" s="2" t="n">
        <v>43040</v>
      </c>
      <c r="G270" s="2" t="n">
        <v>43040</v>
      </c>
      <c r="H270" t="n">
        <v>17</v>
      </c>
      <c r="I270" t="n">
        <v>0</v>
      </c>
      <c r="J270" t="n">
        <v>2</v>
      </c>
      <c r="K270" s="2" t="n">
        <v>44439</v>
      </c>
      <c r="L270" s="2" t="n">
        <v>44286</v>
      </c>
      <c r="M270" s="2" t="n">
        <v>44499</v>
      </c>
      <c r="N270" t="b">
        <v>0</v>
      </c>
      <c r="O270" t="n">
        <v>100</v>
      </c>
      <c r="P270" t="n">
        <v>220</v>
      </c>
      <c r="Q270" t="n">
        <v>99.78</v>
      </c>
      <c r="R270">
        <f>ROUND(O270-P270,2)</f>
        <v/>
      </c>
      <c r="S270">
        <f>ROUND(O270-Q270,2)</f>
        <v/>
      </c>
      <c r="T270" s="3">
        <f>IFERROR(P270/O270,"")</f>
        <v/>
      </c>
      <c r="U270" s="3">
        <f>IFERROR(Q270/O270,"")</f>
        <v/>
      </c>
      <c r="V270" t="n">
        <v>0</v>
      </c>
      <c r="W270" t="n">
        <v>0</v>
      </c>
      <c r="X270" t="n">
        <v>0</v>
      </c>
      <c r="Y270">
        <f>ROUND(V270-W270,2)</f>
        <v/>
      </c>
      <c r="Z270">
        <f>ROUND(V270-X270,2)</f>
        <v/>
      </c>
      <c r="AA270" s="3">
        <f>IFERROR(W270/V270,"")</f>
        <v/>
      </c>
      <c r="AB270" s="3">
        <f>IFERROR(X270/V270,"")</f>
        <v/>
      </c>
      <c r="AC270" t="b">
        <v>0</v>
      </c>
      <c r="AD270" t="b">
        <v>0</v>
      </c>
      <c r="AE270" t="b">
        <v>0</v>
      </c>
      <c r="AF270" t="inlineStr">
        <is>
          <t>No</t>
        </is>
      </c>
      <c r="AI270" t="b">
        <v>0</v>
      </c>
      <c r="AJ270" t="n">
        <v>0</v>
      </c>
      <c r="AK270" t="inlineStr">
        <is>
          <t>FULL-STACK Microsoft developer with experience in C#, Angular, JavaScript, SQL development. Looking for a development project, preferably something larger together with several bIT colleagues. Julian has further experience in K2, Azure Functions, and Node.js.</t>
        </is>
      </c>
      <c r="AL270" t="inlineStr">
        <is>
          <t>ORG bIT</t>
        </is>
      </c>
      <c r="AM270" t="inlineStr">
        <is>
          <t>SE Software Engineering Frankfurt (Steffen F.)</t>
        </is>
      </c>
      <c r="AN270" t="inlineStr">
        <is>
          <t>ES Enterprise Solutions (Dominik H.)</t>
        </is>
      </c>
      <c r="AO270" t="inlineStr">
        <is>
          <t>bridgingIT GmbH</t>
        </is>
      </c>
      <c r="AP270" t="inlineStr">
        <is>
          <t>Frankfurt</t>
        </is>
      </c>
      <c r="AQ270" t="inlineStr">
        <is>
          <t>Steffen Flick</t>
        </is>
      </c>
    </row>
    <row r="271">
      <c r="A271" t="inlineStr">
        <is>
          <t>4058</t>
        </is>
      </c>
      <c r="B271" t="inlineStr">
        <is>
          <t>E45C2F</t>
        </is>
      </c>
      <c r="C271" t="inlineStr">
        <is>
          <t>https://app.matchical.com/Consulting/ConsultantDetail?ConsultantId=55833c38-559c-401d-9ac2-c4bae64dc743</t>
        </is>
      </c>
      <c r="D271" t="inlineStr">
        <is>
          <t>Jürgen Jost</t>
        </is>
      </c>
      <c r="E271" t="inlineStr">
        <is>
          <t>juergen.jost@bridging-it.de</t>
        </is>
      </c>
      <c r="F271" s="2" t="n">
        <v>42644</v>
      </c>
      <c r="G271" s="2" t="n">
        <v>37242</v>
      </c>
      <c r="H271" t="n">
        <v>23</v>
      </c>
      <c r="I271" t="n">
        <v>0</v>
      </c>
      <c r="J271" t="n">
        <v>2</v>
      </c>
      <c r="K271" s="2" t="n">
        <v>44277</v>
      </c>
      <c r="L271" s="2" t="n">
        <v>44689</v>
      </c>
      <c r="M271" s="2" t="n">
        <v>45225</v>
      </c>
      <c r="N271" t="b">
        <v>0</v>
      </c>
      <c r="O271" t="n">
        <v>113</v>
      </c>
      <c r="P271" t="n">
        <v>167</v>
      </c>
      <c r="Q271" t="n">
        <v>112.79</v>
      </c>
      <c r="R271">
        <f>ROUND(O271-P271,2)</f>
        <v/>
      </c>
      <c r="S271">
        <f>ROUND(O271-Q271,2)</f>
        <v/>
      </c>
      <c r="T271" s="3">
        <f>IFERROR(P271/O271,"")</f>
        <v/>
      </c>
      <c r="U271" s="3">
        <f>IFERROR(Q271/O271,"")</f>
        <v/>
      </c>
      <c r="V271" t="n">
        <v>177</v>
      </c>
      <c r="W271" t="n">
        <v>163</v>
      </c>
      <c r="X271" t="n">
        <v>136</v>
      </c>
      <c r="Y271">
        <f>ROUND(V271-W271,2)</f>
        <v/>
      </c>
      <c r="Z271">
        <f>ROUND(V271-X271,2)</f>
        <v/>
      </c>
      <c r="AA271" s="3">
        <f>IFERROR(W271/V271,"")</f>
        <v/>
      </c>
      <c r="AB271" s="3">
        <f>IFERROR(X271/V271,"")</f>
        <v/>
      </c>
      <c r="AC271" t="b">
        <v>0</v>
      </c>
      <c r="AD271" t="b">
        <v>0</v>
      </c>
      <c r="AE271" t="b">
        <v>0</v>
      </c>
      <c r="AF271" t="inlineStr">
        <is>
          <t>Yes</t>
        </is>
      </c>
      <c r="AG271" s="2" t="n">
        <v>46143</v>
      </c>
      <c r="AI271" t="b">
        <v>1</v>
      </c>
      <c r="AJ271" t="n">
        <v>4.29</v>
      </c>
      <c r="AK271" t="inlineStr">
        <is>
          <t>Experienced Scrum Master / Agile Coach with a technical background as a former developer, looking to develop toward the RTE role, but has not yet worked in a SAFe environment.
Availability: Part-time Mon-Thu</t>
        </is>
      </c>
      <c r="AL271" t="inlineStr">
        <is>
          <t>ORG bIT Bayern</t>
        </is>
      </c>
      <c r="AM271" t="inlineStr">
        <is>
          <t>Agile Innovation - AIN (Simon S.)</t>
        </is>
      </c>
      <c r="AN271" t="inlineStr">
        <is>
          <t>BAT Business Agility &amp; Transformation (Marc S.)</t>
        </is>
      </c>
      <c r="AO271" t="inlineStr">
        <is>
          <t>bridgingIT GmbH</t>
        </is>
      </c>
      <c r="AP271" t="inlineStr">
        <is>
          <t>München</t>
        </is>
      </c>
      <c r="AQ271" t="inlineStr">
        <is>
          <t>Simon Sipple</t>
        </is>
      </c>
    </row>
    <row r="272">
      <c r="A272" t="inlineStr">
        <is>
          <t>10416</t>
        </is>
      </c>
      <c r="B272" t="inlineStr">
        <is>
          <t>1634F2</t>
        </is>
      </c>
      <c r="C272" t="inlineStr">
        <is>
          <t>https://app.matchical.com/Consulting/ConsultantDetail?ConsultantId=33618dac-7700-4bf9-bdc6-679308fa2955</t>
        </is>
      </c>
      <c r="D272" t="inlineStr">
        <is>
          <t>Kai Matzke</t>
        </is>
      </c>
      <c r="E272" t="inlineStr">
        <is>
          <t>kai.matzke@bridging-it.de</t>
        </is>
      </c>
      <c r="F272" s="2" t="n">
        <v>46054</v>
      </c>
      <c r="G272" s="2" t="n">
        <v>43282</v>
      </c>
      <c r="H272" t="n">
        <v>4</v>
      </c>
      <c r="I272" t="n">
        <v>0</v>
      </c>
      <c r="J272" t="n">
        <v>0</v>
      </c>
      <c r="L272" s="2" t="n">
        <v>45671</v>
      </c>
      <c r="M272" s="2" t="n">
        <v>46021</v>
      </c>
      <c r="N272" t="b">
        <v>0</v>
      </c>
      <c r="O272" t="n">
        <v>1</v>
      </c>
      <c r="P272" t="n">
        <v>0</v>
      </c>
      <c r="Q272" t="n">
        <v>0</v>
      </c>
      <c r="R272">
        <f>ROUND(O272-P272,2)</f>
        <v/>
      </c>
      <c r="S272">
        <f>ROUND(O272-Q272,2)</f>
        <v/>
      </c>
      <c r="T272" s="3">
        <f>IFERROR(P272/O272,"")</f>
        <v/>
      </c>
      <c r="U272" s="3">
        <f>IFERROR(Q272/O272,"")</f>
        <v/>
      </c>
      <c r="V272" t="n">
        <v>91</v>
      </c>
      <c r="W272" t="n">
        <v>36</v>
      </c>
      <c r="X272" t="n">
        <v>35</v>
      </c>
      <c r="Y272">
        <f>ROUND(V272-W272,2)</f>
        <v/>
      </c>
      <c r="Z272">
        <f>ROUND(V272-X272,2)</f>
        <v/>
      </c>
      <c r="AA272" s="3">
        <f>IFERROR(W272/V272,"")</f>
        <v/>
      </c>
      <c r="AB272" s="3">
        <f>IFERROR(X272/V272,"")</f>
        <v/>
      </c>
      <c r="AC272" t="b">
        <v>0</v>
      </c>
      <c r="AD272" t="b">
        <v>0</v>
      </c>
      <c r="AE272" t="b">
        <v>0</v>
      </c>
      <c r="AF272" t="inlineStr">
        <is>
          <t>Yes</t>
        </is>
      </c>
      <c r="AG272" s="2" t="n">
        <v>46054</v>
      </c>
      <c r="AI272" t="b">
        <v>1</v>
      </c>
      <c r="AJ272" t="n">
        <v>5</v>
      </c>
      <c r="AK272" t="inlineStr"/>
      <c r="AL272" t="inlineStr">
        <is>
          <t>IT Information Technology (Hauke G.)</t>
        </is>
      </c>
      <c r="AM272" t="inlineStr">
        <is>
          <t>PO IT-Processes &amp; Organization (Sonja B.)</t>
        </is>
      </c>
      <c r="AN272" t="inlineStr">
        <is>
          <t>ITM IT-Management (Jörg M.)</t>
        </is>
      </c>
      <c r="AO272" t="inlineStr">
        <is>
          <t>bridgingIT GmbH</t>
        </is>
      </c>
      <c r="AP272" t="inlineStr">
        <is>
          <t>Stuttgart</t>
        </is>
      </c>
      <c r="AQ272" t="inlineStr">
        <is>
          <t>Sonja Bürkle</t>
        </is>
      </c>
    </row>
    <row r="273">
      <c r="A273" t="inlineStr">
        <is>
          <t>2263</t>
        </is>
      </c>
      <c r="B273" t="inlineStr">
        <is>
          <t>A8EF06</t>
        </is>
      </c>
      <c r="C273" t="inlineStr">
        <is>
          <t>https://app.matchical.com/Consulting/ConsultantDetail?ConsultantId=725c0aed-52ea-4a6d-b754-64058f096024</t>
        </is>
      </c>
      <c r="D273" t="inlineStr">
        <is>
          <t>Kai-Uwe Scherer</t>
        </is>
      </c>
      <c r="E273" t="inlineStr">
        <is>
          <t>kai-uwe.scherer@bridging-it.de</t>
        </is>
      </c>
      <c r="F273" s="2" t="n">
        <v>43862</v>
      </c>
      <c r="G273" s="2" t="n">
        <v>33482</v>
      </c>
      <c r="H273" t="n">
        <v>10</v>
      </c>
      <c r="I273" t="n">
        <v>0</v>
      </c>
      <c r="J273" t="n">
        <v>0</v>
      </c>
      <c r="L273" s="2" t="n">
        <v>45019</v>
      </c>
      <c r="M273" s="2" t="n">
        <v>45472</v>
      </c>
      <c r="N273" t="b">
        <v>0</v>
      </c>
      <c r="O273" t="n">
        <v>73</v>
      </c>
      <c r="P273" t="n">
        <v>71</v>
      </c>
      <c r="Q273" t="n">
        <v>53</v>
      </c>
      <c r="R273">
        <f>ROUND(O273-P273,2)</f>
        <v/>
      </c>
      <c r="S273">
        <f>ROUND(O273-Q273,2)</f>
        <v/>
      </c>
      <c r="T273" s="3">
        <f>IFERROR(P273/O273,"")</f>
        <v/>
      </c>
      <c r="U273" s="3">
        <f>IFERROR(Q273/O273,"")</f>
        <v/>
      </c>
      <c r="V273" t="n">
        <v>341</v>
      </c>
      <c r="W273" t="n">
        <v>78</v>
      </c>
      <c r="X273" t="n">
        <v>78</v>
      </c>
      <c r="Y273">
        <f>ROUND(V273-W273,2)</f>
        <v/>
      </c>
      <c r="Z273">
        <f>ROUND(V273-X273,2)</f>
        <v/>
      </c>
      <c r="AA273" s="3">
        <f>IFERROR(W273/V273,"")</f>
        <v/>
      </c>
      <c r="AB273" s="3">
        <f>IFERROR(X273/V273,"")</f>
        <v/>
      </c>
      <c r="AC273" t="b">
        <v>0</v>
      </c>
      <c r="AD273" t="b">
        <v>0</v>
      </c>
      <c r="AE273" t="b">
        <v>0</v>
      </c>
      <c r="AF273" t="inlineStr">
        <is>
          <t>No</t>
        </is>
      </c>
      <c r="AI273" t="b">
        <v>0</v>
      </c>
      <c r="AJ273" t="n">
        <v>0</v>
      </c>
      <c r="AK273" t="inlineStr">
        <is>
          <t>Kai-Uwe is seeking a project, preferably in business analysis, process analysis, requirements management, and concept development. He has an eye for detail and accuracy and brings many years of extensive experience in agile projects, process digitization, on-premises databases (SQL), as well as low-code platforms.</t>
        </is>
      </c>
      <c r="AL273" t="inlineStr">
        <is>
          <t>DO Digital Organizations (Michael H.)</t>
        </is>
      </c>
      <c r="AM273" t="inlineStr">
        <is>
          <t>PD Process Digitalization II (Ralf Fr.)</t>
        </is>
      </c>
      <c r="AN273" t="inlineStr">
        <is>
          <t>DP Digital Processes (Hermann L.)</t>
        </is>
      </c>
      <c r="AO273" t="inlineStr">
        <is>
          <t>bridgingIT GmbH</t>
        </is>
      </c>
      <c r="AP273" t="inlineStr">
        <is>
          <t>Stuttgart</t>
        </is>
      </c>
      <c r="AQ273" t="inlineStr">
        <is>
          <t>Ralf Frotscher</t>
        </is>
      </c>
    </row>
    <row r="274">
      <c r="A274" t="inlineStr">
        <is>
          <t>10038</t>
        </is>
      </c>
      <c r="B274" t="inlineStr">
        <is>
          <t>D34E62</t>
        </is>
      </c>
      <c r="C274" t="inlineStr">
        <is>
          <t>https://app.matchical.com/Consulting/ConsultantDetail?ConsultantId=484cb5fd-bc46-4460-a1c6-608b1961a81d</t>
        </is>
      </c>
      <c r="D274" t="inlineStr">
        <is>
          <t>Kambiz Hashemian</t>
        </is>
      </c>
      <c r="E274" t="inlineStr">
        <is>
          <t>kambiz.hashemian@bridging-it.de</t>
        </is>
      </c>
      <c r="F274" s="2" t="n">
        <v>44896</v>
      </c>
      <c r="G274" s="2" t="n">
        <v>35431</v>
      </c>
      <c r="H274" t="n">
        <v>4</v>
      </c>
      <c r="I274" t="n">
        <v>0</v>
      </c>
      <c r="J274" t="n">
        <v>0</v>
      </c>
      <c r="L274" s="2" t="n">
        <v>44941</v>
      </c>
      <c r="M274" s="2" t="n">
        <v>45182</v>
      </c>
      <c r="N274" t="b">
        <v>0</v>
      </c>
      <c r="O274" t="n">
        <v>39</v>
      </c>
      <c r="P274" t="n">
        <v>8</v>
      </c>
      <c r="Q274" t="n">
        <v>8</v>
      </c>
      <c r="R274">
        <f>ROUND(O274-P274,2)</f>
        <v/>
      </c>
      <c r="S274">
        <f>ROUND(O274-Q274,2)</f>
        <v/>
      </c>
      <c r="T274" s="3">
        <f>IFERROR(P274/O274,"")</f>
        <v/>
      </c>
      <c r="U274" s="3">
        <f>IFERROR(Q274/O274,"")</f>
        <v/>
      </c>
      <c r="V274" t="n">
        <v>311</v>
      </c>
      <c r="W274" t="n">
        <v>158</v>
      </c>
      <c r="X274" t="n">
        <v>158</v>
      </c>
      <c r="Y274">
        <f>ROUND(V274-W274,2)</f>
        <v/>
      </c>
      <c r="Z274">
        <f>ROUND(V274-X274,2)</f>
        <v/>
      </c>
      <c r="AA274" s="3">
        <f>IFERROR(W274/V274,"")</f>
        <v/>
      </c>
      <c r="AB274" s="3">
        <f>IFERROR(X274/V274,"")</f>
        <v/>
      </c>
      <c r="AC274" t="b">
        <v>0</v>
      </c>
      <c r="AD274" t="b">
        <v>0</v>
      </c>
      <c r="AE274" t="b">
        <v>0</v>
      </c>
      <c r="AF274" t="inlineStr">
        <is>
          <t>No</t>
        </is>
      </c>
      <c r="AI274" t="b">
        <v>1</v>
      </c>
      <c r="AJ274" t="n">
        <v>0</v>
      </c>
      <c r="AK274" t="inlineStr"/>
      <c r="AL274" t="inlineStr">
        <is>
          <t>Sales BL</t>
        </is>
      </c>
      <c r="AM274" t="inlineStr">
        <is>
          <t>SAL Team Kernbach</t>
        </is>
      </c>
      <c r="AN274" t="inlineStr">
        <is>
          <t>Capability Management (Tim T.)</t>
        </is>
      </c>
      <c r="AO274" t="inlineStr">
        <is>
          <t>bridgingIT GmbH</t>
        </is>
      </c>
      <c r="AP274" t="inlineStr">
        <is>
          <t>Hamburg</t>
        </is>
      </c>
      <c r="AQ274" t="inlineStr">
        <is>
          <t>Andreas Kernbach</t>
        </is>
      </c>
    </row>
    <row r="275">
      <c r="A275" t="inlineStr">
        <is>
          <t>3003</t>
        </is>
      </c>
      <c r="B275" t="inlineStr">
        <is>
          <t>73819A</t>
        </is>
      </c>
      <c r="C275" t="inlineStr">
        <is>
          <t>https://app.matchical.com/Consulting/ConsultantDetail?ConsultantId=f37471f9-ea29-43bc-8379-0b126a684146</t>
        </is>
      </c>
      <c r="D275" t="inlineStr">
        <is>
          <t>Karina Löbbert</t>
        </is>
      </c>
      <c r="E275" t="inlineStr">
        <is>
          <t>karina.loebbert@bridging-it.de</t>
        </is>
      </c>
      <c r="F275" s="2" t="n">
        <v>39569</v>
      </c>
      <c r="G275" s="2" t="n">
        <v>33239</v>
      </c>
      <c r="H275" t="n">
        <v>26</v>
      </c>
      <c r="I275" t="n">
        <v>0</v>
      </c>
      <c r="J275" t="n">
        <v>1</v>
      </c>
      <c r="K275" s="2" t="n">
        <v>44561</v>
      </c>
      <c r="L275" s="2" t="n">
        <v>45777</v>
      </c>
      <c r="M275" s="2" t="n">
        <v>45837</v>
      </c>
      <c r="N275" t="b">
        <v>0</v>
      </c>
      <c r="O275" t="n">
        <v>214</v>
      </c>
      <c r="P275" t="n">
        <v>215.97</v>
      </c>
      <c r="Q275" t="n">
        <v>201.97</v>
      </c>
      <c r="R275">
        <f>ROUND(O275-P275,2)</f>
        <v/>
      </c>
      <c r="S275">
        <f>ROUND(O275-Q275,2)</f>
        <v/>
      </c>
      <c r="T275" s="3">
        <f>IFERROR(P275/O275,"")</f>
        <v/>
      </c>
      <c r="U275" s="3">
        <f>IFERROR(Q275/O275,"")</f>
        <v/>
      </c>
      <c r="V275" t="n">
        <v>208</v>
      </c>
      <c r="W275" t="n">
        <v>67.03</v>
      </c>
      <c r="X275" t="n">
        <v>53.03</v>
      </c>
      <c r="Y275">
        <f>ROUND(V275-W275,2)</f>
        <v/>
      </c>
      <c r="Z275">
        <f>ROUND(V275-X275,2)</f>
        <v/>
      </c>
      <c r="AA275" s="3">
        <f>IFERROR(W275/V275,"")</f>
        <v/>
      </c>
      <c r="AB275" s="3">
        <f>IFERROR(X275/V275,"")</f>
        <v/>
      </c>
      <c r="AC275" t="b">
        <v>0</v>
      </c>
      <c r="AD275" t="b">
        <v>0</v>
      </c>
      <c r="AE275" t="b">
        <v>0</v>
      </c>
      <c r="AF275" t="inlineStr">
        <is>
          <t>No</t>
        </is>
      </c>
      <c r="AI275" t="b">
        <v>1</v>
      </c>
      <c r="AJ275" t="n">
        <v>0</v>
      </c>
      <c r="AK275" t="inlineStr"/>
      <c r="AL275" t="inlineStr">
        <is>
          <t>ORG bIT</t>
        </is>
      </c>
      <c r="AM275" t="inlineStr">
        <is>
          <t>BABC - BA and Business Complexity (Karola B.)</t>
        </is>
      </c>
      <c r="AN275" t="inlineStr">
        <is>
          <t>ABC Analysing Business &amp; Collaboration (Edgar K.)</t>
        </is>
      </c>
      <c r="AO275" t="inlineStr">
        <is>
          <t>bridgingIT GmbH</t>
        </is>
      </c>
      <c r="AP275" t="inlineStr">
        <is>
          <t>Frankfurt</t>
        </is>
      </c>
      <c r="AQ275" t="inlineStr">
        <is>
          <t>Karola Bischof</t>
        </is>
      </c>
    </row>
    <row r="276">
      <c r="A276" t="inlineStr">
        <is>
          <t>3136</t>
        </is>
      </c>
      <c r="B276" t="inlineStr">
        <is>
          <t>64C592</t>
        </is>
      </c>
      <c r="C276" t="inlineStr">
        <is>
          <t>https://app.matchical.com/Consulting/ConsultantDetail?ConsultantId=15a32be4-632d-49d2-9680-3bda9f225205</t>
        </is>
      </c>
      <c r="D276" t="inlineStr">
        <is>
          <t>Karola Bischof</t>
        </is>
      </c>
      <c r="E276" t="inlineStr">
        <is>
          <t>karola.bischof@bridging-it.de</t>
        </is>
      </c>
      <c r="F276" s="2" t="n">
        <v>42856</v>
      </c>
      <c r="G276" s="2" t="n">
        <v>42826</v>
      </c>
      <c r="H276" t="n">
        <v>16</v>
      </c>
      <c r="I276" t="n">
        <v>0</v>
      </c>
      <c r="J276" t="n">
        <v>1</v>
      </c>
      <c r="K276" s="2" t="n">
        <v>45566</v>
      </c>
      <c r="L276" s="2" t="n">
        <v>44578</v>
      </c>
      <c r="M276" s="2" t="n">
        <v>45545</v>
      </c>
      <c r="N276" t="b">
        <v>0</v>
      </c>
      <c r="O276" t="n">
        <v>106</v>
      </c>
      <c r="P276" t="n">
        <v>143</v>
      </c>
      <c r="Q276" t="n">
        <v>103.33</v>
      </c>
      <c r="R276">
        <f>ROUND(O276-P276,2)</f>
        <v/>
      </c>
      <c r="S276">
        <f>ROUND(O276-Q276,2)</f>
        <v/>
      </c>
      <c r="T276" s="3">
        <f>IFERROR(P276/O276,"")</f>
        <v/>
      </c>
      <c r="U276" s="3">
        <f>IFERROR(Q276/O276,"")</f>
        <v/>
      </c>
      <c r="V276" t="n">
        <v>1</v>
      </c>
      <c r="W276" t="n">
        <v>0</v>
      </c>
      <c r="X276" t="n">
        <v>0</v>
      </c>
      <c r="Y276">
        <f>ROUND(V276-W276,2)</f>
        <v/>
      </c>
      <c r="Z276">
        <f>ROUND(V276-X276,2)</f>
        <v/>
      </c>
      <c r="AA276" s="3">
        <f>IFERROR(W276/V276,"")</f>
        <v/>
      </c>
      <c r="AB276" s="3">
        <f>IFERROR(X276/V276,"")</f>
        <v/>
      </c>
      <c r="AC276" t="b">
        <v>0</v>
      </c>
      <c r="AD276" t="b">
        <v>0</v>
      </c>
      <c r="AE276" t="b">
        <v>0</v>
      </c>
      <c r="AF276" t="inlineStr">
        <is>
          <t>No</t>
        </is>
      </c>
      <c r="AI276" t="b">
        <v>1</v>
      </c>
      <c r="AJ276" t="n">
        <v>0</v>
      </c>
      <c r="AK276" t="inlineStr"/>
      <c r="AL276" t="inlineStr">
        <is>
          <t>ORG bIT</t>
        </is>
      </c>
      <c r="AM276" t="inlineStr">
        <is>
          <t>BABC - BA and Business Complexity (Karola B.)</t>
        </is>
      </c>
      <c r="AN276" t="inlineStr">
        <is>
          <t>ABC Analysing Business &amp; Collaboration (Edgar K.)</t>
        </is>
      </c>
      <c r="AO276" t="inlineStr">
        <is>
          <t>bridgingIT GmbH</t>
        </is>
      </c>
      <c r="AP276" t="inlineStr">
        <is>
          <t>Frankfurt</t>
        </is>
      </c>
      <c r="AQ276" t="inlineStr">
        <is>
          <t>Edgar Kauz</t>
        </is>
      </c>
    </row>
    <row r="277">
      <c r="A277" t="inlineStr">
        <is>
          <t>2162</t>
        </is>
      </c>
      <c r="B277" t="inlineStr">
        <is>
          <t>26E20D</t>
        </is>
      </c>
      <c r="C277" t="inlineStr">
        <is>
          <t>https://app.matchical.com/Consulting/ConsultantDetail?ConsultantId=5265108d-ce8b-4a41-ad58-e9f92582b3b1</t>
        </is>
      </c>
      <c r="D277" t="inlineStr">
        <is>
          <t>Karsten Müller</t>
        </is>
      </c>
      <c r="E277" t="inlineStr">
        <is>
          <t>karsten.mueller@bridging-it.de</t>
        </is>
      </c>
      <c r="F277" s="2" t="n">
        <v>42736</v>
      </c>
      <c r="G277" s="2" t="n">
        <v>39692</v>
      </c>
      <c r="H277" t="n">
        <v>15</v>
      </c>
      <c r="I277" t="n">
        <v>0</v>
      </c>
      <c r="J277" t="n">
        <v>0</v>
      </c>
      <c r="L277" s="2" t="n">
        <v>44836</v>
      </c>
      <c r="M277" s="2" t="n">
        <v>45625</v>
      </c>
      <c r="N277" t="b">
        <v>0</v>
      </c>
      <c r="O277" t="n">
        <v>110</v>
      </c>
      <c r="P277" t="n">
        <v>135.92</v>
      </c>
      <c r="Q277" t="n">
        <v>96.73999999999999</v>
      </c>
      <c r="R277">
        <f>ROUND(O277-P277,2)</f>
        <v/>
      </c>
      <c r="S277">
        <f>ROUND(O277-Q277,2)</f>
        <v/>
      </c>
      <c r="T277" s="3">
        <f>IFERROR(P277/O277,"")</f>
        <v/>
      </c>
      <c r="U277" s="3">
        <f>IFERROR(Q277/O277,"")</f>
        <v/>
      </c>
      <c r="V277" t="n">
        <v>100</v>
      </c>
      <c r="W277" t="n">
        <v>127.08</v>
      </c>
      <c r="X277" t="n">
        <v>95.26000000000001</v>
      </c>
      <c r="Y277">
        <f>ROUND(V277-W277,2)</f>
        <v/>
      </c>
      <c r="Z277">
        <f>ROUND(V277-X277,2)</f>
        <v/>
      </c>
      <c r="AA277" s="3">
        <f>IFERROR(W277/V277,"")</f>
        <v/>
      </c>
      <c r="AB277" s="3">
        <f>IFERROR(X277/V277,"")</f>
        <v/>
      </c>
      <c r="AC277" t="b">
        <v>0</v>
      </c>
      <c r="AD277" t="b">
        <v>0</v>
      </c>
      <c r="AE277" t="b">
        <v>0</v>
      </c>
      <c r="AF277" t="inlineStr">
        <is>
          <t>No</t>
        </is>
      </c>
      <c r="AI277" t="b">
        <v>0</v>
      </c>
      <c r="AJ277" t="n">
        <v>0</v>
      </c>
      <c r="AK277" t="inlineStr"/>
      <c r="AL277" t="inlineStr">
        <is>
          <t>IT Information Technology (Hauke G.)</t>
        </is>
      </c>
      <c r="AM277" t="inlineStr">
        <is>
          <t>ITT IT-Transformation (Carmen D.)</t>
        </is>
      </c>
      <c r="AN277" t="inlineStr">
        <is>
          <t>ITM IT-Management (Jörg M.)</t>
        </is>
      </c>
      <c r="AO277" t="inlineStr">
        <is>
          <t>bridgingIT GmbH</t>
        </is>
      </c>
      <c r="AP277" t="inlineStr">
        <is>
          <t>Stuttgart</t>
        </is>
      </c>
      <c r="AQ277" t="inlineStr">
        <is>
          <t>Carmen Deubelbeiss</t>
        </is>
      </c>
    </row>
    <row r="278">
      <c r="A278" t="inlineStr">
        <is>
          <t>7041</t>
        </is>
      </c>
      <c r="B278" t="inlineStr">
        <is>
          <t>164811</t>
        </is>
      </c>
      <c r="C278" t="inlineStr">
        <is>
          <t>https://app.matchical.com/Consulting/ConsultantDetail?ConsultantId=51b641d5-34fc-4152-957d-9ee99b97a377</t>
        </is>
      </c>
      <c r="D278" t="inlineStr">
        <is>
          <t>Katarzyna Goszcz</t>
        </is>
      </c>
      <c r="E278" t="inlineStr">
        <is>
          <t>katarzyna.goszcz@bridging-it.de</t>
        </is>
      </c>
      <c r="F278" s="2" t="n">
        <v>44652</v>
      </c>
      <c r="G278" s="2" t="n">
        <v>37500</v>
      </c>
      <c r="H278" t="n">
        <v>11</v>
      </c>
      <c r="I278" t="n">
        <v>0</v>
      </c>
      <c r="J278" t="n">
        <v>1</v>
      </c>
      <c r="K278" s="2" t="n">
        <v>45173</v>
      </c>
      <c r="L278" s="2" t="n">
        <v>45180</v>
      </c>
      <c r="M278" s="2" t="n">
        <v>45291</v>
      </c>
      <c r="N278" t="b">
        <v>0</v>
      </c>
      <c r="O278" t="n">
        <v>47</v>
      </c>
      <c r="P278" t="n">
        <v>84.14</v>
      </c>
      <c r="Q278" t="n">
        <v>46.82</v>
      </c>
      <c r="R278">
        <f>ROUND(O278-P278,2)</f>
        <v/>
      </c>
      <c r="S278">
        <f>ROUND(O278-Q278,2)</f>
        <v/>
      </c>
      <c r="T278" s="3">
        <f>IFERROR(P278/O278,"")</f>
        <v/>
      </c>
      <c r="U278" s="3">
        <f>IFERROR(Q278/O278,"")</f>
        <v/>
      </c>
      <c r="V278" t="n">
        <v>235</v>
      </c>
      <c r="W278" t="n">
        <v>2.86</v>
      </c>
      <c r="X278" t="n">
        <v>1.82</v>
      </c>
      <c r="Y278">
        <f>ROUND(V278-W278,2)</f>
        <v/>
      </c>
      <c r="Z278">
        <f>ROUND(V278-X278,2)</f>
        <v/>
      </c>
      <c r="AA278" s="3">
        <f>IFERROR(W278/V278,"")</f>
        <v/>
      </c>
      <c r="AB278" s="3">
        <f>IFERROR(X278/V278,"")</f>
        <v/>
      </c>
      <c r="AC278" t="b">
        <v>0</v>
      </c>
      <c r="AD278" t="b">
        <v>0</v>
      </c>
      <c r="AE278" t="b">
        <v>0</v>
      </c>
      <c r="AF278" t="inlineStr">
        <is>
          <t>No</t>
        </is>
      </c>
      <c r="AI278" t="b">
        <v>1</v>
      </c>
      <c r="AJ278" t="n">
        <v>0</v>
      </c>
      <c r="AK278" t="inlineStr"/>
      <c r="AL278" t="inlineStr">
        <is>
          <t>ORG bIT</t>
        </is>
      </c>
      <c r="AM278" t="inlineStr">
        <is>
          <t>A&amp;PM Agility &amp; Project Management (Lutz K.)</t>
        </is>
      </c>
      <c r="AN278" t="inlineStr">
        <is>
          <t>TH Transformation Hub BLN (Ulrich W.)</t>
        </is>
      </c>
      <c r="AO278" t="inlineStr">
        <is>
          <t>bridgingIT GmbH</t>
        </is>
      </c>
      <c r="AP278" t="inlineStr">
        <is>
          <t>Berlin</t>
        </is>
      </c>
      <c r="AQ278" t="inlineStr">
        <is>
          <t>Lutz Kempf</t>
        </is>
      </c>
    </row>
    <row r="279">
      <c r="A279" t="inlineStr">
        <is>
          <t>3110</t>
        </is>
      </c>
      <c r="B279" t="inlineStr">
        <is>
          <t>7A7458</t>
        </is>
      </c>
      <c r="C279" t="inlineStr">
        <is>
          <t>https://app.matchical.com/Consulting/ConsultantDetail?ConsultantId=21bbd0dd-34c9-4b2e-b483-bbbd1e7f9493</t>
        </is>
      </c>
      <c r="D279" t="inlineStr">
        <is>
          <t>Katharina Gossen</t>
        </is>
      </c>
      <c r="E279" t="inlineStr">
        <is>
          <t>katharina.gossen@bridging-it.de</t>
        </is>
      </c>
      <c r="F279" s="2" t="n">
        <v>42461</v>
      </c>
      <c r="G279" s="2" t="n">
        <v>39692</v>
      </c>
      <c r="H279" t="n">
        <v>10</v>
      </c>
      <c r="I279" t="n">
        <v>0</v>
      </c>
      <c r="J279" t="n">
        <v>4</v>
      </c>
      <c r="K279" s="2" t="n">
        <v>43708</v>
      </c>
      <c r="L279" s="2" t="n">
        <v>43982</v>
      </c>
      <c r="M279" s="2" t="n">
        <v>44210</v>
      </c>
      <c r="N279" t="b">
        <v>0</v>
      </c>
      <c r="O279" t="n">
        <v>119</v>
      </c>
      <c r="P279" t="n">
        <v>253</v>
      </c>
      <c r="Q279" t="n">
        <v>106</v>
      </c>
      <c r="R279">
        <f>ROUND(O279-P279,2)</f>
        <v/>
      </c>
      <c r="S279">
        <f>ROUND(O279-Q279,2)</f>
        <v/>
      </c>
      <c r="T279" s="3">
        <f>IFERROR(P279/O279,"")</f>
        <v/>
      </c>
      <c r="U279" s="3">
        <f>IFERROR(Q279/O279,"")</f>
        <v/>
      </c>
      <c r="V279" t="n">
        <v>91</v>
      </c>
      <c r="W279" t="n">
        <v>78</v>
      </c>
      <c r="X279" t="n">
        <v>54</v>
      </c>
      <c r="Y279">
        <f>ROUND(V279-W279,2)</f>
        <v/>
      </c>
      <c r="Z279">
        <f>ROUND(V279-X279,2)</f>
        <v/>
      </c>
      <c r="AA279" s="3">
        <f>IFERROR(W279/V279,"")</f>
        <v/>
      </c>
      <c r="AB279" s="3">
        <f>IFERROR(X279/V279,"")</f>
        <v/>
      </c>
      <c r="AC279" t="b">
        <v>0</v>
      </c>
      <c r="AD279" t="b">
        <v>0</v>
      </c>
      <c r="AE279" t="b">
        <v>0</v>
      </c>
      <c r="AF279" t="inlineStr">
        <is>
          <t>No</t>
        </is>
      </c>
      <c r="AI279" t="b">
        <v>0</v>
      </c>
      <c r="AJ279" t="n">
        <v>0</v>
      </c>
      <c r="AK279" t="inlineStr">
        <is>
          <t>Please note for all inquiries: 3 days per week, thank you! Limited willingness to travel.</t>
        </is>
      </c>
      <c r="AL279" t="inlineStr">
        <is>
          <t>ORG bIT</t>
        </is>
      </c>
      <c r="AM279" t="inlineStr">
        <is>
          <t>AO Agile Organization (Katharina G.)</t>
        </is>
      </c>
      <c r="AN279" t="inlineStr">
        <is>
          <t>TH Transformation Hub (Ulrich W.)</t>
        </is>
      </c>
      <c r="AO279" t="inlineStr">
        <is>
          <t>bridgingIT GmbH</t>
        </is>
      </c>
      <c r="AP279" t="inlineStr">
        <is>
          <t>Frankfurt</t>
        </is>
      </c>
      <c r="AQ279" t="inlineStr">
        <is>
          <t>Ulrich Waltinger</t>
        </is>
      </c>
    </row>
    <row r="280">
      <c r="A280" t="inlineStr">
        <is>
          <t>1496</t>
        </is>
      </c>
      <c r="B280" t="inlineStr">
        <is>
          <t>F8EF94</t>
        </is>
      </c>
      <c r="C280" t="inlineStr">
        <is>
          <t>https://app.matchical.com/Consulting/ConsultantDetail?ConsultantId=31e1ba2e-aedd-41fb-848b-eda908b3c077</t>
        </is>
      </c>
      <c r="D280" t="inlineStr">
        <is>
          <t>Katharina Schneider</t>
        </is>
      </c>
      <c r="E280" t="inlineStr">
        <is>
          <t>katharina.schneider@bridging-it.de</t>
        </is>
      </c>
      <c r="F280" s="2" t="n">
        <v>44593</v>
      </c>
      <c r="G280" s="2" t="n">
        <v>43831</v>
      </c>
      <c r="H280" t="n">
        <v>5</v>
      </c>
      <c r="I280" t="n">
        <v>0</v>
      </c>
      <c r="J280" t="n">
        <v>0</v>
      </c>
      <c r="L280" s="2" t="n">
        <v>44651</v>
      </c>
      <c r="M280" s="2" t="n">
        <v>45656</v>
      </c>
      <c r="N280" t="b">
        <v>0</v>
      </c>
      <c r="O280" t="n">
        <v>49</v>
      </c>
      <c r="P280" t="n">
        <v>35.97</v>
      </c>
      <c r="Q280" t="n">
        <v>35.97</v>
      </c>
      <c r="R280">
        <f>ROUND(O280-P280,2)</f>
        <v/>
      </c>
      <c r="S280">
        <f>ROUND(O280-Q280,2)</f>
        <v/>
      </c>
      <c r="T280" s="3">
        <f>IFERROR(P280/O280,"")</f>
        <v/>
      </c>
      <c r="U280" s="3">
        <f>IFERROR(Q280/O280,"")</f>
        <v/>
      </c>
      <c r="V280" t="n">
        <v>25</v>
      </c>
      <c r="W280" t="n">
        <v>9.029999999999999</v>
      </c>
      <c r="X280" t="n">
        <v>9.029999999999999</v>
      </c>
      <c r="Y280">
        <f>ROUND(V280-W280,2)</f>
        <v/>
      </c>
      <c r="Z280">
        <f>ROUND(V280-X280,2)</f>
        <v/>
      </c>
      <c r="AA280" s="3">
        <f>IFERROR(W280/V280,"")</f>
        <v/>
      </c>
      <c r="AB280" s="3">
        <f>IFERROR(X280/V280,"")</f>
        <v/>
      </c>
      <c r="AC280" t="b">
        <v>0</v>
      </c>
      <c r="AD280" t="b">
        <v>0</v>
      </c>
      <c r="AE280" t="b">
        <v>0</v>
      </c>
      <c r="AF280" t="inlineStr">
        <is>
          <t>No</t>
        </is>
      </c>
      <c r="AG280" s="2" t="n">
        <v>46204</v>
      </c>
      <c r="AI280" t="b">
        <v>0</v>
      </c>
      <c r="AJ280" t="n">
        <v>4</v>
      </c>
      <c r="AK280" t="inlineStr">
        <is>
          <t>Role sought: ScrumMaster
Availability: Monday - Thursday, 8 hours/day (Part-time: 80%)
Current client: DB
Industry experience: Logistics</t>
        </is>
      </c>
      <c r="AL280" t="inlineStr">
        <is>
          <t>T&amp;A - Transformation &amp; Agility (Arne K.)</t>
        </is>
      </c>
      <c r="AM280" t="inlineStr">
        <is>
          <t>PACE – Project Agility &amp; Cont' Evolution (Jan H.)</t>
        </is>
      </c>
      <c r="AN280" t="inlineStr">
        <is>
          <t>A&amp;PM Agility &amp; Project Management (Jan H.)</t>
        </is>
      </c>
      <c r="AO280" t="inlineStr">
        <is>
          <t>bridgingIT GmbH</t>
        </is>
      </c>
      <c r="AP280" t="inlineStr">
        <is>
          <t>Mannheim</t>
        </is>
      </c>
      <c r="AQ280" t="inlineStr">
        <is>
          <t>Jan Heinemann</t>
        </is>
      </c>
    </row>
    <row r="281">
      <c r="A281" t="inlineStr">
        <is>
          <t>10187</t>
        </is>
      </c>
      <c r="B281" t="inlineStr">
        <is>
          <t>ADCDFB</t>
        </is>
      </c>
      <c r="C281" t="inlineStr">
        <is>
          <t>https://app.matchical.com/Consulting/ConsultantDetail?ConsultantId=0ae8f23b-0dd0-419a-807c-bd39dc9de231</t>
        </is>
      </c>
      <c r="D281" t="inlineStr">
        <is>
          <t>Katja Runge</t>
        </is>
      </c>
      <c r="E281" t="inlineStr">
        <is>
          <t>katja.runge@bridging-it.de</t>
        </is>
      </c>
      <c r="F281" s="2" t="n">
        <v>45200</v>
      </c>
      <c r="G281" s="2" t="n">
        <v>42217</v>
      </c>
      <c r="H281" t="n">
        <v>15</v>
      </c>
      <c r="I281" t="n">
        <v>0</v>
      </c>
      <c r="J281" t="n">
        <v>1</v>
      </c>
      <c r="K281" s="2" t="n">
        <v>45291</v>
      </c>
      <c r="L281" s="2" t="n">
        <v>45757</v>
      </c>
      <c r="M281" s="2" t="n">
        <v>46021</v>
      </c>
      <c r="N281" t="b">
        <v>0</v>
      </c>
      <c r="O281" t="n">
        <v>29</v>
      </c>
      <c r="P281" t="n">
        <v>47</v>
      </c>
      <c r="Q281" t="n">
        <v>28.81</v>
      </c>
      <c r="R281">
        <f>ROUND(O281-P281,2)</f>
        <v/>
      </c>
      <c r="S281">
        <f>ROUND(O281-Q281,2)</f>
        <v/>
      </c>
      <c r="T281" s="3">
        <f>IFERROR(P281/O281,"")</f>
        <v/>
      </c>
      <c r="U281" s="3">
        <f>IFERROR(Q281/O281,"")</f>
        <v/>
      </c>
      <c r="V281" t="n">
        <v>98</v>
      </c>
      <c r="W281" t="n">
        <v>180.97</v>
      </c>
      <c r="X281" t="n">
        <v>98</v>
      </c>
      <c r="Y281">
        <f>ROUND(V281-W281,2)</f>
        <v/>
      </c>
      <c r="Z281">
        <f>ROUND(V281-X281,2)</f>
        <v/>
      </c>
      <c r="AA281" s="3">
        <f>IFERROR(W281/V281,"")</f>
        <v/>
      </c>
      <c r="AB281" s="3">
        <f>IFERROR(X281/V281,"")</f>
        <v/>
      </c>
      <c r="AC281" t="b">
        <v>0</v>
      </c>
      <c r="AD281" t="b">
        <v>0</v>
      </c>
      <c r="AE281" t="b">
        <v>0</v>
      </c>
      <c r="AF281" t="inlineStr">
        <is>
          <t>No</t>
        </is>
      </c>
      <c r="AI281" t="b">
        <v>1</v>
      </c>
      <c r="AJ281" t="n">
        <v>0</v>
      </c>
      <c r="AK281" t="inlineStr"/>
      <c r="AL281" t="inlineStr">
        <is>
          <t>T&amp;A - Transformation &amp; Agility (Arne K.)</t>
        </is>
      </c>
      <c r="AM281" t="inlineStr">
        <is>
          <t>CTM – Change &amp; Transformationmgmt. HH (Katja R.)</t>
        </is>
      </c>
      <c r="AN281" t="inlineStr">
        <is>
          <t>A&amp;PM Agility &amp; Project Management (Jan H.)</t>
        </is>
      </c>
      <c r="AO281" t="inlineStr">
        <is>
          <t>bridgingIT GmbH</t>
        </is>
      </c>
      <c r="AP281" t="inlineStr">
        <is>
          <t>Hamburg</t>
        </is>
      </c>
      <c r="AQ281" t="inlineStr">
        <is>
          <t>Jan Heinemann</t>
        </is>
      </c>
    </row>
    <row r="282">
      <c r="A282" t="inlineStr">
        <is>
          <t>10166</t>
        </is>
      </c>
      <c r="B282" t="inlineStr">
        <is>
          <t>DC8147</t>
        </is>
      </c>
      <c r="C282" t="inlineStr">
        <is>
          <t>https://app.matchical.com/Consulting/ConsultantDetail?ConsultantId=502d62b6-2a47-4194-bb5a-b76a1329c94b</t>
        </is>
      </c>
      <c r="D282" t="inlineStr">
        <is>
          <t>Kerem Murat Yağar</t>
        </is>
      </c>
      <c r="E282" t="inlineStr">
        <is>
          <t>kerem.yagar@bridging-it.de</t>
        </is>
      </c>
      <c r="F282" s="2" t="n">
        <v>45306</v>
      </c>
      <c r="G282" s="2" t="n">
        <v>43160</v>
      </c>
      <c r="H282" t="n">
        <v>11</v>
      </c>
      <c r="I282" t="n">
        <v>0</v>
      </c>
      <c r="J282" t="n">
        <v>0</v>
      </c>
      <c r="L282" s="2" t="n">
        <v>45809</v>
      </c>
      <c r="M282" s="2" t="n">
        <v>45897</v>
      </c>
      <c r="N282" t="b">
        <v>0</v>
      </c>
      <c r="O282" t="n">
        <v>25</v>
      </c>
      <c r="P282" t="n">
        <v>31</v>
      </c>
      <c r="Q282" t="n">
        <v>18</v>
      </c>
      <c r="R282">
        <f>ROUND(O282-P282,2)</f>
        <v/>
      </c>
      <c r="S282">
        <f>ROUND(O282-Q282,2)</f>
        <v/>
      </c>
      <c r="T282" s="3">
        <f>IFERROR(P282/O282,"")</f>
        <v/>
      </c>
      <c r="U282" s="3">
        <f>IFERROR(Q282/O282,"")</f>
        <v/>
      </c>
      <c r="V282" t="n">
        <v>71</v>
      </c>
      <c r="W282" t="n">
        <v>156.93</v>
      </c>
      <c r="X282" t="n">
        <v>70.51000000000001</v>
      </c>
      <c r="Y282">
        <f>ROUND(V282-W282,2)</f>
        <v/>
      </c>
      <c r="Z282">
        <f>ROUND(V282-X282,2)</f>
        <v/>
      </c>
      <c r="AA282" s="3">
        <f>IFERROR(W282/V282,"")</f>
        <v/>
      </c>
      <c r="AB282" s="3">
        <f>IFERROR(X282/V282,"")</f>
        <v/>
      </c>
      <c r="AC282" t="b">
        <v>0</v>
      </c>
      <c r="AD282" t="b">
        <v>0</v>
      </c>
      <c r="AE282" t="b">
        <v>0</v>
      </c>
      <c r="AF282" t="inlineStr">
        <is>
          <t>No</t>
        </is>
      </c>
      <c r="AI282" t="b">
        <v>1</v>
      </c>
      <c r="AJ282" t="n">
        <v>0</v>
      </c>
      <c r="AK282" t="inlineStr">
        <is>
          <t>Expert in information security. Experience in ISO/IEC 27001, BSI-Grundschutz and TISAX.</t>
        </is>
      </c>
      <c r="AL282" t="inlineStr">
        <is>
          <t>IT Information Technology (Hauke G.)</t>
        </is>
      </c>
      <c r="AM282" t="inlineStr">
        <is>
          <t>CIS Compliance &amp; Information Security (David T.)</t>
        </is>
      </c>
      <c r="AN282" t="inlineStr">
        <is>
          <t>GRC IT-GRC (Erhan N.)</t>
        </is>
      </c>
      <c r="AO282" t="inlineStr">
        <is>
          <t>bridgingIT GmbH</t>
        </is>
      </c>
      <c r="AP282" t="inlineStr">
        <is>
          <t>Stuttgart</t>
        </is>
      </c>
      <c r="AQ282" t="inlineStr">
        <is>
          <t>David Turan</t>
        </is>
      </c>
    </row>
    <row r="283">
      <c r="A283" t="inlineStr">
        <is>
          <t>8350</t>
        </is>
      </c>
      <c r="B283" t="inlineStr">
        <is>
          <t>27C42B</t>
        </is>
      </c>
      <c r="C283" t="inlineStr">
        <is>
          <t>https://app.matchical.com/Consulting/ConsultantDetail?ConsultantId=8370bb43-fc0f-4334-8801-a57a6a783f4f</t>
        </is>
      </c>
      <c r="D283" t="inlineStr">
        <is>
          <t>Khaldon Almedani</t>
        </is>
      </c>
      <c r="E283" t="inlineStr">
        <is>
          <t>khaldon.almedani@crafting-it.de</t>
        </is>
      </c>
      <c r="F283" s="2" t="n">
        <v>43132</v>
      </c>
      <c r="G283" s="2" t="n">
        <v>37834</v>
      </c>
      <c r="H283" t="n">
        <v>5</v>
      </c>
      <c r="I283" t="n">
        <v>0</v>
      </c>
      <c r="J283" t="n">
        <v>0</v>
      </c>
      <c r="L283" s="2" t="n">
        <v>45292</v>
      </c>
      <c r="M283" s="2" t="n">
        <v>45657</v>
      </c>
      <c r="N283" t="b">
        <v>0</v>
      </c>
      <c r="O283" t="n">
        <v>97</v>
      </c>
      <c r="P283" t="n">
        <v>52</v>
      </c>
      <c r="Q283" t="n">
        <v>12</v>
      </c>
      <c r="R283">
        <f>ROUND(O283-P283,2)</f>
        <v/>
      </c>
      <c r="S283">
        <f>ROUND(O283-Q283,2)</f>
        <v/>
      </c>
      <c r="T283" s="3">
        <f>IFERROR(P283/O283,"")</f>
        <v/>
      </c>
      <c r="U283" s="3">
        <f>IFERROR(Q283/O283,"")</f>
        <v/>
      </c>
      <c r="V283" t="n">
        <v>174</v>
      </c>
      <c r="W283" t="n">
        <v>0</v>
      </c>
      <c r="X283" t="n">
        <v>0</v>
      </c>
      <c r="Y283">
        <f>ROUND(V283-W283,2)</f>
        <v/>
      </c>
      <c r="Z283">
        <f>ROUND(V283-X283,2)</f>
        <v/>
      </c>
      <c r="AA283" s="3">
        <f>IFERROR(W283/V283,"")</f>
        <v/>
      </c>
      <c r="AB283" s="3">
        <f>IFERROR(X283/V283,"")</f>
        <v/>
      </c>
      <c r="AC283" t="b">
        <v>0</v>
      </c>
      <c r="AD283" t="b">
        <v>0</v>
      </c>
      <c r="AE283" t="b">
        <v>0</v>
      </c>
      <c r="AF283" t="inlineStr">
        <is>
          <t>No</t>
        </is>
      </c>
      <c r="AI283" t="b">
        <v>1</v>
      </c>
      <c r="AJ283" t="n">
        <v>0</v>
      </c>
      <c r="AK283" t="inlineStr"/>
      <c r="AL283" t="inlineStr">
        <is>
          <t>ORG cIT</t>
        </is>
      </c>
      <c r="AM283" t="inlineStr">
        <is>
          <t>cIT IT Services</t>
        </is>
      </c>
      <c r="AN283" t="inlineStr">
        <is>
          <t>cIT Service Delivery Magdeburg (Steffen A.)</t>
        </is>
      </c>
      <c r="AO283" t="inlineStr">
        <is>
          <t>craftingIT GmbH</t>
        </is>
      </c>
      <c r="AP283" t="inlineStr">
        <is>
          <t>Magdeburg</t>
        </is>
      </c>
      <c r="AQ283" t="inlineStr">
        <is>
          <t>Marcel Kelle</t>
        </is>
      </c>
    </row>
    <row r="284">
      <c r="A284" t="inlineStr">
        <is>
          <t>10419</t>
        </is>
      </c>
      <c r="B284" t="inlineStr">
        <is>
          <t>F44BDA</t>
        </is>
      </c>
      <c r="C284" t="inlineStr">
        <is>
          <t>https://app.matchical.com/Consulting/ConsultantDetail?ConsultantId=44f8cbe5-35a1-42c8-b0d0-ad21ba75d25c</t>
        </is>
      </c>
      <c r="D284" t="inlineStr">
        <is>
          <t>Kim Jannik Horn</t>
        </is>
      </c>
      <c r="E284" t="inlineStr">
        <is>
          <t>kim.jannik.horn@bridging-it.de</t>
        </is>
      </c>
      <c r="F284" s="2" t="n">
        <v>46054</v>
      </c>
      <c r="G284" s="2" t="n">
        <v>44593</v>
      </c>
      <c r="H284" t="n">
        <v>8</v>
      </c>
      <c r="I284" t="n">
        <v>0</v>
      </c>
      <c r="J284" t="n">
        <v>0</v>
      </c>
      <c r="L284" s="2" t="n">
        <v>45565</v>
      </c>
      <c r="M284" s="2" t="n">
        <v>46021</v>
      </c>
      <c r="N284" t="b">
        <v>0</v>
      </c>
      <c r="O284" t="n">
        <v>1</v>
      </c>
      <c r="P284" t="n">
        <v>0</v>
      </c>
      <c r="Q284" t="n">
        <v>0</v>
      </c>
      <c r="R284">
        <f>ROUND(O284-P284,2)</f>
        <v/>
      </c>
      <c r="S284">
        <f>ROUND(O284-Q284,2)</f>
        <v/>
      </c>
      <c r="T284" s="3">
        <f>IFERROR(P284/O284,"")</f>
        <v/>
      </c>
      <c r="U284" s="3">
        <f>IFERROR(Q284/O284,"")</f>
        <v/>
      </c>
      <c r="V284" t="n">
        <v>48</v>
      </c>
      <c r="W284" t="n">
        <v>56</v>
      </c>
      <c r="X284" t="n">
        <v>34</v>
      </c>
      <c r="Y284">
        <f>ROUND(V284-W284,2)</f>
        <v/>
      </c>
      <c r="Z284">
        <f>ROUND(V284-X284,2)</f>
        <v/>
      </c>
      <c r="AA284" s="3">
        <f>IFERROR(W284/V284,"")</f>
        <v/>
      </c>
      <c r="AB284" s="3">
        <f>IFERROR(X284/V284,"")</f>
        <v/>
      </c>
      <c r="AC284" t="b">
        <v>0</v>
      </c>
      <c r="AD284" t="b">
        <v>0</v>
      </c>
      <c r="AE284" t="b">
        <v>0</v>
      </c>
      <c r="AF284" t="inlineStr">
        <is>
          <t>Yes</t>
        </is>
      </c>
      <c r="AG284" s="2" t="n">
        <v>46054</v>
      </c>
      <c r="AI284" t="b">
        <v>1</v>
      </c>
      <c r="AJ284" t="n">
        <v>5</v>
      </c>
      <c r="AK284" t="inlineStr">
        <is>
          <t>Available at 50 Hz</t>
        </is>
      </c>
      <c r="AL284" t="inlineStr">
        <is>
          <t>IT - Information Technology (HH)</t>
        </is>
      </c>
      <c r="AM284" t="inlineStr">
        <is>
          <t>CRM II - Platform Solutions &amp; CRM (Ines M.)</t>
        </is>
      </c>
      <c r="AN284" t="inlineStr">
        <is>
          <t>BAA HH (Torben H.)</t>
        </is>
      </c>
      <c r="AO284" t="inlineStr">
        <is>
          <t>bridgingIT GmbH</t>
        </is>
      </c>
      <c r="AP284" t="inlineStr">
        <is>
          <t>Hamburg</t>
        </is>
      </c>
      <c r="AQ284" t="inlineStr">
        <is>
          <t>Markus Stefan</t>
        </is>
      </c>
    </row>
    <row r="285">
      <c r="A285" t="inlineStr">
        <is>
          <t>1481</t>
        </is>
      </c>
      <c r="B285" t="inlineStr">
        <is>
          <t>B6ADA6</t>
        </is>
      </c>
      <c r="C285" t="inlineStr">
        <is>
          <t>https://app.matchical.com/Consulting/ConsultantDetail?ConsultantId=f8233233-0fa2-4679-87fd-7954e05c3991</t>
        </is>
      </c>
      <c r="D285" t="inlineStr">
        <is>
          <t>Kim Schäper</t>
        </is>
      </c>
      <c r="E285" t="inlineStr">
        <is>
          <t>kim.schaeper@bridging-it.de</t>
        </is>
      </c>
      <c r="F285" s="2" t="n">
        <v>44287</v>
      </c>
      <c r="G285" s="2" t="n">
        <v>43160</v>
      </c>
      <c r="H285" t="n">
        <v>9</v>
      </c>
      <c r="I285" t="n">
        <v>0</v>
      </c>
      <c r="J285" t="n">
        <v>2</v>
      </c>
      <c r="K285" s="2" t="n">
        <v>45016</v>
      </c>
      <c r="L285" s="2" t="n">
        <v>44926</v>
      </c>
      <c r="M285" s="2" t="n">
        <v>45503</v>
      </c>
      <c r="N285" t="b">
        <v>0</v>
      </c>
      <c r="O285" t="n">
        <v>59</v>
      </c>
      <c r="P285" t="n">
        <v>110.51</v>
      </c>
      <c r="Q285" t="n">
        <v>58.51</v>
      </c>
      <c r="R285">
        <f>ROUND(O285-P285,2)</f>
        <v/>
      </c>
      <c r="S285">
        <f>ROUND(O285-Q285,2)</f>
        <v/>
      </c>
      <c r="T285" s="3">
        <f>IFERROR(P285/O285,"")</f>
        <v/>
      </c>
      <c r="U285" s="3">
        <f>IFERROR(Q285/O285,"")</f>
        <v/>
      </c>
      <c r="V285" t="n">
        <v>37</v>
      </c>
      <c r="W285" t="n">
        <v>18.39</v>
      </c>
      <c r="X285" t="n">
        <v>13.45</v>
      </c>
      <c r="Y285">
        <f>ROUND(V285-W285,2)</f>
        <v/>
      </c>
      <c r="Z285">
        <f>ROUND(V285-X285,2)</f>
        <v/>
      </c>
      <c r="AA285" s="3">
        <f>IFERROR(W285/V285,"")</f>
        <v/>
      </c>
      <c r="AB285" s="3">
        <f>IFERROR(X285/V285,"")</f>
        <v/>
      </c>
      <c r="AC285" t="b">
        <v>0</v>
      </c>
      <c r="AD285" t="b">
        <v>0</v>
      </c>
      <c r="AE285" t="b">
        <v>0</v>
      </c>
      <c r="AF285" t="inlineStr">
        <is>
          <t>No</t>
        </is>
      </c>
      <c r="AI285" t="b">
        <v>1</v>
      </c>
      <c r="AJ285" t="n">
        <v>0</v>
      </c>
      <c r="AK285" t="inlineStr"/>
      <c r="AL285" t="inlineStr">
        <is>
          <t>T&amp;A - Transformation &amp; Agility (Arne K.)</t>
        </is>
      </c>
      <c r="AM285" t="inlineStr">
        <is>
          <t>E2E PM – Project &amp; Process Mgt. (Jennifer B.)</t>
        </is>
      </c>
      <c r="AN285" t="inlineStr">
        <is>
          <t>TBC - Transforming Business Concepts (Bastian T.)</t>
        </is>
      </c>
      <c r="AO285" t="inlineStr">
        <is>
          <t>bridgingIT GmbH</t>
        </is>
      </c>
      <c r="AP285" t="inlineStr">
        <is>
          <t>Mannheim</t>
        </is>
      </c>
      <c r="AQ285" t="inlineStr">
        <is>
          <t>Jennifer Bürgel</t>
        </is>
      </c>
    </row>
    <row r="286">
      <c r="A286" t="inlineStr">
        <is>
          <t>7025</t>
        </is>
      </c>
      <c r="B286" t="inlineStr">
        <is>
          <t>ECFA5F</t>
        </is>
      </c>
      <c r="C286" t="inlineStr">
        <is>
          <t>https://app.matchical.com/Consulting/ConsultantDetail?ConsultantId=ebb672f1-2588-44f9-a2e0-883402522f56</t>
        </is>
      </c>
      <c r="D286" t="inlineStr">
        <is>
          <t>Klaus Grotz</t>
        </is>
      </c>
      <c r="E286" t="inlineStr">
        <is>
          <t>klaus.grotz@fastahead.com</t>
        </is>
      </c>
      <c r="F286" s="2" t="n">
        <v>44013</v>
      </c>
      <c r="G286" s="2" t="n">
        <v>35977</v>
      </c>
      <c r="H286" t="n">
        <v>13</v>
      </c>
      <c r="I286" t="n">
        <v>0</v>
      </c>
      <c r="J286" t="n">
        <v>0</v>
      </c>
      <c r="L286" s="2" t="n">
        <v>45915</v>
      </c>
      <c r="M286" s="2" t="n">
        <v>46022</v>
      </c>
      <c r="N286" t="b">
        <v>0</v>
      </c>
      <c r="O286" t="n">
        <v>68</v>
      </c>
      <c r="P286" t="n">
        <v>81.84</v>
      </c>
      <c r="Q286" t="n">
        <v>48.89</v>
      </c>
      <c r="R286">
        <f>ROUND(O286-P286,2)</f>
        <v/>
      </c>
      <c r="S286">
        <f>ROUND(O286-Q286,2)</f>
        <v/>
      </c>
      <c r="T286" s="3">
        <f>IFERROR(P286/O286,"")</f>
        <v/>
      </c>
      <c r="U286" s="3">
        <f>IFERROR(Q286/O286,"")</f>
        <v/>
      </c>
      <c r="V286" t="n">
        <v>264</v>
      </c>
      <c r="W286" t="n">
        <v>169.03</v>
      </c>
      <c r="X286" t="n">
        <v>85.03</v>
      </c>
      <c r="Y286">
        <f>ROUND(V286-W286,2)</f>
        <v/>
      </c>
      <c r="Z286">
        <f>ROUND(V286-X286,2)</f>
        <v/>
      </c>
      <c r="AA286" s="3">
        <f>IFERROR(W286/V286,"")</f>
        <v/>
      </c>
      <c r="AB286" s="3">
        <f>IFERROR(X286/V286,"")</f>
        <v/>
      </c>
      <c r="AC286" t="b">
        <v>0</v>
      </c>
      <c r="AD286" t="b">
        <v>0</v>
      </c>
      <c r="AE286" t="b">
        <v>0</v>
      </c>
      <c r="AF286" t="inlineStr">
        <is>
          <t>Yes</t>
        </is>
      </c>
      <c r="AG286" s="2" t="n">
        <v>46023</v>
      </c>
      <c r="AH286" s="2" t="n">
        <v>46387</v>
      </c>
      <c r="AI286" t="b">
        <v>0</v>
      </c>
      <c r="AJ286" t="n">
        <v>5</v>
      </c>
      <c r="AK286" t="inlineStr">
        <is>
          <t>Please request the profile directly from Klaus Grotz.</t>
        </is>
      </c>
      <c r="AL286" t="inlineStr">
        <is>
          <t>ORG fastahead GmbH &amp; Co. KG</t>
        </is>
      </c>
      <c r="AM286" t="inlineStr">
        <is>
          <t>Principals</t>
        </is>
      </c>
      <c r="AN286" t="inlineStr">
        <is>
          <t>fah Dr. Michaela Warsitz</t>
        </is>
      </c>
      <c r="AO286" t="inlineStr">
        <is>
          <t>fastahead GmbH &amp; Co. KG</t>
        </is>
      </c>
      <c r="AP286" t="inlineStr">
        <is>
          <t>Stuttgart</t>
        </is>
      </c>
      <c r="AQ286" t="inlineStr">
        <is>
          <t>Michaela Warsitz</t>
        </is>
      </c>
    </row>
    <row r="287">
      <c r="A287" t="inlineStr">
        <is>
          <t>2063</t>
        </is>
      </c>
      <c r="B287" t="inlineStr">
        <is>
          <t>6655BE</t>
        </is>
      </c>
      <c r="C287" t="inlineStr">
        <is>
          <t>https://app.matchical.com/Consulting/ConsultantDetail?ConsultantId=b02feead-577b-4f05-9cb9-408fb6f077d1</t>
        </is>
      </c>
      <c r="D287" t="inlineStr">
        <is>
          <t>Klaus Merklinger</t>
        </is>
      </c>
      <c r="E287" t="inlineStr">
        <is>
          <t>klaus.merklinger@bridging-it.de</t>
        </is>
      </c>
      <c r="F287" s="2" t="n">
        <v>41275</v>
      </c>
      <c r="G287" s="2" t="n">
        <v>39873</v>
      </c>
      <c r="H287" t="n">
        <v>7</v>
      </c>
      <c r="I287" t="n">
        <v>0</v>
      </c>
      <c r="J287" t="n">
        <v>0</v>
      </c>
      <c r="L287" s="2" t="n">
        <v>44927</v>
      </c>
      <c r="M287" s="2" t="n">
        <v>46021</v>
      </c>
      <c r="N287" t="b">
        <v>0</v>
      </c>
      <c r="O287" t="n">
        <v>158</v>
      </c>
      <c r="P287" t="n">
        <v>171.98</v>
      </c>
      <c r="Q287" t="n">
        <v>146.09</v>
      </c>
      <c r="R287">
        <f>ROUND(O287-P287,2)</f>
        <v/>
      </c>
      <c r="S287">
        <f>ROUND(O287-Q287,2)</f>
        <v/>
      </c>
      <c r="T287" s="3">
        <f>IFERROR(P287/O287,"")</f>
        <v/>
      </c>
      <c r="U287" s="3">
        <f>IFERROR(Q287/O287,"")</f>
        <v/>
      </c>
      <c r="V287" t="n">
        <v>46</v>
      </c>
      <c r="W287" t="n">
        <v>1.02</v>
      </c>
      <c r="X287" t="n">
        <v>0.91</v>
      </c>
      <c r="Y287">
        <f>ROUND(V287-W287,2)</f>
        <v/>
      </c>
      <c r="Z287">
        <f>ROUND(V287-X287,2)</f>
        <v/>
      </c>
      <c r="AA287" s="3">
        <f>IFERROR(W287/V287,"")</f>
        <v/>
      </c>
      <c r="AB287" s="3">
        <f>IFERROR(X287/V287,"")</f>
        <v/>
      </c>
      <c r="AC287" t="b">
        <v>0</v>
      </c>
      <c r="AD287" t="b">
        <v>0</v>
      </c>
      <c r="AE287" t="b">
        <v>0</v>
      </c>
      <c r="AF287" t="inlineStr">
        <is>
          <t>No</t>
        </is>
      </c>
      <c r="AI287" t="b">
        <v>0</v>
      </c>
      <c r="AJ287" t="n">
        <v>5</v>
      </c>
      <c r="AK287" t="inlineStr">
        <is>
          <t>Looking for a .NET (Backend) project, or as a junior for Angular Front-End, with supervision.</t>
        </is>
      </c>
      <c r="AL287" t="inlineStr">
        <is>
          <t>ES Enterprise Solutions (Gina H.)</t>
        </is>
      </c>
      <c r="AM287" t="inlineStr">
        <is>
          <t>IEM .Net II (Aleksandar B.)</t>
        </is>
      </c>
      <c r="AN287" t="inlineStr">
        <is>
          <t>IEJ Individualentwicklung JAVA (Dominik S.)</t>
        </is>
      </c>
      <c r="AO287" t="inlineStr">
        <is>
          <t>bridgingIT GmbH</t>
        </is>
      </c>
      <c r="AP287" t="inlineStr">
        <is>
          <t>Stuttgart</t>
        </is>
      </c>
      <c r="AQ287" t="inlineStr">
        <is>
          <t>Aleksandar Blagojevic</t>
        </is>
      </c>
    </row>
    <row r="288">
      <c r="A288" t="inlineStr">
        <is>
          <t>4141</t>
        </is>
      </c>
      <c r="B288" t="inlineStr">
        <is>
          <t>60181E</t>
        </is>
      </c>
      <c r="C288" t="inlineStr">
        <is>
          <t>https://app.matchical.com/Consulting/ConsultantDetail?ConsultantId=5eb6013c-6dda-4fbb-a2d8-3c6025403c0a</t>
        </is>
      </c>
      <c r="D288" t="inlineStr">
        <is>
          <t>Kurt Brandl</t>
        </is>
      </c>
      <c r="E288" t="inlineStr">
        <is>
          <t>kurt.brandl@bridging-it.de</t>
        </is>
      </c>
      <c r="F288" s="2" t="n">
        <v>44713</v>
      </c>
      <c r="G288" s="2" t="n">
        <v>42370</v>
      </c>
      <c r="H288" t="n">
        <v>10</v>
      </c>
      <c r="I288" t="n">
        <v>0</v>
      </c>
      <c r="J288" t="n">
        <v>2</v>
      </c>
      <c r="K288" s="2" t="n">
        <v>44196</v>
      </c>
      <c r="L288" s="2" t="n">
        <v>45291</v>
      </c>
      <c r="M288" s="2" t="n">
        <v>45442</v>
      </c>
      <c r="N288" t="b">
        <v>0</v>
      </c>
      <c r="O288" t="n">
        <v>45</v>
      </c>
      <c r="P288" t="n">
        <v>93.23</v>
      </c>
      <c r="Q288" t="n">
        <v>44.81</v>
      </c>
      <c r="R288">
        <f>ROUND(O288-P288,2)</f>
        <v/>
      </c>
      <c r="S288">
        <f>ROUND(O288-Q288,2)</f>
        <v/>
      </c>
      <c r="T288" s="3">
        <f>IFERROR(P288/O288,"")</f>
        <v/>
      </c>
      <c r="U288" s="3">
        <f>IFERROR(Q288/O288,"")</f>
        <v/>
      </c>
      <c r="V288" t="n">
        <v>77</v>
      </c>
      <c r="W288" t="n">
        <v>79.73</v>
      </c>
      <c r="X288" t="n">
        <v>60.06</v>
      </c>
      <c r="Y288">
        <f>ROUND(V288-W288,2)</f>
        <v/>
      </c>
      <c r="Z288">
        <f>ROUND(V288-X288,2)</f>
        <v/>
      </c>
      <c r="AA288" s="3">
        <f>IFERROR(W288/V288,"")</f>
        <v/>
      </c>
      <c r="AB288" s="3">
        <f>IFERROR(X288/V288,"")</f>
        <v/>
      </c>
      <c r="AC288" t="b">
        <v>0</v>
      </c>
      <c r="AD288" t="b">
        <v>0</v>
      </c>
      <c r="AE288" t="b">
        <v>0</v>
      </c>
      <c r="AF288" t="inlineStr">
        <is>
          <t>No</t>
        </is>
      </c>
      <c r="AI288" t="b">
        <v>1</v>
      </c>
      <c r="AJ288" t="n">
        <v>0</v>
      </c>
      <c r="AK288" t="inlineStr">
        <is>
          <t>Kurt is available during his ANÜ break (approximately 40 PT).</t>
        </is>
      </c>
      <c r="AL288" t="inlineStr">
        <is>
          <t>ORG bIT Bayern</t>
        </is>
      </c>
      <c r="AM288" t="inlineStr">
        <is>
          <t>BAA Business Analysis &amp; Architecture (Viktor P.)</t>
        </is>
      </c>
      <c r="AN288" t="inlineStr">
        <is>
          <t>BPD Business Processes &amp; Data Engineering(Arne K.)</t>
        </is>
      </c>
      <c r="AO288" t="inlineStr">
        <is>
          <t>bridgingIT GmbH</t>
        </is>
      </c>
      <c r="AP288" t="inlineStr">
        <is>
          <t>München</t>
        </is>
      </c>
      <c r="AQ288" t="inlineStr">
        <is>
          <t>Viktor Poloczek</t>
        </is>
      </c>
    </row>
    <row r="289">
      <c r="A289" t="inlineStr">
        <is>
          <t>10186</t>
        </is>
      </c>
      <c r="B289" t="inlineStr">
        <is>
          <t>665833</t>
        </is>
      </c>
      <c r="C289" t="inlineStr">
        <is>
          <t>https://app.matchical.com/Consulting/ConsultantDetail?ConsultantId=efaa74de-bc41-41e6-bee8-af42b4a2dfd2</t>
        </is>
      </c>
      <c r="D289" t="inlineStr">
        <is>
          <t>Larisa Walther</t>
        </is>
      </c>
      <c r="E289" t="inlineStr">
        <is>
          <t>larisa.walther@bridging-it.de</t>
        </is>
      </c>
      <c r="F289" s="2" t="n">
        <v>45200</v>
      </c>
      <c r="G289" s="2" t="n">
        <v>43739</v>
      </c>
      <c r="H289" t="n">
        <v>11</v>
      </c>
      <c r="I289" t="n">
        <v>0</v>
      </c>
      <c r="J289" t="n">
        <v>1</v>
      </c>
      <c r="K289" s="2" t="n">
        <v>45291</v>
      </c>
      <c r="L289" s="2" t="n">
        <v>45578</v>
      </c>
      <c r="M289" s="2" t="n">
        <v>45656</v>
      </c>
      <c r="N289" t="b">
        <v>0</v>
      </c>
      <c r="O289" t="n">
        <v>29</v>
      </c>
      <c r="P289" t="n">
        <v>39</v>
      </c>
      <c r="Q289" t="n">
        <v>28.81</v>
      </c>
      <c r="R289">
        <f>ROUND(O289-P289,2)</f>
        <v/>
      </c>
      <c r="S289">
        <f>ROUND(O289-Q289,2)</f>
        <v/>
      </c>
      <c r="T289" s="3">
        <f>IFERROR(P289/O289,"")</f>
        <v/>
      </c>
      <c r="U289" s="3">
        <f>IFERROR(Q289/O289,"")</f>
        <v/>
      </c>
      <c r="V289" t="n">
        <v>48</v>
      </c>
      <c r="W289" t="n">
        <v>48.97</v>
      </c>
      <c r="X289" t="n">
        <v>47.97</v>
      </c>
      <c r="Y289">
        <f>ROUND(V289-W289,2)</f>
        <v/>
      </c>
      <c r="Z289">
        <f>ROUND(V289-X289,2)</f>
        <v/>
      </c>
      <c r="AA289" s="3">
        <f>IFERROR(W289/V289,"")</f>
        <v/>
      </c>
      <c r="AB289" s="3">
        <f>IFERROR(X289/V289,"")</f>
        <v/>
      </c>
      <c r="AC289" t="b">
        <v>0</v>
      </c>
      <c r="AD289" t="b">
        <v>0</v>
      </c>
      <c r="AE289" t="b">
        <v>0</v>
      </c>
      <c r="AF289" t="inlineStr">
        <is>
          <t>No</t>
        </is>
      </c>
      <c r="AI289" t="b">
        <v>1</v>
      </c>
      <c r="AJ289" t="n">
        <v>0</v>
      </c>
      <c r="AK289" t="inlineStr">
        <is>
          <t>Larisa was on a temporary staffing assignment (ANÜ) at EnBW and must pause for 3 months (July, August, September — 1 month (August) of which she is on vacation). After that, she will rejoin EnBW under a temporary staffing arrangement for 18 months.</t>
        </is>
      </c>
      <c r="AL289" t="inlineStr">
        <is>
          <t>IT Information Technology (Hauke G.)</t>
        </is>
      </c>
      <c r="AM289" t="inlineStr">
        <is>
          <t>CT Cloud Technology I (Martin S.)</t>
        </is>
      </c>
      <c r="AN289" t="inlineStr">
        <is>
          <t>TC Technology &amp; Cloud (Martin S.)</t>
        </is>
      </c>
      <c r="AO289" t="inlineStr">
        <is>
          <t>bridgingIT GmbH</t>
        </is>
      </c>
      <c r="AP289" t="inlineStr">
        <is>
          <t>Stuttgart</t>
        </is>
      </c>
      <c r="AQ289" t="inlineStr">
        <is>
          <t>Martin Spörl</t>
        </is>
      </c>
    </row>
    <row r="290">
      <c r="A290" t="inlineStr">
        <is>
          <t>10428</t>
        </is>
      </c>
      <c r="B290" t="inlineStr">
        <is>
          <t>52CF9F</t>
        </is>
      </c>
      <c r="C290" t="inlineStr">
        <is>
          <t>https://app.matchical.com/Consulting/ConsultantDetail?ConsultantId=d959c64a-76d4-4869-a0d7-47e79f8fffa0</t>
        </is>
      </c>
      <c r="D290" t="inlineStr">
        <is>
          <t>Larissa Vogler</t>
        </is>
      </c>
      <c r="E290" t="inlineStr">
        <is>
          <t>larissa.vogler@bridging-it.de</t>
        </is>
      </c>
      <c r="F290" s="2" t="n">
        <v>46023</v>
      </c>
      <c r="G290" s="2" t="n">
        <v>43862</v>
      </c>
      <c r="H290" t="n">
        <v>7</v>
      </c>
      <c r="I290" t="n">
        <v>0</v>
      </c>
      <c r="J290" t="n">
        <v>1</v>
      </c>
      <c r="K290" s="2" t="n">
        <v>46075</v>
      </c>
      <c r="L290" s="2" t="n">
        <v>45291</v>
      </c>
      <c r="M290" s="2" t="n">
        <v>46021</v>
      </c>
      <c r="N290" t="b">
        <v>0</v>
      </c>
      <c r="O290" t="n">
        <v>2</v>
      </c>
      <c r="P290" t="n">
        <v>0</v>
      </c>
      <c r="Q290" t="n">
        <v>0</v>
      </c>
      <c r="R290">
        <f>ROUND(O290-P290,2)</f>
        <v/>
      </c>
      <c r="S290">
        <f>ROUND(O290-Q290,2)</f>
        <v/>
      </c>
      <c r="T290" s="3">
        <f>IFERROR(P290/O290,"")</f>
        <v/>
      </c>
      <c r="U290" s="3">
        <f>IFERROR(Q290/O290,"")</f>
        <v/>
      </c>
      <c r="V290" t="n">
        <v>71</v>
      </c>
      <c r="W290" t="n">
        <v>62</v>
      </c>
      <c r="X290" t="n">
        <v>62</v>
      </c>
      <c r="Y290">
        <f>ROUND(V290-W290,2)</f>
        <v/>
      </c>
      <c r="Z290">
        <f>ROUND(V290-X290,2)</f>
        <v/>
      </c>
      <c r="AA290" s="3">
        <f>IFERROR(W290/V290,"")</f>
        <v/>
      </c>
      <c r="AB290" s="3">
        <f>IFERROR(X290/V290,"")</f>
        <v/>
      </c>
      <c r="AC290" t="b">
        <v>0</v>
      </c>
      <c r="AD290" t="b">
        <v>0</v>
      </c>
      <c r="AE290" t="b">
        <v>0</v>
      </c>
      <c r="AF290" t="inlineStr">
        <is>
          <t>No</t>
        </is>
      </c>
      <c r="AI290" t="b">
        <v>1</v>
      </c>
      <c r="AJ290" t="n">
        <v>0</v>
      </c>
      <c r="AK290" t="inlineStr">
        <is>
          <t>Primarily remote, a few days per month can be arranged by mutual agreement and with longer advance notice.</t>
        </is>
      </c>
      <c r="AL290" t="inlineStr">
        <is>
          <t>IT - Information Technology (HH)</t>
        </is>
      </c>
      <c r="AM290" t="inlineStr">
        <is>
          <t>CG - Cloud Governance (Leyla V.)</t>
        </is>
      </c>
      <c r="AN290" t="inlineStr">
        <is>
          <t>ITC HH (Nicole F.)</t>
        </is>
      </c>
      <c r="AO290" t="inlineStr">
        <is>
          <t>bridgingIT GmbH</t>
        </is>
      </c>
      <c r="AP290" t="inlineStr">
        <is>
          <t>Hamburg</t>
        </is>
      </c>
      <c r="AQ290" t="inlineStr">
        <is>
          <t>Leyla Varli</t>
        </is>
      </c>
    </row>
    <row r="291">
      <c r="A291" t="inlineStr">
        <is>
          <t>2132</t>
        </is>
      </c>
      <c r="B291" t="inlineStr">
        <is>
          <t>3E6D40</t>
        </is>
      </c>
      <c r="C291" t="inlineStr">
        <is>
          <t>https://app.matchical.com/Consulting/ConsultantDetail?ConsultantId=dc67e5ca-6d43-4f4b-b1b8-1cb5b8059bf3</t>
        </is>
      </c>
      <c r="D291" t="inlineStr">
        <is>
          <t>Lars Christiansen</t>
        </is>
      </c>
      <c r="E291" t="inlineStr">
        <is>
          <t>lars.christiansen@bridging-it.de</t>
        </is>
      </c>
      <c r="F291" s="2" t="n">
        <v>42401</v>
      </c>
      <c r="G291" s="2" t="n">
        <v>38018</v>
      </c>
      <c r="H291" t="n">
        <v>19</v>
      </c>
      <c r="I291" t="n">
        <v>0</v>
      </c>
      <c r="J291" t="n">
        <v>2</v>
      </c>
      <c r="K291" s="2" t="n">
        <v>43465</v>
      </c>
      <c r="L291" s="2" t="n">
        <v>45355</v>
      </c>
      <c r="M291" s="2" t="n">
        <v>45657</v>
      </c>
      <c r="N291" t="b">
        <v>0</v>
      </c>
      <c r="O291" t="n">
        <v>121</v>
      </c>
      <c r="P291" t="n">
        <v>243.82</v>
      </c>
      <c r="Q291" t="n">
        <v>84.19</v>
      </c>
      <c r="R291">
        <f>ROUND(O291-P291,2)</f>
        <v/>
      </c>
      <c r="S291">
        <f>ROUND(O291-Q291,2)</f>
        <v/>
      </c>
      <c r="T291" s="3">
        <f>IFERROR(P291/O291,"")</f>
        <v/>
      </c>
      <c r="U291" s="3">
        <f>IFERROR(Q291/O291,"")</f>
        <v/>
      </c>
      <c r="V291" t="n">
        <v>144</v>
      </c>
      <c r="W291" t="n">
        <v>204</v>
      </c>
      <c r="X291" t="n">
        <v>73</v>
      </c>
      <c r="Y291">
        <f>ROUND(V291-W291,2)</f>
        <v/>
      </c>
      <c r="Z291">
        <f>ROUND(V291-X291,2)</f>
        <v/>
      </c>
      <c r="AA291" s="3">
        <f>IFERROR(W291/V291,"")</f>
        <v/>
      </c>
      <c r="AB291" s="3">
        <f>IFERROR(X291/V291,"")</f>
        <v/>
      </c>
      <c r="AC291" t="b">
        <v>0</v>
      </c>
      <c r="AD291" t="b">
        <v>0</v>
      </c>
      <c r="AE291" t="b">
        <v>0</v>
      </c>
      <c r="AF291" t="inlineStr">
        <is>
          <t>No</t>
        </is>
      </c>
      <c r="AI291" t="b">
        <v>1</v>
      </c>
      <c r="AJ291" t="n">
        <v>0</v>
      </c>
      <c r="AK291" t="inlineStr"/>
      <c r="AL291" t="inlineStr">
        <is>
          <t>DO Digital Organizations (Michael H.)</t>
        </is>
      </c>
      <c r="AM291" t="inlineStr">
        <is>
          <t>DO Line Management (Michael H.)</t>
        </is>
      </c>
      <c r="AN291" t="inlineStr">
        <is>
          <t>DO Line Management (Michael H.)</t>
        </is>
      </c>
      <c r="AO291" t="inlineStr">
        <is>
          <t>bridgingIT GmbH</t>
        </is>
      </c>
      <c r="AP291" t="inlineStr">
        <is>
          <t>Stuttgart</t>
        </is>
      </c>
      <c r="AQ291" t="inlineStr">
        <is>
          <t>Michael Hagenlocher</t>
        </is>
      </c>
    </row>
    <row r="292">
      <c r="A292" t="inlineStr">
        <is>
          <t>1060</t>
        </is>
      </c>
      <c r="B292" t="inlineStr">
        <is>
          <t>18C565</t>
        </is>
      </c>
      <c r="C292" t="inlineStr">
        <is>
          <t>https://app.matchical.com/Consulting/ConsultantDetail?ConsultantId=122231b1-debc-48dc-acf2-493d9aa42003</t>
        </is>
      </c>
      <c r="D292" t="inlineStr">
        <is>
          <t>Lars Preschke</t>
        </is>
      </c>
      <c r="E292" t="inlineStr">
        <is>
          <t>lars.preschke@bridging-it.de</t>
        </is>
      </c>
      <c r="F292" s="2" t="n">
        <v>39569</v>
      </c>
      <c r="G292" s="2" t="n">
        <v>36800</v>
      </c>
      <c r="H292" t="n">
        <v>24</v>
      </c>
      <c r="I292" t="n">
        <v>0</v>
      </c>
      <c r="J292" t="n">
        <v>1</v>
      </c>
      <c r="K292" s="2" t="n">
        <v>44992</v>
      </c>
      <c r="L292" s="2" t="n">
        <v>44804</v>
      </c>
      <c r="M292" s="2" t="n">
        <v>45015</v>
      </c>
      <c r="N292" t="b">
        <v>0</v>
      </c>
      <c r="O292" t="n">
        <v>214</v>
      </c>
      <c r="P292" t="n">
        <v>441</v>
      </c>
      <c r="Q292" t="n">
        <v>210.13</v>
      </c>
      <c r="R292">
        <f>ROUND(O292-P292,2)</f>
        <v/>
      </c>
      <c r="S292">
        <f>ROUND(O292-Q292,2)</f>
        <v/>
      </c>
      <c r="T292" s="3">
        <f>IFERROR(P292/O292,"")</f>
        <v/>
      </c>
      <c r="U292" s="3">
        <f>IFERROR(Q292/O292,"")</f>
        <v/>
      </c>
      <c r="V292" t="n">
        <v>91</v>
      </c>
      <c r="W292" t="n">
        <v>186</v>
      </c>
      <c r="X292" t="n">
        <v>90.97</v>
      </c>
      <c r="Y292">
        <f>ROUND(V292-W292,2)</f>
        <v/>
      </c>
      <c r="Z292">
        <f>ROUND(V292-X292,2)</f>
        <v/>
      </c>
      <c r="AA292" s="3">
        <f>IFERROR(W292/V292,"")</f>
        <v/>
      </c>
      <c r="AB292" s="3">
        <f>IFERROR(X292/V292,"")</f>
        <v/>
      </c>
      <c r="AC292" t="b">
        <v>0</v>
      </c>
      <c r="AD292" t="b">
        <v>0</v>
      </c>
      <c r="AE292" t="b">
        <v>0</v>
      </c>
      <c r="AF292" t="inlineStr">
        <is>
          <t>No</t>
        </is>
      </c>
      <c r="AI292" t="b">
        <v>0</v>
      </c>
      <c r="AJ292" t="n">
        <v>0</v>
      </c>
      <c r="AK292" t="inlineStr"/>
      <c r="AL292" t="inlineStr">
        <is>
          <t>A&amp;SE Analytics &amp; Software Engineering (Philip R.)</t>
        </is>
      </c>
      <c r="AM292" t="inlineStr">
        <is>
          <t>FH Fullstack Heroes (Lars P.)</t>
        </is>
      </c>
      <c r="AN292" t="inlineStr">
        <is>
          <t>FUN Fullstack Ninjas (Stefan Z.)</t>
        </is>
      </c>
      <c r="AO292" t="inlineStr">
        <is>
          <t>bridgingIT GmbH</t>
        </is>
      </c>
      <c r="AP292" t="inlineStr">
        <is>
          <t>Mannheim</t>
        </is>
      </c>
      <c r="AQ292" t="inlineStr">
        <is>
          <t>Stefan Zilch</t>
        </is>
      </c>
    </row>
    <row r="293">
      <c r="A293" t="inlineStr">
        <is>
          <t>3225</t>
        </is>
      </c>
      <c r="B293" t="inlineStr">
        <is>
          <t>A8B2F8</t>
        </is>
      </c>
      <c r="C293" t="inlineStr">
        <is>
          <t>https://app.matchical.com/Consulting/ConsultantDetail?ConsultantId=2a6ceff3-e0af-4956-aa9b-499d26db9609</t>
        </is>
      </c>
      <c r="D293" t="inlineStr">
        <is>
          <t>Lars Timm</t>
        </is>
      </c>
      <c r="E293" t="inlineStr">
        <is>
          <t>lars.timm@bridging-it.de</t>
        </is>
      </c>
      <c r="F293" s="2" t="n">
        <v>44378</v>
      </c>
      <c r="G293" s="2" t="n">
        <v>38930</v>
      </c>
      <c r="H293" t="n">
        <v>7</v>
      </c>
      <c r="I293" t="n">
        <v>0</v>
      </c>
      <c r="J293" t="n">
        <v>0</v>
      </c>
      <c r="L293" s="2" t="n">
        <v>45292</v>
      </c>
      <c r="M293" s="2" t="n">
        <v>45657</v>
      </c>
      <c r="N293" t="b">
        <v>0</v>
      </c>
      <c r="O293" t="n">
        <v>56</v>
      </c>
      <c r="P293" t="n">
        <v>66.84999999999999</v>
      </c>
      <c r="Q293" t="n">
        <v>55.11</v>
      </c>
      <c r="R293">
        <f>ROUND(O293-P293,2)</f>
        <v/>
      </c>
      <c r="S293">
        <f>ROUND(O293-Q293,2)</f>
        <v/>
      </c>
      <c r="T293" s="3">
        <f>IFERROR(P293/O293,"")</f>
        <v/>
      </c>
      <c r="U293" s="3">
        <f>IFERROR(Q293/O293,"")</f>
        <v/>
      </c>
      <c r="V293" t="n">
        <v>179</v>
      </c>
      <c r="W293" t="n">
        <v>66.03</v>
      </c>
      <c r="X293" t="n">
        <v>65.03</v>
      </c>
      <c r="Y293">
        <f>ROUND(V293-W293,2)</f>
        <v/>
      </c>
      <c r="Z293">
        <f>ROUND(V293-X293,2)</f>
        <v/>
      </c>
      <c r="AA293" s="3">
        <f>IFERROR(W293/V293,"")</f>
        <v/>
      </c>
      <c r="AB293" s="3">
        <f>IFERROR(X293/V293,"")</f>
        <v/>
      </c>
      <c r="AC293" t="b">
        <v>0</v>
      </c>
      <c r="AD293" t="b">
        <v>0</v>
      </c>
      <c r="AE293" t="b">
        <v>0</v>
      </c>
      <c r="AF293" t="inlineStr">
        <is>
          <t>No</t>
        </is>
      </c>
      <c r="AI293" t="b">
        <v>0</v>
      </c>
      <c r="AJ293" t="n">
        <v>0</v>
      </c>
      <c r="AK293" t="inlineStr"/>
      <c r="AL293" t="inlineStr">
        <is>
          <t>ORG bIT</t>
        </is>
      </c>
      <c r="AM293" t="inlineStr">
        <is>
          <t>SE Software Engineering Frankfurt (Andreas M.)</t>
        </is>
      </c>
      <c r="AN293" t="inlineStr">
        <is>
          <t>ES Enterprise Solutions (Dominik H.)</t>
        </is>
      </c>
      <c r="AO293" t="inlineStr">
        <is>
          <t>bridgingIT GmbH</t>
        </is>
      </c>
      <c r="AP293" t="inlineStr">
        <is>
          <t>Frankfurt</t>
        </is>
      </c>
      <c r="AQ293" t="inlineStr">
        <is>
          <t>Andreas Morgenstern</t>
        </is>
      </c>
    </row>
    <row r="294">
      <c r="A294" t="inlineStr">
        <is>
          <t>10029</t>
        </is>
      </c>
      <c r="B294" t="inlineStr">
        <is>
          <t>E7A612</t>
        </is>
      </c>
      <c r="C294" t="inlineStr">
        <is>
          <t>https://app.matchical.com/Consulting/ConsultantDetail?ConsultantId=4e6bbaac-6732-4589-b53f-2be965a6c149</t>
        </is>
      </c>
      <c r="D294" t="inlineStr">
        <is>
          <t>Laura Charlotte Utz</t>
        </is>
      </c>
      <c r="E294" t="inlineStr">
        <is>
          <t>laura.utz@bridging-it.de</t>
        </is>
      </c>
      <c r="F294" s="2" t="n">
        <v>44880</v>
      </c>
      <c r="G294" s="2" t="n">
        <v>43191</v>
      </c>
      <c r="H294" t="n">
        <v>5</v>
      </c>
      <c r="I294" t="n">
        <v>0</v>
      </c>
      <c r="J294" t="n">
        <v>0</v>
      </c>
      <c r="L294" s="2" t="n">
        <v>45551</v>
      </c>
      <c r="M294" s="2" t="n">
        <v>45953</v>
      </c>
      <c r="N294" t="b">
        <v>0</v>
      </c>
      <c r="O294" t="n">
        <v>39</v>
      </c>
      <c r="P294" t="n">
        <v>29</v>
      </c>
      <c r="Q294" t="n">
        <v>29</v>
      </c>
      <c r="R294">
        <f>ROUND(O294-P294,2)</f>
        <v/>
      </c>
      <c r="S294">
        <f>ROUND(O294-Q294,2)</f>
        <v/>
      </c>
      <c r="T294" s="3">
        <f>IFERROR(P294/O294,"")</f>
        <v/>
      </c>
      <c r="U294" s="3">
        <f>IFERROR(Q294/O294,"")</f>
        <v/>
      </c>
      <c r="V294" t="n">
        <v>55</v>
      </c>
      <c r="W294" t="n">
        <v>52.94</v>
      </c>
      <c r="X294" t="n">
        <v>30.18</v>
      </c>
      <c r="Y294">
        <f>ROUND(V294-W294,2)</f>
        <v/>
      </c>
      <c r="Z294">
        <f>ROUND(V294-X294,2)</f>
        <v/>
      </c>
      <c r="AA294" s="3">
        <f>IFERROR(W294/V294,"")</f>
        <v/>
      </c>
      <c r="AB294" s="3">
        <f>IFERROR(X294/V294,"")</f>
        <v/>
      </c>
      <c r="AC294" t="b">
        <v>0</v>
      </c>
      <c r="AD294" t="b">
        <v>0</v>
      </c>
      <c r="AE294" t="b">
        <v>0</v>
      </c>
      <c r="AF294" t="inlineStr">
        <is>
          <t>No</t>
        </is>
      </c>
      <c r="AI294" t="b">
        <v>1</v>
      </c>
      <c r="AJ294" t="n">
        <v>0</v>
      </c>
      <c r="AK294" t="inlineStr">
        <is>
          <t>(SAFe) Scrum Master experience &gt; 2 years, developer experience</t>
        </is>
      </c>
      <c r="AL294" t="inlineStr">
        <is>
          <t>ORG bIT</t>
        </is>
      </c>
      <c r="AM294" t="inlineStr">
        <is>
          <t>AO Agile Organization (Katharina G.)</t>
        </is>
      </c>
      <c r="AN294" t="inlineStr">
        <is>
          <t>TH Transformation Hub (Ulrich W.)</t>
        </is>
      </c>
      <c r="AO294" t="inlineStr">
        <is>
          <t>bridgingIT GmbH</t>
        </is>
      </c>
      <c r="AP294" t="inlineStr">
        <is>
          <t>Frankfurt</t>
        </is>
      </c>
      <c r="AQ294" t="inlineStr">
        <is>
          <t>Katharina Gossen</t>
        </is>
      </c>
    </row>
    <row r="295">
      <c r="A295" t="inlineStr">
        <is>
          <t>10335</t>
        </is>
      </c>
      <c r="B295" t="inlineStr">
        <is>
          <t>327EEE</t>
        </is>
      </c>
      <c r="C295" t="inlineStr">
        <is>
          <t>https://app.matchical.com/Consulting/ConsultantDetail?ConsultantId=a5eb983b-07c5-4e59-b304-febd00d9489f</t>
        </is>
      </c>
      <c r="D295" t="inlineStr">
        <is>
          <t>Laura Dengra Torres</t>
        </is>
      </c>
      <c r="E295" t="inlineStr">
        <is>
          <t>laura.dengra@bridging-it.de</t>
        </is>
      </c>
      <c r="F295" s="2" t="n">
        <v>45597</v>
      </c>
      <c r="G295" s="2" t="n">
        <v>42736</v>
      </c>
      <c r="H295" t="n">
        <v>8</v>
      </c>
      <c r="I295" t="n">
        <v>0</v>
      </c>
      <c r="J295" t="n">
        <v>1</v>
      </c>
      <c r="K295" s="2" t="n">
        <v>45597</v>
      </c>
      <c r="L295" s="2" t="n">
        <v>44926</v>
      </c>
      <c r="M295" s="2" t="n">
        <v>45381</v>
      </c>
      <c r="N295" t="b">
        <v>0</v>
      </c>
      <c r="O295" t="n">
        <v>16</v>
      </c>
      <c r="P295" t="n">
        <v>15</v>
      </c>
      <c r="Q295" t="n">
        <v>15</v>
      </c>
      <c r="R295">
        <f>ROUND(O295-P295,2)</f>
        <v/>
      </c>
      <c r="S295">
        <f>ROUND(O295-Q295,2)</f>
        <v/>
      </c>
      <c r="T295" s="3">
        <f>IFERROR(P295/O295,"")</f>
        <v/>
      </c>
      <c r="U295" s="3">
        <f>IFERROR(Q295/O295,"")</f>
        <v/>
      </c>
      <c r="V295" t="n">
        <v>94</v>
      </c>
      <c r="W295" t="n">
        <v>102.97</v>
      </c>
      <c r="X295" t="n">
        <v>85.97</v>
      </c>
      <c r="Y295">
        <f>ROUND(V295-W295,2)</f>
        <v/>
      </c>
      <c r="Z295">
        <f>ROUND(V295-X295,2)</f>
        <v/>
      </c>
      <c r="AA295" s="3">
        <f>IFERROR(W295/V295,"")</f>
        <v/>
      </c>
      <c r="AB295" s="3">
        <f>IFERROR(X295/V295,"")</f>
        <v/>
      </c>
      <c r="AC295" t="b">
        <v>0</v>
      </c>
      <c r="AD295" t="b">
        <v>0</v>
      </c>
      <c r="AE295" t="b">
        <v>0</v>
      </c>
      <c r="AF295" t="inlineStr">
        <is>
          <t>Yes</t>
        </is>
      </c>
      <c r="AG295" s="2" t="n">
        <v>46153</v>
      </c>
      <c r="AI295" t="b">
        <v>1</v>
      </c>
      <c r="AJ295" t="n">
        <v>4</v>
      </c>
      <c r="AK295" t="inlineStr">
        <is>
          <t>Laura returns from maternity leave in early May. She will initially be available four days per week. Laura is a highly experienced frontend developer (Angular, TypeScript) and also demonstrates strong communication and methodological skills. She is also strong in frontend design as well as frontend UI development.</t>
        </is>
      </c>
      <c r="AL295" t="inlineStr">
        <is>
          <t>A&amp;SE Analytics &amp; Software Engineering (Philip R.)</t>
        </is>
      </c>
      <c r="AM295" t="inlineStr">
        <is>
          <t>FV Fullstack Visionaries (Matthias H.)</t>
        </is>
      </c>
      <c r="AN295" t="inlineStr">
        <is>
          <t>FUN Fullstack Ninjas (Stefan Z.)</t>
        </is>
      </c>
      <c r="AO295" t="inlineStr">
        <is>
          <t>bridgingIT GmbH</t>
        </is>
      </c>
      <c r="AP295" t="inlineStr">
        <is>
          <t>Mannheim</t>
        </is>
      </c>
      <c r="AQ295" t="inlineStr">
        <is>
          <t>Matthias Hetz</t>
        </is>
      </c>
    </row>
    <row r="296">
      <c r="A296" t="inlineStr">
        <is>
          <t>10306</t>
        </is>
      </c>
      <c r="B296" t="inlineStr">
        <is>
          <t>CE3E54</t>
        </is>
      </c>
      <c r="C296" t="inlineStr">
        <is>
          <t>https://app.matchical.com/Consulting/ConsultantDetail?ConsultantId=8ff7fed5-f22c-49ad-b45e-c7f32bb4d7e0</t>
        </is>
      </c>
      <c r="D296" t="inlineStr">
        <is>
          <t>Laura König</t>
        </is>
      </c>
      <c r="E296" t="inlineStr">
        <is>
          <t>laura.koenig@bridging-it.de</t>
        </is>
      </c>
      <c r="F296" s="2" t="n">
        <v>45536</v>
      </c>
      <c r="G296" s="2" t="n">
        <v>43101</v>
      </c>
      <c r="H296" t="n">
        <v>7</v>
      </c>
      <c r="I296" t="n">
        <v>0</v>
      </c>
      <c r="J296" t="n">
        <v>0</v>
      </c>
      <c r="L296" s="2" t="n">
        <v>45596</v>
      </c>
      <c r="M296" s="2" t="n">
        <v>45837</v>
      </c>
      <c r="N296" t="b">
        <v>0</v>
      </c>
      <c r="O296" t="n">
        <v>18</v>
      </c>
      <c r="P296" t="n">
        <v>8</v>
      </c>
      <c r="Q296" t="n">
        <v>8</v>
      </c>
      <c r="R296">
        <f>ROUND(O296-P296,2)</f>
        <v/>
      </c>
      <c r="S296">
        <f>ROUND(O296-Q296,2)</f>
        <v/>
      </c>
      <c r="T296" s="3">
        <f>IFERROR(P296/O296,"")</f>
        <v/>
      </c>
      <c r="U296" s="3">
        <f>IFERROR(Q296/O296,"")</f>
        <v/>
      </c>
      <c r="V296" t="n">
        <v>80</v>
      </c>
      <c r="W296" t="n">
        <v>106</v>
      </c>
      <c r="X296" t="n">
        <v>41</v>
      </c>
      <c r="Y296">
        <f>ROUND(V296-W296,2)</f>
        <v/>
      </c>
      <c r="Z296">
        <f>ROUND(V296-X296,2)</f>
        <v/>
      </c>
      <c r="AA296" s="3">
        <f>IFERROR(W296/V296,"")</f>
        <v/>
      </c>
      <c r="AB296" s="3">
        <f>IFERROR(X296/V296,"")</f>
        <v/>
      </c>
      <c r="AC296" t="b">
        <v>0</v>
      </c>
      <c r="AD296" t="b">
        <v>0</v>
      </c>
      <c r="AE296" t="b">
        <v>0</v>
      </c>
      <c r="AF296" t="inlineStr">
        <is>
          <t>No</t>
        </is>
      </c>
      <c r="AI296" t="b">
        <v>1</v>
      </c>
      <c r="AJ296" t="n">
        <v>0</v>
      </c>
      <c r="AK296" t="inlineStr">
        <is>
          <t>There is a verbal commitment to continue the assignment with Deutsche Bahn (Q3/Q4/25).</t>
        </is>
      </c>
      <c r="AL296" t="inlineStr">
        <is>
          <t>T&amp;A - Transformation &amp; Agility (Arne K.)</t>
        </is>
      </c>
      <c r="AM296" t="inlineStr">
        <is>
          <t>CTM – Change &amp; Transformationmgmt. HH (Katja R.)</t>
        </is>
      </c>
      <c r="AN296" t="inlineStr">
        <is>
          <t>A&amp;PM Agility &amp; Project Management (Jan H.)</t>
        </is>
      </c>
      <c r="AO296" t="inlineStr">
        <is>
          <t>bridgingIT GmbH</t>
        </is>
      </c>
      <c r="AP296" t="inlineStr">
        <is>
          <t>Hamburg</t>
        </is>
      </c>
      <c r="AQ296" t="inlineStr">
        <is>
          <t>Katja Runge</t>
        </is>
      </c>
    </row>
    <row r="297">
      <c r="A297" t="inlineStr">
        <is>
          <t>8749</t>
        </is>
      </c>
      <c r="B297" t="inlineStr">
        <is>
          <t>0CEF71</t>
        </is>
      </c>
      <c r="C297" t="inlineStr">
        <is>
          <t>https://app.matchical.com/Consulting/ConsultantDetail?ConsultantId=ceb72199-fb91-4019-bb5a-4d995bac7301</t>
        </is>
      </c>
      <c r="D297" t="inlineStr">
        <is>
          <t>Leif Clajus</t>
        </is>
      </c>
      <c r="E297" t="inlineStr">
        <is>
          <t>leif.clajus@crafting-it.de</t>
        </is>
      </c>
      <c r="F297" s="2" t="n">
        <v>44652</v>
      </c>
      <c r="G297" s="2" t="n">
        <v>44652</v>
      </c>
      <c r="H297" t="n">
        <v>12</v>
      </c>
      <c r="I297" t="n">
        <v>0</v>
      </c>
      <c r="J297" t="n">
        <v>2</v>
      </c>
      <c r="K297" s="2" t="n">
        <v>44651</v>
      </c>
      <c r="L297" s="2" t="n">
        <v>45558</v>
      </c>
      <c r="M297" s="2" t="n">
        <v>46022</v>
      </c>
      <c r="N297" t="b">
        <v>0</v>
      </c>
      <c r="O297" t="n">
        <v>46</v>
      </c>
      <c r="P297" t="n">
        <v>204.42</v>
      </c>
      <c r="Q297" t="n">
        <v>46.03</v>
      </c>
      <c r="R297">
        <f>ROUND(O297-P297,2)</f>
        <v/>
      </c>
      <c r="S297">
        <f>ROUND(O297-Q297,2)</f>
        <v/>
      </c>
      <c r="T297" s="3">
        <f>IFERROR(P297/O297,"")</f>
        <v/>
      </c>
      <c r="U297" s="3">
        <f>IFERROR(Q297/O297,"")</f>
        <v/>
      </c>
      <c r="V297" t="n">
        <v>0</v>
      </c>
      <c r="W297" t="n">
        <v>0</v>
      </c>
      <c r="X297" t="n">
        <v>0</v>
      </c>
      <c r="Y297">
        <f>ROUND(V297-W297,2)</f>
        <v/>
      </c>
      <c r="Z297">
        <f>ROUND(V297-X297,2)</f>
        <v/>
      </c>
      <c r="AA297" s="3">
        <f>IFERROR(W297/V297,"")</f>
        <v/>
      </c>
      <c r="AB297" s="3">
        <f>IFERROR(X297/V297,"")</f>
        <v/>
      </c>
      <c r="AC297" t="b">
        <v>0</v>
      </c>
      <c r="AD297" t="b">
        <v>0</v>
      </c>
      <c r="AE297" t="b">
        <v>0</v>
      </c>
      <c r="AF297" t="inlineStr">
        <is>
          <t>-</t>
        </is>
      </c>
      <c r="AI297" t="b">
        <v>0</v>
      </c>
      <c r="AJ297" t="n">
        <v>0</v>
      </c>
      <c r="AK297" t="inlineStr"/>
      <c r="AL297" t="inlineStr">
        <is>
          <t>ORG cIT</t>
        </is>
      </c>
      <c r="AM297" t="inlineStr">
        <is>
          <t>cIT AMS / GIS Services (Michael B.)</t>
        </is>
      </c>
      <c r="AN297" t="inlineStr">
        <is>
          <t>cIT Service Delivery Magdeburg (Steffen A.)</t>
        </is>
      </c>
      <c r="AO297" t="inlineStr">
        <is>
          <t>craftingIT GmbH</t>
        </is>
      </c>
      <c r="AP297" t="inlineStr">
        <is>
          <t>Karlsruhe</t>
        </is>
      </c>
      <c r="AQ297" t="inlineStr">
        <is>
          <t>Michael Buchter</t>
        </is>
      </c>
    </row>
    <row r="298">
      <c r="A298" t="inlineStr">
        <is>
          <t>10067</t>
        </is>
      </c>
      <c r="B298" t="inlineStr">
        <is>
          <t>DA8DF9</t>
        </is>
      </c>
      <c r="C298" t="inlineStr">
        <is>
          <t>https://app.matchical.com/Consulting/ConsultantDetail?ConsultantId=00f445b5-9daf-4ee9-8477-94061d723a84</t>
        </is>
      </c>
      <c r="D298" t="inlineStr">
        <is>
          <t>Lena Brommer</t>
        </is>
      </c>
      <c r="E298" t="inlineStr">
        <is>
          <t>lena.brommer@bridging-it.de</t>
        </is>
      </c>
      <c r="F298" s="2" t="n">
        <v>45017</v>
      </c>
      <c r="G298" s="2" t="n">
        <v>40087</v>
      </c>
      <c r="H298" t="n">
        <v>11</v>
      </c>
      <c r="I298" t="n">
        <v>0</v>
      </c>
      <c r="J298" t="n">
        <v>2</v>
      </c>
      <c r="K298" s="2" t="n">
        <v>45302</v>
      </c>
      <c r="L298" s="2" t="n">
        <v>45292</v>
      </c>
      <c r="M298" s="2" t="n">
        <v>45657</v>
      </c>
      <c r="N298" t="b">
        <v>0</v>
      </c>
      <c r="O298" t="n">
        <v>35</v>
      </c>
      <c r="P298" t="n">
        <v>63</v>
      </c>
      <c r="Q298" t="n">
        <v>29</v>
      </c>
      <c r="R298">
        <f>ROUND(O298-P298,2)</f>
        <v/>
      </c>
      <c r="S298">
        <f>ROUND(O298-Q298,2)</f>
        <v/>
      </c>
      <c r="T298" s="3">
        <f>IFERROR(P298/O298,"")</f>
        <v/>
      </c>
      <c r="U298" s="3">
        <f>IFERROR(Q298/O298,"")</f>
        <v/>
      </c>
      <c r="V298" t="n">
        <v>162</v>
      </c>
      <c r="W298" t="n">
        <v>56</v>
      </c>
      <c r="X298" t="n">
        <v>56</v>
      </c>
      <c r="Y298">
        <f>ROUND(V298-W298,2)</f>
        <v/>
      </c>
      <c r="Z298">
        <f>ROUND(V298-X298,2)</f>
        <v/>
      </c>
      <c r="AA298" s="3">
        <f>IFERROR(W298/V298,"")</f>
        <v/>
      </c>
      <c r="AB298" s="3">
        <f>IFERROR(X298/V298,"")</f>
        <v/>
      </c>
      <c r="AC298" t="b">
        <v>0</v>
      </c>
      <c r="AD298" t="b">
        <v>0</v>
      </c>
      <c r="AE298" t="b">
        <v>0</v>
      </c>
      <c r="AF298" t="inlineStr">
        <is>
          <t>No</t>
        </is>
      </c>
      <c r="AI298" t="b">
        <v>0</v>
      </c>
      <c r="AJ298" t="n">
        <v>0</v>
      </c>
      <c r="AK298" t="inlineStr">
        <is>
          <t>Part-time 20 hours</t>
        </is>
      </c>
      <c r="AL298" t="inlineStr">
        <is>
          <t>Sales BL</t>
        </is>
      </c>
      <c r="AM298" t="inlineStr">
        <is>
          <t>SAL Team Schmitt</t>
        </is>
      </c>
      <c r="AN298" t="inlineStr">
        <is>
          <t>Capability Management (Tim T.)</t>
        </is>
      </c>
      <c r="AO298" t="inlineStr">
        <is>
          <t>bridgingIT GmbH</t>
        </is>
      </c>
      <c r="AP298" t="inlineStr">
        <is>
          <t>Berlin</t>
        </is>
      </c>
      <c r="AQ298" t="inlineStr">
        <is>
          <t>Marc Schmitt</t>
        </is>
      </c>
    </row>
    <row r="299">
      <c r="A299" t="inlineStr">
        <is>
          <t>10028</t>
        </is>
      </c>
      <c r="B299" t="inlineStr">
        <is>
          <t>4CE629</t>
        </is>
      </c>
      <c r="C299" t="inlineStr">
        <is>
          <t>https://app.matchical.com/Consulting/ConsultantDetail?ConsultantId=4045a7ae-df0e-4ff6-9e4b-38398a980521</t>
        </is>
      </c>
      <c r="D299" t="inlineStr">
        <is>
          <t>Lena Höfling</t>
        </is>
      </c>
      <c r="E299" t="inlineStr">
        <is>
          <t>lena.hoefling@bridging-it.de</t>
        </is>
      </c>
      <c r="F299" s="2" t="n">
        <v>44880</v>
      </c>
      <c r="G299" s="2" t="n">
        <v>44743</v>
      </c>
      <c r="H299" t="n">
        <v>6</v>
      </c>
      <c r="I299" t="n">
        <v>0</v>
      </c>
      <c r="J299" t="n">
        <v>1</v>
      </c>
      <c r="K299" s="2" t="n">
        <v>45107</v>
      </c>
      <c r="L299" s="2" t="n">
        <v>45658</v>
      </c>
      <c r="M299" s="2" t="n">
        <v>45868</v>
      </c>
      <c r="N299" t="b">
        <v>0</v>
      </c>
      <c r="O299" t="n">
        <v>39</v>
      </c>
      <c r="P299" t="n">
        <v>65</v>
      </c>
      <c r="Q299" t="n">
        <v>39.33</v>
      </c>
      <c r="R299">
        <f>ROUND(O299-P299,2)</f>
        <v/>
      </c>
      <c r="S299">
        <f>ROUND(O299-Q299,2)</f>
        <v/>
      </c>
      <c r="T299" s="3">
        <f>IFERROR(P299/O299,"")</f>
        <v/>
      </c>
      <c r="U299" s="3">
        <f>IFERROR(Q299/O299,"")</f>
        <v/>
      </c>
      <c r="V299" t="n">
        <v>4</v>
      </c>
      <c r="W299" t="n">
        <v>0</v>
      </c>
      <c r="X299" t="n">
        <v>0</v>
      </c>
      <c r="Y299">
        <f>ROUND(V299-W299,2)</f>
        <v/>
      </c>
      <c r="Z299">
        <f>ROUND(V299-X299,2)</f>
        <v/>
      </c>
      <c r="AA299" s="3">
        <f>IFERROR(W299/V299,"")</f>
        <v/>
      </c>
      <c r="AB299" s="3">
        <f>IFERROR(X299/V299,"")</f>
        <v/>
      </c>
      <c r="AC299" t="b">
        <v>0</v>
      </c>
      <c r="AD299" t="b">
        <v>0</v>
      </c>
      <c r="AE299" t="b">
        <v>0</v>
      </c>
      <c r="AF299" t="inlineStr">
        <is>
          <t>No</t>
        </is>
      </c>
      <c r="AI299" t="b">
        <v>1</v>
      </c>
      <c r="AJ299" t="n">
        <v>0</v>
      </c>
      <c r="AK299" t="inlineStr"/>
      <c r="AL299" t="inlineStr">
        <is>
          <t>IT Information Technology (Hauke G.)</t>
        </is>
      </c>
      <c r="AM299" t="inlineStr">
        <is>
          <t>CT Cloud Technology II (Marc L.)</t>
        </is>
      </c>
      <c r="AN299" t="inlineStr">
        <is>
          <t>TC Technology &amp; Cloud (Martin S.)</t>
        </is>
      </c>
      <c r="AO299" t="inlineStr">
        <is>
          <t>bridgingIT GmbH</t>
        </is>
      </c>
      <c r="AP299" t="inlineStr">
        <is>
          <t>Stuttgart</t>
        </is>
      </c>
      <c r="AQ299" t="inlineStr">
        <is>
          <t>Marc Leunig</t>
        </is>
      </c>
    </row>
    <row r="300">
      <c r="A300" t="inlineStr">
        <is>
          <t>3122</t>
        </is>
      </c>
      <c r="B300" t="inlineStr">
        <is>
          <t>C677BE</t>
        </is>
      </c>
      <c r="C300" t="inlineStr">
        <is>
          <t>https://app.matchical.com/Consulting/ConsultantDetail?ConsultantId=74b32dba-1bb5-4768-8444-4ec1612d3db4</t>
        </is>
      </c>
      <c r="D300" t="inlineStr">
        <is>
          <t>Leonie Bärfacker</t>
        </is>
      </c>
      <c r="E300" t="inlineStr">
        <is>
          <t>leonie.baerfacker@bridging-it.de</t>
        </is>
      </c>
      <c r="F300" s="2" t="n">
        <v>42614</v>
      </c>
      <c r="G300" s="2" t="n">
        <v>42656</v>
      </c>
      <c r="H300" t="n">
        <v>16</v>
      </c>
      <c r="I300" t="n">
        <v>0</v>
      </c>
      <c r="J300" t="n">
        <v>2</v>
      </c>
      <c r="K300" s="2" t="n">
        <v>43769</v>
      </c>
      <c r="L300" s="2" t="n">
        <v>44834</v>
      </c>
      <c r="M300" s="2" t="n">
        <v>45715</v>
      </c>
      <c r="N300" t="b">
        <v>0</v>
      </c>
      <c r="O300" t="n">
        <v>114</v>
      </c>
      <c r="P300" t="n">
        <v>206</v>
      </c>
      <c r="Q300" t="n">
        <v>83</v>
      </c>
      <c r="R300">
        <f>ROUND(O300-P300,2)</f>
        <v/>
      </c>
      <c r="S300">
        <f>ROUND(O300-Q300,2)</f>
        <v/>
      </c>
      <c r="T300" s="3">
        <f>IFERROR(P300/O300,"")</f>
        <v/>
      </c>
      <c r="U300" s="3">
        <f>IFERROR(Q300/O300,"")</f>
        <v/>
      </c>
      <c r="V300" t="n">
        <v>0</v>
      </c>
      <c r="W300" t="n">
        <v>0</v>
      </c>
      <c r="X300" t="n">
        <v>0</v>
      </c>
      <c r="Y300">
        <f>ROUND(V300-W300,2)</f>
        <v/>
      </c>
      <c r="Z300">
        <f>ROUND(V300-X300,2)</f>
        <v/>
      </c>
      <c r="AA300" s="3">
        <f>IFERROR(W300/V300,"")</f>
        <v/>
      </c>
      <c r="AB300" s="3">
        <f>IFERROR(X300/V300,"")</f>
        <v/>
      </c>
      <c r="AC300" t="b">
        <v>0</v>
      </c>
      <c r="AD300" t="b">
        <v>0</v>
      </c>
      <c r="AE300" t="b">
        <v>1</v>
      </c>
      <c r="AF300" t="inlineStr">
        <is>
          <t>No</t>
        </is>
      </c>
      <c r="AI300" t="b">
        <v>1</v>
      </c>
      <c r="AJ300" t="n">
        <v>0</v>
      </c>
      <c r="AK300" t="inlineStr"/>
      <c r="AL300" t="inlineStr">
        <is>
          <t>ORG bIT</t>
        </is>
      </c>
      <c r="AM300" t="inlineStr">
        <is>
          <t>AT Agile Transformation (Anna S.)</t>
        </is>
      </c>
      <c r="AN300" t="inlineStr">
        <is>
          <t>TH Transformation Hub (Ulrich W.)</t>
        </is>
      </c>
      <c r="AO300" t="inlineStr">
        <is>
          <t>bridgingIT GmbH</t>
        </is>
      </c>
      <c r="AP300" t="inlineStr">
        <is>
          <t>Frankfurt</t>
        </is>
      </c>
      <c r="AQ300" t="inlineStr">
        <is>
          <t>Anna Schnorrenberger</t>
        </is>
      </c>
    </row>
    <row r="301">
      <c r="A301" t="inlineStr">
        <is>
          <t>10246</t>
        </is>
      </c>
      <c r="B301" t="inlineStr">
        <is>
          <t>A91601</t>
        </is>
      </c>
      <c r="C301" t="inlineStr">
        <is>
          <t>https://app.matchical.com/Consulting/ConsultantDetail?ConsultantId=7a1cde26-ce6a-430a-9531-0664b8c4731e</t>
        </is>
      </c>
      <c r="D301" t="inlineStr">
        <is>
          <t>Leonie Pielnik-Kost</t>
        </is>
      </c>
      <c r="E301" t="inlineStr">
        <is>
          <t>leonie.pielnik-kost@bridging-it.de</t>
        </is>
      </c>
      <c r="F301" s="2" t="n">
        <v>45323</v>
      </c>
      <c r="G301" s="2" t="n">
        <v>44075</v>
      </c>
      <c r="H301" t="n">
        <v>6</v>
      </c>
      <c r="I301" t="n">
        <v>0</v>
      </c>
      <c r="J301" t="n">
        <v>2</v>
      </c>
      <c r="K301" s="2" t="n">
        <v>45382</v>
      </c>
      <c r="L301" s="2" t="n">
        <v>45600</v>
      </c>
      <c r="M301" s="2" t="n">
        <v>46022</v>
      </c>
      <c r="N301" t="b">
        <v>0</v>
      </c>
      <c r="O301" t="n">
        <v>25</v>
      </c>
      <c r="P301" t="n">
        <v>61</v>
      </c>
      <c r="Q301" t="n">
        <v>21.67</v>
      </c>
      <c r="R301">
        <f>ROUND(O301-P301,2)</f>
        <v/>
      </c>
      <c r="S301">
        <f>ROUND(O301-Q301,2)</f>
        <v/>
      </c>
      <c r="T301" s="3">
        <f>IFERROR(P301/O301,"")</f>
        <v/>
      </c>
      <c r="U301" s="3">
        <f>IFERROR(Q301/O301,"")</f>
        <v/>
      </c>
      <c r="V301" t="n">
        <v>41</v>
      </c>
      <c r="W301" t="n">
        <v>3</v>
      </c>
      <c r="X301" t="n">
        <v>3</v>
      </c>
      <c r="Y301">
        <f>ROUND(V301-W301,2)</f>
        <v/>
      </c>
      <c r="Z301">
        <f>ROUND(V301-X301,2)</f>
        <v/>
      </c>
      <c r="AA301" s="3">
        <f>IFERROR(W301/V301,"")</f>
        <v/>
      </c>
      <c r="AB301" s="3">
        <f>IFERROR(X301/V301,"")</f>
        <v/>
      </c>
      <c r="AC301" t="b">
        <v>0</v>
      </c>
      <c r="AD301" t="b">
        <v>0</v>
      </c>
      <c r="AE301" t="b">
        <v>0</v>
      </c>
      <c r="AF301" t="inlineStr">
        <is>
          <t>Yes</t>
        </is>
      </c>
      <c r="AG301" s="2" t="n">
        <v>46143</v>
      </c>
      <c r="AI301" t="b">
        <v>1</v>
      </c>
      <c r="AJ301" t="n">
        <v>5</v>
      </c>
      <c r="AK301" t="inlineStr">
        <is>
          <t>Data analyst with experience in Databricks, Power BI, and Python.</t>
        </is>
      </c>
      <c r="AL301" t="inlineStr">
        <is>
          <t>ES Enterprise Solutions (Gina H.)</t>
        </is>
      </c>
      <c r="AM301" t="inlineStr">
        <is>
          <t>DA Data &amp; AI Solutions (Ralf Fi.)</t>
        </is>
      </c>
      <c r="AN301" t="inlineStr">
        <is>
          <t>PA Platform &amp; Application Solutions (Thomas K.)</t>
        </is>
      </c>
      <c r="AO301" t="inlineStr">
        <is>
          <t>bridgingIT GmbH</t>
        </is>
      </c>
      <c r="AP301" t="inlineStr">
        <is>
          <t>Stuttgart</t>
        </is>
      </c>
      <c r="AQ301" t="inlineStr">
        <is>
          <t>Ralf Fischer</t>
        </is>
      </c>
    </row>
    <row r="302">
      <c r="A302" t="inlineStr">
        <is>
          <t>1042</t>
        </is>
      </c>
      <c r="B302" t="inlineStr">
        <is>
          <t>DFD000</t>
        </is>
      </c>
      <c r="C302" t="inlineStr">
        <is>
          <t>https://app.matchical.com/Consulting/ConsultantDetail?ConsultantId=f1be6da3-40ef-4646-89fd-7cf6df7137df</t>
        </is>
      </c>
      <c r="D302" t="inlineStr">
        <is>
          <t>Leyla Fatemi</t>
        </is>
      </c>
      <c r="E302" t="inlineStr">
        <is>
          <t>leyla.fatemi@bridging-it.de</t>
        </is>
      </c>
      <c r="F302" s="2" t="n">
        <v>39569</v>
      </c>
      <c r="G302" s="2" t="n">
        <v>36951</v>
      </c>
      <c r="H302" t="n">
        <v>14</v>
      </c>
      <c r="I302" t="n">
        <v>0</v>
      </c>
      <c r="J302" t="n">
        <v>2</v>
      </c>
      <c r="K302" s="2" t="n">
        <v>39569</v>
      </c>
      <c r="L302" s="2" t="n">
        <v>45199</v>
      </c>
      <c r="M302" s="2" t="n">
        <v>45411</v>
      </c>
      <c r="N302" t="b">
        <v>0</v>
      </c>
      <c r="O302" t="n">
        <v>214</v>
      </c>
      <c r="P302" t="n">
        <v>441</v>
      </c>
      <c r="Q302" t="n">
        <v>213.82</v>
      </c>
      <c r="R302">
        <f>ROUND(O302-P302,2)</f>
        <v/>
      </c>
      <c r="S302">
        <f>ROUND(O302-Q302,2)</f>
        <v/>
      </c>
      <c r="T302" s="3">
        <f>IFERROR(P302/O302,"")</f>
        <v/>
      </c>
      <c r="U302" s="3">
        <f>IFERROR(Q302/O302,"")</f>
        <v/>
      </c>
      <c r="V302" t="n">
        <v>86</v>
      </c>
      <c r="W302" t="n">
        <v>3</v>
      </c>
      <c r="X302" t="n">
        <v>3</v>
      </c>
      <c r="Y302">
        <f>ROUND(V302-W302,2)</f>
        <v/>
      </c>
      <c r="Z302">
        <f>ROUND(V302-X302,2)</f>
        <v/>
      </c>
      <c r="AA302" s="3">
        <f>IFERROR(W302/V302,"")</f>
        <v/>
      </c>
      <c r="AB302" s="3">
        <f>IFERROR(X302/V302,"")</f>
        <v/>
      </c>
      <c r="AC302" t="b">
        <v>0</v>
      </c>
      <c r="AD302" t="b">
        <v>0</v>
      </c>
      <c r="AE302" t="b">
        <v>0</v>
      </c>
      <c r="AF302" t="inlineStr">
        <is>
          <t>No</t>
        </is>
      </c>
      <c r="AI302" t="b">
        <v>0</v>
      </c>
      <c r="AJ302" t="n">
        <v>0</v>
      </c>
      <c r="AK302" t="inlineStr">
        <is>
          <t>Leyla is seeking, during the pause in her EnBW project management project, an interim assignment in the areas of project management, change management, rollouts, and communication. However, she still has module and training activities (as well as time off over the year-end holidays) during this period.</t>
        </is>
      </c>
      <c r="AL302" t="inlineStr">
        <is>
          <t>T&amp;A - Transformation &amp; Agility (Arne K.)</t>
        </is>
      </c>
      <c r="AM302" t="inlineStr">
        <is>
          <t>TE - Transformation Enablement (Arne K.)</t>
        </is>
      </c>
      <c r="AN302" t="inlineStr">
        <is>
          <t>TB - Transforming Business (Arne K.)</t>
        </is>
      </c>
      <c r="AO302" t="inlineStr">
        <is>
          <t>bridgingIT GmbH</t>
        </is>
      </c>
      <c r="AP302" t="inlineStr">
        <is>
          <t>Mannheim</t>
        </is>
      </c>
      <c r="AQ302" t="inlineStr">
        <is>
          <t>Arne Kunstmann</t>
        </is>
      </c>
    </row>
    <row r="303">
      <c r="A303" t="inlineStr">
        <is>
          <t>10437</t>
        </is>
      </c>
      <c r="B303" t="inlineStr">
        <is>
          <t>CA1787</t>
        </is>
      </c>
      <c r="C303" t="inlineStr">
        <is>
          <t>https://app.matchical.com/Consulting/ConsultantDetail?ConsultantId=9dd6547e-e1a2-473b-b007-81ebee30b1c2</t>
        </is>
      </c>
      <c r="D303" t="inlineStr">
        <is>
          <t>Leyla Varli</t>
        </is>
      </c>
      <c r="E303" t="inlineStr">
        <is>
          <t>leyla.varli@bridging-it.de</t>
        </is>
      </c>
      <c r="F303" s="2" t="n">
        <v>46054</v>
      </c>
      <c r="G303" s="2" t="n">
        <v>40969</v>
      </c>
      <c r="H303" t="n">
        <v>15</v>
      </c>
      <c r="I303" t="n">
        <v>0</v>
      </c>
      <c r="J303" t="n">
        <v>1</v>
      </c>
      <c r="K303" s="2" t="n">
        <v>43921</v>
      </c>
      <c r="L303" s="2" t="n">
        <v>45443</v>
      </c>
      <c r="M303" s="2" t="n">
        <v>45625</v>
      </c>
      <c r="N303" t="b">
        <v>0</v>
      </c>
      <c r="O303" t="n">
        <v>1</v>
      </c>
      <c r="P303" t="n">
        <v>0.75</v>
      </c>
      <c r="Q303" t="n">
        <v>0.65</v>
      </c>
      <c r="R303">
        <f>ROUND(O303-P303,2)</f>
        <v/>
      </c>
      <c r="S303">
        <f>ROUND(O303-Q303,2)</f>
        <v/>
      </c>
      <c r="T303" s="3">
        <f>IFERROR(P303/O303,"")</f>
        <v/>
      </c>
      <c r="U303" s="3">
        <f>IFERROR(Q303/O303,"")</f>
        <v/>
      </c>
      <c r="V303" t="n">
        <v>167</v>
      </c>
      <c r="W303" t="n">
        <v>250.22</v>
      </c>
      <c r="X303" t="n">
        <v>167.06</v>
      </c>
      <c r="Y303">
        <f>ROUND(V303-W303,2)</f>
        <v/>
      </c>
      <c r="Z303">
        <f>ROUND(V303-X303,2)</f>
        <v/>
      </c>
      <c r="AA303" s="3">
        <f>IFERROR(W303/V303,"")</f>
        <v/>
      </c>
      <c r="AB303" s="3">
        <f>IFERROR(X303/V303,"")</f>
        <v/>
      </c>
      <c r="AC303" t="b">
        <v>0</v>
      </c>
      <c r="AD303" t="b">
        <v>0</v>
      </c>
      <c r="AE303" t="b">
        <v>0</v>
      </c>
      <c r="AF303" t="inlineStr">
        <is>
          <t>No</t>
        </is>
      </c>
      <c r="AI303" t="b">
        <v>1</v>
      </c>
      <c r="AJ303" t="n">
        <v>0</v>
      </c>
      <c r="AK303" t="inlineStr"/>
      <c r="AL303" t="inlineStr">
        <is>
          <t>IT - Information Technology (HH)</t>
        </is>
      </c>
      <c r="AM303" t="inlineStr">
        <is>
          <t>CG - Cloud Governance (Leyla V.)</t>
        </is>
      </c>
      <c r="AN303" t="inlineStr">
        <is>
          <t>ITC HH (Nicole F.)</t>
        </is>
      </c>
      <c r="AO303" t="inlineStr">
        <is>
          <t>bridgingIT GmbH</t>
        </is>
      </c>
      <c r="AP303" t="inlineStr">
        <is>
          <t>Hamburg</t>
        </is>
      </c>
      <c r="AQ303" t="inlineStr">
        <is>
          <t>Nicole Fabian</t>
        </is>
      </c>
    </row>
    <row r="304">
      <c r="A304" t="inlineStr">
        <is>
          <t>1420</t>
        </is>
      </c>
      <c r="B304" t="inlineStr">
        <is>
          <t>01898A</t>
        </is>
      </c>
      <c r="C304" t="inlineStr">
        <is>
          <t>https://app.matchical.com/Consulting/ConsultantDetail?ConsultantId=d4aba8cb-0fdb-4db2-8d23-4043b169fc42</t>
        </is>
      </c>
      <c r="D304" t="inlineStr">
        <is>
          <t>Linda Urich</t>
        </is>
      </c>
      <c r="E304" t="inlineStr">
        <is>
          <t>linda.urich@bridging-it.de</t>
        </is>
      </c>
      <c r="F304" s="2" t="n">
        <v>43191</v>
      </c>
      <c r="G304" s="2" t="n">
        <v>43191</v>
      </c>
      <c r="H304" t="n">
        <v>16</v>
      </c>
      <c r="I304" t="n">
        <v>0</v>
      </c>
      <c r="J304" t="n">
        <v>3</v>
      </c>
      <c r="K304" s="2" t="n">
        <v>44255</v>
      </c>
      <c r="L304" s="2" t="n">
        <v>44561</v>
      </c>
      <c r="M304" s="2" t="n">
        <v>45259</v>
      </c>
      <c r="N304" t="b">
        <v>0</v>
      </c>
      <c r="O304" t="n">
        <v>95</v>
      </c>
      <c r="P304" t="n">
        <v>220</v>
      </c>
      <c r="Q304" t="n">
        <v>89</v>
      </c>
      <c r="R304">
        <f>ROUND(O304-P304,2)</f>
        <v/>
      </c>
      <c r="S304">
        <f>ROUND(O304-Q304,2)</f>
        <v/>
      </c>
      <c r="T304" s="3">
        <f>IFERROR(P304/O304,"")</f>
        <v/>
      </c>
      <c r="U304" s="3">
        <f>IFERROR(Q304/O304,"")</f>
        <v/>
      </c>
      <c r="V304" t="n">
        <v>0</v>
      </c>
      <c r="W304" t="n">
        <v>0</v>
      </c>
      <c r="X304" t="n">
        <v>0</v>
      </c>
      <c r="Y304">
        <f>ROUND(V304-W304,2)</f>
        <v/>
      </c>
      <c r="Z304">
        <f>ROUND(V304-X304,2)</f>
        <v/>
      </c>
      <c r="AA304" s="3">
        <f>IFERROR(W304/V304,"")</f>
        <v/>
      </c>
      <c r="AB304" s="3">
        <f>IFERROR(X304/V304,"")</f>
        <v/>
      </c>
      <c r="AC304" t="b">
        <v>0</v>
      </c>
      <c r="AD304" t="b">
        <v>0</v>
      </c>
      <c r="AE304" t="b">
        <v>0</v>
      </c>
      <c r="AF304" t="inlineStr">
        <is>
          <t>No</t>
        </is>
      </c>
      <c r="AG304" s="2" t="n">
        <v>43983</v>
      </c>
      <c r="AI304" t="b">
        <v>0</v>
      </c>
      <c r="AJ304" t="n">
        <v>4</v>
      </c>
      <c r="AK304" t="inlineStr"/>
      <c r="AL304" t="inlineStr">
        <is>
          <t>POR BL</t>
        </is>
      </c>
      <c r="AM304" t="inlineStr">
        <is>
          <t>POR Management</t>
        </is>
      </c>
      <c r="AN304" t="inlineStr">
        <is>
          <t>POR Management</t>
        </is>
      </c>
      <c r="AO304" t="inlineStr">
        <is>
          <t>bridgingIT GmbH</t>
        </is>
      </c>
      <c r="AP304" t="inlineStr">
        <is>
          <t>Mannheim</t>
        </is>
      </c>
      <c r="AQ304" t="inlineStr">
        <is>
          <t>Tobias Freitag</t>
        </is>
      </c>
    </row>
    <row r="305">
      <c r="A305" t="inlineStr">
        <is>
          <t>10326</t>
        </is>
      </c>
      <c r="B305" t="inlineStr">
        <is>
          <t>C4B339</t>
        </is>
      </c>
      <c r="C305" t="inlineStr">
        <is>
          <t>https://app.matchical.com/Consulting/ConsultantDetail?ConsultantId=5571f272-a6f0-46c6-bddf-99388799b0b3</t>
        </is>
      </c>
      <c r="D305" t="inlineStr">
        <is>
          <t>Lisa Kortum</t>
        </is>
      </c>
      <c r="E305" t="inlineStr">
        <is>
          <t>lisa.kortum@bridging-it.de</t>
        </is>
      </c>
      <c r="F305" s="2" t="n">
        <v>45597</v>
      </c>
      <c r="G305" s="2" t="n">
        <v>42826</v>
      </c>
      <c r="H305" t="n">
        <v>5</v>
      </c>
      <c r="I305" t="n">
        <v>0</v>
      </c>
      <c r="J305" t="n">
        <v>0</v>
      </c>
      <c r="L305" s="2" t="n">
        <v>45614</v>
      </c>
      <c r="M305" s="2" t="n">
        <v>45808</v>
      </c>
      <c r="N305" t="b">
        <v>0</v>
      </c>
      <c r="O305" t="n">
        <v>16</v>
      </c>
      <c r="P305" t="n">
        <v>6</v>
      </c>
      <c r="Q305" t="n">
        <v>6</v>
      </c>
      <c r="R305">
        <f>ROUND(O305-P305,2)</f>
        <v/>
      </c>
      <c r="S305">
        <f>ROUND(O305-Q305,2)</f>
        <v/>
      </c>
      <c r="T305" s="3">
        <f>IFERROR(P305/O305,"")</f>
        <v/>
      </c>
      <c r="U305" s="3">
        <f>IFERROR(Q305/O305,"")</f>
        <v/>
      </c>
      <c r="V305" t="n">
        <v>91</v>
      </c>
      <c r="W305" t="n">
        <v>70</v>
      </c>
      <c r="X305" t="n">
        <v>65</v>
      </c>
      <c r="Y305">
        <f>ROUND(V305-W305,2)</f>
        <v/>
      </c>
      <c r="Z305">
        <f>ROUND(V305-X305,2)</f>
        <v/>
      </c>
      <c r="AA305" s="3">
        <f>IFERROR(W305/V305,"")</f>
        <v/>
      </c>
      <c r="AB305" s="3">
        <f>IFERROR(X305/V305,"")</f>
        <v/>
      </c>
      <c r="AC305" t="b">
        <v>0</v>
      </c>
      <c r="AD305" t="b">
        <v>0</v>
      </c>
      <c r="AE305" t="b">
        <v>0</v>
      </c>
      <c r="AF305" t="inlineStr">
        <is>
          <t>Yes</t>
        </is>
      </c>
      <c r="AG305" s="2" t="n">
        <v>46174</v>
      </c>
      <c r="AI305" t="b">
        <v>1</v>
      </c>
      <c r="AJ305" t="n">
        <v>5</v>
      </c>
      <c r="AK305" t="inlineStr">
        <is>
          <t>Lisa is currently working as a project manager at dmTech. Assignments are always issued biannually, so the next checkpoint is at the beginning of May.
Lisa is an experienced project manager, business analyst, and agile Product Owner with a focus on data-driven and/or CRM projects.</t>
        </is>
      </c>
      <c r="AL305" t="inlineStr">
        <is>
          <t>T&amp;A - Transformation &amp; Agility (Arne K.)</t>
        </is>
      </c>
      <c r="AM305" t="inlineStr">
        <is>
          <t>TE - Transformation Enablement (Arne K.)</t>
        </is>
      </c>
      <c r="AN305" t="inlineStr">
        <is>
          <t>TB - Transforming Business (Arne K.)</t>
        </is>
      </c>
      <c r="AO305" t="inlineStr">
        <is>
          <t>bridgingIT GmbH</t>
        </is>
      </c>
      <c r="AP305" t="inlineStr">
        <is>
          <t>Mannheim</t>
        </is>
      </c>
      <c r="AQ305" t="inlineStr">
        <is>
          <t>Arne Kunstmann</t>
        </is>
      </c>
    </row>
    <row r="306">
      <c r="A306" t="inlineStr">
        <is>
          <t>1512</t>
        </is>
      </c>
      <c r="B306" t="inlineStr">
        <is>
          <t>3809A4</t>
        </is>
      </c>
      <c r="C306" t="inlineStr">
        <is>
          <t>https://app.matchical.com/Consulting/ConsultantDetail?ConsultantId=9d30023f-08c5-43f4-b50d-286f96e22d02</t>
        </is>
      </c>
      <c r="D306" t="inlineStr">
        <is>
          <t>Lisa Wölke</t>
        </is>
      </c>
      <c r="E306" t="inlineStr">
        <is>
          <t>lisa.woelke@bridging-it.de</t>
        </is>
      </c>
      <c r="F306" s="2" t="n">
        <v>44682</v>
      </c>
      <c r="G306" s="2" t="n">
        <v>43831</v>
      </c>
      <c r="H306" t="n">
        <v>10</v>
      </c>
      <c r="I306" t="n">
        <v>0</v>
      </c>
      <c r="J306" t="n">
        <v>2</v>
      </c>
      <c r="K306" s="2" t="n">
        <v>44682</v>
      </c>
      <c r="L306" s="2" t="n">
        <v>45869</v>
      </c>
      <c r="M306" s="2" t="n">
        <v>46052</v>
      </c>
      <c r="N306" t="b">
        <v>0</v>
      </c>
      <c r="O306" t="n">
        <v>46</v>
      </c>
      <c r="P306" t="n">
        <v>119</v>
      </c>
      <c r="Q306" t="n">
        <v>45.83</v>
      </c>
      <c r="R306">
        <f>ROUND(O306-P306,2)</f>
        <v/>
      </c>
      <c r="S306">
        <f>ROUND(O306-Q306,2)</f>
        <v/>
      </c>
      <c r="T306" s="3">
        <f>IFERROR(P306/O306,"")</f>
        <v/>
      </c>
      <c r="U306" s="3">
        <f>IFERROR(Q306/O306,"")</f>
        <v/>
      </c>
      <c r="V306" t="n">
        <v>28</v>
      </c>
      <c r="W306" t="n">
        <v>28</v>
      </c>
      <c r="X306" t="n">
        <v>19</v>
      </c>
      <c r="Y306">
        <f>ROUND(V306-W306,2)</f>
        <v/>
      </c>
      <c r="Z306">
        <f>ROUND(V306-X306,2)</f>
        <v/>
      </c>
      <c r="AA306" s="3">
        <f>IFERROR(W306/V306,"")</f>
        <v/>
      </c>
      <c r="AB306" s="3">
        <f>IFERROR(X306/V306,"")</f>
        <v/>
      </c>
      <c r="AC306" t="b">
        <v>0</v>
      </c>
      <c r="AD306" t="b">
        <v>0</v>
      </c>
      <c r="AE306" t="b">
        <v>0</v>
      </c>
      <c r="AF306" t="inlineStr">
        <is>
          <t>No</t>
        </is>
      </c>
      <c r="AI306" t="b">
        <v>1</v>
      </c>
      <c r="AJ306" t="n">
        <v>0</v>
      </c>
      <c r="AK306" t="inlineStr">
        <is>
          <t>For Lisa, we are looking for a gig as an Agile Coach / Change Manager / PMO / Project Manager with growth potential — preferably in the Rhein-Neckar local market.</t>
        </is>
      </c>
      <c r="AL306" t="inlineStr">
        <is>
          <t>T&amp;A - Transformation &amp; Agility (Arne K.)</t>
        </is>
      </c>
      <c r="AM306" t="inlineStr">
        <is>
          <t>PACE – Project Agility &amp; Cont' Evolution (Jan H.)</t>
        </is>
      </c>
      <c r="AN306" t="inlineStr">
        <is>
          <t>A&amp;PM Agility &amp; Project Management (Jan H.)</t>
        </is>
      </c>
      <c r="AO306" t="inlineStr">
        <is>
          <t>bridgingIT GmbH</t>
        </is>
      </c>
      <c r="AP306" t="inlineStr">
        <is>
          <t>Mannheim</t>
        </is>
      </c>
      <c r="AQ306" t="inlineStr">
        <is>
          <t>Jan Heinemann</t>
        </is>
      </c>
    </row>
    <row r="307">
      <c r="A307" t="inlineStr">
        <is>
          <t>8761</t>
        </is>
      </c>
      <c r="B307" t="inlineStr">
        <is>
          <t>A0EFC3</t>
        </is>
      </c>
      <c r="C307" t="inlineStr">
        <is>
          <t>https://app.matchical.com/Consulting/ConsultantDetail?ConsultantId=1ea40356-9216-4caf-85da-4be393750e1b</t>
        </is>
      </c>
      <c r="D307" t="inlineStr">
        <is>
          <t>Louay Khalifa</t>
        </is>
      </c>
      <c r="E307" t="inlineStr">
        <is>
          <t>louay.khalifa@crafting-it.de</t>
        </is>
      </c>
      <c r="F307" s="2" t="n">
        <v>44682</v>
      </c>
      <c r="H307" t="n">
        <v>6</v>
      </c>
      <c r="I307" t="n">
        <v>0</v>
      </c>
      <c r="J307" t="n">
        <v>0</v>
      </c>
      <c r="L307" s="2" t="n">
        <v>45292</v>
      </c>
      <c r="M307" s="2" t="n">
        <v>45657</v>
      </c>
      <c r="N307" t="b">
        <v>1</v>
      </c>
      <c r="O307" t="n">
        <v>46</v>
      </c>
      <c r="P307" t="n">
        <v>79.73</v>
      </c>
      <c r="Q307" t="n">
        <v>43.33</v>
      </c>
      <c r="R307">
        <f>ROUND(O307-P307,2)</f>
        <v/>
      </c>
      <c r="S307">
        <f>ROUND(O307-Q307,2)</f>
        <v/>
      </c>
      <c r="T307" s="3">
        <f>IFERROR(P307/O307,"")</f>
        <v/>
      </c>
      <c r="U307" s="3">
        <f>IFERROR(Q307/O307,"")</f>
        <v/>
      </c>
      <c r="V307" t="n">
        <v>1468</v>
      </c>
      <c r="W307" t="n">
        <v>3.96</v>
      </c>
      <c r="X307" t="n">
        <v>3.96</v>
      </c>
      <c r="Y307">
        <f>ROUND(V307-W307,2)</f>
        <v/>
      </c>
      <c r="Z307">
        <f>ROUND(V307-X307,2)</f>
        <v/>
      </c>
      <c r="AA307" s="3">
        <f>IFERROR(W307/V307,"")</f>
        <v/>
      </c>
      <c r="AB307" s="3">
        <f>IFERROR(X307/V307,"")</f>
        <v/>
      </c>
      <c r="AC307" t="b">
        <v>0</v>
      </c>
      <c r="AD307" t="b">
        <v>0</v>
      </c>
      <c r="AE307" t="b">
        <v>0</v>
      </c>
      <c r="AF307" t="inlineStr">
        <is>
          <t>No</t>
        </is>
      </c>
      <c r="AI307" t="b">
        <v>1</v>
      </c>
      <c r="AJ307" t="n">
        <v>0</v>
      </c>
      <c r="AK307" t="inlineStr"/>
      <c r="AL307" t="inlineStr">
        <is>
          <t>ORG cIT</t>
        </is>
      </c>
      <c r="AM307" t="inlineStr">
        <is>
          <t>cIT IT Services</t>
        </is>
      </c>
      <c r="AN307" t="inlineStr">
        <is>
          <t>cIT Service Delivery Magdeburg (Steffen A.)</t>
        </is>
      </c>
      <c r="AO307" t="inlineStr">
        <is>
          <t>craftingIT GmbH</t>
        </is>
      </c>
      <c r="AP307" t="inlineStr">
        <is>
          <t>Magdeburg</t>
        </is>
      </c>
      <c r="AQ307" t="inlineStr">
        <is>
          <t>Marcel Kelle</t>
        </is>
      </c>
    </row>
    <row r="308">
      <c r="A308" t="inlineStr">
        <is>
          <t>10040</t>
        </is>
      </c>
      <c r="B308" t="inlineStr">
        <is>
          <t>61EB1F</t>
        </is>
      </c>
      <c r="C308" t="inlineStr">
        <is>
          <t>https://app.matchical.com/Consulting/ConsultantDetail?ConsultantId=3be028e1-e08f-4f05-bb44-6b660d60c0bb</t>
        </is>
      </c>
      <c r="D308" t="inlineStr">
        <is>
          <t>Lourenco Neto</t>
        </is>
      </c>
      <c r="E308" t="inlineStr">
        <is>
          <t>lourenco.neto@bridging-it.de</t>
        </is>
      </c>
      <c r="F308" s="2" t="n">
        <v>44927</v>
      </c>
      <c r="G308" s="2" t="n">
        <v>36586</v>
      </c>
      <c r="H308" t="n">
        <v>31</v>
      </c>
      <c r="I308" t="n">
        <v>0</v>
      </c>
      <c r="J308" t="n">
        <v>0</v>
      </c>
      <c r="L308" s="2" t="n">
        <v>45915</v>
      </c>
      <c r="M308" s="2" t="n">
        <v>46022</v>
      </c>
      <c r="N308" t="b">
        <v>0</v>
      </c>
      <c r="O308" t="n">
        <v>38</v>
      </c>
      <c r="P308" t="n">
        <v>137.89</v>
      </c>
      <c r="Q308" t="n">
        <v>37.78</v>
      </c>
      <c r="R308">
        <f>ROUND(O308-P308,2)</f>
        <v/>
      </c>
      <c r="S308">
        <f>ROUND(O308-Q308,2)</f>
        <v/>
      </c>
      <c r="T308" s="3">
        <f>IFERROR(P308/O308,"")</f>
        <v/>
      </c>
      <c r="U308" s="3">
        <f>IFERROR(Q308/O308,"")</f>
        <v/>
      </c>
      <c r="V308" t="n">
        <v>274</v>
      </c>
      <c r="W308" t="n">
        <v>698.08</v>
      </c>
      <c r="X308" t="n">
        <v>273.13</v>
      </c>
      <c r="Y308">
        <f>ROUND(V308-W308,2)</f>
        <v/>
      </c>
      <c r="Z308">
        <f>ROUND(V308-X308,2)</f>
        <v/>
      </c>
      <c r="AA308" s="3">
        <f>IFERROR(W308/V308,"")</f>
        <v/>
      </c>
      <c r="AB308" s="3">
        <f>IFERROR(X308/V308,"")</f>
        <v/>
      </c>
      <c r="AC308" t="b">
        <v>0</v>
      </c>
      <c r="AD308" t="b">
        <v>0</v>
      </c>
      <c r="AE308" t="b">
        <v>0</v>
      </c>
      <c r="AF308" t="inlineStr">
        <is>
          <t>Yes</t>
        </is>
      </c>
      <c r="AG308" s="2" t="n">
        <v>45945</v>
      </c>
      <c r="AI308" t="b">
        <v>1</v>
      </c>
      <c r="AJ308" t="n">
        <v>5</v>
      </c>
      <c r="AK308" t="inlineStr"/>
      <c r="AL308" t="inlineStr">
        <is>
          <t>IT - Information Technology (Sebastian L.)</t>
        </is>
      </c>
      <c r="AM308" t="inlineStr">
        <is>
          <t>CS - Cyber Security (Jochen Ka.)</t>
        </is>
      </c>
      <c r="AN308" t="inlineStr">
        <is>
          <t>O&amp;G - Organization &amp; Governance (Carsten T.)</t>
        </is>
      </c>
      <c r="AO308" t="inlineStr">
        <is>
          <t>bridgingIT GmbH</t>
        </is>
      </c>
      <c r="AP308" t="inlineStr">
        <is>
          <t>Hamburg</t>
        </is>
      </c>
      <c r="AQ308" t="inlineStr">
        <is>
          <t>Jochen Kauba</t>
        </is>
      </c>
    </row>
    <row r="309">
      <c r="A309" t="inlineStr">
        <is>
          <t>5099</t>
        </is>
      </c>
      <c r="B309" t="inlineStr">
        <is>
          <t>8BD644</t>
        </is>
      </c>
      <c r="C309" t="inlineStr">
        <is>
          <t>https://app.matchical.com/Consulting/ConsultantDetail?ConsultantId=351c03ac-c2b7-4264-b66f-2b6b3cfbd9b6</t>
        </is>
      </c>
      <c r="D309" t="inlineStr">
        <is>
          <t>Lucas Raei</t>
        </is>
      </c>
      <c r="E309" t="inlineStr">
        <is>
          <t>lucas.raei@bridging-it.de</t>
        </is>
      </c>
      <c r="F309" s="2" t="n">
        <v>44635</v>
      </c>
      <c r="G309" s="2" t="n">
        <v>43009</v>
      </c>
      <c r="H309" t="n">
        <v>9</v>
      </c>
      <c r="I309" t="n">
        <v>0</v>
      </c>
      <c r="J309" t="n">
        <v>0</v>
      </c>
      <c r="L309" s="2" t="n">
        <v>45688</v>
      </c>
      <c r="M309" s="2" t="n">
        <v>45755</v>
      </c>
      <c r="N309" t="b">
        <v>0</v>
      </c>
      <c r="O309" t="n">
        <v>47</v>
      </c>
      <c r="P309" t="n">
        <v>33</v>
      </c>
      <c r="Q309" t="n">
        <v>29</v>
      </c>
      <c r="R309">
        <f>ROUND(O309-P309,2)</f>
        <v/>
      </c>
      <c r="S309">
        <f>ROUND(O309-Q309,2)</f>
        <v/>
      </c>
      <c r="T309" s="3">
        <f>IFERROR(P309/O309,"")</f>
        <v/>
      </c>
      <c r="U309" s="3">
        <f>IFERROR(Q309/O309,"")</f>
        <v/>
      </c>
      <c r="V309" t="n">
        <v>53</v>
      </c>
      <c r="W309" t="n">
        <v>39</v>
      </c>
      <c r="X309" t="n">
        <v>39</v>
      </c>
      <c r="Y309">
        <f>ROUND(V309-W309,2)</f>
        <v/>
      </c>
      <c r="Z309">
        <f>ROUND(V309-X309,2)</f>
        <v/>
      </c>
      <c r="AA309" s="3">
        <f>IFERROR(W309/V309,"")</f>
        <v/>
      </c>
      <c r="AB309" s="3">
        <f>IFERROR(X309/V309,"")</f>
        <v/>
      </c>
      <c r="AC309" t="b">
        <v>0</v>
      </c>
      <c r="AD309" t="b">
        <v>0</v>
      </c>
      <c r="AE309" t="b">
        <v>0</v>
      </c>
      <c r="AF309" t="inlineStr">
        <is>
          <t>Yes</t>
        </is>
      </c>
      <c r="AG309" s="2" t="n">
        <v>46083</v>
      </c>
      <c r="AI309" t="b">
        <v>0</v>
      </c>
      <c r="AJ309" t="n">
        <v>3</v>
      </c>
      <c r="AK309" t="inlineStr">
        <is>
          <t>Update 24.02.2025:
Lucas is employed as a Data-Engineer, assigned as:
40% at Merck
60% at SPIE
For this project, we are currently not seeking any new projects.</t>
        </is>
      </c>
      <c r="AL309" t="inlineStr">
        <is>
          <t>ORG bIT</t>
        </is>
      </c>
      <c r="AM309" t="inlineStr">
        <is>
          <t>DAC - Data Analytics Cologne (Manuel N.)</t>
        </is>
      </c>
      <c r="AN309" t="inlineStr">
        <is>
          <t>DPC - Datalytics &amp; Process Cologne (Claudia P.)</t>
        </is>
      </c>
      <c r="AO309" t="inlineStr">
        <is>
          <t>bridgingIT GmbH</t>
        </is>
      </c>
      <c r="AP309" t="inlineStr">
        <is>
          <t>Köln</t>
        </is>
      </c>
      <c r="AQ309" t="inlineStr">
        <is>
          <t>Manuel Niklos</t>
        </is>
      </c>
    </row>
    <row r="310">
      <c r="A310" t="inlineStr">
        <is>
          <t>10405</t>
        </is>
      </c>
      <c r="B310" t="inlineStr">
        <is>
          <t>4780CD</t>
        </is>
      </c>
      <c r="C310" t="inlineStr">
        <is>
          <t>https://app.matchical.com/Consulting/ConsultantDetail?ConsultantId=85197e06-35b5-4331-be88-89fdb418acc3</t>
        </is>
      </c>
      <c r="D310" t="inlineStr">
        <is>
          <t>Luisa Kizler</t>
        </is>
      </c>
      <c r="E310" t="inlineStr">
        <is>
          <t>luisa.kizler@bridging-it.de</t>
        </is>
      </c>
      <c r="F310" s="2" t="n">
        <v>45962</v>
      </c>
      <c r="G310" s="2" t="n">
        <v>43344</v>
      </c>
      <c r="H310" t="n">
        <v>5</v>
      </c>
      <c r="I310" t="n">
        <v>0</v>
      </c>
      <c r="J310" t="n">
        <v>0</v>
      </c>
      <c r="L310" s="2" t="n">
        <v>45716</v>
      </c>
      <c r="M310" s="2" t="n">
        <v>45937</v>
      </c>
      <c r="N310" t="b">
        <v>0</v>
      </c>
      <c r="O310" t="n">
        <v>4</v>
      </c>
      <c r="P310" t="n">
        <v>0</v>
      </c>
      <c r="Q310" t="n">
        <v>0</v>
      </c>
      <c r="R310">
        <f>ROUND(O310-P310,2)</f>
        <v/>
      </c>
      <c r="S310">
        <f>ROUND(O310-Q310,2)</f>
        <v/>
      </c>
      <c r="T310" s="3">
        <f>IFERROR(P310/O310,"")</f>
        <v/>
      </c>
      <c r="U310" s="3">
        <f>IFERROR(Q310/O310,"")</f>
        <v/>
      </c>
      <c r="V310" t="n">
        <v>86</v>
      </c>
      <c r="W310" t="n">
        <v>52</v>
      </c>
      <c r="X310" t="n">
        <v>50</v>
      </c>
      <c r="Y310">
        <f>ROUND(V310-W310,2)</f>
        <v/>
      </c>
      <c r="Z310">
        <f>ROUND(V310-X310,2)</f>
        <v/>
      </c>
      <c r="AA310" s="3">
        <f>IFERROR(W310/V310,"")</f>
        <v/>
      </c>
      <c r="AB310" s="3">
        <f>IFERROR(X310/V310,"")</f>
        <v/>
      </c>
      <c r="AC310" t="b">
        <v>0</v>
      </c>
      <c r="AD310" t="b">
        <v>0</v>
      </c>
      <c r="AE310" t="b">
        <v>0</v>
      </c>
      <c r="AF310" t="inlineStr">
        <is>
          <t>No</t>
        </is>
      </c>
      <c r="AI310" t="b">
        <v>1</v>
      </c>
      <c r="AJ310" t="n">
        <v>0</v>
      </c>
      <c r="AK310" t="inlineStr">
        <is>
          <t>Experienced Scrum Master and Agile Coach, with a high willingness to travel and able to work remotely.</t>
        </is>
      </c>
      <c r="AL310" t="inlineStr">
        <is>
          <t>DO Digital Organizations (Michael H.)</t>
        </is>
      </c>
      <c r="AM310" t="inlineStr">
        <is>
          <t>AO Agile Organizations (Andreas G.)</t>
        </is>
      </c>
      <c r="AN310" t="inlineStr">
        <is>
          <t>BT Business Transformation (Julian D.)</t>
        </is>
      </c>
      <c r="AO310" t="inlineStr">
        <is>
          <t>bridgingIT GmbH</t>
        </is>
      </c>
      <c r="AP310" t="inlineStr">
        <is>
          <t>Stuttgart</t>
        </is>
      </c>
      <c r="AQ310" t="inlineStr">
        <is>
          <t>Andreas Glasa</t>
        </is>
      </c>
    </row>
    <row r="311">
      <c r="A311" t="inlineStr">
        <is>
          <t>10302</t>
        </is>
      </c>
      <c r="B311" t="inlineStr">
        <is>
          <t>8BA10F</t>
        </is>
      </c>
      <c r="C311" t="inlineStr">
        <is>
          <t>https://app.matchical.com/Consulting/ConsultantDetail?ConsultantId=6208392c-b43f-4353-969e-c989693a39b5</t>
        </is>
      </c>
      <c r="D311" t="inlineStr">
        <is>
          <t>Lukas Mendel</t>
        </is>
      </c>
      <c r="E311" t="inlineStr">
        <is>
          <t>lukas.mendel@bridging-it.de</t>
        </is>
      </c>
      <c r="F311" s="2" t="n">
        <v>45474</v>
      </c>
      <c r="G311" s="2" t="n">
        <v>45078</v>
      </c>
      <c r="H311" t="n">
        <v>8</v>
      </c>
      <c r="I311" t="n">
        <v>0</v>
      </c>
      <c r="J311" t="n">
        <v>1</v>
      </c>
      <c r="K311" s="2" t="n">
        <v>45683</v>
      </c>
      <c r="L311" s="2" t="n">
        <v>45579</v>
      </c>
      <c r="M311" s="2" t="n">
        <v>45682</v>
      </c>
      <c r="N311" t="b">
        <v>0</v>
      </c>
      <c r="O311" t="n">
        <v>20</v>
      </c>
      <c r="P311" t="n">
        <v>18</v>
      </c>
      <c r="Q311" t="n">
        <v>18</v>
      </c>
      <c r="R311">
        <f>ROUND(O311-P311,2)</f>
        <v/>
      </c>
      <c r="S311">
        <f>ROUND(O311-Q311,2)</f>
        <v/>
      </c>
      <c r="T311" s="3">
        <f>IFERROR(P311/O311,"")</f>
        <v/>
      </c>
      <c r="U311" s="3">
        <f>IFERROR(Q311/O311,"")</f>
        <v/>
      </c>
      <c r="V311" t="n">
        <v>13</v>
      </c>
      <c r="W311" t="n">
        <v>10.93</v>
      </c>
      <c r="X311" t="n">
        <v>8.699999999999999</v>
      </c>
      <c r="Y311">
        <f>ROUND(V311-W311,2)</f>
        <v/>
      </c>
      <c r="Z311">
        <f>ROUND(V311-X311,2)</f>
        <v/>
      </c>
      <c r="AA311" s="3">
        <f>IFERROR(W311/V311,"")</f>
        <v/>
      </c>
      <c r="AB311" s="3">
        <f>IFERROR(X311/V311,"")</f>
        <v/>
      </c>
      <c r="AC311" t="b">
        <v>0</v>
      </c>
      <c r="AD311" t="b">
        <v>0</v>
      </c>
      <c r="AE311" t="b">
        <v>0</v>
      </c>
      <c r="AF311" t="inlineStr">
        <is>
          <t>No</t>
        </is>
      </c>
      <c r="AI311" t="b">
        <v>0</v>
      </c>
      <c r="AJ311" t="n">
        <v>0</v>
      </c>
      <c r="AK311" t="inlineStr"/>
      <c r="AL311" t="inlineStr">
        <is>
          <t>ES Enterprise Solutions (Gina H.)</t>
        </is>
      </c>
      <c r="AM311" t="inlineStr">
        <is>
          <t>IEJ Java II (Thomas K.)</t>
        </is>
      </c>
      <c r="AN311" t="inlineStr">
        <is>
          <t>IEJ Individualentwicklung JAVA (Dominik S.)</t>
        </is>
      </c>
      <c r="AO311" t="inlineStr">
        <is>
          <t>bridgingIT GmbH</t>
        </is>
      </c>
      <c r="AP311" t="inlineStr">
        <is>
          <t>Stuttgart</t>
        </is>
      </c>
      <c r="AQ311" t="inlineStr">
        <is>
          <t>Thomas Kopp</t>
        </is>
      </c>
    </row>
    <row r="312">
      <c r="A312" t="inlineStr">
        <is>
          <t>1417</t>
        </is>
      </c>
      <c r="B312" t="inlineStr">
        <is>
          <t>D55923</t>
        </is>
      </c>
      <c r="C312" t="inlineStr">
        <is>
          <t>https://app.matchical.com/Consulting/ConsultantDetail?ConsultantId=029897c8-9bcc-45c0-b6a0-3290c2cecc02</t>
        </is>
      </c>
      <c r="D312" t="inlineStr">
        <is>
          <t>Lukas Rebig</t>
        </is>
      </c>
      <c r="E312" t="inlineStr">
        <is>
          <t>lukas.rebig@bridging-it.de</t>
        </is>
      </c>
      <c r="F312" s="2" t="n">
        <v>43191</v>
      </c>
      <c r="G312" s="2" t="n">
        <v>42308</v>
      </c>
      <c r="H312" t="n">
        <v>16</v>
      </c>
      <c r="I312" t="n">
        <v>0</v>
      </c>
      <c r="J312" t="n">
        <v>3</v>
      </c>
      <c r="K312" s="2" t="n">
        <v>43555</v>
      </c>
      <c r="L312" s="2" t="n">
        <v>45777</v>
      </c>
      <c r="M312" s="2" t="n">
        <v>46022</v>
      </c>
      <c r="N312" t="b">
        <v>0</v>
      </c>
      <c r="O312" t="n">
        <v>95</v>
      </c>
      <c r="P312" t="n">
        <v>275</v>
      </c>
      <c r="Q312" t="n">
        <v>93</v>
      </c>
      <c r="R312">
        <f>ROUND(O312-P312,2)</f>
        <v/>
      </c>
      <c r="S312">
        <f>ROUND(O312-Q312,2)</f>
        <v/>
      </c>
      <c r="T312" s="3">
        <f>IFERROR(P312/O312,"")</f>
        <v/>
      </c>
      <c r="U312" s="3">
        <f>IFERROR(Q312/O312,"")</f>
        <v/>
      </c>
      <c r="V312" t="n">
        <v>29</v>
      </c>
      <c r="W312" t="n">
        <v>29</v>
      </c>
      <c r="X312" t="n">
        <v>17</v>
      </c>
      <c r="Y312">
        <f>ROUND(V312-W312,2)</f>
        <v/>
      </c>
      <c r="Z312">
        <f>ROUND(V312-X312,2)</f>
        <v/>
      </c>
      <c r="AA312" s="3">
        <f>IFERROR(W312/V312,"")</f>
        <v/>
      </c>
      <c r="AB312" s="3">
        <f>IFERROR(X312/V312,"")</f>
        <v/>
      </c>
      <c r="AC312" t="b">
        <v>0</v>
      </c>
      <c r="AD312" t="b">
        <v>0</v>
      </c>
      <c r="AE312" t="b">
        <v>0</v>
      </c>
      <c r="AF312" t="inlineStr">
        <is>
          <t>No</t>
        </is>
      </c>
      <c r="AI312" t="b">
        <v>1</v>
      </c>
      <c r="AJ312" t="n">
        <v>0</v>
      </c>
      <c r="AK312" t="inlineStr">
        <is>
          <t>Lukas is looking for an additional project within the scope of M365/Power Platform or similar.
Lukas can also be effectively positioned as a multiplier.</t>
        </is>
      </c>
      <c r="AL312" t="inlineStr">
        <is>
          <t>IT - Information Technology (Sebastian L.)</t>
        </is>
      </c>
      <c r="AM312" t="inlineStr">
        <is>
          <t>CS Collaboration Solutions (Sebastian P.)</t>
        </is>
      </c>
      <c r="AN312" t="inlineStr">
        <is>
          <t>P&amp;DE - Platforms &amp; Digital Ecosystems (David S.)</t>
        </is>
      </c>
      <c r="AO312" t="inlineStr">
        <is>
          <t>bridgingIT GmbH</t>
        </is>
      </c>
      <c r="AP312" t="inlineStr">
        <is>
          <t>Mannheim</t>
        </is>
      </c>
      <c r="AQ312" t="inlineStr">
        <is>
          <t>Sebastian Poth</t>
        </is>
      </c>
    </row>
    <row r="313">
      <c r="A313" t="inlineStr">
        <is>
          <t>7047</t>
        </is>
      </c>
      <c r="B313" t="inlineStr">
        <is>
          <t>CAF5A5</t>
        </is>
      </c>
      <c r="C313" t="inlineStr">
        <is>
          <t>https://app.matchical.com/Consulting/ConsultantDetail?ConsultantId=8b9f2ff6-4b04-49bd-b783-bb95c2117b72</t>
        </is>
      </c>
      <c r="D313" t="inlineStr">
        <is>
          <t>Lutz Kempf</t>
        </is>
      </c>
      <c r="E313" t="inlineStr">
        <is>
          <t>lutz.kempf@bridging-it.de</t>
        </is>
      </c>
      <c r="F313" s="2" t="n">
        <v>44774</v>
      </c>
      <c r="G313" s="2" t="n">
        <v>40695</v>
      </c>
      <c r="H313" t="n">
        <v>9</v>
      </c>
      <c r="I313" t="n">
        <v>0</v>
      </c>
      <c r="J313" t="n">
        <v>2</v>
      </c>
      <c r="K313" s="2" t="n">
        <v>45291</v>
      </c>
      <c r="L313" s="2" t="n">
        <v>44970</v>
      </c>
      <c r="M313" s="2" t="n">
        <v>45760</v>
      </c>
      <c r="N313" t="b">
        <v>0</v>
      </c>
      <c r="O313" t="n">
        <v>43</v>
      </c>
      <c r="P313" t="n">
        <v>77</v>
      </c>
      <c r="Q313" t="n">
        <v>42.81</v>
      </c>
      <c r="R313">
        <f>ROUND(O313-P313,2)</f>
        <v/>
      </c>
      <c r="S313">
        <f>ROUND(O313-Q313,2)</f>
        <v/>
      </c>
      <c r="T313" s="3">
        <f>IFERROR(P313/O313,"")</f>
        <v/>
      </c>
      <c r="U313" s="3">
        <f>IFERROR(Q313/O313,"")</f>
        <v/>
      </c>
      <c r="V313" t="n">
        <v>134</v>
      </c>
      <c r="W313" t="n">
        <v>118</v>
      </c>
      <c r="X313" t="n">
        <v>68</v>
      </c>
      <c r="Y313">
        <f>ROUND(V313-W313,2)</f>
        <v/>
      </c>
      <c r="Z313">
        <f>ROUND(V313-X313,2)</f>
        <v/>
      </c>
      <c r="AA313" s="3">
        <f>IFERROR(W313/V313,"")</f>
        <v/>
      </c>
      <c r="AB313" s="3">
        <f>IFERROR(X313/V313,"")</f>
        <v/>
      </c>
      <c r="AC313" t="b">
        <v>0</v>
      </c>
      <c r="AD313" t="b">
        <v>0</v>
      </c>
      <c r="AE313" t="b">
        <v>0</v>
      </c>
      <c r="AF313" t="inlineStr">
        <is>
          <t>Yes</t>
        </is>
      </c>
      <c r="AG313" s="2" t="n">
        <v>46143</v>
      </c>
      <c r="AI313" t="b">
        <v>0</v>
      </c>
      <c r="AJ313" t="n">
        <v>5</v>
      </c>
      <c r="AK313" t="inlineStr"/>
      <c r="AL313" t="inlineStr">
        <is>
          <t>ORG bIT</t>
        </is>
      </c>
      <c r="AM313" t="inlineStr">
        <is>
          <t>A&amp;PM Agility &amp; Project Management (Lutz K.)</t>
        </is>
      </c>
      <c r="AN313" t="inlineStr">
        <is>
          <t>TH Transformation Hub BLN (Ulrich W.)</t>
        </is>
      </c>
      <c r="AO313" t="inlineStr">
        <is>
          <t>bridgingIT GmbH</t>
        </is>
      </c>
      <c r="AP313" t="inlineStr">
        <is>
          <t>Berlin</t>
        </is>
      </c>
      <c r="AQ313" t="inlineStr">
        <is>
          <t>Ulrich Waltinger</t>
        </is>
      </c>
    </row>
    <row r="314">
      <c r="A314" t="inlineStr">
        <is>
          <t>3095</t>
        </is>
      </c>
      <c r="B314" t="inlineStr">
        <is>
          <t>ADCB53</t>
        </is>
      </c>
      <c r="C314" t="inlineStr">
        <is>
          <t>https://app.matchical.com/Consulting/ConsultantDetail?ConsultantId=de835d63-1feb-4d10-bb15-1710f8a03cd9</t>
        </is>
      </c>
      <c r="D314" t="inlineStr">
        <is>
          <t>Lutz Philipp</t>
        </is>
      </c>
      <c r="E314" t="inlineStr">
        <is>
          <t>lutz.philipp@bridging-it.de</t>
        </is>
      </c>
      <c r="F314" s="2" t="n">
        <v>42125</v>
      </c>
      <c r="G314" s="2" t="n">
        <v>32813</v>
      </c>
      <c r="H314" t="n">
        <v>27</v>
      </c>
      <c r="I314" t="n">
        <v>0</v>
      </c>
      <c r="J314" t="n">
        <v>0</v>
      </c>
      <c r="L314" s="2" t="n">
        <v>45474</v>
      </c>
      <c r="M314" s="2" t="n">
        <v>45746</v>
      </c>
      <c r="N314" t="b">
        <v>0</v>
      </c>
      <c r="O314" t="n">
        <v>130</v>
      </c>
      <c r="P314" t="n">
        <v>138</v>
      </c>
      <c r="Q314" t="n">
        <v>116</v>
      </c>
      <c r="R314">
        <f>ROUND(O314-P314,2)</f>
        <v/>
      </c>
      <c r="S314">
        <f>ROUND(O314-Q314,2)</f>
        <v/>
      </c>
      <c r="T314" s="3">
        <f>IFERROR(P314/O314,"")</f>
        <v/>
      </c>
      <c r="U314" s="3">
        <f>IFERROR(Q314/O314,"")</f>
        <v/>
      </c>
      <c r="V314" t="n">
        <v>306</v>
      </c>
      <c r="W314" t="n">
        <v>336</v>
      </c>
      <c r="X314" t="n">
        <v>226</v>
      </c>
      <c r="Y314">
        <f>ROUND(V314-W314,2)</f>
        <v/>
      </c>
      <c r="Z314">
        <f>ROUND(V314-X314,2)</f>
        <v/>
      </c>
      <c r="AA314" s="3">
        <f>IFERROR(W314/V314,"")</f>
        <v/>
      </c>
      <c r="AB314" s="3">
        <f>IFERROR(X314/V314,"")</f>
        <v/>
      </c>
      <c r="AC314" t="b">
        <v>0</v>
      </c>
      <c r="AD314" t="b">
        <v>0</v>
      </c>
      <c r="AE314" t="b">
        <v>0</v>
      </c>
      <c r="AF314" t="inlineStr">
        <is>
          <t>Yes</t>
        </is>
      </c>
      <c r="AG314" s="2" t="n">
        <v>45924</v>
      </c>
      <c r="AI314" t="b">
        <v>1</v>
      </c>
      <c r="AJ314" t="n">
        <v>5</v>
      </c>
      <c r="AK314" t="inlineStr"/>
      <c r="AL314" t="inlineStr">
        <is>
          <t>ORG bIT</t>
        </is>
      </c>
      <c r="AM314" t="inlineStr">
        <is>
          <t>BABA - BA and Business Architectures (Carsten S.)</t>
        </is>
      </c>
      <c r="AN314" t="inlineStr">
        <is>
          <t>ABC Analysing Business &amp; Collaboration (Edgar K.)</t>
        </is>
      </c>
      <c r="AO314" t="inlineStr">
        <is>
          <t>bridgingIT GmbH</t>
        </is>
      </c>
      <c r="AP314" t="inlineStr">
        <is>
          <t>Frankfurt</t>
        </is>
      </c>
      <c r="AQ314" t="inlineStr">
        <is>
          <t>Carsten Schindler</t>
        </is>
      </c>
    </row>
    <row r="315">
      <c r="A315" t="inlineStr">
        <is>
          <t>2267</t>
        </is>
      </c>
      <c r="B315" t="inlineStr">
        <is>
          <t>816F89</t>
        </is>
      </c>
      <c r="C315" t="inlineStr">
        <is>
          <t>https://app.matchical.com/Consulting/ConsultantDetail?ConsultantId=ec6e2f60-ba08-4c86-a718-61c36dc1cca0</t>
        </is>
      </c>
      <c r="D315" t="inlineStr">
        <is>
          <t>Madita Schäfer</t>
        </is>
      </c>
      <c r="E315" t="inlineStr">
        <is>
          <t>madita.schaefer@bridging-it.de</t>
        </is>
      </c>
      <c r="F315" s="2" t="n">
        <v>44044</v>
      </c>
      <c r="G315" s="2" t="n">
        <v>44044</v>
      </c>
      <c r="H315" t="n">
        <v>13</v>
      </c>
      <c r="I315" t="n">
        <v>0</v>
      </c>
      <c r="J315" t="n">
        <v>1</v>
      </c>
      <c r="K315" s="2" t="n">
        <v>44865</v>
      </c>
      <c r="L315" s="2" t="n">
        <v>45536</v>
      </c>
      <c r="M315" s="2" t="n">
        <v>45900</v>
      </c>
      <c r="N315" t="b">
        <v>0</v>
      </c>
      <c r="O315" t="n">
        <v>67</v>
      </c>
      <c r="P315" t="n">
        <v>122.56</v>
      </c>
      <c r="Q315" t="n">
        <v>51.64</v>
      </c>
      <c r="R315">
        <f>ROUND(O315-P315,2)</f>
        <v/>
      </c>
      <c r="S315">
        <f>ROUND(O315-Q315,2)</f>
        <v/>
      </c>
      <c r="T315" s="3">
        <f>IFERROR(P315/O315,"")</f>
        <v/>
      </c>
      <c r="U315" s="3">
        <f>IFERROR(Q315/O315,"")</f>
        <v/>
      </c>
      <c r="V315" t="n">
        <v>0</v>
      </c>
      <c r="W315" t="n">
        <v>0</v>
      </c>
      <c r="X315" t="n">
        <v>0</v>
      </c>
      <c r="Y315">
        <f>ROUND(V315-W315,2)</f>
        <v/>
      </c>
      <c r="Z315">
        <f>ROUND(V315-X315,2)</f>
        <v/>
      </c>
      <c r="AA315" s="3">
        <f>IFERROR(W315/V315,"")</f>
        <v/>
      </c>
      <c r="AB315" s="3">
        <f>IFERROR(X315/V315,"")</f>
        <v/>
      </c>
      <c r="AC315" t="b">
        <v>0</v>
      </c>
      <c r="AD315" t="b">
        <v>0</v>
      </c>
      <c r="AE315" t="b">
        <v>0</v>
      </c>
      <c r="AF315" t="inlineStr">
        <is>
          <t>Yes</t>
        </is>
      </c>
      <c r="AG315" s="2" t="n">
        <v>46023</v>
      </c>
      <c r="AI315" t="b">
        <v>0</v>
      </c>
      <c r="AJ315" t="n">
        <v>1</v>
      </c>
      <c r="AK315" t="inlineStr">
        <is>
          <t>CoPilot Enablement Projects</t>
        </is>
      </c>
      <c r="AL315" t="inlineStr">
        <is>
          <t>IT - Information Technology (Sebastian L.)</t>
        </is>
      </c>
      <c r="AM315" t="inlineStr">
        <is>
          <t>CS Collaboration Solutions (Sebastian P.)</t>
        </is>
      </c>
      <c r="AN315" t="inlineStr">
        <is>
          <t>P&amp;DE - Platforms &amp; Digital Ecosystems (David S.)</t>
        </is>
      </c>
      <c r="AO315" t="inlineStr">
        <is>
          <t>bridgingIT GmbH</t>
        </is>
      </c>
      <c r="AP315" t="inlineStr">
        <is>
          <t>Mannheim</t>
        </is>
      </c>
      <c r="AQ315" t="inlineStr">
        <is>
          <t>Sebastian Poth</t>
        </is>
      </c>
    </row>
    <row r="316">
      <c r="A316" t="inlineStr">
        <is>
          <t>2238</t>
        </is>
      </c>
      <c r="B316" t="inlineStr">
        <is>
          <t>E336C6</t>
        </is>
      </c>
      <c r="C316" t="inlineStr">
        <is>
          <t>https://app.matchical.com/Consulting/ConsultantDetail?ConsultantId=c33158b2-75dd-4013-b153-a9e33b3e23d8</t>
        </is>
      </c>
      <c r="D316" t="inlineStr">
        <is>
          <t>Maik Kraak</t>
        </is>
      </c>
      <c r="E316" t="inlineStr">
        <is>
          <t>maik.kraak@bridging-it.de</t>
        </is>
      </c>
      <c r="F316" s="2" t="n">
        <v>43497</v>
      </c>
      <c r="G316" s="2" t="n">
        <v>42979</v>
      </c>
      <c r="H316" t="n">
        <v>7</v>
      </c>
      <c r="I316" t="n">
        <v>0</v>
      </c>
      <c r="J316" t="n">
        <v>0</v>
      </c>
      <c r="L316" s="2" t="n">
        <v>45291</v>
      </c>
      <c r="M316" s="2" t="n">
        <v>45777</v>
      </c>
      <c r="N316" t="b">
        <v>0</v>
      </c>
      <c r="O316" t="n">
        <v>85</v>
      </c>
      <c r="P316" t="n">
        <v>84</v>
      </c>
      <c r="Q316" t="n">
        <v>73</v>
      </c>
      <c r="R316">
        <f>ROUND(O316-P316,2)</f>
        <v/>
      </c>
      <c r="S316">
        <f>ROUND(O316-Q316,2)</f>
        <v/>
      </c>
      <c r="T316" s="3">
        <f>IFERROR(P316/O316,"")</f>
        <v/>
      </c>
      <c r="U316" s="3">
        <f>IFERROR(Q316/O316,"")</f>
        <v/>
      </c>
      <c r="V316" t="n">
        <v>17</v>
      </c>
      <c r="W316" t="n">
        <v>15.97</v>
      </c>
      <c r="X316" t="n">
        <v>15.97</v>
      </c>
      <c r="Y316">
        <f>ROUND(V316-W316,2)</f>
        <v/>
      </c>
      <c r="Z316">
        <f>ROUND(V316-X316,2)</f>
        <v/>
      </c>
      <c r="AA316" s="3">
        <f>IFERROR(W316/V316,"")</f>
        <v/>
      </c>
      <c r="AB316" s="3">
        <f>IFERROR(X316/V316,"")</f>
        <v/>
      </c>
      <c r="AC316" t="b">
        <v>0</v>
      </c>
      <c r="AD316" t="b">
        <v>0</v>
      </c>
      <c r="AE316" t="b">
        <v>0</v>
      </c>
      <c r="AF316" t="inlineStr">
        <is>
          <t>No</t>
        </is>
      </c>
      <c r="AI316" t="b">
        <v>1</v>
      </c>
      <c r="AJ316" t="n">
        <v>0</v>
      </c>
      <c r="AK316" t="inlineStr">
        <is>
          <t>Maik Kraak has been working for four years as a Service and Transition Manager and has extensive experience collaborating with international teams. He specializes in optimizing and managing service processes as well as planning and implementing transition projects.</t>
        </is>
      </c>
      <c r="AL316" t="inlineStr">
        <is>
          <t>IT Information Technology (Hauke G.)</t>
        </is>
      </c>
      <c r="AM316" t="inlineStr">
        <is>
          <t>PO IT-Processes &amp; Organization (Sonja B.)</t>
        </is>
      </c>
      <c r="AN316" t="inlineStr">
        <is>
          <t>ITM IT-Management (Jörg M.)</t>
        </is>
      </c>
      <c r="AO316" t="inlineStr">
        <is>
          <t>bridgingIT GmbH</t>
        </is>
      </c>
      <c r="AP316" t="inlineStr">
        <is>
          <t>Stuttgart</t>
        </is>
      </c>
      <c r="AQ316" t="inlineStr">
        <is>
          <t>Sonja Bürkle</t>
        </is>
      </c>
    </row>
    <row r="317">
      <c r="A317" t="inlineStr">
        <is>
          <t>3112</t>
        </is>
      </c>
      <c r="B317" t="inlineStr">
        <is>
          <t>6B5617</t>
        </is>
      </c>
      <c r="C317" t="inlineStr">
        <is>
          <t>https://app.matchical.com/Consulting/ConsultantDetail?ConsultantId=d98d013f-b0b7-4f1c-b1c8-73f2f7baf016</t>
        </is>
      </c>
      <c r="D317" t="inlineStr">
        <is>
          <t>Manfred Lickteig</t>
        </is>
      </c>
      <c r="E317" t="inlineStr">
        <is>
          <t>manfred.lickteig@bridging-it.de</t>
        </is>
      </c>
      <c r="F317" s="2" t="n">
        <v>42461</v>
      </c>
      <c r="G317" s="2" t="n">
        <v>33329</v>
      </c>
      <c r="H317" t="n">
        <v>12</v>
      </c>
      <c r="I317" t="n">
        <v>0</v>
      </c>
      <c r="J317" t="n">
        <v>2</v>
      </c>
      <c r="K317" s="2" t="n">
        <v>45026</v>
      </c>
      <c r="L317" s="2" t="n">
        <v>44804</v>
      </c>
      <c r="M317" s="2" t="n">
        <v>45229</v>
      </c>
      <c r="N317" t="b">
        <v>0</v>
      </c>
      <c r="O317" t="n">
        <v>119</v>
      </c>
      <c r="P317" t="n">
        <v>159</v>
      </c>
      <c r="Q317" t="n">
        <v>97</v>
      </c>
      <c r="R317">
        <f>ROUND(O317-P317,2)</f>
        <v/>
      </c>
      <c r="S317">
        <f>ROUND(O317-Q317,2)</f>
        <v/>
      </c>
      <c r="T317" s="3">
        <f>IFERROR(P317/O317,"")</f>
        <v/>
      </c>
      <c r="U317" s="3">
        <f>IFERROR(Q317/O317,"")</f>
        <v/>
      </c>
      <c r="V317" t="n">
        <v>300</v>
      </c>
      <c r="W317" t="n">
        <v>105</v>
      </c>
      <c r="X317" t="n">
        <v>105</v>
      </c>
      <c r="Y317">
        <f>ROUND(V317-W317,2)</f>
        <v/>
      </c>
      <c r="Z317">
        <f>ROUND(V317-X317,2)</f>
        <v/>
      </c>
      <c r="AA317" s="3">
        <f>IFERROR(W317/V317,"")</f>
        <v/>
      </c>
      <c r="AB317" s="3">
        <f>IFERROR(X317/V317,"")</f>
        <v/>
      </c>
      <c r="AC317" t="b">
        <v>0</v>
      </c>
      <c r="AD317" t="b">
        <v>0</v>
      </c>
      <c r="AE317" t="b">
        <v>0</v>
      </c>
      <c r="AF317" t="inlineStr">
        <is>
          <t>No</t>
        </is>
      </c>
      <c r="AI317" t="b">
        <v>0</v>
      </c>
      <c r="AJ317" t="n">
        <v>0</v>
      </c>
      <c r="AK317" t="inlineStr">
        <is>
          <t>K2, Architecture, Microservices
(His current project was suddenly cut short due to budgetary reasons)</t>
        </is>
      </c>
      <c r="AL317" t="inlineStr">
        <is>
          <t>ORG bIT</t>
        </is>
      </c>
      <c r="AM317" t="inlineStr">
        <is>
          <t>SE Software Engineering Frankfurt (Steffen F.)</t>
        </is>
      </c>
      <c r="AN317" t="inlineStr">
        <is>
          <t>ES Enterprise Solutions (Dominik H.)</t>
        </is>
      </c>
      <c r="AO317" t="inlineStr">
        <is>
          <t>bridgingIT GmbH</t>
        </is>
      </c>
      <c r="AP317" t="inlineStr">
        <is>
          <t>Frankfurt</t>
        </is>
      </c>
      <c r="AQ317" t="inlineStr">
        <is>
          <t>Steffen Flick</t>
        </is>
      </c>
    </row>
    <row r="318">
      <c r="A318" t="inlineStr">
        <is>
          <t>2184</t>
        </is>
      </c>
      <c r="B318" t="inlineStr">
        <is>
          <t>3C1FD5</t>
        </is>
      </c>
      <c r="C318" t="inlineStr">
        <is>
          <t>https://app.matchical.com/Consulting/ConsultantDetail?ConsultantId=7a5f9b92-13e5-48f9-aa1a-9e3b927f841a</t>
        </is>
      </c>
      <c r="D318" t="inlineStr">
        <is>
          <t>Manolito Leyeza</t>
        </is>
      </c>
      <c r="E318" t="inlineStr">
        <is>
          <t>manolito.leyeza@bridging-it.de</t>
        </is>
      </c>
      <c r="F318" s="2" t="n">
        <v>42979</v>
      </c>
      <c r="G318" s="2" t="n">
        <v>35828</v>
      </c>
      <c r="H318" t="n">
        <v>8</v>
      </c>
      <c r="I318" t="n">
        <v>0</v>
      </c>
      <c r="J318" t="n">
        <v>0</v>
      </c>
      <c r="L318" s="2" t="n">
        <v>43465</v>
      </c>
      <c r="M318" s="2" t="n">
        <v>44195</v>
      </c>
      <c r="N318" t="b">
        <v>0</v>
      </c>
      <c r="O318" t="n">
        <v>102</v>
      </c>
      <c r="P318" t="n">
        <v>155.82</v>
      </c>
      <c r="Q318" t="n">
        <v>101.78</v>
      </c>
      <c r="R318">
        <f>ROUND(O318-P318,2)</f>
        <v/>
      </c>
      <c r="S318">
        <f>ROUND(O318-Q318,2)</f>
        <v/>
      </c>
      <c r="T318" s="3">
        <f>IFERROR(P318/O318,"")</f>
        <v/>
      </c>
      <c r="U318" s="3">
        <f>IFERROR(Q318/O318,"")</f>
        <v/>
      </c>
      <c r="V318" t="n">
        <v>235</v>
      </c>
      <c r="W318" t="n">
        <v>122</v>
      </c>
      <c r="X318" t="n">
        <v>83</v>
      </c>
      <c r="Y318">
        <f>ROUND(V318-W318,2)</f>
        <v/>
      </c>
      <c r="Z318">
        <f>ROUND(V318-X318,2)</f>
        <v/>
      </c>
      <c r="AA318" s="3">
        <f>IFERROR(W318/V318,"")</f>
        <v/>
      </c>
      <c r="AB318" s="3">
        <f>IFERROR(X318/V318,"")</f>
        <v/>
      </c>
      <c r="AC318" t="b">
        <v>0</v>
      </c>
      <c r="AD318" t="b">
        <v>0</v>
      </c>
      <c r="AE318" t="b">
        <v>0</v>
      </c>
      <c r="AF318" t="inlineStr">
        <is>
          <t>No</t>
        </is>
      </c>
      <c r="AI318" t="b">
        <v>1</v>
      </c>
      <c r="AJ318" t="n">
        <v>0</v>
      </c>
      <c r="AK318" t="inlineStr"/>
      <c r="AL318" t="inlineStr">
        <is>
          <t>IT Information Technology (Hauke G.)</t>
        </is>
      </c>
      <c r="AM318" t="inlineStr">
        <is>
          <t>AM IT-Architecture Management (Wilfried W.)</t>
        </is>
      </c>
      <c r="AN318" t="inlineStr">
        <is>
          <t>ITM IT-Management (Jörg M.)</t>
        </is>
      </c>
      <c r="AO318" t="inlineStr">
        <is>
          <t>bridgingIT GmbH</t>
        </is>
      </c>
      <c r="AP318" t="inlineStr">
        <is>
          <t>Stuttgart</t>
        </is>
      </c>
      <c r="AQ318" t="inlineStr">
        <is>
          <t>Wilfried Wessel</t>
        </is>
      </c>
    </row>
    <row r="319">
      <c r="A319" t="inlineStr">
        <is>
          <t>10263</t>
        </is>
      </c>
      <c r="B319" t="inlineStr">
        <is>
          <t>22CD59</t>
        </is>
      </c>
      <c r="C319" t="inlineStr">
        <is>
          <t>https://app.matchical.com/Consulting/ConsultantDetail?ConsultantId=e79f0e14-e468-45a8-8eec-3bd50207f74b</t>
        </is>
      </c>
      <c r="D319" t="inlineStr">
        <is>
          <t>Manuel Niklos</t>
        </is>
      </c>
      <c r="E319" t="inlineStr">
        <is>
          <t>manuel.niklos@bridging-it.de</t>
        </is>
      </c>
      <c r="F319" s="2" t="n">
        <v>45413</v>
      </c>
      <c r="G319" s="2" t="n">
        <v>41061</v>
      </c>
      <c r="H319" t="n">
        <v>13</v>
      </c>
      <c r="I319" t="n">
        <v>0</v>
      </c>
      <c r="J319" t="n">
        <v>1</v>
      </c>
      <c r="K319" s="2" t="n">
        <v>45412</v>
      </c>
      <c r="L319" s="2" t="n">
        <v>45632</v>
      </c>
      <c r="M319" s="2" t="n">
        <v>45715</v>
      </c>
      <c r="N319" t="b">
        <v>0</v>
      </c>
      <c r="O319" t="n">
        <v>22</v>
      </c>
      <c r="P319" t="n">
        <v>28.16</v>
      </c>
      <c r="Q319" t="n">
        <v>21.03</v>
      </c>
      <c r="R319">
        <f>ROUND(O319-P319,2)</f>
        <v/>
      </c>
      <c r="S319">
        <f>ROUND(O319-Q319,2)</f>
        <v/>
      </c>
      <c r="T319" s="3">
        <f>IFERROR(P319/O319,"")</f>
        <v/>
      </c>
      <c r="U319" s="3">
        <f>IFERROR(Q319/O319,"")</f>
        <v/>
      </c>
      <c r="V319" t="n">
        <v>143</v>
      </c>
      <c r="W319" t="n">
        <v>161.84</v>
      </c>
      <c r="X319" t="n">
        <v>109.97</v>
      </c>
      <c r="Y319">
        <f>ROUND(V319-W319,2)</f>
        <v/>
      </c>
      <c r="Z319">
        <f>ROUND(V319-X319,2)</f>
        <v/>
      </c>
      <c r="AA319" s="3">
        <f>IFERROR(W319/V319,"")</f>
        <v/>
      </c>
      <c r="AB319" s="3">
        <f>IFERROR(X319/V319,"")</f>
        <v/>
      </c>
      <c r="AC319" t="b">
        <v>0</v>
      </c>
      <c r="AD319" t="b">
        <v>0</v>
      </c>
      <c r="AE319" t="b">
        <v>0</v>
      </c>
      <c r="AF319" t="inlineStr">
        <is>
          <t>No</t>
        </is>
      </c>
      <c r="AG319" s="2" t="n">
        <v>45870</v>
      </c>
      <c r="AI319" t="b">
        <v>1</v>
      </c>
      <c r="AJ319" t="n">
        <v>0</v>
      </c>
      <c r="AK319" t="inlineStr">
        <is>
          <t>Update 12/30.
Transfer to SPIE on 04/01/2026. Until then, 80% of the time on the SPIE DIP project, 20% BM tasks.</t>
        </is>
      </c>
      <c r="AL319" t="inlineStr">
        <is>
          <t>ORG bIT</t>
        </is>
      </c>
      <c r="AM319" t="inlineStr">
        <is>
          <t>DAC - Data Analytics Cologne (Manuel N.)</t>
        </is>
      </c>
      <c r="AN319" t="inlineStr">
        <is>
          <t>DPC - Datalytics &amp; Process Cologne (Claudia P.)</t>
        </is>
      </c>
      <c r="AO319" t="inlineStr">
        <is>
          <t>bridgingIT GmbH</t>
        </is>
      </c>
      <c r="AP319" t="inlineStr">
        <is>
          <t>Köln</t>
        </is>
      </c>
      <c r="AQ319" t="inlineStr">
        <is>
          <t>Claudia Peters</t>
        </is>
      </c>
    </row>
    <row r="320">
      <c r="A320" t="inlineStr">
        <is>
          <t>1091</t>
        </is>
      </c>
      <c r="B320" t="inlineStr">
        <is>
          <t>EF3251</t>
        </is>
      </c>
      <c r="C320" t="inlineStr">
        <is>
          <t>https://app.matchical.com/Consulting/ConsultantDetail?ConsultantId=a03c2509-a53f-4ad1-8cc1-74fface34041</t>
        </is>
      </c>
      <c r="D320" t="inlineStr">
        <is>
          <t>Manuel Vieuxmaire</t>
        </is>
      </c>
      <c r="E320" t="inlineStr">
        <is>
          <t>manuel.vieuxmaire@bridging-it.de</t>
        </is>
      </c>
      <c r="F320" s="2" t="n">
        <v>39722</v>
      </c>
      <c r="G320" s="2" t="n">
        <v>36161</v>
      </c>
      <c r="H320" t="n">
        <v>16</v>
      </c>
      <c r="I320" t="n">
        <v>0</v>
      </c>
      <c r="J320" t="n">
        <v>1</v>
      </c>
      <c r="K320" s="2" t="n">
        <v>44927</v>
      </c>
      <c r="L320" s="2" t="n">
        <v>44834</v>
      </c>
      <c r="M320" s="2" t="n">
        <v>44926</v>
      </c>
      <c r="N320" t="b">
        <v>0</v>
      </c>
      <c r="O320" t="n">
        <v>209</v>
      </c>
      <c r="P320" t="n">
        <v>251</v>
      </c>
      <c r="Q320" t="n">
        <v>205</v>
      </c>
      <c r="R320">
        <f>ROUND(O320-P320,2)</f>
        <v/>
      </c>
      <c r="S320">
        <f>ROUND(O320-Q320,2)</f>
        <v/>
      </c>
      <c r="T320" s="3">
        <f>IFERROR(P320/O320,"")</f>
        <v/>
      </c>
      <c r="U320" s="3">
        <f>IFERROR(Q320/O320,"")</f>
        <v/>
      </c>
      <c r="V320" t="n">
        <v>117</v>
      </c>
      <c r="W320" t="n">
        <v>0</v>
      </c>
      <c r="X320" t="n">
        <v>0</v>
      </c>
      <c r="Y320">
        <f>ROUND(V320-W320,2)</f>
        <v/>
      </c>
      <c r="Z320">
        <f>ROUND(V320-X320,2)</f>
        <v/>
      </c>
      <c r="AA320" s="3">
        <f>IFERROR(W320/V320,"")</f>
        <v/>
      </c>
      <c r="AB320" s="3">
        <f>IFERROR(X320/V320,"")</f>
        <v/>
      </c>
      <c r="AC320" t="b">
        <v>0</v>
      </c>
      <c r="AD320" t="b">
        <v>0</v>
      </c>
      <c r="AE320" t="b">
        <v>0</v>
      </c>
      <c r="AF320" t="inlineStr">
        <is>
          <t>Yes</t>
        </is>
      </c>
      <c r="AG320" s="2" t="n">
        <v>46134</v>
      </c>
      <c r="AI320" t="b">
        <v>0</v>
      </c>
      <c r="AJ320" t="n">
        <v>5</v>
      </c>
      <c r="AK320" t="inlineStr">
        <is>
          <t>Desired role: Project Manager, Program Manager, Agile Coach, Scrum Master
Availability: Monday – Friday, 8 hours/day
Vacation: Fri, 03.04.26 - Tue, 21.04.26
Current client: BASF
Industry experience: Pharma, Chemistry, Energy
Willingness to travel: occasional travel is acceptable, regular travel is not possible due to family reasons.</t>
        </is>
      </c>
      <c r="AL320" t="inlineStr">
        <is>
          <t>T&amp;A - Transformation &amp; Agility (Arne K.)</t>
        </is>
      </c>
      <c r="AM320" t="inlineStr">
        <is>
          <t>HPMI - Hybrid Project Mgmt &amp; Innovat. (Sascha W.)</t>
        </is>
      </c>
      <c r="AN320" t="inlineStr">
        <is>
          <t>A&amp;PM Agility &amp; Project Management (Jan H.)</t>
        </is>
      </c>
      <c r="AO320" t="inlineStr">
        <is>
          <t>bridgingIT GmbH</t>
        </is>
      </c>
      <c r="AP320" t="inlineStr">
        <is>
          <t>Mannheim</t>
        </is>
      </c>
      <c r="AQ320" t="inlineStr">
        <is>
          <t>Sascha Wacker</t>
        </is>
      </c>
    </row>
    <row r="321">
      <c r="A321" t="inlineStr">
        <is>
          <t>2155</t>
        </is>
      </c>
      <c r="B321" t="inlineStr">
        <is>
          <t>7D0E44</t>
        </is>
      </c>
      <c r="C321" t="inlineStr">
        <is>
          <t>https://app.matchical.com/Consulting/ConsultantDetail?ConsultantId=afa0f371-a9aa-409c-802c-b76b232325f1</t>
        </is>
      </c>
      <c r="D321" t="inlineStr">
        <is>
          <t>Marc Leunig</t>
        </is>
      </c>
      <c r="E321" t="inlineStr">
        <is>
          <t>marc.leunig@bridging-it.de</t>
        </is>
      </c>
      <c r="F321" s="2" t="n">
        <v>42614</v>
      </c>
      <c r="G321" s="2" t="n">
        <v>41518</v>
      </c>
      <c r="H321" t="n">
        <v>15</v>
      </c>
      <c r="I321" t="n">
        <v>0</v>
      </c>
      <c r="J321" t="n">
        <v>7</v>
      </c>
      <c r="K321" s="2" t="n">
        <v>42795</v>
      </c>
      <c r="L321" s="2" t="n">
        <v>44788</v>
      </c>
      <c r="M321" s="2" t="n">
        <v>45016</v>
      </c>
      <c r="N321" t="b">
        <v>0</v>
      </c>
      <c r="O321" t="n">
        <v>114</v>
      </c>
      <c r="P321" t="n">
        <v>524.74</v>
      </c>
      <c r="Q321" t="n">
        <v>108.37</v>
      </c>
      <c r="R321">
        <f>ROUND(O321-P321,2)</f>
        <v/>
      </c>
      <c r="S321">
        <f>ROUND(O321-Q321,2)</f>
        <v/>
      </c>
      <c r="T321" s="3">
        <f>IFERROR(P321/O321,"")</f>
        <v/>
      </c>
      <c r="U321" s="3">
        <f>IFERROR(Q321/O321,"")</f>
        <v/>
      </c>
      <c r="V321" t="n">
        <v>36</v>
      </c>
      <c r="W321" t="n">
        <v>34.26</v>
      </c>
      <c r="X321" t="n">
        <v>19.63</v>
      </c>
      <c r="Y321">
        <f>ROUND(V321-W321,2)</f>
        <v/>
      </c>
      <c r="Z321">
        <f>ROUND(V321-X321,2)</f>
        <v/>
      </c>
      <c r="AA321" s="3">
        <f>IFERROR(W321/V321,"")</f>
        <v/>
      </c>
      <c r="AB321" s="3">
        <f>IFERROR(X321/V321,"")</f>
        <v/>
      </c>
      <c r="AC321" t="b">
        <v>0</v>
      </c>
      <c r="AD321" t="b">
        <v>0</v>
      </c>
      <c r="AE321" t="b">
        <v>0</v>
      </c>
      <c r="AF321" t="inlineStr">
        <is>
          <t>No</t>
        </is>
      </c>
      <c r="AI321" t="b">
        <v>0</v>
      </c>
      <c r="AJ321" t="n">
        <v>0</v>
      </c>
      <c r="AK321" t="inlineStr">
        <is>
          <t>Test</t>
        </is>
      </c>
      <c r="AL321" t="inlineStr">
        <is>
          <t>IT Information Technology (Hauke G.)</t>
        </is>
      </c>
      <c r="AM321" t="inlineStr">
        <is>
          <t>CT Cloud Technology II (Marc L.)</t>
        </is>
      </c>
      <c r="AN321" t="inlineStr">
        <is>
          <t>TC Technology &amp; Cloud (Martin S.)</t>
        </is>
      </c>
      <c r="AO321" t="inlineStr">
        <is>
          <t>bridgingIT GmbH</t>
        </is>
      </c>
      <c r="AP321" t="inlineStr">
        <is>
          <t>Stuttgart</t>
        </is>
      </c>
      <c r="AQ321" t="inlineStr">
        <is>
          <t>Martin Spörl</t>
        </is>
      </c>
    </row>
    <row r="322">
      <c r="A322" t="inlineStr">
        <is>
          <t>3123</t>
        </is>
      </c>
      <c r="B322" t="inlineStr">
        <is>
          <t>38A93D</t>
        </is>
      </c>
      <c r="C322" t="inlineStr">
        <is>
          <t>https://app.matchical.com/Consulting/ConsultantDetail?ConsultantId=78fa5c9d-50e5-48f5-811c-7a33f9608ebb</t>
        </is>
      </c>
      <c r="D322" t="inlineStr">
        <is>
          <t>Marc Pahlke</t>
        </is>
      </c>
      <c r="E322" t="inlineStr">
        <is>
          <t>marc.pahlke@bridging-it.de</t>
        </is>
      </c>
      <c r="F322" s="2" t="n">
        <v>42614</v>
      </c>
      <c r="G322" s="2" t="n">
        <v>42656</v>
      </c>
      <c r="H322" t="n">
        <v>11</v>
      </c>
      <c r="I322" t="n">
        <v>0</v>
      </c>
      <c r="J322" t="n">
        <v>3</v>
      </c>
      <c r="K322" s="2" t="n">
        <v>44196</v>
      </c>
      <c r="L322" s="2" t="n">
        <v>44563</v>
      </c>
      <c r="M322" s="2" t="n">
        <v>44925</v>
      </c>
      <c r="N322" t="b">
        <v>0</v>
      </c>
      <c r="O322" t="n">
        <v>114</v>
      </c>
      <c r="P322" t="n">
        <v>237</v>
      </c>
      <c r="Q322" t="n">
        <v>102</v>
      </c>
      <c r="R322">
        <f>ROUND(O322-P322,2)</f>
        <v/>
      </c>
      <c r="S322">
        <f>ROUND(O322-Q322,2)</f>
        <v/>
      </c>
      <c r="T322" s="3">
        <f>IFERROR(P322/O322,"")</f>
        <v/>
      </c>
      <c r="U322" s="3">
        <f>IFERROR(Q322/O322,"")</f>
        <v/>
      </c>
      <c r="V322" t="n">
        <v>0</v>
      </c>
      <c r="W322" t="n">
        <v>0</v>
      </c>
      <c r="X322" t="n">
        <v>0</v>
      </c>
      <c r="Y322">
        <f>ROUND(V322-W322,2)</f>
        <v/>
      </c>
      <c r="Z322">
        <f>ROUND(V322-X322,2)</f>
        <v/>
      </c>
      <c r="AA322" s="3">
        <f>IFERROR(W322/V322,"")</f>
        <v/>
      </c>
      <c r="AB322" s="3">
        <f>IFERROR(X322/V322,"")</f>
        <v/>
      </c>
      <c r="AC322" t="b">
        <v>0</v>
      </c>
      <c r="AD322" t="b">
        <v>0</v>
      </c>
      <c r="AE322" t="b">
        <v>1</v>
      </c>
      <c r="AF322" t="inlineStr">
        <is>
          <t>No</t>
        </is>
      </c>
      <c r="AG322" s="2" t="n">
        <v>44368</v>
      </c>
      <c r="AH322" s="2" t="n">
        <v>44561</v>
      </c>
      <c r="AI322" t="b">
        <v>1</v>
      </c>
      <c r="AJ322" t="n">
        <v>5</v>
      </c>
      <c r="AK322" t="inlineStr"/>
      <c r="AL322" t="inlineStr">
        <is>
          <t>ORG bIT</t>
        </is>
      </c>
      <c r="AM322" t="inlineStr">
        <is>
          <t>BAPO - BA and Product Ownership (Edgar K.)</t>
        </is>
      </c>
      <c r="AN322" t="inlineStr">
        <is>
          <t>ABC Analysing Business &amp; Collaboration (Edgar K.)</t>
        </is>
      </c>
      <c r="AO322" t="inlineStr">
        <is>
          <t>bridgingIT GmbH</t>
        </is>
      </c>
      <c r="AP322" t="inlineStr">
        <is>
          <t>Frankfurt</t>
        </is>
      </c>
      <c r="AQ322" t="inlineStr">
        <is>
          <t>Edgar Kauz</t>
        </is>
      </c>
    </row>
    <row r="323">
      <c r="A323" t="inlineStr">
        <is>
          <t>1032</t>
        </is>
      </c>
      <c r="B323" t="inlineStr">
        <is>
          <t>2D06EB</t>
        </is>
      </c>
      <c r="C323" t="inlineStr">
        <is>
          <t>https://app.matchical.com/Consulting/ConsultantDetail?ConsultantId=599e827e-8a11-489f-ae59-71735f2c6978</t>
        </is>
      </c>
      <c r="D323" t="inlineStr">
        <is>
          <t>Marc Schmitt</t>
        </is>
      </c>
      <c r="E323" t="inlineStr">
        <is>
          <t>marc.schmitt@bridging-it.de</t>
        </is>
      </c>
      <c r="F323" s="2" t="n">
        <v>39569</v>
      </c>
      <c r="G323" s="2" t="n">
        <v>34608</v>
      </c>
      <c r="H323" t="n">
        <v>20</v>
      </c>
      <c r="I323" t="n">
        <v>0</v>
      </c>
      <c r="J323" t="n">
        <v>4</v>
      </c>
      <c r="K323" s="2" t="n">
        <v>38718</v>
      </c>
      <c r="L323" s="2" t="n">
        <v>43891</v>
      </c>
      <c r="M323" s="2" t="n">
        <v>44135</v>
      </c>
      <c r="N323" t="b">
        <v>0</v>
      </c>
      <c r="O323" t="n">
        <v>214</v>
      </c>
      <c r="P323" t="n">
        <v>805.15</v>
      </c>
      <c r="Q323" t="n">
        <v>213.82</v>
      </c>
      <c r="R323">
        <f>ROUND(O323-P323,2)</f>
        <v/>
      </c>
      <c r="S323">
        <f>ROUND(O323-Q323,2)</f>
        <v/>
      </c>
      <c r="T323" s="3">
        <f>IFERROR(P323/O323,"")</f>
        <v/>
      </c>
      <c r="U323" s="3">
        <f>IFERROR(Q323/O323,"")</f>
        <v/>
      </c>
      <c r="V323" t="n">
        <v>163</v>
      </c>
      <c r="W323" t="n">
        <v>254.17</v>
      </c>
      <c r="X323" t="n">
        <v>162.76</v>
      </c>
      <c r="Y323">
        <f>ROUND(V323-W323,2)</f>
        <v/>
      </c>
      <c r="Z323">
        <f>ROUND(V323-X323,2)</f>
        <v/>
      </c>
      <c r="AA323" s="3">
        <f>IFERROR(W323/V323,"")</f>
        <v/>
      </c>
      <c r="AB323" s="3">
        <f>IFERROR(X323/V323,"")</f>
        <v/>
      </c>
      <c r="AC323" t="b">
        <v>0</v>
      </c>
      <c r="AD323" t="b">
        <v>0</v>
      </c>
      <c r="AE323" t="b">
        <v>0</v>
      </c>
      <c r="AF323" t="inlineStr">
        <is>
          <t>No</t>
        </is>
      </c>
      <c r="AG323" s="2" t="n">
        <v>44378</v>
      </c>
      <c r="AI323" t="b">
        <v>0</v>
      </c>
      <c r="AJ323" t="n">
        <v>2</v>
      </c>
      <c r="AK323" t="inlineStr"/>
      <c r="AL323" t="inlineStr">
        <is>
          <t>Sales BL</t>
        </is>
      </c>
      <c r="AM323" t="inlineStr">
        <is>
          <t>Tim Thierfelder</t>
        </is>
      </c>
      <c r="AN323" t="inlineStr">
        <is>
          <t>Capability Management (Tim T.)</t>
        </is>
      </c>
      <c r="AO323" t="inlineStr">
        <is>
          <t>bridgingIT GmbH</t>
        </is>
      </c>
      <c r="AP323" t="inlineStr">
        <is>
          <t>Mannheim</t>
        </is>
      </c>
      <c r="AQ323" t="inlineStr">
        <is>
          <t>Tim Thierfelder</t>
        </is>
      </c>
    </row>
    <row r="324">
      <c r="A324" t="inlineStr">
        <is>
          <t>10450</t>
        </is>
      </c>
      <c r="B324" t="inlineStr">
        <is>
          <t>9C430E</t>
        </is>
      </c>
      <c r="C324" t="inlineStr">
        <is>
          <t>https://app.matchical.com/Consulting/ConsultantDetail?ConsultantId=12857d15-5f4b-45cf-953c-ada7f299610d</t>
        </is>
      </c>
      <c r="D324" t="inlineStr">
        <is>
          <t>Marcel Broschk</t>
        </is>
      </c>
      <c r="E324" t="inlineStr">
        <is>
          <t>marcel.broschk@bridging-it.de</t>
        </is>
      </c>
      <c r="F324" s="2" t="n">
        <v>46082</v>
      </c>
      <c r="H324" t="n">
        <v>2</v>
      </c>
      <c r="I324" t="n">
        <v>0</v>
      </c>
      <c r="J324" t="n">
        <v>0</v>
      </c>
      <c r="L324" s="2" t="n">
        <v>45565</v>
      </c>
      <c r="M324" s="2" t="n">
        <v>45960</v>
      </c>
      <c r="N324" t="b">
        <v>1</v>
      </c>
      <c r="O324" t="n">
        <v>0</v>
      </c>
      <c r="P324" t="n">
        <v>0</v>
      </c>
      <c r="Q324" t="n">
        <v>0</v>
      </c>
      <c r="R324">
        <f>ROUND(O324-P324,2)</f>
        <v/>
      </c>
      <c r="S324">
        <f>ROUND(O324-Q324,2)</f>
        <v/>
      </c>
      <c r="T324" s="3">
        <f>IFERROR(P324/O324,"")</f>
        <v/>
      </c>
      <c r="U324" s="3">
        <f>IFERROR(Q324/O324,"")</f>
        <v/>
      </c>
      <c r="V324" t="n">
        <v>1514</v>
      </c>
      <c r="W324" t="n">
        <v>58.9</v>
      </c>
      <c r="X324" t="n">
        <v>45.92</v>
      </c>
      <c r="Y324">
        <f>ROUND(V324-W324,2)</f>
        <v/>
      </c>
      <c r="Z324">
        <f>ROUND(V324-X324,2)</f>
        <v/>
      </c>
      <c r="AA324" s="3">
        <f>IFERROR(W324/V324,"")</f>
        <v/>
      </c>
      <c r="AB324" s="3">
        <f>IFERROR(X324/V324,"")</f>
        <v/>
      </c>
      <c r="AC324" t="b">
        <v>0</v>
      </c>
      <c r="AD324" t="b">
        <v>0</v>
      </c>
      <c r="AE324" t="b">
        <v>0</v>
      </c>
      <c r="AF324" t="inlineStr">
        <is>
          <t>Yes</t>
        </is>
      </c>
      <c r="AG324" s="2" t="n">
        <v>46082</v>
      </c>
      <c r="AI324" t="b">
        <v>1</v>
      </c>
      <c r="AJ324" t="n">
        <v>5</v>
      </c>
      <c r="AK324" t="inlineStr"/>
      <c r="AL324" t="inlineStr">
        <is>
          <t>IT - Information Technology (HH)</t>
        </is>
      </c>
      <c r="AM324" t="inlineStr">
        <is>
          <t>MW - Modern Workplace (Ulrich S.)</t>
        </is>
      </c>
      <c r="AN324" t="inlineStr">
        <is>
          <t>MWT HH (Udo P.)</t>
        </is>
      </c>
      <c r="AO324" t="inlineStr">
        <is>
          <t>bridgingIT GmbH</t>
        </is>
      </c>
      <c r="AP324" t="inlineStr">
        <is>
          <t>Hamburg</t>
        </is>
      </c>
      <c r="AQ324" t="inlineStr">
        <is>
          <t>Ulrich Schack</t>
        </is>
      </c>
    </row>
    <row r="325">
      <c r="A325" t="inlineStr">
        <is>
          <t>10417</t>
        </is>
      </c>
      <c r="B325" t="inlineStr">
        <is>
          <t>1DC541</t>
        </is>
      </c>
      <c r="C325" t="inlineStr">
        <is>
          <t>https://app.matchical.com/Consulting/ConsultantDetail?ConsultantId=e1aafa9f-99f8-4820-ab5c-448ab44c3b73</t>
        </is>
      </c>
      <c r="D325" t="inlineStr">
        <is>
          <t>Marcel Czarnowski</t>
        </is>
      </c>
      <c r="E325" t="inlineStr">
        <is>
          <t>marcel.czarnowski@bridging-it.de</t>
        </is>
      </c>
      <c r="F325" s="2" t="n">
        <v>46054</v>
      </c>
      <c r="G325" s="2" t="n">
        <v>44075</v>
      </c>
      <c r="H325" t="n">
        <v>7</v>
      </c>
      <c r="I325" t="n">
        <v>0</v>
      </c>
      <c r="J325" t="n">
        <v>0</v>
      </c>
      <c r="L325" s="2" t="n">
        <v>45716</v>
      </c>
      <c r="M325" s="2" t="n">
        <v>46052</v>
      </c>
      <c r="N325" t="b">
        <v>0</v>
      </c>
      <c r="O325" t="n">
        <v>1</v>
      </c>
      <c r="P325" t="n">
        <v>0</v>
      </c>
      <c r="Q325" t="n">
        <v>0</v>
      </c>
      <c r="R325">
        <f>ROUND(O325-P325,2)</f>
        <v/>
      </c>
      <c r="S325">
        <f>ROUND(O325-Q325,2)</f>
        <v/>
      </c>
      <c r="T325" s="3">
        <f>IFERROR(P325/O325,"")</f>
        <v/>
      </c>
      <c r="U325" s="3">
        <f>IFERROR(Q325/O325,"")</f>
        <v/>
      </c>
      <c r="V325" t="n">
        <v>65</v>
      </c>
      <c r="W325" t="n">
        <v>65.97</v>
      </c>
      <c r="X325" t="n">
        <v>59.97</v>
      </c>
      <c r="Y325">
        <f>ROUND(V325-W325,2)</f>
        <v/>
      </c>
      <c r="Z325">
        <f>ROUND(V325-X325,2)</f>
        <v/>
      </c>
      <c r="AA325" s="3">
        <f>IFERROR(W325/V325,"")</f>
        <v/>
      </c>
      <c r="AB325" s="3">
        <f>IFERROR(X325/V325,"")</f>
        <v/>
      </c>
      <c r="AC325" t="b">
        <v>0</v>
      </c>
      <c r="AD325" t="b">
        <v>0</v>
      </c>
      <c r="AE325" t="b">
        <v>0</v>
      </c>
      <c r="AF325" t="inlineStr">
        <is>
          <t>No</t>
        </is>
      </c>
      <c r="AI325" t="b">
        <v>1</v>
      </c>
      <c r="AJ325" t="n">
        <v>0</v>
      </c>
      <c r="AK325" t="inlineStr">
        <is>
          <t>(06.01 CP): Marcel is offered as a Project Lead for the BSW tender, and if we win the tender, he will be placed there. It cannot be recorded in the CRM tool as an Opportunity because it is a tender. 
Lead as Agile Coach
Lead as PM at SPIE ICS</t>
        </is>
      </c>
      <c r="AL325" t="inlineStr">
        <is>
          <t>IT - Information Technology (HH)</t>
        </is>
      </c>
      <c r="AM325" t="inlineStr">
        <is>
          <t>BA - Business Applications (Hamed S.)</t>
        </is>
      </c>
      <c r="AN325" t="inlineStr">
        <is>
          <t>BAA HH (Torben H.)</t>
        </is>
      </c>
      <c r="AO325" t="inlineStr">
        <is>
          <t>bridgingIT GmbH</t>
        </is>
      </c>
      <c r="AP325" t="inlineStr">
        <is>
          <t>Hamburg</t>
        </is>
      </c>
      <c r="AQ325" t="inlineStr">
        <is>
          <t>Markus Stefan</t>
        </is>
      </c>
    </row>
    <row r="326">
      <c r="A326" t="inlineStr">
        <is>
          <t>1402</t>
        </is>
      </c>
      <c r="B326" t="inlineStr">
        <is>
          <t>EFC711</t>
        </is>
      </c>
      <c r="C326" t="inlineStr">
        <is>
          <t>https://app.matchical.com/Consulting/ConsultantDetail?ConsultantId=f40255ee-9d0b-45e4-8ba2-d8ab22bff7dd</t>
        </is>
      </c>
      <c r="D326" t="inlineStr">
        <is>
          <t>Marcel Graf</t>
        </is>
      </c>
      <c r="E326" t="inlineStr">
        <is>
          <t>marcel.graf@bridging-it.de</t>
        </is>
      </c>
      <c r="F326" s="2" t="n">
        <v>42963</v>
      </c>
      <c r="G326" s="2" t="n">
        <v>42963</v>
      </c>
      <c r="H326" t="n">
        <v>23</v>
      </c>
      <c r="I326" t="n">
        <v>0</v>
      </c>
      <c r="J326" t="n">
        <v>0</v>
      </c>
      <c r="L326" s="2" t="n">
        <v>45138</v>
      </c>
      <c r="M326" s="2" t="n">
        <v>45380</v>
      </c>
      <c r="N326" t="b">
        <v>0</v>
      </c>
      <c r="O326" t="n">
        <v>102</v>
      </c>
      <c r="P326" t="n">
        <v>114.23</v>
      </c>
      <c r="Q326" t="n">
        <v>75.22</v>
      </c>
      <c r="R326">
        <f>ROUND(O326-P326,2)</f>
        <v/>
      </c>
      <c r="S326">
        <f>ROUND(O326-Q326,2)</f>
        <v/>
      </c>
      <c r="T326" s="3">
        <f>IFERROR(P326/O326,"")</f>
        <v/>
      </c>
      <c r="U326" s="3">
        <f>IFERROR(Q326/O326,"")</f>
        <v/>
      </c>
      <c r="V326" t="n">
        <v>0</v>
      </c>
      <c r="W326" t="n">
        <v>0</v>
      </c>
      <c r="X326" t="n">
        <v>0</v>
      </c>
      <c r="Y326">
        <f>ROUND(V326-W326,2)</f>
        <v/>
      </c>
      <c r="Z326">
        <f>ROUND(V326-X326,2)</f>
        <v/>
      </c>
      <c r="AA326" s="3">
        <f>IFERROR(W326/V326,"")</f>
        <v/>
      </c>
      <c r="AB326" s="3">
        <f>IFERROR(X326/V326,"")</f>
        <v/>
      </c>
      <c r="AC326" t="b">
        <v>0</v>
      </c>
      <c r="AD326" t="b">
        <v>0</v>
      </c>
      <c r="AE326" t="b">
        <v>0</v>
      </c>
      <c r="AF326" t="inlineStr">
        <is>
          <t>No</t>
        </is>
      </c>
      <c r="AI326" t="b">
        <v>1</v>
      </c>
      <c r="AJ326" t="n">
        <v>0</v>
      </c>
      <c r="AK326" t="inlineStr">
        <is>
          <t>.NET, Azure, AWS, Angular, React, Node.js, SQL Server, MongoDB\n\n- Further assignment at BASF pending clarification (Ayhan)</t>
        </is>
      </c>
      <c r="AL326" t="inlineStr">
        <is>
          <t>A&amp;SE Analytics &amp; Software Engineering (Philip R.)</t>
        </is>
      </c>
      <c r="AM326" t="inlineStr">
        <is>
          <t>NET .NET Software Engineering (Christian Wi.)</t>
        </is>
      </c>
      <c r="AN326" t="inlineStr">
        <is>
          <t>FUN Fullstack Ninjas (Stefan Z.)</t>
        </is>
      </c>
      <c r="AO326" t="inlineStr">
        <is>
          <t>bridgingIT GmbH</t>
        </is>
      </c>
      <c r="AP326" t="inlineStr">
        <is>
          <t>Mannheim</t>
        </is>
      </c>
      <c r="AQ326" t="inlineStr">
        <is>
          <t>Christian Will</t>
        </is>
      </c>
    </row>
    <row r="327">
      <c r="A327" t="inlineStr">
        <is>
          <t>8043</t>
        </is>
      </c>
      <c r="B327" t="inlineStr">
        <is>
          <t>07D657</t>
        </is>
      </c>
      <c r="C327" t="inlineStr">
        <is>
          <t>https://app.matchical.com/Consulting/ConsultantDetail?ConsultantId=08f256cb-1e80-4fb1-b779-be23b3ce10d3</t>
        </is>
      </c>
      <c r="D327" t="inlineStr">
        <is>
          <t>Marcel Kelle</t>
        </is>
      </c>
      <c r="E327" t="inlineStr">
        <is>
          <t>marcel.kelle@crafting-it.de</t>
        </is>
      </c>
      <c r="F327" s="2" t="n">
        <v>42339</v>
      </c>
      <c r="G327" s="2" t="n">
        <v>38565</v>
      </c>
      <c r="H327" t="n">
        <v>4</v>
      </c>
      <c r="I327" t="n">
        <v>0</v>
      </c>
      <c r="J327" t="n">
        <v>0</v>
      </c>
      <c r="L327" s="2" t="n">
        <v>45292</v>
      </c>
      <c r="M327" s="2" t="n">
        <v>45657</v>
      </c>
      <c r="N327" t="b">
        <v>0</v>
      </c>
      <c r="O327" t="n">
        <v>123</v>
      </c>
      <c r="P327" t="n">
        <v>134</v>
      </c>
      <c r="Q327" t="n">
        <v>108</v>
      </c>
      <c r="R327">
        <f>ROUND(O327-P327,2)</f>
        <v/>
      </c>
      <c r="S327">
        <f>ROUND(O327-Q327,2)</f>
        <v/>
      </c>
      <c r="T327" s="3">
        <f>IFERROR(P327/O327,"")</f>
        <v/>
      </c>
      <c r="U327" s="3">
        <f>IFERROR(Q327/O327,"")</f>
        <v/>
      </c>
      <c r="V327" t="n">
        <v>124</v>
      </c>
      <c r="W327" t="n">
        <v>0</v>
      </c>
      <c r="X327" t="n">
        <v>0</v>
      </c>
      <c r="Y327">
        <f>ROUND(V327-W327,2)</f>
        <v/>
      </c>
      <c r="Z327">
        <f>ROUND(V327-X327,2)</f>
        <v/>
      </c>
      <c r="AA327" s="3">
        <f>IFERROR(W327/V327,"")</f>
        <v/>
      </c>
      <c r="AB327" s="3">
        <f>IFERROR(X327/V327,"")</f>
        <v/>
      </c>
      <c r="AC327" t="b">
        <v>0</v>
      </c>
      <c r="AD327" t="b">
        <v>0</v>
      </c>
      <c r="AE327" t="b">
        <v>0</v>
      </c>
      <c r="AF327" t="inlineStr">
        <is>
          <t>No</t>
        </is>
      </c>
      <c r="AI327" t="b">
        <v>0</v>
      </c>
      <c r="AJ327" t="n">
        <v>0</v>
      </c>
      <c r="AK327" t="inlineStr"/>
      <c r="AL327" t="inlineStr">
        <is>
          <t>ORG cIT</t>
        </is>
      </c>
      <c r="AM327" t="inlineStr">
        <is>
          <t>cIT IT Services</t>
        </is>
      </c>
      <c r="AN327" t="inlineStr">
        <is>
          <t>cIT Service Delivery Magdeburg (Steffen A.)</t>
        </is>
      </c>
      <c r="AO327" t="inlineStr">
        <is>
          <t>craftingIT GmbH</t>
        </is>
      </c>
      <c r="AP327" t="inlineStr">
        <is>
          <t>Magdeburg</t>
        </is>
      </c>
      <c r="AQ327" t="inlineStr">
        <is>
          <t>Steffen Adam</t>
        </is>
      </c>
    </row>
    <row r="328">
      <c r="A328" t="inlineStr">
        <is>
          <t>2286</t>
        </is>
      </c>
      <c r="B328" t="inlineStr">
        <is>
          <t>C3C8A9</t>
        </is>
      </c>
      <c r="C328" t="inlineStr">
        <is>
          <t>https://app.matchical.com/Consulting/ConsultantDetail?ConsultantId=b372bcbe-ce44-454a-9d4c-4b52d8339d54</t>
        </is>
      </c>
      <c r="D328" t="inlineStr">
        <is>
          <t>Marcel Kern</t>
        </is>
      </c>
      <c r="E328" t="inlineStr">
        <is>
          <t>marcel.kern@bridging-it.de</t>
        </is>
      </c>
      <c r="F328" s="2" t="n">
        <v>44470</v>
      </c>
      <c r="G328" s="2" t="n">
        <v>42803</v>
      </c>
      <c r="H328" t="n">
        <v>9</v>
      </c>
      <c r="I328" t="n">
        <v>0</v>
      </c>
      <c r="J328" t="n">
        <v>0</v>
      </c>
      <c r="L328" s="2" t="n">
        <v>45488</v>
      </c>
      <c r="M328" s="2" t="n">
        <v>45838</v>
      </c>
      <c r="N328" t="b">
        <v>0</v>
      </c>
      <c r="O328" t="n">
        <v>53</v>
      </c>
      <c r="P328" t="n">
        <v>78.97</v>
      </c>
      <c r="Q328" t="n">
        <v>42.98</v>
      </c>
      <c r="R328">
        <f>ROUND(O328-P328,2)</f>
        <v/>
      </c>
      <c r="S328">
        <f>ROUND(O328-Q328,2)</f>
        <v/>
      </c>
      <c r="T328" s="3">
        <f>IFERROR(P328/O328,"")</f>
        <v/>
      </c>
      <c r="U328" s="3">
        <f>IFERROR(Q328/O328,"")</f>
        <v/>
      </c>
      <c r="V328" t="n">
        <v>55</v>
      </c>
      <c r="W328" t="n">
        <v>0.03</v>
      </c>
      <c r="X328" t="n">
        <v>0.02</v>
      </c>
      <c r="Y328">
        <f>ROUND(V328-W328,2)</f>
        <v/>
      </c>
      <c r="Z328">
        <f>ROUND(V328-X328,2)</f>
        <v/>
      </c>
      <c r="AA328" s="3">
        <f>IFERROR(W328/V328,"")</f>
        <v/>
      </c>
      <c r="AB328" s="3">
        <f>IFERROR(X328/V328,"")</f>
        <v/>
      </c>
      <c r="AC328" t="b">
        <v>0</v>
      </c>
      <c r="AD328" t="b">
        <v>0</v>
      </c>
      <c r="AE328" t="b">
        <v>0</v>
      </c>
      <c r="AF328" t="inlineStr">
        <is>
          <t>No</t>
        </is>
      </c>
      <c r="AI328" t="b">
        <v>1</v>
      </c>
      <c r="AJ328" t="n">
        <v>0</v>
      </c>
      <c r="AK328" t="inlineStr">
        <is>
          <t>Currently a 5% contribution to internal IT at LinkDigital.</t>
        </is>
      </c>
      <c r="AL328" t="inlineStr">
        <is>
          <t>IT Information Technology (Hauke G.)</t>
        </is>
      </c>
      <c r="AM328" t="inlineStr">
        <is>
          <t>CT Cloud Technology I (Martin S.)</t>
        </is>
      </c>
      <c r="AN328" t="inlineStr">
        <is>
          <t>TC Technology &amp; Cloud (Martin S.)</t>
        </is>
      </c>
      <c r="AO328" t="inlineStr">
        <is>
          <t>bridgingIT GmbH</t>
        </is>
      </c>
      <c r="AP328" t="inlineStr">
        <is>
          <t>Stuttgart</t>
        </is>
      </c>
      <c r="AQ328" t="inlineStr">
        <is>
          <t>Martin Spörl</t>
        </is>
      </c>
    </row>
    <row r="329">
      <c r="A329" t="inlineStr">
        <is>
          <t>8051</t>
        </is>
      </c>
      <c r="B329" t="inlineStr">
        <is>
          <t>C8DEA1</t>
        </is>
      </c>
      <c r="C329" t="inlineStr">
        <is>
          <t>https://app.matchical.com/Consulting/ConsultantDetail?ConsultantId=13ae57ca-0e3a-41e5-9621-059af619acc0</t>
        </is>
      </c>
      <c r="D329" t="inlineStr">
        <is>
          <t>Marcel Schneider</t>
        </is>
      </c>
      <c r="E329" t="inlineStr">
        <is>
          <t>marcel.schneider@bridging-it.de</t>
        </is>
      </c>
      <c r="F329" s="2" t="n">
        <v>42370</v>
      </c>
      <c r="G329" s="2" t="n">
        <v>40513</v>
      </c>
      <c r="H329" t="n">
        <v>7</v>
      </c>
      <c r="I329" t="n">
        <v>0</v>
      </c>
      <c r="J329" t="n">
        <v>0</v>
      </c>
      <c r="L329" s="2" t="n">
        <v>45930</v>
      </c>
      <c r="M329" s="2" t="n">
        <v>46052</v>
      </c>
      <c r="N329" t="b">
        <v>0</v>
      </c>
      <c r="O329" t="n">
        <v>122</v>
      </c>
      <c r="P329" t="n">
        <v>121.93</v>
      </c>
      <c r="Q329" t="n">
        <v>118.93</v>
      </c>
      <c r="R329">
        <f>ROUND(O329-P329,2)</f>
        <v/>
      </c>
      <c r="S329">
        <f>ROUND(O329-Q329,2)</f>
        <v/>
      </c>
      <c r="T329" s="3">
        <f>IFERROR(P329/O329,"")</f>
        <v/>
      </c>
      <c r="U329" s="3">
        <f>IFERROR(Q329/O329,"")</f>
        <v/>
      </c>
      <c r="V329" t="n">
        <v>61</v>
      </c>
      <c r="W329" t="n">
        <v>61.03</v>
      </c>
      <c r="X329" t="n">
        <v>61.01</v>
      </c>
      <c r="Y329">
        <f>ROUND(V329-W329,2)</f>
        <v/>
      </c>
      <c r="Z329">
        <f>ROUND(V329-X329,2)</f>
        <v/>
      </c>
      <c r="AA329" s="3">
        <f>IFERROR(W329/V329,"")</f>
        <v/>
      </c>
      <c r="AB329" s="3">
        <f>IFERROR(X329/V329,"")</f>
        <v/>
      </c>
      <c r="AC329" t="b">
        <v>0</v>
      </c>
      <c r="AD329" t="b">
        <v>0</v>
      </c>
      <c r="AE329" t="b">
        <v>0</v>
      </c>
      <c r="AF329" t="inlineStr">
        <is>
          <t>No</t>
        </is>
      </c>
      <c r="AI329" t="b">
        <v>1</v>
      </c>
      <c r="AJ329" t="n">
        <v>0</v>
      </c>
      <c r="AK329" t="inlineStr">
        <is>
          <t>Currently, Marcel is involved in a Go project at STACKIT, but it ends at the end of January. He would like to continue with Go and is in a second project environment within STACKIT offerings. Alternatively, he is a very experienced Spring Boot backend developer. Marcel works 80% of the time.</t>
        </is>
      </c>
      <c r="AL329" t="inlineStr">
        <is>
          <t>A&amp;SE Analytics &amp; Software Engineering (Philip R.)</t>
        </is>
      </c>
      <c r="AM329" t="inlineStr">
        <is>
          <t>FR Fullstack Rockstars (Stefan Z.)</t>
        </is>
      </c>
      <c r="AN329" t="inlineStr">
        <is>
          <t>FUN Fullstack Ninjas (Stefan Z.)</t>
        </is>
      </c>
      <c r="AO329" t="inlineStr">
        <is>
          <t>bridgingIT GmbH</t>
        </is>
      </c>
      <c r="AP329" t="inlineStr">
        <is>
          <t>Mannheim</t>
        </is>
      </c>
      <c r="AQ329" t="inlineStr">
        <is>
          <t>Stefan Zilch</t>
        </is>
      </c>
    </row>
    <row r="330">
      <c r="A330" t="inlineStr">
        <is>
          <t>10298</t>
        </is>
      </c>
      <c r="B330" t="inlineStr">
        <is>
          <t>6B51B5</t>
        </is>
      </c>
      <c r="C330" t="inlineStr">
        <is>
          <t>https://app.matchical.com/Consulting/ConsultantDetail?ConsultantId=86194982-1015-4611-a1bc-0dbfe2389f61</t>
        </is>
      </c>
      <c r="D330" t="inlineStr">
        <is>
          <t>Marcel Schuhmacher</t>
        </is>
      </c>
      <c r="E330" t="inlineStr">
        <is>
          <t>marcel.schuhmacher@crafting-it.de</t>
        </is>
      </c>
      <c r="F330" s="2" t="n">
        <v>45474</v>
      </c>
      <c r="G330" s="2" t="n">
        <v>42370</v>
      </c>
      <c r="H330" t="n">
        <v>3</v>
      </c>
      <c r="I330" t="n">
        <v>0</v>
      </c>
      <c r="J330" t="n">
        <v>0</v>
      </c>
      <c r="L330" s="2" t="n">
        <v>45658</v>
      </c>
      <c r="M330" s="2" t="n">
        <v>46022</v>
      </c>
      <c r="N330" t="b">
        <v>0</v>
      </c>
      <c r="O330" t="n">
        <v>20</v>
      </c>
      <c r="P330" t="n">
        <v>46.81</v>
      </c>
      <c r="Q330" t="n">
        <v>19.81</v>
      </c>
      <c r="R330">
        <f>ROUND(O330-P330,2)</f>
        <v/>
      </c>
      <c r="S330">
        <f>ROUND(O330-Q330,2)</f>
        <v/>
      </c>
      <c r="T330" s="3">
        <f>IFERROR(P330/O330,"")</f>
        <v/>
      </c>
      <c r="U330" s="3">
        <f>IFERROR(Q330/O330,"")</f>
        <v/>
      </c>
      <c r="V330" t="n">
        <v>102</v>
      </c>
      <c r="W330" t="n">
        <v>0</v>
      </c>
      <c r="X330" t="n">
        <v>0</v>
      </c>
      <c r="Y330">
        <f>ROUND(V330-W330,2)</f>
        <v/>
      </c>
      <c r="Z330">
        <f>ROUND(V330-X330,2)</f>
        <v/>
      </c>
      <c r="AA330" s="3">
        <f>IFERROR(W330/V330,"")</f>
        <v/>
      </c>
      <c r="AB330" s="3">
        <f>IFERROR(X330/V330,"")</f>
        <v/>
      </c>
      <c r="AC330" t="b">
        <v>0</v>
      </c>
      <c r="AD330" t="b">
        <v>0</v>
      </c>
      <c r="AE330" t="b">
        <v>0</v>
      </c>
      <c r="AF330" t="inlineStr">
        <is>
          <t>Yes</t>
        </is>
      </c>
      <c r="AG330" s="2" t="n">
        <v>45799</v>
      </c>
      <c r="AI330" t="b">
        <v>1</v>
      </c>
      <c r="AJ330" t="n">
        <v>1</v>
      </c>
      <c r="AK330" t="inlineStr"/>
      <c r="AL330" t="inlineStr">
        <is>
          <t>ORG cIT</t>
        </is>
      </c>
      <c r="AM330" t="inlineStr">
        <is>
          <t>cIT AMS / GIS Services (Michael B.)</t>
        </is>
      </c>
      <c r="AN330" t="inlineStr">
        <is>
          <t>cIT Service Delivery Magdeburg (Steffen A.)</t>
        </is>
      </c>
      <c r="AO330" t="inlineStr">
        <is>
          <t>craftingIT GmbH</t>
        </is>
      </c>
      <c r="AP330" t="inlineStr">
        <is>
          <t>Magdeburg</t>
        </is>
      </c>
      <c r="AQ330" t="inlineStr">
        <is>
          <t>Michael Buchter</t>
        </is>
      </c>
    </row>
    <row r="331">
      <c r="A331" t="inlineStr">
        <is>
          <t>10464</t>
        </is>
      </c>
      <c r="B331" t="inlineStr">
        <is>
          <t>3C3D64</t>
        </is>
      </c>
      <c r="C331" t="inlineStr">
        <is>
          <t>https://app.matchical.com/Consulting/ConsultantDetail?ConsultantId=30a9a32e-c8b5-420e-9bb5-48f443a3706b</t>
        </is>
      </c>
      <c r="D331" t="inlineStr">
        <is>
          <t>Marcel Selle</t>
        </is>
      </c>
      <c r="E331" t="inlineStr">
        <is>
          <t>marcel.selle@bridging-it.de</t>
        </is>
      </c>
      <c r="F331" s="2" t="n">
        <v>46082</v>
      </c>
      <c r="H331" t="n">
        <v>2</v>
      </c>
      <c r="I331" t="n">
        <v>0</v>
      </c>
      <c r="J331" t="n">
        <v>0</v>
      </c>
      <c r="L331" s="2" t="n">
        <v>45688</v>
      </c>
      <c r="M331" s="2" t="n">
        <v>45868</v>
      </c>
      <c r="N331" t="b">
        <v>0</v>
      </c>
      <c r="O331" t="n">
        <v>0</v>
      </c>
      <c r="P331" t="n">
        <v>0</v>
      </c>
      <c r="Q331" t="n">
        <v>0</v>
      </c>
      <c r="R331">
        <f>ROUND(O331-P331,2)</f>
        <v/>
      </c>
      <c r="S331">
        <f>ROUND(O331-Q331,2)</f>
        <v/>
      </c>
      <c r="T331" s="3">
        <f>IFERROR(P331/O331,"")</f>
        <v/>
      </c>
      <c r="U331" s="3">
        <f>IFERROR(Q331/O331,"")</f>
        <v/>
      </c>
      <c r="V331" t="n">
        <v>1514</v>
      </c>
      <c r="W331" t="n">
        <v>42.9</v>
      </c>
      <c r="X331" t="n">
        <v>37.91</v>
      </c>
      <c r="Y331">
        <f>ROUND(V331-W331,2)</f>
        <v/>
      </c>
      <c r="Z331">
        <f>ROUND(V331-X331,2)</f>
        <v/>
      </c>
      <c r="AA331" s="3">
        <f>IFERROR(W331/V331,"")</f>
        <v/>
      </c>
      <c r="AB331" s="3">
        <f>IFERROR(X331/V331,"")</f>
        <v/>
      </c>
      <c r="AC331" t="b">
        <v>0</v>
      </c>
      <c r="AD331" t="b">
        <v>0</v>
      </c>
      <c r="AE331" t="b">
        <v>0</v>
      </c>
      <c r="AF331" t="inlineStr">
        <is>
          <t>Yes</t>
        </is>
      </c>
      <c r="AG331" s="2" t="n">
        <v>46082</v>
      </c>
      <c r="AI331" t="b">
        <v>1</v>
      </c>
      <c r="AJ331" t="n">
        <v>5</v>
      </c>
      <c r="AK331" t="inlineStr"/>
      <c r="AL331" t="inlineStr">
        <is>
          <t>IT - Information Technology (HH)</t>
        </is>
      </c>
      <c r="AM331" t="inlineStr">
        <is>
          <t>BA - Business Applications (Hamed S.)</t>
        </is>
      </c>
      <c r="AN331" t="inlineStr">
        <is>
          <t>BAA HH (Torben H.)</t>
        </is>
      </c>
      <c r="AO331" t="inlineStr">
        <is>
          <t>bridgingIT GmbH</t>
        </is>
      </c>
      <c r="AP331" t="inlineStr">
        <is>
          <t>Hamburg</t>
        </is>
      </c>
      <c r="AQ331" t="inlineStr">
        <is>
          <t>Markus Stefan</t>
        </is>
      </c>
    </row>
    <row r="332">
      <c r="A332" t="inlineStr">
        <is>
          <t>3259</t>
        </is>
      </c>
      <c r="B332" t="inlineStr">
        <is>
          <t>735593</t>
        </is>
      </c>
      <c r="C332" t="inlineStr">
        <is>
          <t>https://app.matchical.com/Consulting/ConsultantDetail?ConsultantId=3bff8036-2fad-4e1e-97d7-ab6819248919</t>
        </is>
      </c>
      <c r="D332" t="inlineStr">
        <is>
          <t>Marco André Poulet</t>
        </is>
      </c>
      <c r="E332" t="inlineStr">
        <is>
          <t>marco.poulet@bridging-it.de</t>
        </is>
      </c>
      <c r="F332" s="2" t="n">
        <v>44835</v>
      </c>
      <c r="G332" s="2" t="n">
        <v>34182</v>
      </c>
      <c r="H332" t="n">
        <v>67</v>
      </c>
      <c r="I332" t="n">
        <v>0</v>
      </c>
      <c r="J332" t="n">
        <v>1</v>
      </c>
      <c r="K332" s="2" t="n">
        <v>45732</v>
      </c>
      <c r="L332" s="2" t="n">
        <v>45138</v>
      </c>
      <c r="M332" s="2" t="n">
        <v>46021</v>
      </c>
      <c r="N332" t="b">
        <v>0</v>
      </c>
      <c r="O332" t="n">
        <v>41</v>
      </c>
      <c r="P332" t="n">
        <v>81</v>
      </c>
      <c r="Q332" t="n">
        <v>40.8</v>
      </c>
      <c r="R332">
        <f>ROUND(O332-P332,2)</f>
        <v/>
      </c>
      <c r="S332">
        <f>ROUND(O332-Q332,2)</f>
        <v/>
      </c>
      <c r="T332" s="3">
        <f>IFERROR(P332/O332,"")</f>
        <v/>
      </c>
      <c r="U332" s="3">
        <f>IFERROR(Q332/O332,"")</f>
        <v/>
      </c>
      <c r="V332" t="n">
        <v>350</v>
      </c>
      <c r="W332" t="n">
        <v>829</v>
      </c>
      <c r="X332" t="n">
        <v>346</v>
      </c>
      <c r="Y332">
        <f>ROUND(V332-W332,2)</f>
        <v/>
      </c>
      <c r="Z332">
        <f>ROUND(V332-X332,2)</f>
        <v/>
      </c>
      <c r="AA332" s="3">
        <f>IFERROR(W332/V332,"")</f>
        <v/>
      </c>
      <c r="AB332" s="3">
        <f>IFERROR(X332/V332,"")</f>
        <v/>
      </c>
      <c r="AC332" t="b">
        <v>0</v>
      </c>
      <c r="AD332" t="b">
        <v>0</v>
      </c>
      <c r="AE332" t="b">
        <v>0</v>
      </c>
      <c r="AF332" t="inlineStr">
        <is>
          <t>Yes</t>
        </is>
      </c>
      <c r="AG332" s="2" t="n">
        <v>46113</v>
      </c>
      <c r="AI332" t="b">
        <v>1</v>
      </c>
      <c r="AJ332" t="n">
        <v>5</v>
      </c>
      <c r="AK332" t="inlineStr">
        <is>
          <t>The current project may be extended.</t>
        </is>
      </c>
      <c r="AL332" t="inlineStr">
        <is>
          <t>ORG bIT</t>
        </is>
      </c>
      <c r="AM332" t="inlineStr">
        <is>
          <t>BABC - BA and Business Complexity (Karola B.)</t>
        </is>
      </c>
      <c r="AN332" t="inlineStr">
        <is>
          <t>ABC Analysing Business &amp; Collaboration (Edgar K.)</t>
        </is>
      </c>
      <c r="AO332" t="inlineStr">
        <is>
          <t>bridgingIT GmbH</t>
        </is>
      </c>
      <c r="AP332" t="inlineStr">
        <is>
          <t>Frankfurt</t>
        </is>
      </c>
      <c r="AQ332" t="inlineStr">
        <is>
          <t>Karola Bischof</t>
        </is>
      </c>
    </row>
    <row r="333">
      <c r="A333" t="inlineStr">
        <is>
          <t>8382</t>
        </is>
      </c>
      <c r="B333" t="inlineStr">
        <is>
          <t>2642E5</t>
        </is>
      </c>
      <c r="C333" t="inlineStr">
        <is>
          <t>https://app.matchical.com/Consulting/ConsultantDetail?ConsultantId=942a59fb-705c-4284-9740-5a62dcab2342</t>
        </is>
      </c>
      <c r="D333" t="inlineStr">
        <is>
          <t>Marcus Kempf</t>
        </is>
      </c>
      <c r="E333" t="inlineStr">
        <is>
          <t>marcus.kempf@bridging-it.de</t>
        </is>
      </c>
      <c r="F333" s="2" t="n">
        <v>43252</v>
      </c>
      <c r="G333" s="2" t="n">
        <v>38961</v>
      </c>
      <c r="H333" t="n">
        <v>3</v>
      </c>
      <c r="I333" t="n">
        <v>0</v>
      </c>
      <c r="J333" t="n">
        <v>2</v>
      </c>
      <c r="K333" s="2" t="n">
        <v>43466</v>
      </c>
      <c r="L333" s="2" t="n">
        <v>43466</v>
      </c>
      <c r="M333" s="2" t="n">
        <v>43646</v>
      </c>
      <c r="N333" t="b">
        <v>0</v>
      </c>
      <c r="O333" t="n">
        <v>93</v>
      </c>
      <c r="P333" t="n">
        <v>176</v>
      </c>
      <c r="Q333" t="n">
        <v>85</v>
      </c>
      <c r="R333">
        <f>ROUND(O333-P333,2)</f>
        <v/>
      </c>
      <c r="S333">
        <f>ROUND(O333-Q333,2)</f>
        <v/>
      </c>
      <c r="T333" s="3">
        <f>IFERROR(P333/O333,"")</f>
        <v/>
      </c>
      <c r="U333" s="3">
        <f>IFERROR(Q333/O333,"")</f>
        <v/>
      </c>
      <c r="V333" t="n">
        <v>141</v>
      </c>
      <c r="W333" t="n">
        <v>0</v>
      </c>
      <c r="X333" t="n">
        <v>0</v>
      </c>
      <c r="Y333">
        <f>ROUND(V333-W333,2)</f>
        <v/>
      </c>
      <c r="Z333">
        <f>ROUND(V333-X333,2)</f>
        <v/>
      </c>
      <c r="AA333" s="3">
        <f>IFERROR(W333/V333,"")</f>
        <v/>
      </c>
      <c r="AB333" s="3">
        <f>IFERROR(X333/V333,"")</f>
        <v/>
      </c>
      <c r="AC333" t="b">
        <v>0</v>
      </c>
      <c r="AD333" t="b">
        <v>0</v>
      </c>
      <c r="AE333" t="b">
        <v>0</v>
      </c>
      <c r="AF333" t="inlineStr">
        <is>
          <t>No</t>
        </is>
      </c>
      <c r="AI333" t="b">
        <v>0</v>
      </c>
      <c r="AJ333" t="n">
        <v>0</v>
      </c>
      <c r="AK333" t="inlineStr">
        <is>
          <t>Comment</t>
        </is>
      </c>
      <c r="AL333" t="inlineStr">
        <is>
          <t>Geschäftsleitung und Support</t>
        </is>
      </c>
      <c r="AM333" t="inlineStr">
        <is>
          <t>Interne Applikationen</t>
        </is>
      </c>
      <c r="AN333" t="inlineStr">
        <is>
          <t>Frank Wallner</t>
        </is>
      </c>
      <c r="AO333" t="inlineStr">
        <is>
          <t>bridgingIT GmbH</t>
        </is>
      </c>
      <c r="AP333" t="inlineStr">
        <is>
          <t>Magdeburg</t>
        </is>
      </c>
      <c r="AQ333" t="inlineStr">
        <is>
          <t>Sabine Sessar</t>
        </is>
      </c>
    </row>
    <row r="334">
      <c r="A334" t="inlineStr">
        <is>
          <t>10411</t>
        </is>
      </c>
      <c r="B334" t="inlineStr">
        <is>
          <t>5DCDD9</t>
        </is>
      </c>
      <c r="C334" t="inlineStr">
        <is>
          <t>https://app.matchical.com/Consulting/ConsultantDetail?ConsultantId=162f0330-369d-4397-b83f-775ae568701b</t>
        </is>
      </c>
      <c r="D334" t="inlineStr">
        <is>
          <t>Maren Jurczyk</t>
        </is>
      </c>
      <c r="E334" t="inlineStr">
        <is>
          <t>maren.jurczyk@bridging-it.de</t>
        </is>
      </c>
      <c r="F334" s="2" t="n">
        <v>45992</v>
      </c>
      <c r="G334" s="2" t="n">
        <v>40391</v>
      </c>
      <c r="H334" t="n">
        <v>1</v>
      </c>
      <c r="I334" t="n">
        <v>0</v>
      </c>
      <c r="J334" t="n">
        <v>0</v>
      </c>
      <c r="N334" t="b">
        <v>0</v>
      </c>
      <c r="O334" t="n">
        <v>3</v>
      </c>
      <c r="P334" t="n">
        <v>2.8</v>
      </c>
      <c r="Q334" t="n">
        <v>2.79</v>
      </c>
      <c r="R334">
        <f>ROUND(O334-P334,2)</f>
        <v/>
      </c>
      <c r="S334">
        <f>ROUND(O334-Q334,2)</f>
        <v/>
      </c>
      <c r="T334" s="3">
        <f>IFERROR(P334/O334,"")</f>
        <v/>
      </c>
      <c r="U334" s="3">
        <f>IFERROR(Q334/O334,"")</f>
        <v/>
      </c>
      <c r="V334" t="n">
        <v>184</v>
      </c>
      <c r="W334" t="n">
        <v>0</v>
      </c>
      <c r="X334" t="n">
        <v>0</v>
      </c>
      <c r="Y334">
        <f>ROUND(V334-W334,2)</f>
        <v/>
      </c>
      <c r="Z334">
        <f>ROUND(V334-X334,2)</f>
        <v/>
      </c>
      <c r="AA334" s="3">
        <f>IFERROR(W334/V334,"")</f>
        <v/>
      </c>
      <c r="AB334" s="3">
        <f>IFERROR(X334/V334,"")</f>
        <v/>
      </c>
      <c r="AC334" t="b">
        <v>0</v>
      </c>
      <c r="AD334" t="b">
        <v>0</v>
      </c>
      <c r="AE334" t="b">
        <v>0</v>
      </c>
      <c r="AF334" t="inlineStr">
        <is>
          <t>No</t>
        </is>
      </c>
      <c r="AI334" t="b">
        <v>1</v>
      </c>
      <c r="AJ334" t="n">
        <v>0</v>
      </c>
      <c r="AK334" t="inlineStr"/>
      <c r="AL334" t="inlineStr">
        <is>
          <t>ORG bIT</t>
        </is>
      </c>
      <c r="AM334" t="inlineStr">
        <is>
          <t>AMC - Agility Masters Cologne (Severin E.)</t>
        </is>
      </c>
      <c r="AN334" t="inlineStr">
        <is>
          <t>BTC - Business Transformation Cologne (Anna S.)</t>
        </is>
      </c>
      <c r="AO334" t="inlineStr">
        <is>
          <t>bridgingIT GmbH</t>
        </is>
      </c>
      <c r="AP334" t="inlineStr">
        <is>
          <t>Köln</t>
        </is>
      </c>
      <c r="AQ334" t="inlineStr">
        <is>
          <t>Severin Etzbach</t>
        </is>
      </c>
    </row>
    <row r="335">
      <c r="A335" t="inlineStr">
        <is>
          <t>10014</t>
        </is>
      </c>
      <c r="B335" t="inlineStr">
        <is>
          <t>DBBCE3</t>
        </is>
      </c>
      <c r="C335" t="inlineStr">
        <is>
          <t>https://app.matchical.com/Consulting/ConsultantDetail?ConsultantId=8adb782f-a5bf-437f-9cb6-6cf428d480f0</t>
        </is>
      </c>
      <c r="D335" t="inlineStr">
        <is>
          <t>Marie Eicker</t>
        </is>
      </c>
      <c r="E335" t="inlineStr">
        <is>
          <t>marie.eicker@bridging-it.de</t>
        </is>
      </c>
      <c r="F335" s="2" t="n">
        <v>44927</v>
      </c>
      <c r="G335" s="2" t="n">
        <v>41487</v>
      </c>
      <c r="H335" t="n">
        <v>7</v>
      </c>
      <c r="I335" t="n">
        <v>0</v>
      </c>
      <c r="J335" t="n">
        <v>1</v>
      </c>
      <c r="K335" s="2" t="n">
        <v>45747</v>
      </c>
      <c r="L335" s="2" t="n">
        <v>45153</v>
      </c>
      <c r="M335" s="2" t="n">
        <v>45687</v>
      </c>
      <c r="N335" t="b">
        <v>0</v>
      </c>
      <c r="O335" t="n">
        <v>38</v>
      </c>
      <c r="P335" t="n">
        <v>32</v>
      </c>
      <c r="Q335" t="n">
        <v>32</v>
      </c>
      <c r="R335">
        <f>ROUND(O335-P335,2)</f>
        <v/>
      </c>
      <c r="S335">
        <f>ROUND(O335-Q335,2)</f>
        <v/>
      </c>
      <c r="T335" s="3">
        <f>IFERROR(P335/O335,"")</f>
        <v/>
      </c>
      <c r="U335" s="3">
        <f>IFERROR(Q335/O335,"")</f>
        <v/>
      </c>
      <c r="V335" t="n">
        <v>113</v>
      </c>
      <c r="W335" t="n">
        <v>106.97</v>
      </c>
      <c r="X335" t="n">
        <v>106.97</v>
      </c>
      <c r="Y335">
        <f>ROUND(V335-W335,2)</f>
        <v/>
      </c>
      <c r="Z335">
        <f>ROUND(V335-X335,2)</f>
        <v/>
      </c>
      <c r="AA335" s="3">
        <f>IFERROR(W335/V335,"")</f>
        <v/>
      </c>
      <c r="AB335" s="3">
        <f>IFERROR(X335/V335,"")</f>
        <v/>
      </c>
      <c r="AC335" t="b">
        <v>0</v>
      </c>
      <c r="AD335" t="b">
        <v>0</v>
      </c>
      <c r="AE335" t="b">
        <v>0</v>
      </c>
      <c r="AF335" t="inlineStr">
        <is>
          <t>No</t>
        </is>
      </c>
      <c r="AI335" t="b">
        <v>1</v>
      </c>
      <c r="AJ335" t="n">
        <v>0</v>
      </c>
      <c r="AK335" t="inlineStr"/>
      <c r="AL335" t="inlineStr">
        <is>
          <t>ORG bIT</t>
        </is>
      </c>
      <c r="AM335" t="inlineStr">
        <is>
          <t>AMC - Agility Masters Cologne (Severin E.)</t>
        </is>
      </c>
      <c r="AN335" t="inlineStr">
        <is>
          <t>BTC - Business Transformation Cologne (Anna S.)</t>
        </is>
      </c>
      <c r="AO335" t="inlineStr">
        <is>
          <t>bridgingIT GmbH</t>
        </is>
      </c>
      <c r="AP335" t="inlineStr">
        <is>
          <t>Köln</t>
        </is>
      </c>
      <c r="AQ335" t="inlineStr">
        <is>
          <t>Severin Etzbach</t>
        </is>
      </c>
    </row>
    <row r="336">
      <c r="A336" t="inlineStr">
        <is>
          <t>10099</t>
        </is>
      </c>
      <c r="B336" t="inlineStr">
        <is>
          <t>8892AC</t>
        </is>
      </c>
      <c r="C336" t="inlineStr">
        <is>
          <t>https://app.matchical.com/Consulting/ConsultantDetail?ConsultantId=2e13bead-0ca7-4d3c-badf-519873e5c3c4</t>
        </is>
      </c>
      <c r="D336" t="inlineStr">
        <is>
          <t>Marie Lechner</t>
        </is>
      </c>
      <c r="E336" t="inlineStr">
        <is>
          <t>marie.lechner@bridging-it.de</t>
        </is>
      </c>
      <c r="F336" s="2" t="n">
        <v>44986</v>
      </c>
      <c r="G336" s="2" t="n">
        <v>43831</v>
      </c>
      <c r="H336" t="n">
        <v>10</v>
      </c>
      <c r="I336" t="n">
        <v>0</v>
      </c>
      <c r="J336" t="n">
        <v>1</v>
      </c>
      <c r="K336" s="2" t="n">
        <v>44985</v>
      </c>
      <c r="L336" s="2" t="n">
        <v>45732</v>
      </c>
      <c r="M336" s="2" t="n">
        <v>46021</v>
      </c>
      <c r="N336" t="b">
        <v>0</v>
      </c>
      <c r="O336" t="n">
        <v>36</v>
      </c>
      <c r="P336" t="n">
        <v>90.97</v>
      </c>
      <c r="Q336" t="n">
        <v>35.84</v>
      </c>
      <c r="R336">
        <f>ROUND(O336-P336,2)</f>
        <v/>
      </c>
      <c r="S336">
        <f>ROUND(O336-Q336,2)</f>
        <v/>
      </c>
      <c r="T336" s="3">
        <f>IFERROR(P336/O336,"")</f>
        <v/>
      </c>
      <c r="U336" s="3">
        <f>IFERROR(Q336/O336,"")</f>
        <v/>
      </c>
      <c r="V336" t="n">
        <v>38</v>
      </c>
      <c r="W336" t="n">
        <v>34.03</v>
      </c>
      <c r="X336" t="n">
        <v>34.01</v>
      </c>
      <c r="Y336">
        <f>ROUND(V336-W336,2)</f>
        <v/>
      </c>
      <c r="Z336">
        <f>ROUND(V336-X336,2)</f>
        <v/>
      </c>
      <c r="AA336" s="3">
        <f>IFERROR(W336/V336,"")</f>
        <v/>
      </c>
      <c r="AB336" s="3">
        <f>IFERROR(X336/V336,"")</f>
        <v/>
      </c>
      <c r="AC336" t="b">
        <v>0</v>
      </c>
      <c r="AD336" t="b">
        <v>0</v>
      </c>
      <c r="AE336" t="b">
        <v>0</v>
      </c>
      <c r="AF336" t="inlineStr">
        <is>
          <t>Yes</t>
        </is>
      </c>
      <c r="AG336" s="2" t="n">
        <v>46235</v>
      </c>
      <c r="AI336" t="b">
        <v>1</v>
      </c>
      <c r="AJ336" t="n">
        <v>3.5</v>
      </c>
      <c r="AK336" t="inlineStr">
        <is>
          <t>Marie is employed at BASF until July 2026. For after that: Marie has a background in HR and project management and is seeking a project in the area of project management, transformation and change, or training management. She may be available from August 2026 at 50-75% (remainder: Learning), with very flexible hours. Marie is strong in communication and coordination and has an overview of the project.</t>
        </is>
      </c>
      <c r="AL336" t="inlineStr">
        <is>
          <t>T&amp;A - Transformation &amp; Agility (Arne K.)</t>
        </is>
      </c>
      <c r="AM336" t="inlineStr">
        <is>
          <t>TE - Transformation Enablement (Arne K.)</t>
        </is>
      </c>
      <c r="AN336" t="inlineStr">
        <is>
          <t>TB - Transforming Business (Arne K.)</t>
        </is>
      </c>
      <c r="AO336" t="inlineStr">
        <is>
          <t>bridgingIT GmbH</t>
        </is>
      </c>
      <c r="AP336" t="inlineStr">
        <is>
          <t>Mannheim</t>
        </is>
      </c>
      <c r="AQ336" t="inlineStr">
        <is>
          <t>Arne Kunstmann</t>
        </is>
      </c>
    </row>
    <row r="337">
      <c r="A337" t="inlineStr">
        <is>
          <t>10153</t>
        </is>
      </c>
      <c r="B337" t="inlineStr">
        <is>
          <t>804E96</t>
        </is>
      </c>
      <c r="C337" t="inlineStr">
        <is>
          <t>https://app.matchical.com/Consulting/ConsultantDetail?ConsultantId=2c6304c4-e7a7-4da2-b324-a4f97033ad70</t>
        </is>
      </c>
      <c r="D337" t="inlineStr">
        <is>
          <t>Mark Fries</t>
        </is>
      </c>
      <c r="E337" t="inlineStr">
        <is>
          <t>mark.fries@bridging-it.de</t>
        </is>
      </c>
      <c r="F337" s="2" t="n">
        <v>45092</v>
      </c>
      <c r="G337" s="2" t="n">
        <v>45474</v>
      </c>
      <c r="H337" t="n">
        <v>1</v>
      </c>
      <c r="I337" t="n">
        <v>0</v>
      </c>
      <c r="J337" t="n">
        <v>1</v>
      </c>
      <c r="K337" s="2" t="n">
        <v>45473</v>
      </c>
      <c r="N337" t="b">
        <v>0</v>
      </c>
      <c r="O337" t="n">
        <v>32</v>
      </c>
      <c r="P337" t="n">
        <v>19</v>
      </c>
      <c r="Q337" t="n">
        <v>19</v>
      </c>
      <c r="R337">
        <f>ROUND(O337-P337,2)</f>
        <v/>
      </c>
      <c r="S337">
        <f>ROUND(O337-Q337,2)</f>
        <v/>
      </c>
      <c r="T337" s="3">
        <f>IFERROR(P337/O337,"")</f>
        <v/>
      </c>
      <c r="U337" s="3">
        <f>IFERROR(Q337/O337,"")</f>
        <v/>
      </c>
      <c r="V337" t="n">
        <v>0</v>
      </c>
      <c r="W337" t="n">
        <v>0</v>
      </c>
      <c r="X337" t="n">
        <v>0</v>
      </c>
      <c r="Y337">
        <f>ROUND(V337-W337,2)</f>
        <v/>
      </c>
      <c r="Z337">
        <f>ROUND(V337-X337,2)</f>
        <v/>
      </c>
      <c r="AA337" s="3">
        <f>IFERROR(W337/V337,"")</f>
        <v/>
      </c>
      <c r="AB337" s="3">
        <f>IFERROR(X337/V337,"")</f>
        <v/>
      </c>
      <c r="AC337" t="b">
        <v>0</v>
      </c>
      <c r="AD337" t="b">
        <v>0</v>
      </c>
      <c r="AE337" t="b">
        <v>1</v>
      </c>
      <c r="AF337" t="inlineStr">
        <is>
          <t>No</t>
        </is>
      </c>
      <c r="AI337" t="b">
        <v>1</v>
      </c>
      <c r="AJ337" t="n">
        <v>0</v>
      </c>
      <c r="AK337" t="inlineStr"/>
      <c r="AL337" t="inlineStr">
        <is>
          <t>ORG bIT</t>
        </is>
      </c>
      <c r="AM337" t="inlineStr">
        <is>
          <t>SE Software Engineering Frankfurt (Sebastian F.)</t>
        </is>
      </c>
      <c r="AN337" t="inlineStr">
        <is>
          <t>ES Enterprise Solutions (Dominik H.)</t>
        </is>
      </c>
      <c r="AO337" t="inlineStr">
        <is>
          <t>bridgingIT GmbH</t>
        </is>
      </c>
      <c r="AP337" t="inlineStr">
        <is>
          <t>Frankfurt</t>
        </is>
      </c>
      <c r="AQ337" t="inlineStr">
        <is>
          <t>Sebastian Fischer</t>
        </is>
      </c>
    </row>
    <row r="338">
      <c r="A338" t="inlineStr">
        <is>
          <t>10197</t>
        </is>
      </c>
      <c r="B338" t="inlineStr">
        <is>
          <t>F0EA27</t>
        </is>
      </c>
      <c r="C338" t="inlineStr">
        <is>
          <t>https://app.matchical.com/Consulting/ConsultantDetail?ConsultantId=3e72bc87-791d-4718-b22a-e9743e151357</t>
        </is>
      </c>
      <c r="D338" t="inlineStr">
        <is>
          <t>Mark Leinhos</t>
        </is>
      </c>
      <c r="E338" t="inlineStr">
        <is>
          <t>mark.leinhos@bridging-it.de</t>
        </is>
      </c>
      <c r="F338" s="2" t="n">
        <v>45292</v>
      </c>
      <c r="G338" s="2" t="n">
        <v>43070</v>
      </c>
      <c r="H338" t="n">
        <v>8</v>
      </c>
      <c r="I338" t="n">
        <v>0</v>
      </c>
      <c r="J338" t="n">
        <v>0</v>
      </c>
      <c r="L338" s="2" t="n">
        <v>45352</v>
      </c>
      <c r="M338" s="2" t="n">
        <v>45688</v>
      </c>
      <c r="N338" t="b">
        <v>0</v>
      </c>
      <c r="O338" t="n">
        <v>26</v>
      </c>
      <c r="P338" t="n">
        <v>24.79</v>
      </c>
      <c r="Q338" t="n">
        <v>24.01</v>
      </c>
      <c r="R338">
        <f>ROUND(O338-P338,2)</f>
        <v/>
      </c>
      <c r="S338">
        <f>ROUND(O338-Q338,2)</f>
        <v/>
      </c>
      <c r="T338" s="3">
        <f>IFERROR(P338/O338,"")</f>
        <v/>
      </c>
      <c r="U338" s="3">
        <f>IFERROR(Q338/O338,"")</f>
        <v/>
      </c>
      <c r="V338" t="n">
        <v>73</v>
      </c>
      <c r="W338" t="n">
        <v>58</v>
      </c>
      <c r="X338" t="n">
        <v>44</v>
      </c>
      <c r="Y338">
        <f>ROUND(V338-W338,2)</f>
        <v/>
      </c>
      <c r="Z338">
        <f>ROUND(V338-X338,2)</f>
        <v/>
      </c>
      <c r="AA338" s="3">
        <f>IFERROR(W338/V338,"")</f>
        <v/>
      </c>
      <c r="AB338" s="3">
        <f>IFERROR(X338/V338,"")</f>
        <v/>
      </c>
      <c r="AC338" t="b">
        <v>0</v>
      </c>
      <c r="AD338" t="b">
        <v>0</v>
      </c>
      <c r="AE338" t="b">
        <v>0</v>
      </c>
      <c r="AF338" t="inlineStr">
        <is>
          <t>No</t>
        </is>
      </c>
      <c r="AI338" t="b">
        <v>1</v>
      </c>
      <c r="AJ338" t="n">
        <v>0</v>
      </c>
      <c r="AK338" t="inlineStr">
        <is>
          <t>Starting February 1, 100% availability is possible.</t>
        </is>
      </c>
      <c r="AL338" t="inlineStr">
        <is>
          <t>DO Digital Organizations (Michael H.)</t>
        </is>
      </c>
      <c r="AM338" t="inlineStr">
        <is>
          <t>PM Product Management (Dana Thüring)</t>
        </is>
      </c>
      <c r="AN338" t="inlineStr">
        <is>
          <t>BE Business Engineering (Heidi Foldenauer)</t>
        </is>
      </c>
      <c r="AO338" t="inlineStr">
        <is>
          <t>bridgingIT GmbH</t>
        </is>
      </c>
      <c r="AP338" t="inlineStr">
        <is>
          <t>Stuttgart</t>
        </is>
      </c>
      <c r="AQ338" t="inlineStr">
        <is>
          <t>Dana Thüring</t>
        </is>
      </c>
    </row>
    <row r="339">
      <c r="A339" t="inlineStr">
        <is>
          <t>10435</t>
        </is>
      </c>
      <c r="B339" t="inlineStr">
        <is>
          <t>55C209</t>
        </is>
      </c>
      <c r="C339" t="inlineStr">
        <is>
          <t>https://app.matchical.com/Consulting/ConsultantDetail?ConsultantId=d0547165-18dd-4826-a4f5-389fc72aabf0</t>
        </is>
      </c>
      <c r="D339" t="inlineStr">
        <is>
          <t>Mark Strain</t>
        </is>
      </c>
      <c r="E339" t="inlineStr">
        <is>
          <t>mark.strain@bridging-it.de</t>
        </is>
      </c>
      <c r="F339" s="2" t="n">
        <v>46054</v>
      </c>
      <c r="G339" s="2" t="n">
        <v>35765</v>
      </c>
      <c r="H339" t="n">
        <v>4</v>
      </c>
      <c r="I339" t="n">
        <v>0</v>
      </c>
      <c r="J339" t="n">
        <v>1</v>
      </c>
      <c r="K339" s="2" t="n">
        <v>45504</v>
      </c>
      <c r="L339" s="2" t="n">
        <v>45473</v>
      </c>
      <c r="M339" s="2" t="n">
        <v>45534</v>
      </c>
      <c r="N339" t="b">
        <v>0</v>
      </c>
      <c r="O339" t="n">
        <v>1</v>
      </c>
      <c r="P339" t="n">
        <v>0.72</v>
      </c>
      <c r="Q339" t="n">
        <v>0.72</v>
      </c>
      <c r="R339">
        <f>ROUND(O339-P339,2)</f>
        <v/>
      </c>
      <c r="S339">
        <f>ROUND(O339-Q339,2)</f>
        <v/>
      </c>
      <c r="T339" s="3">
        <f>IFERROR(P339/O339,"")</f>
        <v/>
      </c>
      <c r="U339" s="3">
        <f>IFERROR(Q339/O339,"")</f>
        <v/>
      </c>
      <c r="V339" t="n">
        <v>338</v>
      </c>
      <c r="W339" t="n">
        <v>32.28</v>
      </c>
      <c r="X339" t="n">
        <v>32.28</v>
      </c>
      <c r="Y339">
        <f>ROUND(V339-W339,2)</f>
        <v/>
      </c>
      <c r="Z339">
        <f>ROUND(V339-X339,2)</f>
        <v/>
      </c>
      <c r="AA339" s="3">
        <f>IFERROR(W339/V339,"")</f>
        <v/>
      </c>
      <c r="AB339" s="3">
        <f>IFERROR(X339/V339,"")</f>
        <v/>
      </c>
      <c r="AC339" t="b">
        <v>0</v>
      </c>
      <c r="AD339" t="b">
        <v>0</v>
      </c>
      <c r="AE339" t="b">
        <v>0</v>
      </c>
      <c r="AF339" t="inlineStr">
        <is>
          <t>Yes</t>
        </is>
      </c>
      <c r="AG339" s="2" t="n">
        <v>46054</v>
      </c>
      <c r="AI339" t="b">
        <v>1</v>
      </c>
      <c r="AJ339" t="n">
        <v>5</v>
      </c>
      <c r="AK339" t="inlineStr"/>
      <c r="AL339" t="inlineStr">
        <is>
          <t>IT - Information Technology (HH)</t>
        </is>
      </c>
      <c r="AM339" t="inlineStr">
        <is>
          <t>MW - Modern Workplace (Ulrich S.)</t>
        </is>
      </c>
      <c r="AN339" t="inlineStr">
        <is>
          <t>MWT HH (Udo P.)</t>
        </is>
      </c>
      <c r="AO339" t="inlineStr">
        <is>
          <t>bridgingIT GmbH</t>
        </is>
      </c>
      <c r="AP339" t="inlineStr">
        <is>
          <t>Hamburg</t>
        </is>
      </c>
      <c r="AQ339" t="inlineStr">
        <is>
          <t>Ulrich Schack</t>
        </is>
      </c>
    </row>
    <row r="340">
      <c r="A340" t="inlineStr">
        <is>
          <t>10150</t>
        </is>
      </c>
      <c r="B340" t="inlineStr">
        <is>
          <t>6AD021</t>
        </is>
      </c>
      <c r="C340" t="inlineStr">
        <is>
          <t>https://app.matchical.com/Consulting/ConsultantDetail?ConsultantId=a83703bb-32d8-4483-bc16-2bd3dbd11ffb</t>
        </is>
      </c>
      <c r="D340" t="inlineStr">
        <is>
          <t>Mark Vonhof</t>
        </is>
      </c>
      <c r="E340" t="inlineStr">
        <is>
          <t>mark.vonhof@bridging-it.de</t>
        </is>
      </c>
      <c r="F340" s="2" t="n">
        <v>45108</v>
      </c>
      <c r="G340" s="2" t="n">
        <v>44774</v>
      </c>
      <c r="H340" t="n">
        <v>4</v>
      </c>
      <c r="I340" t="n">
        <v>0</v>
      </c>
      <c r="J340" t="n">
        <v>1</v>
      </c>
      <c r="K340" s="2" t="n">
        <v>44773</v>
      </c>
      <c r="L340" s="2" t="n">
        <v>43738</v>
      </c>
      <c r="M340" s="2" t="n">
        <v>44984</v>
      </c>
      <c r="N340" t="b">
        <v>0</v>
      </c>
      <c r="O340" t="n">
        <v>32</v>
      </c>
      <c r="P340" t="n">
        <v>62.1</v>
      </c>
      <c r="Q340" t="n">
        <v>31.84</v>
      </c>
      <c r="R340">
        <f>ROUND(O340-P340,2)</f>
        <v/>
      </c>
      <c r="S340">
        <f>ROUND(O340-Q340,2)</f>
        <v/>
      </c>
      <c r="T340" s="3">
        <f>IFERROR(P340/O340,"")</f>
        <v/>
      </c>
      <c r="U340" s="3">
        <f>IFERROR(Q340/O340,"")</f>
        <v/>
      </c>
      <c r="V340" t="n">
        <v>11</v>
      </c>
      <c r="W340" t="n">
        <v>17.67</v>
      </c>
      <c r="X340" t="n">
        <v>10.97</v>
      </c>
      <c r="Y340">
        <f>ROUND(V340-W340,2)</f>
        <v/>
      </c>
      <c r="Z340">
        <f>ROUND(V340-X340,2)</f>
        <v/>
      </c>
      <c r="AA340" s="3">
        <f>IFERROR(W340/V340,"")</f>
        <v/>
      </c>
      <c r="AB340" s="3">
        <f>IFERROR(X340/V340,"")</f>
        <v/>
      </c>
      <c r="AC340" t="b">
        <v>0</v>
      </c>
      <c r="AD340" t="b">
        <v>0</v>
      </c>
      <c r="AE340" t="b">
        <v>0</v>
      </c>
      <c r="AF340" t="inlineStr">
        <is>
          <t>Yes</t>
        </is>
      </c>
      <c r="AG340" s="2" t="n">
        <v>46204</v>
      </c>
      <c r="AI340" t="b">
        <v>1</v>
      </c>
      <c r="AJ340" t="n">
        <v>5</v>
      </c>
      <c r="AK340" t="inlineStr"/>
      <c r="AL340" t="inlineStr">
        <is>
          <t>ORG bIT</t>
        </is>
      </c>
      <c r="AM340" t="inlineStr">
        <is>
          <t>BABC - BA and Business Complexity (Karola B.)</t>
        </is>
      </c>
      <c r="AN340" t="inlineStr">
        <is>
          <t>ABC Analysing Business &amp; Collaboration (Edgar K.)</t>
        </is>
      </c>
      <c r="AO340" t="inlineStr">
        <is>
          <t>bridgingIT GmbH</t>
        </is>
      </c>
      <c r="AP340" t="inlineStr">
        <is>
          <t>Frankfurt</t>
        </is>
      </c>
      <c r="AQ340" t="inlineStr">
        <is>
          <t>Karola Bischof</t>
        </is>
      </c>
    </row>
    <row r="341">
      <c r="A341" t="inlineStr">
        <is>
          <t>10462</t>
        </is>
      </c>
      <c r="B341" t="inlineStr">
        <is>
          <t>1AEC98</t>
        </is>
      </c>
      <c r="C341" t="inlineStr">
        <is>
          <t>https://app.matchical.com/Consulting/ConsultantDetail?ConsultantId=bf5c9551-3a55-465e-a11a-709273133273</t>
        </is>
      </c>
      <c r="D341" t="inlineStr">
        <is>
          <t>Markus Aicher</t>
        </is>
      </c>
      <c r="E341" t="inlineStr">
        <is>
          <t>markus.aicher@bridging-it.de</t>
        </is>
      </c>
      <c r="F341" s="2" t="n">
        <v>46023</v>
      </c>
      <c r="H341" t="n">
        <v>0</v>
      </c>
      <c r="I341" t="n">
        <v>0</v>
      </c>
      <c r="J341" t="n">
        <v>0</v>
      </c>
      <c r="N341" t="b">
        <v>0</v>
      </c>
      <c r="O341" t="n">
        <v>2</v>
      </c>
      <c r="P341" t="n">
        <v>0</v>
      </c>
      <c r="Q341" t="n">
        <v>0</v>
      </c>
      <c r="R341">
        <f>ROUND(O341-P341,2)</f>
        <v/>
      </c>
      <c r="S341">
        <f>ROUND(O341-Q341,2)</f>
        <v/>
      </c>
      <c r="T341" s="3">
        <f>IFERROR(P341/O341,"")</f>
        <v/>
      </c>
      <c r="U341" s="3">
        <f>IFERROR(Q341/O341,"")</f>
        <v/>
      </c>
      <c r="V341" t="n">
        <v>1512</v>
      </c>
      <c r="W341" t="n">
        <v>0</v>
      </c>
      <c r="X341" t="n">
        <v>0</v>
      </c>
      <c r="Y341">
        <f>ROUND(V341-W341,2)</f>
        <v/>
      </c>
      <c r="Z341">
        <f>ROUND(V341-X341,2)</f>
        <v/>
      </c>
      <c r="AA341" s="3">
        <f>IFERROR(W341/V341,"")</f>
        <v/>
      </c>
      <c r="AB341" s="3">
        <f>IFERROR(X341/V341,"")</f>
        <v/>
      </c>
      <c r="AC341" t="b">
        <v>0</v>
      </c>
      <c r="AD341" t="b">
        <v>0</v>
      </c>
      <c r="AE341" t="b">
        <v>0</v>
      </c>
      <c r="AF341" t="inlineStr">
        <is>
          <t>No</t>
        </is>
      </c>
      <c r="AI341" t="b">
        <v>1</v>
      </c>
      <c r="AJ341" t="n">
        <v>0</v>
      </c>
      <c r="AK341" t="inlineStr"/>
      <c r="AL341" t="inlineStr">
        <is>
          <t>Geschäftsleitung und Support</t>
        </is>
      </c>
      <c r="AM341" t="inlineStr">
        <is>
          <t>CxO</t>
        </is>
      </c>
      <c r="AN341" t="inlineStr">
        <is>
          <t>CEO</t>
        </is>
      </c>
      <c r="AO341" t="inlineStr">
        <is>
          <t>bridgingIT GmbH</t>
        </is>
      </c>
      <c r="AP341" t="inlineStr">
        <is>
          <t>Berlin</t>
        </is>
      </c>
      <c r="AQ341" t="inlineStr">
        <is>
          <t>Simon Dillmann</t>
        </is>
      </c>
    </row>
    <row r="342">
      <c r="A342" t="inlineStr">
        <is>
          <t>1333</t>
        </is>
      </c>
      <c r="B342" t="inlineStr">
        <is>
          <t>CED632</t>
        </is>
      </c>
      <c r="C342" t="inlineStr">
        <is>
          <t>https://app.matchical.com/Consulting/ConsultantDetail?ConsultantId=c09c5284-4dbe-4136-9783-eeec94798c00</t>
        </is>
      </c>
      <c r="D342" t="inlineStr">
        <is>
          <t>Markus Köhler</t>
        </is>
      </c>
      <c r="E342" t="inlineStr">
        <is>
          <t>markus.koehler@bridging-it.de</t>
        </is>
      </c>
      <c r="F342" s="2" t="n">
        <v>42461</v>
      </c>
      <c r="G342" s="2" t="n">
        <v>36982</v>
      </c>
      <c r="H342" t="n">
        <v>16</v>
      </c>
      <c r="I342" t="n">
        <v>0</v>
      </c>
      <c r="J342" t="n">
        <v>0</v>
      </c>
      <c r="L342" s="2" t="n">
        <v>44047</v>
      </c>
      <c r="M342" s="2" t="n">
        <v>46002</v>
      </c>
      <c r="N342" t="b">
        <v>0</v>
      </c>
      <c r="O342" t="n">
        <v>119</v>
      </c>
      <c r="P342" t="n">
        <v>274</v>
      </c>
      <c r="Q342" t="n">
        <v>109</v>
      </c>
      <c r="R342">
        <f>ROUND(O342-P342,2)</f>
        <v/>
      </c>
      <c r="S342">
        <f>ROUND(O342-Q342,2)</f>
        <v/>
      </c>
      <c r="T342" s="3">
        <f>IFERROR(P342/O342,"")</f>
        <v/>
      </c>
      <c r="U342" s="3">
        <f>IFERROR(Q342/O342,"")</f>
        <v/>
      </c>
      <c r="V342" t="n">
        <v>180</v>
      </c>
      <c r="W342" t="n">
        <v>156</v>
      </c>
      <c r="X342" t="n">
        <v>126</v>
      </c>
      <c r="Y342">
        <f>ROUND(V342-W342,2)</f>
        <v/>
      </c>
      <c r="Z342">
        <f>ROUND(V342-X342,2)</f>
        <v/>
      </c>
      <c r="AA342" s="3">
        <f>IFERROR(W342/V342,"")</f>
        <v/>
      </c>
      <c r="AB342" s="3">
        <f>IFERROR(X342/V342,"")</f>
        <v/>
      </c>
      <c r="AC342" t="b">
        <v>0</v>
      </c>
      <c r="AD342" t="b">
        <v>0</v>
      </c>
      <c r="AE342" t="b">
        <v>0</v>
      </c>
      <c r="AF342" t="inlineStr">
        <is>
          <t>No</t>
        </is>
      </c>
      <c r="AI342" t="b">
        <v>0</v>
      </c>
      <c r="AJ342" t="n">
        <v>0</v>
      </c>
      <c r="AK342" t="inlineStr">
        <is>
          <t>- Key skills: Business Intelligence, DWH, SSBI, SQL Server, Stibo
- Industries: Retail, pharma, healthcare, chemistry, manufacturing
Further engagement with the railway is in the pipeline; a verbal commitment has been obtained.</t>
        </is>
      </c>
      <c r="AL342" t="inlineStr">
        <is>
          <t>A&amp;SE Analytics &amp; Software Engineering (Philip R.)</t>
        </is>
      </c>
      <c r="AM342" t="inlineStr">
        <is>
          <t>DE Data Engineering (M. Hof)</t>
        </is>
      </c>
      <c r="AN342" t="inlineStr">
        <is>
          <t>A&amp;DDS - Analytics &amp; Data-driven Solutions (M. Hof)</t>
        </is>
      </c>
      <c r="AO342" t="inlineStr">
        <is>
          <t>bridgingIT GmbH</t>
        </is>
      </c>
      <c r="AP342" t="inlineStr">
        <is>
          <t>Mannheim</t>
        </is>
      </c>
      <c r="AQ342" t="inlineStr">
        <is>
          <t>Michael Hof</t>
        </is>
      </c>
    </row>
    <row r="343">
      <c r="A343" t="inlineStr">
        <is>
          <t>1504</t>
        </is>
      </c>
      <c r="B343" t="inlineStr">
        <is>
          <t>E63843</t>
        </is>
      </c>
      <c r="C343" t="inlineStr">
        <is>
          <t>https://app.matchical.com/Consulting/ConsultantDetail?ConsultantId=ba686c9a-be36-4553-9949-5e815dc87dd1</t>
        </is>
      </c>
      <c r="D343" t="inlineStr">
        <is>
          <t>Markus Reich</t>
        </is>
      </c>
      <c r="E343" t="inlineStr">
        <is>
          <t>markus.reich@bridging-it.de</t>
        </is>
      </c>
      <c r="F343" s="2" t="n">
        <v>44652</v>
      </c>
      <c r="G343" s="2" t="n">
        <v>39328</v>
      </c>
      <c r="H343" t="n">
        <v>7</v>
      </c>
      <c r="I343" t="n">
        <v>0</v>
      </c>
      <c r="J343" t="n">
        <v>0</v>
      </c>
      <c r="L343" s="2" t="n">
        <v>45385</v>
      </c>
      <c r="M343" s="2" t="n">
        <v>45657</v>
      </c>
      <c r="N343" t="b">
        <v>0</v>
      </c>
      <c r="O343" t="n">
        <v>47</v>
      </c>
      <c r="P343" t="n">
        <v>31</v>
      </c>
      <c r="Q343" t="n">
        <v>31</v>
      </c>
      <c r="R343">
        <f>ROUND(O343-P343,2)</f>
        <v/>
      </c>
      <c r="S343">
        <f>ROUND(O343-Q343,2)</f>
        <v/>
      </c>
      <c r="T343" s="3">
        <f>IFERROR(P343/O343,"")</f>
        <v/>
      </c>
      <c r="U343" s="3">
        <f>IFERROR(Q343/O343,"")</f>
        <v/>
      </c>
      <c r="V343" t="n">
        <v>175</v>
      </c>
      <c r="W343" t="n">
        <v>171</v>
      </c>
      <c r="X343" t="n">
        <v>171</v>
      </c>
      <c r="Y343">
        <f>ROUND(V343-W343,2)</f>
        <v/>
      </c>
      <c r="Z343">
        <f>ROUND(V343-X343,2)</f>
        <v/>
      </c>
      <c r="AA343" s="3">
        <f>IFERROR(W343/V343,"")</f>
        <v/>
      </c>
      <c r="AB343" s="3">
        <f>IFERROR(X343/V343,"")</f>
        <v/>
      </c>
      <c r="AC343" t="b">
        <v>0</v>
      </c>
      <c r="AD343" t="b">
        <v>0</v>
      </c>
      <c r="AE343" t="b">
        <v>0</v>
      </c>
      <c r="AF343" t="inlineStr">
        <is>
          <t>No</t>
        </is>
      </c>
      <c r="AI343" t="b">
        <v>1</v>
      </c>
      <c r="AJ343" t="n">
        <v>0</v>
      </c>
      <c r="AK343" t="inlineStr">
        <is>
          <t>Experienced Scrum Master and RTE, recently certified SAFe SPC and SAFe Trainer, trained business coach</t>
        </is>
      </c>
      <c r="AL343" t="inlineStr">
        <is>
          <t>DO Digital Organizations (Michael H.)</t>
        </is>
      </c>
      <c r="AM343" t="inlineStr">
        <is>
          <t>AO Agile Organizations (Andreas G.)</t>
        </is>
      </c>
      <c r="AN343" t="inlineStr">
        <is>
          <t>BT Business Transformation (Julian D.)</t>
        </is>
      </c>
      <c r="AO343" t="inlineStr">
        <is>
          <t>bridgingIT GmbH</t>
        </is>
      </c>
      <c r="AP343" t="inlineStr">
        <is>
          <t>Stuttgart</t>
        </is>
      </c>
      <c r="AQ343" t="inlineStr">
        <is>
          <t>Andreas Glasa</t>
        </is>
      </c>
    </row>
    <row r="344">
      <c r="A344" t="inlineStr">
        <is>
          <t>10427</t>
        </is>
      </c>
      <c r="B344" t="inlineStr">
        <is>
          <t>A70AC6</t>
        </is>
      </c>
      <c r="C344" t="inlineStr">
        <is>
          <t>https://app.matchical.com/Consulting/ConsultantDetail?ConsultantId=c3b30e22-917a-46e3-8317-fe34db5be8b7</t>
        </is>
      </c>
      <c r="D344" t="inlineStr">
        <is>
          <t>Markus Stefan</t>
        </is>
      </c>
      <c r="E344" t="inlineStr">
        <is>
          <t>markus.stefan@bridging-it.de</t>
        </is>
      </c>
      <c r="F344" s="2" t="n">
        <v>45992</v>
      </c>
      <c r="G344" s="2" t="n">
        <v>37073</v>
      </c>
      <c r="H344" t="n">
        <v>0</v>
      </c>
      <c r="I344" t="n">
        <v>0</v>
      </c>
      <c r="J344" t="n">
        <v>0</v>
      </c>
      <c r="N344" t="b">
        <v>0</v>
      </c>
      <c r="O344" t="n">
        <v>3</v>
      </c>
      <c r="P344" t="n">
        <v>0</v>
      </c>
      <c r="Q344" t="n">
        <v>0</v>
      </c>
      <c r="R344">
        <f>ROUND(O344-P344,2)</f>
        <v/>
      </c>
      <c r="S344">
        <f>ROUND(O344-Q344,2)</f>
        <v/>
      </c>
      <c r="T344" s="3">
        <f>IFERROR(P344/O344,"")</f>
        <v/>
      </c>
      <c r="U344" s="3">
        <f>IFERROR(Q344/O344,"")</f>
        <v/>
      </c>
      <c r="V344" t="n">
        <v>293</v>
      </c>
      <c r="W344" t="n">
        <v>0</v>
      </c>
      <c r="X344" t="n">
        <v>0</v>
      </c>
      <c r="Y344">
        <f>ROUND(V344-W344,2)</f>
        <v/>
      </c>
      <c r="Z344">
        <f>ROUND(V344-X344,2)</f>
        <v/>
      </c>
      <c r="AA344" s="3">
        <f>IFERROR(W344/V344,"")</f>
        <v/>
      </c>
      <c r="AB344" s="3">
        <f>IFERROR(X344/V344,"")</f>
        <v/>
      </c>
      <c r="AC344" t="b">
        <v>0</v>
      </c>
      <c r="AD344" t="b">
        <v>0</v>
      </c>
      <c r="AE344" t="b">
        <v>0</v>
      </c>
      <c r="AF344" t="inlineStr">
        <is>
          <t>Yes</t>
        </is>
      </c>
      <c r="AG344" s="2" t="n">
        <v>45992</v>
      </c>
      <c r="AI344" t="b">
        <v>1</v>
      </c>
      <c r="AJ344" t="n">
        <v>2</v>
      </c>
      <c r="AK344" t="inlineStr"/>
      <c r="AL344" t="inlineStr">
        <is>
          <t>IT - Information Technology (HH)</t>
        </is>
      </c>
      <c r="AM344" t="inlineStr">
        <is>
          <t>ITBLM - Management (Markus S.)</t>
        </is>
      </c>
      <c r="AN344" t="inlineStr">
        <is>
          <t>ITBLM - Management (Markus S.)</t>
        </is>
      </c>
      <c r="AO344" t="inlineStr">
        <is>
          <t>bridgingIT GmbH</t>
        </is>
      </c>
      <c r="AP344" t="inlineStr">
        <is>
          <t>Hamburg</t>
        </is>
      </c>
      <c r="AQ344" t="inlineStr">
        <is>
          <t>Claudia Peters</t>
        </is>
      </c>
    </row>
    <row r="345">
      <c r="A345" t="inlineStr">
        <is>
          <t>10083</t>
        </is>
      </c>
      <c r="B345" t="inlineStr">
        <is>
          <t>DC99B4</t>
        </is>
      </c>
      <c r="C345" t="inlineStr">
        <is>
          <t>https://app.matchical.com/Consulting/ConsultantDetail?ConsultantId=52b6e2b2-2680-4ef3-a764-b5d1dea27233</t>
        </is>
      </c>
      <c r="D345" t="inlineStr">
        <is>
          <t>Marlon Wolf</t>
        </is>
      </c>
      <c r="E345" t="inlineStr">
        <is>
          <t>marlon.wolf@bridging-it.de</t>
        </is>
      </c>
      <c r="F345" s="2" t="n">
        <v>45017</v>
      </c>
      <c r="G345" s="2" t="n">
        <v>43831</v>
      </c>
      <c r="H345" t="n">
        <v>5</v>
      </c>
      <c r="I345" t="n">
        <v>0</v>
      </c>
      <c r="J345" t="n">
        <v>0</v>
      </c>
      <c r="L345" s="2" t="n">
        <v>45236</v>
      </c>
      <c r="M345" s="2" t="n">
        <v>45291</v>
      </c>
      <c r="N345" t="b">
        <v>0</v>
      </c>
      <c r="O345" t="n">
        <v>35</v>
      </c>
      <c r="P345" t="n">
        <v>15.97</v>
      </c>
      <c r="Q345" t="n">
        <v>10.98</v>
      </c>
      <c r="R345">
        <f>ROUND(O345-P345,2)</f>
        <v/>
      </c>
      <c r="S345">
        <f>ROUND(O345-Q345,2)</f>
        <v/>
      </c>
      <c r="T345" s="3">
        <f>IFERROR(P345/O345,"")</f>
        <v/>
      </c>
      <c r="U345" s="3">
        <f>IFERROR(Q345/O345,"")</f>
        <v/>
      </c>
      <c r="V345" t="n">
        <v>39</v>
      </c>
      <c r="W345" t="n">
        <v>57</v>
      </c>
      <c r="X345" t="n">
        <v>34</v>
      </c>
      <c r="Y345">
        <f>ROUND(V345-W345,2)</f>
        <v/>
      </c>
      <c r="Z345">
        <f>ROUND(V345-X345,2)</f>
        <v/>
      </c>
      <c r="AA345" s="3">
        <f>IFERROR(W345/V345,"")</f>
        <v/>
      </c>
      <c r="AB345" s="3">
        <f>IFERROR(X345/V345,"")</f>
        <v/>
      </c>
      <c r="AC345" t="b">
        <v>0</v>
      </c>
      <c r="AD345" t="b">
        <v>0</v>
      </c>
      <c r="AE345" t="b">
        <v>0</v>
      </c>
      <c r="AF345" t="inlineStr">
        <is>
          <t>No</t>
        </is>
      </c>
      <c r="AI345" t="b">
        <v>1</v>
      </c>
      <c r="AJ345" t="n">
        <v>0</v>
      </c>
      <c r="AK345" t="inlineStr"/>
      <c r="AL345" t="inlineStr">
        <is>
          <t>IT - Information Technology (Sebastian L.)</t>
        </is>
      </c>
      <c r="AM345" t="inlineStr">
        <is>
          <t>PAM Platform Architecture Management (David S.)</t>
        </is>
      </c>
      <c r="AN345" t="inlineStr">
        <is>
          <t>P&amp;DE - Platforms &amp; Digital Ecosystems (David S.)</t>
        </is>
      </c>
      <c r="AO345" t="inlineStr">
        <is>
          <t>bridgingIT GmbH</t>
        </is>
      </c>
      <c r="AP345" t="inlineStr">
        <is>
          <t>Mannheim</t>
        </is>
      </c>
      <c r="AQ345" t="inlineStr">
        <is>
          <t>David Schleweis</t>
        </is>
      </c>
    </row>
    <row r="346">
      <c r="A346" t="inlineStr">
        <is>
          <t>4143</t>
        </is>
      </c>
      <c r="B346" t="inlineStr">
        <is>
          <t>E202E9</t>
        </is>
      </c>
      <c r="C346" t="inlineStr">
        <is>
          <t>https://app.matchical.com/Consulting/ConsultantDetail?ConsultantId=2fb1fe9f-5114-4f52-b53c-659a3f855ef7</t>
        </is>
      </c>
      <c r="D346" t="inlineStr">
        <is>
          <t>Martin Glaser</t>
        </is>
      </c>
      <c r="E346" t="inlineStr">
        <is>
          <t>martin.glaser@bridging-it.de</t>
        </is>
      </c>
      <c r="F346" s="2" t="n">
        <v>44757</v>
      </c>
      <c r="G346" s="2" t="n">
        <v>39508</v>
      </c>
      <c r="H346" t="n">
        <v>9</v>
      </c>
      <c r="I346" t="n">
        <v>0</v>
      </c>
      <c r="J346" t="n">
        <v>0</v>
      </c>
      <c r="L346" s="2" t="n">
        <v>45466</v>
      </c>
      <c r="M346" s="2" t="n">
        <v>45841</v>
      </c>
      <c r="N346" t="b">
        <v>0</v>
      </c>
      <c r="O346" t="n">
        <v>43</v>
      </c>
      <c r="P346" t="n">
        <v>43</v>
      </c>
      <c r="Q346" t="n">
        <v>31</v>
      </c>
      <c r="R346">
        <f>ROUND(O346-P346,2)</f>
        <v/>
      </c>
      <c r="S346">
        <f>ROUND(O346-Q346,2)</f>
        <v/>
      </c>
      <c r="T346" s="3">
        <f>IFERROR(P346/O346,"")</f>
        <v/>
      </c>
      <c r="U346" s="3">
        <f>IFERROR(Q346/O346,"")</f>
        <v/>
      </c>
      <c r="V346" t="n">
        <v>172</v>
      </c>
      <c r="W346" t="n">
        <v>71</v>
      </c>
      <c r="X346" t="n">
        <v>71</v>
      </c>
      <c r="Y346">
        <f>ROUND(V346-W346,2)</f>
        <v/>
      </c>
      <c r="Z346">
        <f>ROUND(V346-X346,2)</f>
        <v/>
      </c>
      <c r="AA346" s="3">
        <f>IFERROR(W346/V346,"")</f>
        <v/>
      </c>
      <c r="AB346" s="3">
        <f>IFERROR(X346/V346,"")</f>
        <v/>
      </c>
      <c r="AC346" t="b">
        <v>0</v>
      </c>
      <c r="AD346" t="b">
        <v>0</v>
      </c>
      <c r="AE346" t="b">
        <v>0</v>
      </c>
      <c r="AF346" t="inlineStr">
        <is>
          <t>Yes</t>
        </is>
      </c>
      <c r="AG346" s="2" t="n">
        <v>46006</v>
      </c>
      <c r="AI346" t="b">
        <v>1</v>
      </c>
      <c r="AJ346" t="n">
        <v>4</v>
      </c>
      <c r="AK346" t="inlineStr">
        <is>
          <t>Martin is an experienced Scrum Master / Product Owner with a background in computer science; ideally (not mandatory) he would like to be involved in sustainable and environmentally friendly projects or products.</t>
        </is>
      </c>
      <c r="AL346" t="inlineStr">
        <is>
          <t>ORG bIT Bayern</t>
        </is>
      </c>
      <c r="AM346" t="inlineStr">
        <is>
          <t>Business Transformation (BT) (Stefan S.)</t>
        </is>
      </c>
      <c r="AN346" t="inlineStr">
        <is>
          <t>BAT Business Agility &amp; Transformation (Marc S.)</t>
        </is>
      </c>
      <c r="AO346" t="inlineStr">
        <is>
          <t>bridgingIT GmbH</t>
        </is>
      </c>
      <c r="AP346" t="inlineStr">
        <is>
          <t>München</t>
        </is>
      </c>
      <c r="AQ346" t="inlineStr">
        <is>
          <t>Stefan Satzger</t>
        </is>
      </c>
    </row>
    <row r="347">
      <c r="A347" t="inlineStr">
        <is>
          <t>10202</t>
        </is>
      </c>
      <c r="B347" t="inlineStr">
        <is>
          <t>2983FF</t>
        </is>
      </c>
      <c r="C347" t="inlineStr">
        <is>
          <t>https://app.matchical.com/Consulting/ConsultantDetail?ConsultantId=3acae56a-eba5-4cda-bc17-1683b6b7eaf4</t>
        </is>
      </c>
      <c r="D347" t="inlineStr">
        <is>
          <t>Martin Heisler</t>
        </is>
      </c>
      <c r="E347" t="inlineStr">
        <is>
          <t>martin.heisler@bridging-it.de</t>
        </is>
      </c>
      <c r="F347" s="2" t="n">
        <v>45231</v>
      </c>
      <c r="G347" s="2" t="n">
        <v>43374</v>
      </c>
      <c r="H347" t="n">
        <v>5</v>
      </c>
      <c r="I347" t="n">
        <v>0</v>
      </c>
      <c r="J347" t="n">
        <v>0</v>
      </c>
      <c r="L347" s="2" t="n">
        <v>45307</v>
      </c>
      <c r="M347" s="2" t="n">
        <v>45627</v>
      </c>
      <c r="N347" t="b">
        <v>0</v>
      </c>
      <c r="O347" t="n">
        <v>28</v>
      </c>
      <c r="P347" t="n">
        <v>13</v>
      </c>
      <c r="Q347" t="n">
        <v>13</v>
      </c>
      <c r="R347">
        <f>ROUND(O347-P347,2)</f>
        <v/>
      </c>
      <c r="S347">
        <f>ROUND(O347-Q347,2)</f>
        <v/>
      </c>
      <c r="T347" s="3">
        <f>IFERROR(P347/O347,"")</f>
        <v/>
      </c>
      <c r="U347" s="3">
        <f>IFERROR(Q347/O347,"")</f>
        <v/>
      </c>
      <c r="V347" t="n">
        <v>61</v>
      </c>
      <c r="W347" t="n">
        <v>42</v>
      </c>
      <c r="X347" t="n">
        <v>35</v>
      </c>
      <c r="Y347">
        <f>ROUND(V347-W347,2)</f>
        <v/>
      </c>
      <c r="Z347">
        <f>ROUND(V347-X347,2)</f>
        <v/>
      </c>
      <c r="AA347" s="3">
        <f>IFERROR(W347/V347,"")</f>
        <v/>
      </c>
      <c r="AB347" s="3">
        <f>IFERROR(X347/V347,"")</f>
        <v/>
      </c>
      <c r="AC347" t="b">
        <v>0</v>
      </c>
      <c r="AD347" t="b">
        <v>0</v>
      </c>
      <c r="AE347" t="b">
        <v>0</v>
      </c>
      <c r="AF347" t="inlineStr">
        <is>
          <t>No</t>
        </is>
      </c>
      <c r="AI347" t="b">
        <v>0</v>
      </c>
      <c r="AJ347" t="n">
        <v>0</v>
      </c>
      <c r="AK347" t="inlineStr">
        <is>
          <t>Roche project. Extension is highly likely.</t>
        </is>
      </c>
      <c r="AL347" t="inlineStr">
        <is>
          <t>ORG bIT</t>
        </is>
      </c>
      <c r="AM347" t="inlineStr">
        <is>
          <t>LSC - Life Science Cologne (Sascha B.)</t>
        </is>
      </c>
      <c r="AN347" t="inlineStr">
        <is>
          <t>CC Life Science Solutions (Sabine S.)</t>
        </is>
      </c>
      <c r="AO347" t="inlineStr">
        <is>
          <t>bridgingIT GmbH</t>
        </is>
      </c>
      <c r="AP347" t="inlineStr">
        <is>
          <t>Köln</t>
        </is>
      </c>
      <c r="AQ347" t="inlineStr">
        <is>
          <t>Sascha Beerhenke</t>
        </is>
      </c>
    </row>
    <row r="348">
      <c r="A348" t="inlineStr">
        <is>
          <t>10165</t>
        </is>
      </c>
      <c r="B348" t="inlineStr">
        <is>
          <t>61C24C</t>
        </is>
      </c>
      <c r="C348" t="inlineStr">
        <is>
          <t>https://app.matchical.com/Consulting/ConsultantDetail?ConsultantId=dbce600c-7845-4abd-9d4a-5fd3081f5739</t>
        </is>
      </c>
      <c r="D348" t="inlineStr">
        <is>
          <t>Martin Herzing</t>
        </is>
      </c>
      <c r="E348" t="inlineStr">
        <is>
          <t>martin.herzing@bridging-it.de</t>
        </is>
      </c>
      <c r="F348" s="2" t="n">
        <v>45139</v>
      </c>
      <c r="G348" s="2" t="n">
        <v>44075</v>
      </c>
      <c r="H348" t="n">
        <v>5</v>
      </c>
      <c r="I348" t="n">
        <v>0</v>
      </c>
      <c r="J348" t="n">
        <v>0</v>
      </c>
      <c r="L348" s="2" t="n">
        <v>45778</v>
      </c>
      <c r="M348" s="2" t="n">
        <v>46022</v>
      </c>
      <c r="N348" t="b">
        <v>0</v>
      </c>
      <c r="O348" t="n">
        <v>30</v>
      </c>
      <c r="P348" t="n">
        <v>37.94</v>
      </c>
      <c r="Q348" t="n">
        <v>28.73</v>
      </c>
      <c r="R348">
        <f>ROUND(O348-P348,2)</f>
        <v/>
      </c>
      <c r="S348">
        <f>ROUND(O348-Q348,2)</f>
        <v/>
      </c>
      <c r="T348" s="3">
        <f>IFERROR(P348/O348,"")</f>
        <v/>
      </c>
      <c r="U348" s="3">
        <f>IFERROR(Q348/O348,"")</f>
        <v/>
      </c>
      <c r="V348" t="n">
        <v>35</v>
      </c>
      <c r="W348" t="n">
        <v>10.98</v>
      </c>
      <c r="X348" t="n">
        <v>9.19</v>
      </c>
      <c r="Y348">
        <f>ROUND(V348-W348,2)</f>
        <v/>
      </c>
      <c r="Z348">
        <f>ROUND(V348-X348,2)</f>
        <v/>
      </c>
      <c r="AA348" s="3">
        <f>IFERROR(W348/V348,"")</f>
        <v/>
      </c>
      <c r="AB348" s="3">
        <f>IFERROR(X348/V348,"")</f>
        <v/>
      </c>
      <c r="AC348" t="b">
        <v>0</v>
      </c>
      <c r="AD348" t="b">
        <v>0</v>
      </c>
      <c r="AE348" t="b">
        <v>0</v>
      </c>
      <c r="AF348" t="inlineStr">
        <is>
          <t>-</t>
        </is>
      </c>
      <c r="AI348" t="b">
        <v>0</v>
      </c>
      <c r="AJ348" t="n">
        <v>0</v>
      </c>
      <c r="AK348" t="inlineStr"/>
      <c r="AL348" t="inlineStr">
        <is>
          <t>ORG bIT</t>
        </is>
      </c>
      <c r="AM348" t="inlineStr">
        <is>
          <t>QE Quality Engineering (Boris B.)</t>
        </is>
      </c>
      <c r="AN348" t="inlineStr">
        <is>
          <t>TH Transformation Hub (Ulrich W.)</t>
        </is>
      </c>
      <c r="AO348" t="inlineStr">
        <is>
          <t>bridgingIT GmbH</t>
        </is>
      </c>
      <c r="AP348" t="inlineStr">
        <is>
          <t>Frankfurt</t>
        </is>
      </c>
      <c r="AQ348" t="inlineStr">
        <is>
          <t>Boris Bergner</t>
        </is>
      </c>
    </row>
    <row r="349">
      <c r="A349" t="inlineStr">
        <is>
          <t>3072</t>
        </is>
      </c>
      <c r="B349" t="inlineStr">
        <is>
          <t>434F57</t>
        </is>
      </c>
      <c r="C349" t="inlineStr">
        <is>
          <t>https://app.matchical.com/Consulting/ConsultantDetail?ConsultantId=29fe280b-bc04-489d-85f3-ba172088f57b</t>
        </is>
      </c>
      <c r="D349" t="inlineStr">
        <is>
          <t>Martin Klingenberg</t>
        </is>
      </c>
      <c r="E349" t="inlineStr">
        <is>
          <t>martin.klingenberg@bridging-it.de</t>
        </is>
      </c>
      <c r="F349" s="2" t="n">
        <v>41548</v>
      </c>
      <c r="G349" s="2" t="n">
        <v>31199</v>
      </c>
      <c r="H349" t="n">
        <v>25</v>
      </c>
      <c r="I349" t="n">
        <v>0</v>
      </c>
      <c r="J349" t="n">
        <v>1</v>
      </c>
      <c r="K349" s="2" t="n">
        <v>45707</v>
      </c>
      <c r="L349" s="2" t="n">
        <v>45291</v>
      </c>
      <c r="M349" s="2" t="n">
        <v>45656</v>
      </c>
      <c r="N349" t="b">
        <v>0</v>
      </c>
      <c r="O349" t="n">
        <v>149</v>
      </c>
      <c r="P349" t="n">
        <v>170.99</v>
      </c>
      <c r="Q349" t="n">
        <v>141.56</v>
      </c>
      <c r="R349">
        <f>ROUND(O349-P349,2)</f>
        <v/>
      </c>
      <c r="S349">
        <f>ROUND(O349-Q349,2)</f>
        <v/>
      </c>
      <c r="T349" s="3">
        <f>IFERROR(P349/O349,"")</f>
        <v/>
      </c>
      <c r="U349" s="3">
        <f>IFERROR(Q349/O349,"")</f>
        <v/>
      </c>
      <c r="V349" t="n">
        <v>340</v>
      </c>
      <c r="W349" t="n">
        <v>151.01</v>
      </c>
      <c r="X349" t="n">
        <v>109.44</v>
      </c>
      <c r="Y349">
        <f>ROUND(V349-W349,2)</f>
        <v/>
      </c>
      <c r="Z349">
        <f>ROUND(V349-X349,2)</f>
        <v/>
      </c>
      <c r="AA349" s="3">
        <f>IFERROR(W349/V349,"")</f>
        <v/>
      </c>
      <c r="AB349" s="3">
        <f>IFERROR(X349/V349,"")</f>
        <v/>
      </c>
      <c r="AC349" t="b">
        <v>0</v>
      </c>
      <c r="AD349" t="b">
        <v>0</v>
      </c>
      <c r="AE349" t="b">
        <v>0</v>
      </c>
      <c r="AF349" t="inlineStr">
        <is>
          <t>Yes</t>
        </is>
      </c>
      <c r="AG349" s="2" t="n">
        <v>46143</v>
      </c>
      <c r="AI349" t="b">
        <v>0</v>
      </c>
      <c r="AJ349" t="n">
        <v>4</v>
      </c>
      <c r="AK349" t="inlineStr">
        <is>
          <t>(1) Deutsche Leasing - customer contact person and IT team lead (Andreas Kernbach / Philip Rausch)</t>
        </is>
      </c>
      <c r="AL349" t="inlineStr">
        <is>
          <t>A&amp;SE Analytics &amp; Software Engineering (Philip R.)</t>
        </is>
      </c>
      <c r="AM349" t="inlineStr">
        <is>
          <t>DP Data Platforms (Martin K.)</t>
        </is>
      </c>
      <c r="AN349" t="inlineStr">
        <is>
          <t>A&amp;DDS - Analytics &amp; Data-driven Solutions (M. Hof)</t>
        </is>
      </c>
      <c r="AO349" t="inlineStr">
        <is>
          <t>bridgingIT GmbH</t>
        </is>
      </c>
      <c r="AP349" t="inlineStr">
        <is>
          <t>Mannheim</t>
        </is>
      </c>
      <c r="AQ349" t="inlineStr">
        <is>
          <t>Michael Hof</t>
        </is>
      </c>
    </row>
    <row r="350">
      <c r="A350" t="inlineStr">
        <is>
          <t>1528</t>
        </is>
      </c>
      <c r="B350" t="inlineStr">
        <is>
          <t>6A6698</t>
        </is>
      </c>
      <c r="C350" t="inlineStr">
        <is>
          <t>https://app.matchical.com/Consulting/ConsultantDetail?ConsultantId=cb3bfcd7-abd7-44a5-8519-23b59f2e252a</t>
        </is>
      </c>
      <c r="D350" t="inlineStr">
        <is>
          <t>Martin Könenberg</t>
        </is>
      </c>
      <c r="E350" t="inlineStr">
        <is>
          <t>martin.koenenberg@bridging-it.de</t>
        </is>
      </c>
      <c r="F350" s="2" t="n">
        <v>44835</v>
      </c>
      <c r="G350" s="2" t="n">
        <v>39873</v>
      </c>
      <c r="H350" t="n">
        <v>6</v>
      </c>
      <c r="I350" t="n">
        <v>0</v>
      </c>
      <c r="J350" t="n">
        <v>0</v>
      </c>
      <c r="L350" s="2" t="n">
        <v>45291</v>
      </c>
      <c r="M350" s="2" t="n">
        <v>45656</v>
      </c>
      <c r="N350" t="b">
        <v>0</v>
      </c>
      <c r="O350" t="n">
        <v>41</v>
      </c>
      <c r="P350" t="n">
        <v>26.97</v>
      </c>
      <c r="Q350" t="n">
        <v>26.97</v>
      </c>
      <c r="R350">
        <f>ROUND(O350-P350,2)</f>
        <v/>
      </c>
      <c r="S350">
        <f>ROUND(O350-Q350,2)</f>
        <v/>
      </c>
      <c r="T350" s="3">
        <f>IFERROR(P350/O350,"")</f>
        <v/>
      </c>
      <c r="U350" s="3">
        <f>IFERROR(Q350/O350,"")</f>
        <v/>
      </c>
      <c r="V350" t="n">
        <v>163</v>
      </c>
      <c r="W350" t="n">
        <v>66.03</v>
      </c>
      <c r="X350" t="n">
        <v>66.03</v>
      </c>
      <c r="Y350">
        <f>ROUND(V350-W350,2)</f>
        <v/>
      </c>
      <c r="Z350">
        <f>ROUND(V350-X350,2)</f>
        <v/>
      </c>
      <c r="AA350" s="3">
        <f>IFERROR(W350/V350,"")</f>
        <v/>
      </c>
      <c r="AB350" s="3">
        <f>IFERROR(X350/V350,"")</f>
        <v/>
      </c>
      <c r="AC350" t="b">
        <v>0</v>
      </c>
      <c r="AD350" t="b">
        <v>0</v>
      </c>
      <c r="AE350" t="b">
        <v>0</v>
      </c>
      <c r="AF350" t="inlineStr">
        <is>
          <t>No</t>
        </is>
      </c>
      <c r="AI350" t="b">
        <v>1</v>
      </c>
      <c r="AJ350" t="n">
        <v>0</v>
      </c>
      <c r="AK350" t="inlineStr">
        <is>
          <t>[EnBW] Data Scientist in the pricing domain with Azure ML skill (Ken)
[Bahn] C2S - Power BI environment (Anna S.)</t>
        </is>
      </c>
      <c r="AL350" t="inlineStr">
        <is>
          <t>A&amp;SE Analytics &amp; Software Engineering (Philip R.)</t>
        </is>
      </c>
      <c r="AM350" t="inlineStr">
        <is>
          <t>DP Data Platforms (Martin K.)</t>
        </is>
      </c>
      <c r="AN350" t="inlineStr">
        <is>
          <t>A&amp;DDS - Analytics &amp; Data-driven Solutions (M. Hof)</t>
        </is>
      </c>
      <c r="AO350" t="inlineStr">
        <is>
          <t>bridgingIT GmbH</t>
        </is>
      </c>
      <c r="AP350" t="inlineStr">
        <is>
          <t>Mannheim</t>
        </is>
      </c>
      <c r="AQ350" t="inlineStr">
        <is>
          <t>Martin Klingenberg</t>
        </is>
      </c>
    </row>
    <row r="351">
      <c r="A351" t="inlineStr">
        <is>
          <t>4115</t>
        </is>
      </c>
      <c r="B351" t="inlineStr">
        <is>
          <t>ABF5A1</t>
        </is>
      </c>
      <c r="C351" t="inlineStr">
        <is>
          <t>https://app.matchical.com/Consulting/ConsultantDetail?ConsultantId=7233f689-245b-4dcd-9ff8-863eb00ccad5</t>
        </is>
      </c>
      <c r="D351" t="inlineStr">
        <is>
          <t>Martin Kuck</t>
        </is>
      </c>
      <c r="E351" t="inlineStr">
        <is>
          <t>martin.kuck@bridging-it.de</t>
        </is>
      </c>
      <c r="F351" s="2" t="n">
        <v>43556</v>
      </c>
      <c r="G351" s="2" t="n">
        <v>35916</v>
      </c>
      <c r="H351" t="n">
        <v>8</v>
      </c>
      <c r="I351" t="n">
        <v>0</v>
      </c>
      <c r="J351" t="n">
        <v>1</v>
      </c>
      <c r="K351" s="2" t="n">
        <v>44935</v>
      </c>
      <c r="L351" s="2" t="n">
        <v>44753</v>
      </c>
      <c r="M351" s="2" t="n">
        <v>44865</v>
      </c>
      <c r="N351" t="b">
        <v>0</v>
      </c>
      <c r="O351" t="n">
        <v>83</v>
      </c>
      <c r="P351" t="n">
        <v>65</v>
      </c>
      <c r="Q351" t="n">
        <v>63</v>
      </c>
      <c r="R351">
        <f>ROUND(O351-P351,2)</f>
        <v/>
      </c>
      <c r="S351">
        <f>ROUND(O351-Q351,2)</f>
        <v/>
      </c>
      <c r="T351" s="3">
        <f>IFERROR(P351/O351,"")</f>
        <v/>
      </c>
      <c r="U351" s="3">
        <f>IFERROR(Q351/O351,"")</f>
        <v/>
      </c>
      <c r="V351" t="n">
        <v>251</v>
      </c>
      <c r="W351" t="n">
        <v>42</v>
      </c>
      <c r="X351" t="n">
        <v>42</v>
      </c>
      <c r="Y351">
        <f>ROUND(V351-W351,2)</f>
        <v/>
      </c>
      <c r="Z351">
        <f>ROUND(V351-X351,2)</f>
        <v/>
      </c>
      <c r="AA351" s="3">
        <f>IFERROR(W351/V351,"")</f>
        <v/>
      </c>
      <c r="AB351" s="3">
        <f>IFERROR(X351/V351,"")</f>
        <v/>
      </c>
      <c r="AC351" t="b">
        <v>0</v>
      </c>
      <c r="AD351" t="b">
        <v>0</v>
      </c>
      <c r="AE351" t="b">
        <v>0</v>
      </c>
      <c r="AF351" t="inlineStr">
        <is>
          <t>No</t>
        </is>
      </c>
      <c r="AI351" t="b">
        <v>0</v>
      </c>
      <c r="AJ351" t="n">
        <v>0</v>
      </c>
      <c r="AK351" t="inlineStr"/>
      <c r="AL351" t="inlineStr">
        <is>
          <t>ORG bIT Bayern</t>
        </is>
      </c>
      <c r="AM351" t="inlineStr">
        <is>
          <t>SEI Software Engineering I (Martin K.)</t>
        </is>
      </c>
      <c r="AN351" t="inlineStr">
        <is>
          <t>SEC Software Engineering &amp; Cloud (Eli G.)</t>
        </is>
      </c>
      <c r="AO351" t="inlineStr">
        <is>
          <t>bridgingIT GmbH</t>
        </is>
      </c>
      <c r="AP351" t="inlineStr">
        <is>
          <t>München</t>
        </is>
      </c>
      <c r="AQ351" t="inlineStr">
        <is>
          <t>Elisabeth Gerlinger</t>
        </is>
      </c>
    </row>
    <row r="352">
      <c r="A352" t="inlineStr">
        <is>
          <t>2307</t>
        </is>
      </c>
      <c r="B352" t="inlineStr">
        <is>
          <t>ED0BD5</t>
        </is>
      </c>
      <c r="C352" t="inlineStr">
        <is>
          <t>https://app.matchical.com/Consulting/ConsultantDetail?ConsultantId=bd314934-04e1-410c-bf4a-13fdbedf1e5a</t>
        </is>
      </c>
      <c r="D352" t="inlineStr">
        <is>
          <t>Martin Oparin</t>
        </is>
      </c>
      <c r="E352" t="inlineStr">
        <is>
          <t>martin.oparin@bridging-it.de</t>
        </is>
      </c>
      <c r="F352" s="2" t="n">
        <v>44682</v>
      </c>
      <c r="G352" s="2" t="n">
        <v>44682</v>
      </c>
      <c r="H352" t="n">
        <v>12</v>
      </c>
      <c r="I352" t="n">
        <v>0</v>
      </c>
      <c r="J352" t="n">
        <v>0</v>
      </c>
      <c r="L352" s="2" t="n">
        <v>45901</v>
      </c>
      <c r="M352" s="2" t="n">
        <v>46022</v>
      </c>
      <c r="N352" t="b">
        <v>0</v>
      </c>
      <c r="O352" t="n">
        <v>46</v>
      </c>
      <c r="P352" t="n">
        <v>99.84999999999999</v>
      </c>
      <c r="Q352" t="n">
        <v>44.82</v>
      </c>
      <c r="R352">
        <f>ROUND(O352-P352,2)</f>
        <v/>
      </c>
      <c r="S352">
        <f>ROUND(O352-Q352,2)</f>
        <v/>
      </c>
      <c r="T352" s="3">
        <f>IFERROR(P352/O352,"")</f>
        <v/>
      </c>
      <c r="U352" s="3">
        <f>IFERROR(Q352/O352,"")</f>
        <v/>
      </c>
      <c r="V352" t="n">
        <v>0</v>
      </c>
      <c r="W352" t="n">
        <v>0</v>
      </c>
      <c r="X352" t="n">
        <v>0</v>
      </c>
      <c r="Y352">
        <f>ROUND(V352-W352,2)</f>
        <v/>
      </c>
      <c r="Z352">
        <f>ROUND(V352-X352,2)</f>
        <v/>
      </c>
      <c r="AA352" s="3">
        <f>IFERROR(W352/V352,"")</f>
        <v/>
      </c>
      <c r="AB352" s="3">
        <f>IFERROR(X352/V352,"")</f>
        <v/>
      </c>
      <c r="AC352" t="b">
        <v>0</v>
      </c>
      <c r="AD352" t="b">
        <v>0</v>
      </c>
      <c r="AE352" t="b">
        <v>0</v>
      </c>
      <c r="AF352" t="inlineStr">
        <is>
          <t>Yes</t>
        </is>
      </c>
      <c r="AG352" s="2" t="n">
        <v>46113</v>
      </c>
      <c r="AI352" t="b">
        <v>1</v>
      </c>
      <c r="AJ352" t="n">
        <v>2.16</v>
      </c>
      <c r="AK352" t="inlineStr">
        <is>
          <t>Experience in information security according to ISO/IEC 27001; data protection analysis and GenAI</t>
        </is>
      </c>
      <c r="AL352" t="inlineStr">
        <is>
          <t>IT Information Technology (Hauke G.)</t>
        </is>
      </c>
      <c r="AM352" t="inlineStr">
        <is>
          <t>CIS Compliance &amp; Information Security (David T.)</t>
        </is>
      </c>
      <c r="AN352" t="inlineStr">
        <is>
          <t>GRC IT-GRC (Erhan N.)</t>
        </is>
      </c>
      <c r="AO352" t="inlineStr">
        <is>
          <t>bridgingIT GmbH</t>
        </is>
      </c>
      <c r="AP352" t="inlineStr">
        <is>
          <t>Stuttgart</t>
        </is>
      </c>
      <c r="AQ352" t="inlineStr">
        <is>
          <t>David Turan</t>
        </is>
      </c>
    </row>
    <row r="353">
      <c r="A353" t="inlineStr">
        <is>
          <t>3026</t>
        </is>
      </c>
      <c r="B353" t="inlineStr">
        <is>
          <t>1A2B84</t>
        </is>
      </c>
      <c r="C353" t="inlineStr">
        <is>
          <t>https://app.matchical.com/Consulting/ConsultantDetail?ConsultantId=865e15d0-6df1-4060-b2b1-ad5cea578c22</t>
        </is>
      </c>
      <c r="D353" t="inlineStr">
        <is>
          <t>Martin Redemsky</t>
        </is>
      </c>
      <c r="E353" t="inlineStr">
        <is>
          <t>martin.redemsky@bridging-it.de</t>
        </is>
      </c>
      <c r="F353" s="2" t="n">
        <v>40269</v>
      </c>
      <c r="G353" s="2" t="n">
        <v>30682</v>
      </c>
      <c r="H353" t="n">
        <v>43</v>
      </c>
      <c r="I353" t="n">
        <v>0</v>
      </c>
      <c r="J353" t="n">
        <v>2</v>
      </c>
      <c r="K353" s="2" t="n">
        <v>45107</v>
      </c>
      <c r="L353" s="2" t="n">
        <v>44742</v>
      </c>
      <c r="M353" s="2" t="n">
        <v>45106</v>
      </c>
      <c r="N353" t="b">
        <v>0</v>
      </c>
      <c r="O353" t="n">
        <v>191</v>
      </c>
      <c r="P353" t="n">
        <v>252.93</v>
      </c>
      <c r="Q353" t="n">
        <v>184.93</v>
      </c>
      <c r="R353">
        <f>ROUND(O353-P353,2)</f>
        <v/>
      </c>
      <c r="S353">
        <f>ROUND(O353-Q353,2)</f>
        <v/>
      </c>
      <c r="T353" s="3">
        <f>IFERROR(P353/O353,"")</f>
        <v/>
      </c>
      <c r="U353" s="3">
        <f>IFERROR(Q353/O353,"")</f>
        <v/>
      </c>
      <c r="V353" t="n">
        <v>315</v>
      </c>
      <c r="W353" t="n">
        <v>159.07</v>
      </c>
      <c r="X353" t="n">
        <v>139.07</v>
      </c>
      <c r="Y353">
        <f>ROUND(V353-W353,2)</f>
        <v/>
      </c>
      <c r="Z353">
        <f>ROUND(V353-X353,2)</f>
        <v/>
      </c>
      <c r="AA353" s="3">
        <f>IFERROR(W353/V353,"")</f>
        <v/>
      </c>
      <c r="AB353" s="3">
        <f>IFERROR(X353/V353,"")</f>
        <v/>
      </c>
      <c r="AC353" t="b">
        <v>0</v>
      </c>
      <c r="AD353" t="b">
        <v>0</v>
      </c>
      <c r="AE353" t="b">
        <v>0</v>
      </c>
      <c r="AF353" t="inlineStr">
        <is>
          <t>No</t>
        </is>
      </c>
      <c r="AG353" s="2" t="n">
        <v>44287</v>
      </c>
      <c r="AH353" s="2" t="n">
        <v>46021</v>
      </c>
      <c r="AI353" t="b">
        <v>0</v>
      </c>
      <c r="AJ353" t="n">
        <v>5</v>
      </c>
      <c r="AK353" t="inlineStr">
        <is>
          <t>Martin's project at Fresenius is at risk of ending soon due to budget constraints. He is looking for a new project in the context of business analysis, process management and/or project management.</t>
        </is>
      </c>
      <c r="AL353" t="inlineStr">
        <is>
          <t>ORG bIT</t>
        </is>
      </c>
      <c r="AM353" t="inlineStr">
        <is>
          <t>PITS Professional IT-Services (Martin R.)</t>
        </is>
      </c>
      <c r="AN353" t="inlineStr">
        <is>
          <t>MIT Management of IT (Torsten R.)</t>
        </is>
      </c>
      <c r="AO353" t="inlineStr">
        <is>
          <t>bridgingIT GmbH</t>
        </is>
      </c>
      <c r="AP353" t="inlineStr">
        <is>
          <t>Frankfurt</t>
        </is>
      </c>
      <c r="AQ353" t="inlineStr">
        <is>
          <t>Torsten Rinck</t>
        </is>
      </c>
    </row>
    <row r="354">
      <c r="A354" t="inlineStr">
        <is>
          <t>10283</t>
        </is>
      </c>
      <c r="B354" t="inlineStr">
        <is>
          <t>3345BA</t>
        </is>
      </c>
      <c r="C354" t="inlineStr">
        <is>
          <t>https://app.matchical.com/Consulting/ConsultantDetail?ConsultantId=9dfd4011-d2ce-47c8-8c86-f5b6d46e9118</t>
        </is>
      </c>
      <c r="D354" t="inlineStr">
        <is>
          <t>Martin Schaumann</t>
        </is>
      </c>
      <c r="E354" t="inlineStr">
        <is>
          <t>martin.schaumann@bridging-it.de</t>
        </is>
      </c>
      <c r="F354" s="2" t="n">
        <v>45444</v>
      </c>
      <c r="G354" s="2" t="n">
        <v>42614</v>
      </c>
      <c r="H354" t="n">
        <v>6</v>
      </c>
      <c r="I354" t="n">
        <v>0</v>
      </c>
      <c r="J354" t="n">
        <v>1</v>
      </c>
      <c r="K354" s="2" t="n">
        <v>45769</v>
      </c>
      <c r="L354" s="2" t="n">
        <v>45473</v>
      </c>
      <c r="M354" s="2" t="n">
        <v>45746</v>
      </c>
      <c r="N354" t="b">
        <v>0</v>
      </c>
      <c r="O354" t="n">
        <v>21</v>
      </c>
      <c r="P354" t="n">
        <v>18</v>
      </c>
      <c r="Q354" t="n">
        <v>18</v>
      </c>
      <c r="R354">
        <f>ROUND(O354-P354,2)</f>
        <v/>
      </c>
      <c r="S354">
        <f>ROUND(O354-Q354,2)</f>
        <v/>
      </c>
      <c r="T354" s="3">
        <f>IFERROR(P354/O354,"")</f>
        <v/>
      </c>
      <c r="U354" s="3">
        <f>IFERROR(Q354/O354,"")</f>
        <v/>
      </c>
      <c r="V354" t="n">
        <v>93</v>
      </c>
      <c r="W354" t="n">
        <v>157</v>
      </c>
      <c r="X354" t="n">
        <v>73</v>
      </c>
      <c r="Y354">
        <f>ROUND(V354-W354,2)</f>
        <v/>
      </c>
      <c r="Z354">
        <f>ROUND(V354-X354,2)</f>
        <v/>
      </c>
      <c r="AA354" s="3">
        <f>IFERROR(W354/V354,"")</f>
        <v/>
      </c>
      <c r="AB354" s="3">
        <f>IFERROR(X354/V354,"")</f>
        <v/>
      </c>
      <c r="AC354" t="b">
        <v>0</v>
      </c>
      <c r="AD354" t="b">
        <v>0</v>
      </c>
      <c r="AE354" t="b">
        <v>0</v>
      </c>
      <c r="AF354" t="inlineStr">
        <is>
          <t>No</t>
        </is>
      </c>
      <c r="AI354" t="b">
        <v>1</v>
      </c>
      <c r="AJ354" t="n">
        <v>0</v>
      </c>
      <c r="AK354" t="inlineStr">
        <is>
          <t>Martin is new to our team and is a project manager and business analyst with a software engineering background (7 years!). This makes him a perfect fit as a technical PM, and for other related roles. Nice guy, and he can talk.
He has a lead for renewal, but that is very uncertain, which is why he is on this list...</t>
        </is>
      </c>
      <c r="AL354" t="inlineStr">
        <is>
          <t>T&amp;A - Transformation &amp; Agility (Arne K.)</t>
        </is>
      </c>
      <c r="AM354" t="inlineStr">
        <is>
          <t>E2E PM – Project &amp; Process Mgt. (Jennifer B.)</t>
        </is>
      </c>
      <c r="AN354" t="inlineStr">
        <is>
          <t>TBC - Transforming Business Concepts (Bastian T.)</t>
        </is>
      </c>
      <c r="AO354" t="inlineStr">
        <is>
          <t>bridgingIT GmbH</t>
        </is>
      </c>
      <c r="AP354" t="inlineStr">
        <is>
          <t>Mannheim</t>
        </is>
      </c>
      <c r="AQ354" t="inlineStr">
        <is>
          <t>Jennifer Bürgel</t>
        </is>
      </c>
    </row>
    <row r="355">
      <c r="A355" t="inlineStr">
        <is>
          <t>2252</t>
        </is>
      </c>
      <c r="B355" t="inlineStr">
        <is>
          <t>77BD97</t>
        </is>
      </c>
      <c r="C355" t="inlineStr">
        <is>
          <t>https://app.matchical.com/Consulting/ConsultantDetail?ConsultantId=fc49c296-eaff-476d-bd62-4b54a95e5ae4</t>
        </is>
      </c>
      <c r="D355" t="inlineStr">
        <is>
          <t>Martin Spörl</t>
        </is>
      </c>
      <c r="E355" t="inlineStr">
        <is>
          <t>martin.spoerl@bridging-it.de</t>
        </is>
      </c>
      <c r="F355" s="2" t="n">
        <v>43586</v>
      </c>
      <c r="G355" s="2" t="n">
        <v>41183</v>
      </c>
      <c r="H355" t="n">
        <v>24</v>
      </c>
      <c r="I355" t="n">
        <v>0</v>
      </c>
      <c r="J355" t="n">
        <v>5</v>
      </c>
      <c r="K355" s="2" t="n">
        <v>44104</v>
      </c>
      <c r="L355" s="2" t="n">
        <v>45835</v>
      </c>
      <c r="M355" s="2" t="n">
        <v>45837</v>
      </c>
      <c r="N355" t="b">
        <v>0</v>
      </c>
      <c r="O355" t="n">
        <v>82</v>
      </c>
      <c r="P355" t="n">
        <v>483</v>
      </c>
      <c r="Q355" t="n">
        <v>80</v>
      </c>
      <c r="R355">
        <f>ROUND(O355-P355,2)</f>
        <v/>
      </c>
      <c r="S355">
        <f>ROUND(O355-Q355,2)</f>
        <v/>
      </c>
      <c r="T355" s="3">
        <f>IFERROR(P355/O355,"")</f>
        <v/>
      </c>
      <c r="U355" s="3">
        <f>IFERROR(Q355/O355,"")</f>
        <v/>
      </c>
      <c r="V355" t="n">
        <v>79</v>
      </c>
      <c r="W355" t="n">
        <v>109.97</v>
      </c>
      <c r="X355" t="n">
        <v>78.95</v>
      </c>
      <c r="Y355">
        <f>ROUND(V355-W355,2)</f>
        <v/>
      </c>
      <c r="Z355">
        <f>ROUND(V355-X355,2)</f>
        <v/>
      </c>
      <c r="AA355" s="3">
        <f>IFERROR(W355/V355,"")</f>
        <v/>
      </c>
      <c r="AB355" s="3">
        <f>IFERROR(X355/V355,"")</f>
        <v/>
      </c>
      <c r="AC355" t="b">
        <v>0</v>
      </c>
      <c r="AD355" t="b">
        <v>0</v>
      </c>
      <c r="AE355" t="b">
        <v>0</v>
      </c>
      <c r="AF355" t="inlineStr">
        <is>
          <t>No</t>
        </is>
      </c>
      <c r="AI355" t="b">
        <v>1</v>
      </c>
      <c r="AJ355" t="n">
        <v>0</v>
      </c>
      <c r="AK355" t="inlineStr">
        <is>
          <t>Cloud Solutions Architect, Linux / Docker Expert, IT Solutions Architect</t>
        </is>
      </c>
      <c r="AL355" t="inlineStr">
        <is>
          <t>IT Information Technology (Hauke G.)</t>
        </is>
      </c>
      <c r="AM355" t="inlineStr">
        <is>
          <t>CT Cloud Technology I (Martin S.)</t>
        </is>
      </c>
      <c r="AN355" t="inlineStr">
        <is>
          <t>TC Technology &amp; Cloud (Martin S.)</t>
        </is>
      </c>
      <c r="AO355" t="inlineStr">
        <is>
          <t>bridgingIT GmbH</t>
        </is>
      </c>
      <c r="AP355" t="inlineStr">
        <is>
          <t>Stuttgart</t>
        </is>
      </c>
      <c r="AQ355" t="inlineStr">
        <is>
          <t>Hauke Goppelt</t>
        </is>
      </c>
    </row>
    <row r="356">
      <c r="A356" t="inlineStr">
        <is>
          <t>10478</t>
        </is>
      </c>
      <c r="B356" t="inlineStr">
        <is>
          <t>CBFE03</t>
        </is>
      </c>
      <c r="C356" t="inlineStr">
        <is>
          <t>https://app.matchical.com/Consulting/ConsultantDetail?ConsultantId=150dde43-005c-472d-b8d8-ac7c83fc9689</t>
        </is>
      </c>
      <c r="D356" t="inlineStr">
        <is>
          <t>Martin Zwigart</t>
        </is>
      </c>
      <c r="E356" t="inlineStr">
        <is>
          <t>martin.zwigart@bridging-it.de</t>
        </is>
      </c>
      <c r="F356" s="2" t="n">
        <v>46113</v>
      </c>
      <c r="H356" t="n">
        <v>7</v>
      </c>
      <c r="I356" t="n">
        <v>0</v>
      </c>
      <c r="J356" t="n">
        <v>0</v>
      </c>
      <c r="L356" s="2" t="n">
        <v>45838</v>
      </c>
      <c r="M356" s="2" t="n">
        <v>45960</v>
      </c>
      <c r="N356" t="b">
        <v>0</v>
      </c>
      <c r="O356" t="n">
        <v>0</v>
      </c>
      <c r="P356" t="n">
        <v>0</v>
      </c>
      <c r="Q356" t="n">
        <v>0</v>
      </c>
      <c r="R356">
        <f>ROUND(O356-P356,2)</f>
        <v/>
      </c>
      <c r="S356">
        <f>ROUND(O356-Q356,2)</f>
        <v/>
      </c>
      <c r="T356" s="3">
        <f>IFERROR(P356/O356,"")</f>
        <v/>
      </c>
      <c r="U356" s="3">
        <f>IFERROR(Q356/O356,"")</f>
        <v/>
      </c>
      <c r="V356" t="n">
        <v>1515</v>
      </c>
      <c r="W356" t="n">
        <v>82</v>
      </c>
      <c r="X356" t="n">
        <v>82</v>
      </c>
      <c r="Y356">
        <f>ROUND(V356-W356,2)</f>
        <v/>
      </c>
      <c r="Z356">
        <f>ROUND(V356-X356,2)</f>
        <v/>
      </c>
      <c r="AA356" s="3">
        <f>IFERROR(W356/V356,"")</f>
        <v/>
      </c>
      <c r="AB356" s="3">
        <f>IFERROR(X356/V356,"")</f>
        <v/>
      </c>
      <c r="AC356" t="b">
        <v>0</v>
      </c>
      <c r="AD356" t="b">
        <v>0</v>
      </c>
      <c r="AE356" t="b">
        <v>0</v>
      </c>
      <c r="AF356" t="inlineStr">
        <is>
          <t>Yes</t>
        </is>
      </c>
      <c r="AG356" s="2" t="n">
        <v>46113</v>
      </c>
      <c r="AI356" t="b">
        <v>1</v>
      </c>
      <c r="AJ356" t="n">
        <v>5</v>
      </c>
      <c r="AK356" t="inlineStr"/>
      <c r="AL356" t="inlineStr">
        <is>
          <t>DO Digital Organizations (Michael H.)</t>
        </is>
      </c>
      <c r="AM356" t="inlineStr">
        <is>
          <t>BT Business Transform. III (Valerie L.)</t>
        </is>
      </c>
      <c r="AN356" t="inlineStr">
        <is>
          <t>BT Business Transformation (Julian D.)</t>
        </is>
      </c>
      <c r="AO356" t="inlineStr">
        <is>
          <t>bridgingIT GmbH</t>
        </is>
      </c>
      <c r="AP356" t="inlineStr">
        <is>
          <t>Stuttgart</t>
        </is>
      </c>
      <c r="AQ356" t="inlineStr">
        <is>
          <t>Valerie Lorenz</t>
        </is>
      </c>
    </row>
    <row r="357">
      <c r="A357" t="inlineStr">
        <is>
          <t>10373</t>
        </is>
      </c>
      <c r="B357" t="inlineStr">
        <is>
          <t>4534EC</t>
        </is>
      </c>
      <c r="C357" t="inlineStr">
        <is>
          <t>https://app.matchical.com/Consulting/ConsultantDetail?ConsultantId=0183fc2d-fbdb-4bfd-8db9-f7eedbd8dc5c</t>
        </is>
      </c>
      <c r="D357" t="inlineStr">
        <is>
          <t>Marvin Kresse</t>
        </is>
      </c>
      <c r="E357" t="inlineStr">
        <is>
          <t>marvin.kresse@bridging-it.de</t>
        </is>
      </c>
      <c r="F357" s="2" t="n">
        <v>45839</v>
      </c>
      <c r="G357" s="2" t="n">
        <v>42736</v>
      </c>
      <c r="H357" t="n">
        <v>6</v>
      </c>
      <c r="I357" t="n">
        <v>0</v>
      </c>
      <c r="J357" t="n">
        <v>0</v>
      </c>
      <c r="L357" s="2" t="n">
        <v>45565</v>
      </c>
      <c r="M357" s="2" t="n">
        <v>45746</v>
      </c>
      <c r="N357" t="b">
        <v>0</v>
      </c>
      <c r="O357" t="n">
        <v>8</v>
      </c>
      <c r="P357" t="n">
        <v>0</v>
      </c>
      <c r="Q357" t="n">
        <v>0</v>
      </c>
      <c r="R357">
        <f>ROUND(O357-P357,2)</f>
        <v/>
      </c>
      <c r="S357">
        <f>ROUND(O357-Q357,2)</f>
        <v/>
      </c>
      <c r="T357" s="3">
        <f>IFERROR(P357/O357,"")</f>
        <v/>
      </c>
      <c r="U357" s="3">
        <f>IFERROR(Q357/O357,"")</f>
        <v/>
      </c>
      <c r="V357" t="n">
        <v>102</v>
      </c>
      <c r="W357" t="n">
        <v>77</v>
      </c>
      <c r="X357" t="n">
        <v>45</v>
      </c>
      <c r="Y357">
        <f>ROUND(V357-W357,2)</f>
        <v/>
      </c>
      <c r="Z357">
        <f>ROUND(V357-X357,2)</f>
        <v/>
      </c>
      <c r="AA357" s="3">
        <f>IFERROR(W357/V357,"")</f>
        <v/>
      </c>
      <c r="AB357" s="3">
        <f>IFERROR(X357/V357,"")</f>
        <v/>
      </c>
      <c r="AC357" t="b">
        <v>0</v>
      </c>
      <c r="AD357" t="b">
        <v>0</v>
      </c>
      <c r="AE357" t="b">
        <v>0</v>
      </c>
      <c r="AF357" t="inlineStr">
        <is>
          <t>No</t>
        </is>
      </c>
      <c r="AI357" t="b">
        <v>1</v>
      </c>
      <c r="AJ357" t="n">
        <v>0</v>
      </c>
      <c r="AK357" t="inlineStr">
        <is>
          <t>2025:
Marvin is contracted as a trainer at dmTech starting Oct 1, 3 days per week (see TeamCoach, AgileCoach) 
Marvin is contracted as a product manager at komm.one starting Oct 1, 2 days per week</t>
        </is>
      </c>
      <c r="AL357" t="inlineStr">
        <is>
          <t>ORG bIT Bayern</t>
        </is>
      </c>
      <c r="AM357" t="inlineStr">
        <is>
          <t>Business Transformation (BT) (Stefan S.)</t>
        </is>
      </c>
      <c r="AN357" t="inlineStr">
        <is>
          <t>BAT Business Agility &amp; Transformation (Marc S.)</t>
        </is>
      </c>
      <c r="AO357" t="inlineStr">
        <is>
          <t>bridgingIT GmbH</t>
        </is>
      </c>
      <c r="AP357" t="inlineStr">
        <is>
          <t>München</t>
        </is>
      </c>
      <c r="AQ357" t="inlineStr">
        <is>
          <t>Stefan Satzger</t>
        </is>
      </c>
    </row>
    <row r="358">
      <c r="A358" t="inlineStr">
        <is>
          <t>10391</t>
        </is>
      </c>
      <c r="B358" t="inlineStr">
        <is>
          <t>241728</t>
        </is>
      </c>
      <c r="C358" t="inlineStr">
        <is>
          <t>https://app.matchical.com/Consulting/ConsultantDetail?ConsultantId=8d92e0ea-4657-4c92-a86a-cfe6299eefe0</t>
        </is>
      </c>
      <c r="D358" t="inlineStr">
        <is>
          <t>Matthias Bär</t>
        </is>
      </c>
      <c r="E358" t="inlineStr">
        <is>
          <t>matthias.baer@bridging-it.de</t>
        </is>
      </c>
      <c r="F358" s="2" t="n">
        <v>45901</v>
      </c>
      <c r="H358" t="n">
        <v>10</v>
      </c>
      <c r="I358" t="n">
        <v>0</v>
      </c>
      <c r="J358" t="n">
        <v>0</v>
      </c>
      <c r="L358" s="2" t="n">
        <v>45901</v>
      </c>
      <c r="M358" s="2" t="n">
        <v>46022</v>
      </c>
      <c r="N358" t="b">
        <v>0</v>
      </c>
      <c r="O358" t="n">
        <v>6</v>
      </c>
      <c r="P358" t="n">
        <v>16.47</v>
      </c>
      <c r="Q358" t="n">
        <v>5.78</v>
      </c>
      <c r="R358">
        <f>ROUND(O358-P358,2)</f>
        <v/>
      </c>
      <c r="S358">
        <f>ROUND(O358-Q358,2)</f>
        <v/>
      </c>
      <c r="T358" s="3">
        <f>IFERROR(P358/O358,"")</f>
        <v/>
      </c>
      <c r="U358" s="3">
        <f>IFERROR(Q358/O358,"")</f>
        <v/>
      </c>
      <c r="V358" t="n">
        <v>1508</v>
      </c>
      <c r="W358" t="n">
        <v>9</v>
      </c>
      <c r="X358" t="n">
        <v>9</v>
      </c>
      <c r="Y358">
        <f>ROUND(V358-W358,2)</f>
        <v/>
      </c>
      <c r="Z358">
        <f>ROUND(V358-X358,2)</f>
        <v/>
      </c>
      <c r="AA358" s="3">
        <f>IFERROR(W358/V358,"")</f>
        <v/>
      </c>
      <c r="AB358" s="3">
        <f>IFERROR(X358/V358,"")</f>
        <v/>
      </c>
      <c r="AC358" t="b">
        <v>0</v>
      </c>
      <c r="AD358" t="b">
        <v>0</v>
      </c>
      <c r="AE358" t="b">
        <v>0</v>
      </c>
      <c r="AF358" t="inlineStr">
        <is>
          <t>Yes</t>
        </is>
      </c>
      <c r="AG358" s="2" t="n">
        <v>46143</v>
      </c>
      <c r="AI358" t="b">
        <v>1</v>
      </c>
      <c r="AJ358" t="n">
        <v>3</v>
      </c>
      <c r="AK358" t="inlineStr"/>
      <c r="AL358" t="inlineStr">
        <is>
          <t>IT - Information Technology (Sebastian L.)</t>
        </is>
      </c>
      <c r="AM358" t="inlineStr">
        <is>
          <t>CS - Cyber Security (Jochen Ka.)</t>
        </is>
      </c>
      <c r="AN358" t="inlineStr">
        <is>
          <t>O&amp;G - Organization &amp; Governance (Carsten T.)</t>
        </is>
      </c>
      <c r="AO358" t="inlineStr">
        <is>
          <t>bridgingIT GmbH</t>
        </is>
      </c>
      <c r="AP358" t="inlineStr">
        <is>
          <t>Mannheim</t>
        </is>
      </c>
      <c r="AQ358" t="inlineStr">
        <is>
          <t>Jochen Kauba</t>
        </is>
      </c>
    </row>
    <row r="359">
      <c r="A359" t="inlineStr">
        <is>
          <t>8283</t>
        </is>
      </c>
      <c r="B359" t="inlineStr">
        <is>
          <t>C9B6CB</t>
        </is>
      </c>
      <c r="C359" t="inlineStr">
        <is>
          <t>https://app.matchical.com/Consulting/ConsultantDetail?ConsultantId=67e5bd69-ed73-4b6e-a94e-ecd2e49fa897</t>
        </is>
      </c>
      <c r="D359" t="inlineStr">
        <is>
          <t>Matthias Bartoly</t>
        </is>
      </c>
      <c r="E359" t="inlineStr">
        <is>
          <t>matthias.bartoly@bridging-it.de</t>
        </is>
      </c>
      <c r="F359" s="2" t="n">
        <v>42917</v>
      </c>
      <c r="G359" s="2" t="n">
        <v>39052</v>
      </c>
      <c r="H359" t="n">
        <v>10</v>
      </c>
      <c r="I359" t="n">
        <v>0</v>
      </c>
      <c r="J359" t="n">
        <v>0</v>
      </c>
      <c r="L359" s="2" t="n">
        <v>44620</v>
      </c>
      <c r="M359" s="2" t="n">
        <v>44833</v>
      </c>
      <c r="N359" t="b">
        <v>0</v>
      </c>
      <c r="O359" t="n">
        <v>104</v>
      </c>
      <c r="P359" t="n">
        <v>77</v>
      </c>
      <c r="Q359" t="n">
        <v>45</v>
      </c>
      <c r="R359">
        <f>ROUND(O359-P359,2)</f>
        <v/>
      </c>
      <c r="S359">
        <f>ROUND(O359-Q359,2)</f>
        <v/>
      </c>
      <c r="T359" s="3">
        <f>IFERROR(P359/O359,"")</f>
        <v/>
      </c>
      <c r="U359" s="3">
        <f>IFERROR(Q359/O359,"")</f>
        <v/>
      </c>
      <c r="V359" t="n">
        <v>127</v>
      </c>
      <c r="W359" t="n">
        <v>0</v>
      </c>
      <c r="X359" t="n">
        <v>0</v>
      </c>
      <c r="Y359">
        <f>ROUND(V359-W359,2)</f>
        <v/>
      </c>
      <c r="Z359">
        <f>ROUND(V359-X359,2)</f>
        <v/>
      </c>
      <c r="AA359" s="3">
        <f>IFERROR(W359/V359,"")</f>
        <v/>
      </c>
      <c r="AB359" s="3">
        <f>IFERROR(X359/V359,"")</f>
        <v/>
      </c>
      <c r="AC359" t="b">
        <v>0</v>
      </c>
      <c r="AD359" t="b">
        <v>0</v>
      </c>
      <c r="AE359" t="b">
        <v>0</v>
      </c>
      <c r="AF359" t="inlineStr">
        <is>
          <t>No</t>
        </is>
      </c>
      <c r="AI359" t="b">
        <v>0</v>
      </c>
      <c r="AJ359" t="n">
        <v>0</v>
      </c>
      <c r="AK359" t="inlineStr"/>
      <c r="AL359" t="inlineStr">
        <is>
          <t>Geschäftsleitung und Support</t>
        </is>
      </c>
      <c r="AM359" t="inlineStr">
        <is>
          <t>Thomas Arens</t>
        </is>
      </c>
      <c r="AN359" t="inlineStr">
        <is>
          <t>Frank Wallner</t>
        </is>
      </c>
      <c r="AO359" t="inlineStr">
        <is>
          <t>bridgingIT GmbH</t>
        </is>
      </c>
      <c r="AP359" t="inlineStr">
        <is>
          <t>Magdeburg</t>
        </is>
      </c>
      <c r="AQ359" t="inlineStr">
        <is>
          <t>Thomas Arens</t>
        </is>
      </c>
    </row>
    <row r="360">
      <c r="A360" t="inlineStr">
        <is>
          <t>2187</t>
        </is>
      </c>
      <c r="B360" t="inlineStr">
        <is>
          <t>66D0E3</t>
        </is>
      </c>
      <c r="C360" t="inlineStr">
        <is>
          <t>https://app.matchical.com/Consulting/ConsultantDetail?ConsultantId=5698996f-fb64-4e61-9a67-b4bbe9637095</t>
        </is>
      </c>
      <c r="D360" t="inlineStr">
        <is>
          <t>Matthias Fränzel</t>
        </is>
      </c>
      <c r="E360" t="inlineStr">
        <is>
          <t>matthias.fraenzel@bridging-it.de</t>
        </is>
      </c>
      <c r="F360" s="2" t="n">
        <v>43009</v>
      </c>
      <c r="G360" s="2" t="n">
        <v>36251</v>
      </c>
      <c r="H360" t="n">
        <v>20</v>
      </c>
      <c r="I360" t="n">
        <v>0</v>
      </c>
      <c r="J360" t="n">
        <v>1</v>
      </c>
      <c r="K360" s="2" t="n">
        <v>45200</v>
      </c>
      <c r="L360" s="2" t="n">
        <v>44286</v>
      </c>
      <c r="M360" s="2" t="n">
        <v>45162</v>
      </c>
      <c r="N360" t="b">
        <v>0</v>
      </c>
      <c r="O360" t="n">
        <v>101</v>
      </c>
      <c r="P360" t="n">
        <v>141</v>
      </c>
      <c r="Q360" t="n">
        <v>98</v>
      </c>
      <c r="R360">
        <f>ROUND(O360-P360,2)</f>
        <v/>
      </c>
      <c r="S360">
        <f>ROUND(O360-Q360,2)</f>
        <v/>
      </c>
      <c r="T360" s="3">
        <f>IFERROR(P360/O360,"")</f>
        <v/>
      </c>
      <c r="U360" s="3">
        <f>IFERROR(Q360/O360,"")</f>
        <v/>
      </c>
      <c r="V360" t="n">
        <v>222</v>
      </c>
      <c r="W360" t="n">
        <v>287</v>
      </c>
      <c r="X360" t="n">
        <v>209</v>
      </c>
      <c r="Y360">
        <f>ROUND(V360-W360,2)</f>
        <v/>
      </c>
      <c r="Z360">
        <f>ROUND(V360-X360,2)</f>
        <v/>
      </c>
      <c r="AA360" s="3">
        <f>IFERROR(W360/V360,"")</f>
        <v/>
      </c>
      <c r="AB360" s="3">
        <f>IFERROR(X360/V360,"")</f>
        <v/>
      </c>
      <c r="AC360" t="b">
        <v>0</v>
      </c>
      <c r="AD360" t="b">
        <v>0</v>
      </c>
      <c r="AE360" t="b">
        <v>0</v>
      </c>
      <c r="AF360" t="inlineStr">
        <is>
          <t>No</t>
        </is>
      </c>
      <c r="AI360" t="b">
        <v>0</v>
      </c>
      <c r="AJ360" t="n">
        <v>0</v>
      </c>
      <c r="AK360" t="inlineStr"/>
      <c r="AL360" t="inlineStr">
        <is>
          <t>IT Information Technology (Hauke G.)</t>
        </is>
      </c>
      <c r="AM360" t="inlineStr">
        <is>
          <t>CIS Compliance &amp; Information Security (David T.)</t>
        </is>
      </c>
      <c r="AN360" t="inlineStr">
        <is>
          <t>GRC IT-GRC (Erhan N.)</t>
        </is>
      </c>
      <c r="AO360" t="inlineStr">
        <is>
          <t>bridgingIT GmbH</t>
        </is>
      </c>
      <c r="AP360" t="inlineStr">
        <is>
          <t>Stuttgart</t>
        </is>
      </c>
      <c r="AQ360" t="inlineStr">
        <is>
          <t>David Turan</t>
        </is>
      </c>
    </row>
    <row r="361">
      <c r="A361" t="inlineStr">
        <is>
          <t>10350</t>
        </is>
      </c>
      <c r="B361" t="inlineStr">
        <is>
          <t>022A92</t>
        </is>
      </c>
      <c r="C361" t="inlineStr">
        <is>
          <t>https://app.matchical.com/Consulting/ConsultantDetail?ConsultantId=f47a5097-bfab-4122-b1e3-ea6e3ab591c4</t>
        </is>
      </c>
      <c r="D361" t="inlineStr">
        <is>
          <t>Matthias Heditzsch</t>
        </is>
      </c>
      <c r="E361" t="inlineStr">
        <is>
          <t>matthias.heditzsch@bridging-it.de</t>
        </is>
      </c>
      <c r="F361" s="2" t="n">
        <v>45689</v>
      </c>
      <c r="G361" s="2" t="n">
        <v>34881</v>
      </c>
      <c r="H361" t="n">
        <v>5</v>
      </c>
      <c r="I361" t="n">
        <v>0</v>
      </c>
      <c r="J361" t="n">
        <v>0</v>
      </c>
      <c r="L361" s="2" t="n">
        <v>45688</v>
      </c>
      <c r="M361" s="2" t="n">
        <v>45868</v>
      </c>
      <c r="N361" t="b">
        <v>0</v>
      </c>
      <c r="O361" t="n">
        <v>13</v>
      </c>
      <c r="P361" t="n">
        <v>12.83</v>
      </c>
      <c r="Q361" t="n">
        <v>12.75</v>
      </c>
      <c r="R361">
        <f>ROUND(O361-P361,2)</f>
        <v/>
      </c>
      <c r="S361">
        <f>ROUND(O361-Q361,2)</f>
        <v/>
      </c>
      <c r="T361" s="3">
        <f>IFERROR(P361/O361,"")</f>
        <v/>
      </c>
      <c r="U361" s="3">
        <f>IFERROR(Q361/O361,"")</f>
        <v/>
      </c>
      <c r="V361" t="n">
        <v>355</v>
      </c>
      <c r="W361" t="n">
        <v>168.03</v>
      </c>
      <c r="X361" t="n">
        <v>120.03</v>
      </c>
      <c r="Y361">
        <f>ROUND(V361-W361,2)</f>
        <v/>
      </c>
      <c r="Z361">
        <f>ROUND(V361-X361,2)</f>
        <v/>
      </c>
      <c r="AA361" s="3">
        <f>IFERROR(W361/V361,"")</f>
        <v/>
      </c>
      <c r="AB361" s="3">
        <f>IFERROR(X361/V361,"")</f>
        <v/>
      </c>
      <c r="AC361" t="b">
        <v>0</v>
      </c>
      <c r="AD361" t="b">
        <v>0</v>
      </c>
      <c r="AE361" t="b">
        <v>0</v>
      </c>
      <c r="AF361" t="inlineStr">
        <is>
          <t>No</t>
        </is>
      </c>
      <c r="AI361" t="b">
        <v>1</v>
      </c>
      <c r="AJ361" t="n">
        <v>0</v>
      </c>
      <c r="AK361" t="inlineStr"/>
      <c r="AL361" t="inlineStr">
        <is>
          <t>IT Information Technology (Hauke G.)</t>
        </is>
      </c>
      <c r="AM361" t="inlineStr">
        <is>
          <t>CT Cloud Technology I (Martin S.)</t>
        </is>
      </c>
      <c r="AN361" t="inlineStr">
        <is>
          <t>TC Technology &amp; Cloud (Martin S.)</t>
        </is>
      </c>
      <c r="AO361" t="inlineStr">
        <is>
          <t>bridgingIT GmbH</t>
        </is>
      </c>
      <c r="AP361" t="inlineStr">
        <is>
          <t>Stuttgart</t>
        </is>
      </c>
      <c r="AQ361" t="inlineStr">
        <is>
          <t>Martin Spörl</t>
        </is>
      </c>
    </row>
    <row r="362">
      <c r="A362" t="inlineStr">
        <is>
          <t>1476</t>
        </is>
      </c>
      <c r="B362" t="inlineStr">
        <is>
          <t>D711E5</t>
        </is>
      </c>
      <c r="C362" t="inlineStr">
        <is>
          <t>https://app.matchical.com/Consulting/ConsultantDetail?ConsultantId=f1969d2e-5dfa-408e-a356-ae8cb35c8675</t>
        </is>
      </c>
      <c r="D362" t="inlineStr">
        <is>
          <t>Matthias Hetz</t>
        </is>
      </c>
      <c r="E362" t="inlineStr">
        <is>
          <t>matthias.hetz@bridging-it.de</t>
        </is>
      </c>
      <c r="F362" s="2" t="n">
        <v>44136</v>
      </c>
      <c r="G362" s="2" t="n">
        <v>41548</v>
      </c>
      <c r="H362" t="n">
        <v>7</v>
      </c>
      <c r="I362" t="n">
        <v>0</v>
      </c>
      <c r="J362" t="n">
        <v>1</v>
      </c>
      <c r="K362" s="2" t="n">
        <v>44992</v>
      </c>
      <c r="L362" s="2" t="n">
        <v>44451</v>
      </c>
      <c r="M362" s="2" t="n">
        <v>45381</v>
      </c>
      <c r="N362" t="b">
        <v>0</v>
      </c>
      <c r="O362" t="n">
        <v>64</v>
      </c>
      <c r="P362" t="n">
        <v>94.97</v>
      </c>
      <c r="Q362" t="n">
        <v>63.77</v>
      </c>
      <c r="R362">
        <f>ROUND(O362-P362,2)</f>
        <v/>
      </c>
      <c r="S362">
        <f>ROUND(O362-Q362,2)</f>
        <v/>
      </c>
      <c r="T362" s="3">
        <f>IFERROR(P362/O362,"")</f>
        <v/>
      </c>
      <c r="U362" s="3">
        <f>IFERROR(Q362/O362,"")</f>
        <v/>
      </c>
      <c r="V362" t="n">
        <v>85</v>
      </c>
      <c r="W362" t="n">
        <v>3.03</v>
      </c>
      <c r="X362" t="n">
        <v>3.03</v>
      </c>
      <c r="Y362">
        <f>ROUND(V362-W362,2)</f>
        <v/>
      </c>
      <c r="Z362">
        <f>ROUND(V362-X362,2)</f>
        <v/>
      </c>
      <c r="AA362" s="3">
        <f>IFERROR(W362/V362,"")</f>
        <v/>
      </c>
      <c r="AB362" s="3">
        <f>IFERROR(X362/V362,"")</f>
        <v/>
      </c>
      <c r="AC362" t="b">
        <v>0</v>
      </c>
      <c r="AD362" t="b">
        <v>0</v>
      </c>
      <c r="AE362" t="b">
        <v>0</v>
      </c>
      <c r="AF362" t="inlineStr">
        <is>
          <t>No</t>
        </is>
      </c>
      <c r="AI362" t="b">
        <v>0</v>
      </c>
      <c r="AJ362" t="n">
        <v>0</v>
      </c>
      <c r="AK362" t="inlineStr"/>
      <c r="AL362" t="inlineStr">
        <is>
          <t>A&amp;SE Analytics &amp; Software Engineering (Philip R.)</t>
        </is>
      </c>
      <c r="AM362" t="inlineStr">
        <is>
          <t>FV Fullstack Visionaries (Matthias H.)</t>
        </is>
      </c>
      <c r="AN362" t="inlineStr">
        <is>
          <t>FUN Fullstack Ninjas (Stefan Z.)</t>
        </is>
      </c>
      <c r="AO362" t="inlineStr">
        <is>
          <t>bridgingIT GmbH</t>
        </is>
      </c>
      <c r="AP362" t="inlineStr">
        <is>
          <t>Mannheim</t>
        </is>
      </c>
      <c r="AQ362" t="inlineStr">
        <is>
          <t>Stefan Zilch</t>
        </is>
      </c>
    </row>
    <row r="363">
      <c r="A363" t="inlineStr">
        <is>
          <t>2257</t>
        </is>
      </c>
      <c r="B363" t="inlineStr">
        <is>
          <t>B85B22</t>
        </is>
      </c>
      <c r="C363" t="inlineStr">
        <is>
          <t>https://app.matchical.com/Consulting/ConsultantDetail?ConsultantId=26700611-bbd5-4a51-8010-49f27fc34744</t>
        </is>
      </c>
      <c r="D363" t="inlineStr">
        <is>
          <t>Matthias Krug</t>
        </is>
      </c>
      <c r="E363" t="inlineStr">
        <is>
          <t>matthias.krug@bridging-it.de</t>
        </is>
      </c>
      <c r="F363" s="2" t="n">
        <v>43709</v>
      </c>
      <c r="G363" s="2" t="n">
        <v>38596</v>
      </c>
      <c r="H363" t="n">
        <v>18</v>
      </c>
      <c r="I363" t="n">
        <v>0</v>
      </c>
      <c r="J363" t="n">
        <v>4</v>
      </c>
      <c r="K363" s="2" t="n">
        <v>43744</v>
      </c>
      <c r="L363" s="2" t="n">
        <v>44530</v>
      </c>
      <c r="M363" s="2" t="n">
        <v>45350</v>
      </c>
      <c r="N363" t="b">
        <v>0</v>
      </c>
      <c r="O363" t="n">
        <v>78</v>
      </c>
      <c r="P363" t="n">
        <v>284.92</v>
      </c>
      <c r="Q363" t="n">
        <v>77.8</v>
      </c>
      <c r="R363">
        <f>ROUND(O363-P363,2)</f>
        <v/>
      </c>
      <c r="S363">
        <f>ROUND(O363-Q363,2)</f>
        <v/>
      </c>
      <c r="T363" s="3">
        <f>IFERROR(P363/O363,"")</f>
        <v/>
      </c>
      <c r="U363" s="3">
        <f>IFERROR(Q363/O363,"")</f>
        <v/>
      </c>
      <c r="V363" t="n">
        <v>168</v>
      </c>
      <c r="W363" t="n">
        <v>274.04</v>
      </c>
      <c r="X363" t="n">
        <v>167.98</v>
      </c>
      <c r="Y363">
        <f>ROUND(V363-W363,2)</f>
        <v/>
      </c>
      <c r="Z363">
        <f>ROUND(V363-X363,2)</f>
        <v/>
      </c>
      <c r="AA363" s="3">
        <f>IFERROR(W363/V363,"")</f>
        <v/>
      </c>
      <c r="AB363" s="3">
        <f>IFERROR(X363/V363,"")</f>
        <v/>
      </c>
      <c r="AC363" t="b">
        <v>0</v>
      </c>
      <c r="AD363" t="b">
        <v>0</v>
      </c>
      <c r="AE363" t="b">
        <v>0</v>
      </c>
      <c r="AF363" t="inlineStr">
        <is>
          <t>No</t>
        </is>
      </c>
      <c r="AI363" t="b">
        <v>0</v>
      </c>
      <c r="AJ363" t="n">
        <v>0</v>
      </c>
      <c r="AK363" t="inlineStr"/>
      <c r="AL363" t="inlineStr">
        <is>
          <t>DO Digital Organizations (Michael H.)</t>
        </is>
      </c>
      <c r="AM363" t="inlineStr">
        <is>
          <t>PD Process Digitalization (Hermann L.)</t>
        </is>
      </c>
      <c r="AN363" t="inlineStr">
        <is>
          <t>DP Digital Processes (Hermann L.)</t>
        </is>
      </c>
      <c r="AO363" t="inlineStr">
        <is>
          <t>bridgingIT GmbH</t>
        </is>
      </c>
      <c r="AP363" t="inlineStr">
        <is>
          <t>Stuttgart</t>
        </is>
      </c>
      <c r="AQ363" t="inlineStr">
        <is>
          <t>Hermann Löh</t>
        </is>
      </c>
    </row>
    <row r="364">
      <c r="A364" t="inlineStr">
        <is>
          <t>2299</t>
        </is>
      </c>
      <c r="B364" t="inlineStr">
        <is>
          <t>9CF997</t>
        </is>
      </c>
      <c r="C364" t="inlineStr">
        <is>
          <t>https://app.matchical.com/Consulting/ConsultantDetail?ConsultantId=e4c42dc0-39b8-4067-b599-0aa9507c00e2</t>
        </is>
      </c>
      <c r="D364" t="inlineStr">
        <is>
          <t>Matthias Lindner</t>
        </is>
      </c>
      <c r="E364" t="inlineStr">
        <is>
          <t>matthias.lindner@bridging-it.de</t>
        </is>
      </c>
      <c r="F364" s="2" t="n">
        <v>44621</v>
      </c>
      <c r="G364" s="2" t="n">
        <v>41699</v>
      </c>
      <c r="H364" t="n">
        <v>12</v>
      </c>
      <c r="I364" t="n">
        <v>0</v>
      </c>
      <c r="J364" t="n">
        <v>3</v>
      </c>
      <c r="K364" s="2" t="n">
        <v>44620</v>
      </c>
      <c r="L364" s="2" t="n">
        <v>45868</v>
      </c>
      <c r="M364" s="2" t="n">
        <v>46022</v>
      </c>
      <c r="N364" t="b">
        <v>0</v>
      </c>
      <c r="O364" t="n">
        <v>48</v>
      </c>
      <c r="P364" t="n">
        <v>144.97</v>
      </c>
      <c r="Q364" t="n">
        <v>47.84</v>
      </c>
      <c r="R364">
        <f>ROUND(O364-P364,2)</f>
        <v/>
      </c>
      <c r="S364">
        <f>ROUND(O364-Q364,2)</f>
        <v/>
      </c>
      <c r="T364" s="3">
        <f>IFERROR(P364/O364,"")</f>
        <v/>
      </c>
      <c r="U364" s="3">
        <f>IFERROR(Q364/O364,"")</f>
        <v/>
      </c>
      <c r="V364" t="n">
        <v>96</v>
      </c>
      <c r="W364" t="n">
        <v>62.03</v>
      </c>
      <c r="X364" t="n">
        <v>44.01</v>
      </c>
      <c r="Y364">
        <f>ROUND(V364-W364,2)</f>
        <v/>
      </c>
      <c r="Z364">
        <f>ROUND(V364-X364,2)</f>
        <v/>
      </c>
      <c r="AA364" s="3">
        <f>IFERROR(W364/V364,"")</f>
        <v/>
      </c>
      <c r="AB364" s="3">
        <f>IFERROR(X364/V364,"")</f>
        <v/>
      </c>
      <c r="AC364" t="b">
        <v>0</v>
      </c>
      <c r="AD364" t="b">
        <v>0</v>
      </c>
      <c r="AE364" t="b">
        <v>0</v>
      </c>
      <c r="AF364" t="inlineStr">
        <is>
          <t>Yes</t>
        </is>
      </c>
      <c r="AG364" s="2" t="n">
        <v>46023</v>
      </c>
      <c r="AI364" t="b">
        <v>1</v>
      </c>
      <c r="AJ364" t="n">
        <v>5</v>
      </c>
      <c r="AK364" t="inlineStr">
        <is>
          <t>S/4 and M365 know-how available; reliable program and project manager with experience in change management as well as finance and controlling experience, including in the energy, public sector, and ROCHE environments. Currently at LinkDIgital, extension possible. Willingness to travel.</t>
        </is>
      </c>
      <c r="AL364" t="inlineStr">
        <is>
          <t>DO Digital Organizations (Michael H.)</t>
        </is>
      </c>
      <c r="AM364" t="inlineStr">
        <is>
          <t>BT Business Transform. II (Patrick D.)</t>
        </is>
      </c>
      <c r="AN364" t="inlineStr">
        <is>
          <t>BT Business Transformation (Julian D.)</t>
        </is>
      </c>
      <c r="AO364" t="inlineStr">
        <is>
          <t>bridgingIT GmbH</t>
        </is>
      </c>
      <c r="AP364" t="inlineStr">
        <is>
          <t>Stuttgart</t>
        </is>
      </c>
      <c r="AQ364" t="inlineStr">
        <is>
          <t>Patrick Dehner</t>
        </is>
      </c>
    </row>
    <row r="365">
      <c r="A365" t="inlineStr">
        <is>
          <t>8762</t>
        </is>
      </c>
      <c r="B365" t="inlineStr">
        <is>
          <t>48F26C</t>
        </is>
      </c>
      <c r="C365" t="inlineStr">
        <is>
          <t>https://app.matchical.com/Consulting/ConsultantDetail?ConsultantId=153095c8-bbcb-48a0-bbe2-d58d9b14548f</t>
        </is>
      </c>
      <c r="D365" t="inlineStr">
        <is>
          <t>Matthias Müller</t>
        </is>
      </c>
      <c r="E365" t="inlineStr">
        <is>
          <t>matthias.mueller@bridging-it.de</t>
        </is>
      </c>
      <c r="F365" s="2" t="n">
        <v>44713</v>
      </c>
      <c r="G365" s="2" t="n">
        <v>30529</v>
      </c>
      <c r="H365" t="n">
        <v>7</v>
      </c>
      <c r="I365" t="n">
        <v>0</v>
      </c>
      <c r="J365" t="n">
        <v>1</v>
      </c>
      <c r="K365" s="2" t="n">
        <v>44927</v>
      </c>
      <c r="L365" s="2" t="n">
        <v>42521</v>
      </c>
      <c r="M365" s="2" t="n">
        <v>44195</v>
      </c>
      <c r="N365" t="b">
        <v>0</v>
      </c>
      <c r="O365" t="n">
        <v>45</v>
      </c>
      <c r="P365" t="n">
        <v>37</v>
      </c>
      <c r="Q365" t="n">
        <v>37</v>
      </c>
      <c r="R365">
        <f>ROUND(O365-P365,2)</f>
        <v/>
      </c>
      <c r="S365">
        <f>ROUND(O365-Q365,2)</f>
        <v/>
      </c>
      <c r="T365" s="3">
        <f>IFERROR(P365/O365,"")</f>
        <v/>
      </c>
      <c r="U365" s="3">
        <f>IFERROR(Q365/O365,"")</f>
        <v/>
      </c>
      <c r="V365" t="n">
        <v>466</v>
      </c>
      <c r="W365" t="n">
        <v>465</v>
      </c>
      <c r="X365" t="n">
        <v>169</v>
      </c>
      <c r="Y365">
        <f>ROUND(V365-W365,2)</f>
        <v/>
      </c>
      <c r="Z365">
        <f>ROUND(V365-X365,2)</f>
        <v/>
      </c>
      <c r="AA365" s="3">
        <f>IFERROR(W365/V365,"")</f>
        <v/>
      </c>
      <c r="AB365" s="3">
        <f>IFERROR(X365/V365,"")</f>
        <v/>
      </c>
      <c r="AC365" t="b">
        <v>0</v>
      </c>
      <c r="AD365" t="b">
        <v>0</v>
      </c>
      <c r="AE365" t="b">
        <v>0</v>
      </c>
      <c r="AF365" t="inlineStr">
        <is>
          <t>No</t>
        </is>
      </c>
      <c r="AI365" t="b">
        <v>1</v>
      </c>
      <c r="AJ365" t="n">
        <v>0</v>
      </c>
      <c r="AK365" t="inlineStr">
        <is>
          <t>Project Manager and Architect at SWD (KWL)
Project Manager and Architect at SWD (MVA)
EAL at KVNO
Project Manager and Architect at Spie
Tenders
Analyses of requirements</t>
        </is>
      </c>
      <c r="AL365" t="inlineStr">
        <is>
          <t>ORG bIT Bayern</t>
        </is>
      </c>
      <c r="AM365" t="inlineStr">
        <is>
          <t>LM Location Management BAY (Eli G.)</t>
        </is>
      </c>
      <c r="AN365" t="inlineStr">
        <is>
          <t>LM Lokation MUC (Elisabeth G.)</t>
        </is>
      </c>
      <c r="AO365" t="inlineStr">
        <is>
          <t>bridgingIT GmbH</t>
        </is>
      </c>
      <c r="AP365" t="inlineStr">
        <is>
          <t>München</t>
        </is>
      </c>
      <c r="AQ365" t="inlineStr">
        <is>
          <t>Elisabeth Gerlinger</t>
        </is>
      </c>
    </row>
    <row r="366">
      <c r="A366" t="inlineStr">
        <is>
          <t>1061</t>
        </is>
      </c>
      <c r="B366" t="inlineStr">
        <is>
          <t>294575</t>
        </is>
      </c>
      <c r="C366" t="inlineStr">
        <is>
          <t>https://app.matchical.com/Consulting/ConsultantDetail?ConsultantId=8b8ab8b9-7827-4416-b8f6-6bd175190bd2</t>
        </is>
      </c>
      <c r="D366" t="inlineStr">
        <is>
          <t>Matthias Reißfelder</t>
        </is>
      </c>
      <c r="E366" t="inlineStr">
        <is>
          <t>matthias.reissfelder@bridging-it.de</t>
        </is>
      </c>
      <c r="F366" s="2" t="n">
        <v>39569</v>
      </c>
      <c r="G366" s="2" t="n">
        <v>33147</v>
      </c>
      <c r="H366" t="n">
        <v>22</v>
      </c>
      <c r="I366" t="n">
        <v>0</v>
      </c>
      <c r="J366" t="n">
        <v>1</v>
      </c>
      <c r="K366" s="2" t="n">
        <v>45688</v>
      </c>
      <c r="L366" s="2" t="n">
        <v>45858</v>
      </c>
      <c r="M366" s="2" t="n">
        <v>46052</v>
      </c>
      <c r="N366" t="b">
        <v>0</v>
      </c>
      <c r="O366" t="n">
        <v>214</v>
      </c>
      <c r="P366" t="n">
        <v>431.81</v>
      </c>
      <c r="Q366" t="n">
        <v>213.82</v>
      </c>
      <c r="R366">
        <f>ROUND(O366-P366,2)</f>
        <v/>
      </c>
      <c r="S366">
        <f>ROUND(O366-Q366,2)</f>
        <v/>
      </c>
      <c r="T366" s="3">
        <f>IFERROR(P366/O366,"")</f>
        <v/>
      </c>
      <c r="U366" s="3">
        <f>IFERROR(Q366/O366,"")</f>
        <v/>
      </c>
      <c r="V366" t="n">
        <v>211</v>
      </c>
      <c r="W366" t="n">
        <v>193.19</v>
      </c>
      <c r="X366" t="n">
        <v>70.13</v>
      </c>
      <c r="Y366">
        <f>ROUND(V366-W366,2)</f>
        <v/>
      </c>
      <c r="Z366">
        <f>ROUND(V366-X366,2)</f>
        <v/>
      </c>
      <c r="AA366" s="3">
        <f>IFERROR(W366/V366,"")</f>
        <v/>
      </c>
      <c r="AB366" s="3">
        <f>IFERROR(X366/V366,"")</f>
        <v/>
      </c>
      <c r="AC366" t="b">
        <v>0</v>
      </c>
      <c r="AD366" t="b">
        <v>0</v>
      </c>
      <c r="AE366" t="b">
        <v>0</v>
      </c>
      <c r="AF366" t="inlineStr">
        <is>
          <t>Yes</t>
        </is>
      </c>
      <c r="AG366" s="2" t="n">
        <v>46054</v>
      </c>
      <c r="AI366" t="b">
        <v>0</v>
      </c>
      <c r="AJ366" t="n">
        <v>1</v>
      </c>
      <c r="AK366" t="inlineStr">
        <is>
          <t>Key technical focus areas: database development and ETL processes, diverse scripting languages and .NET development/architecture. (1) [hte] Application Dev (via Christian Will). Matthias has, in addition to AOK, 1-2 person-days available for another project.</t>
        </is>
      </c>
      <c r="AL366" t="inlineStr">
        <is>
          <t>A&amp;SE Analytics &amp; Software Engineering (Philip R.)</t>
        </is>
      </c>
      <c r="AM366" t="inlineStr">
        <is>
          <t>DE Data Engineering (M. Hof)</t>
        </is>
      </c>
      <c r="AN366" t="inlineStr">
        <is>
          <t>A&amp;DDS - Analytics &amp; Data-driven Solutions (M. Hof)</t>
        </is>
      </c>
      <c r="AO366" t="inlineStr">
        <is>
          <t>bridgingIT GmbH</t>
        </is>
      </c>
      <c r="AP366" t="inlineStr">
        <is>
          <t>Mannheim</t>
        </is>
      </c>
      <c r="AQ366" t="inlineStr">
        <is>
          <t>Michael Hof</t>
        </is>
      </c>
    </row>
    <row r="367">
      <c r="A367" t="inlineStr">
        <is>
          <t>10304</t>
        </is>
      </c>
      <c r="B367" t="inlineStr">
        <is>
          <t>C8EA20</t>
        </is>
      </c>
      <c r="C367" t="inlineStr">
        <is>
          <t>https://app.matchical.com/Consulting/ConsultantDetail?ConsultantId=2242bd86-6404-4cb0-8c68-8510ef5acd4f</t>
        </is>
      </c>
      <c r="D367" t="inlineStr">
        <is>
          <t>Matthias Schniewind</t>
        </is>
      </c>
      <c r="E367" t="inlineStr">
        <is>
          <t>matthias.schniewind@bridging-it.de</t>
        </is>
      </c>
      <c r="F367" s="2" t="n">
        <v>45566</v>
      </c>
      <c r="G367" s="2" t="n">
        <v>43831</v>
      </c>
      <c r="H367" t="n">
        <v>17</v>
      </c>
      <c r="I367" t="n">
        <v>0</v>
      </c>
      <c r="J367" t="n">
        <v>1</v>
      </c>
      <c r="K367" s="2" t="n">
        <v>45662</v>
      </c>
      <c r="L367" s="2" t="n">
        <v>45588</v>
      </c>
      <c r="M367" s="2" t="n">
        <v>45688</v>
      </c>
      <c r="N367" t="b">
        <v>0</v>
      </c>
      <c r="O367" t="n">
        <v>17</v>
      </c>
      <c r="P367" t="n">
        <v>24.96</v>
      </c>
      <c r="Q367" t="n">
        <v>10.98</v>
      </c>
      <c r="R367">
        <f>ROUND(O367-P367,2)</f>
        <v/>
      </c>
      <c r="S367">
        <f>ROUND(O367-Q367,2)</f>
        <v/>
      </c>
      <c r="T367" s="3">
        <f>IFERROR(P367/O367,"")</f>
        <v/>
      </c>
      <c r="U367" s="3">
        <f>IFERROR(Q367/O367,"")</f>
        <v/>
      </c>
      <c r="V367" t="n">
        <v>57</v>
      </c>
      <c r="W367" t="n">
        <v>222.84</v>
      </c>
      <c r="X367" t="n">
        <v>57</v>
      </c>
      <c r="Y367">
        <f>ROUND(V367-W367,2)</f>
        <v/>
      </c>
      <c r="Z367">
        <f>ROUND(V367-X367,2)</f>
        <v/>
      </c>
      <c r="AA367" s="3">
        <f>IFERROR(W367/V367,"")</f>
        <v/>
      </c>
      <c r="AB367" s="3">
        <f>IFERROR(X367/V367,"")</f>
        <v/>
      </c>
      <c r="AC367" t="b">
        <v>0</v>
      </c>
      <c r="AD367" t="b">
        <v>0</v>
      </c>
      <c r="AE367" t="b">
        <v>0</v>
      </c>
      <c r="AF367" t="inlineStr">
        <is>
          <t>No</t>
        </is>
      </c>
      <c r="AI367" t="b">
        <v>1</v>
      </c>
      <c r="AJ367" t="n">
        <v>0</v>
      </c>
      <c r="AK367" t="inlineStr"/>
      <c r="AL367" t="inlineStr">
        <is>
          <t>ORG bIT</t>
        </is>
      </c>
      <c r="AM367" t="inlineStr">
        <is>
          <t>DOC - Digital Organization Cologne (Diana G.)</t>
        </is>
      </c>
      <c r="AN367" t="inlineStr">
        <is>
          <t>BTC - Business Transformation Cologne (Anna S.)</t>
        </is>
      </c>
      <c r="AO367" t="inlineStr">
        <is>
          <t>bridgingIT GmbH</t>
        </is>
      </c>
      <c r="AP367" t="inlineStr">
        <is>
          <t>Köln</t>
        </is>
      </c>
      <c r="AQ367" t="inlineStr">
        <is>
          <t>Diana Gülker</t>
        </is>
      </c>
    </row>
    <row r="368">
      <c r="A368" t="inlineStr">
        <is>
          <t>3198</t>
        </is>
      </c>
      <c r="B368" t="inlineStr">
        <is>
          <t>6D8CD9</t>
        </is>
      </c>
      <c r="C368" t="inlineStr">
        <is>
          <t>https://app.matchical.com/Consulting/ConsultantDetail?ConsultantId=ca7c6214-1c56-4999-a444-88b033d4f493</t>
        </is>
      </c>
      <c r="D368" t="inlineStr">
        <is>
          <t>Matus Markovic</t>
        </is>
      </c>
      <c r="E368" t="inlineStr">
        <is>
          <t>matus.markovic@bridging-it.de</t>
        </is>
      </c>
      <c r="F368" s="2" t="n">
        <v>43983</v>
      </c>
      <c r="G368" s="2" t="n">
        <v>42795</v>
      </c>
      <c r="H368" t="n">
        <v>8</v>
      </c>
      <c r="I368" t="n">
        <v>0</v>
      </c>
      <c r="J368" t="n">
        <v>2</v>
      </c>
      <c r="K368" s="2" t="n">
        <v>43982</v>
      </c>
      <c r="L368" s="2" t="n">
        <v>44400</v>
      </c>
      <c r="M368" s="2" t="n">
        <v>44420</v>
      </c>
      <c r="N368" t="b">
        <v>0</v>
      </c>
      <c r="O368" t="n">
        <v>69</v>
      </c>
      <c r="P368" t="n">
        <v>136.97</v>
      </c>
      <c r="Q368" t="n">
        <v>68.8</v>
      </c>
      <c r="R368">
        <f>ROUND(O368-P368,2)</f>
        <v/>
      </c>
      <c r="S368">
        <f>ROUND(O368-Q368,2)</f>
        <v/>
      </c>
      <c r="T368" s="3">
        <f>IFERROR(P368/O368,"")</f>
        <v/>
      </c>
      <c r="U368" s="3">
        <f>IFERROR(Q368/O368,"")</f>
        <v/>
      </c>
      <c r="V368" t="n">
        <v>39</v>
      </c>
      <c r="W368" t="n">
        <v>29</v>
      </c>
      <c r="X368" t="n">
        <v>28.98</v>
      </c>
      <c r="Y368">
        <f>ROUND(V368-W368,2)</f>
        <v/>
      </c>
      <c r="Z368">
        <f>ROUND(V368-X368,2)</f>
        <v/>
      </c>
      <c r="AA368" s="3">
        <f>IFERROR(W368/V368,"")</f>
        <v/>
      </c>
      <c r="AB368" s="3">
        <f>IFERROR(X368/V368,"")</f>
        <v/>
      </c>
      <c r="AC368" t="b">
        <v>0</v>
      </c>
      <c r="AD368" t="b">
        <v>0</v>
      </c>
      <c r="AE368" t="b">
        <v>0</v>
      </c>
      <c r="AF368" t="inlineStr">
        <is>
          <t>No</t>
        </is>
      </c>
      <c r="AI368" t="b">
        <v>1</v>
      </c>
      <c r="AJ368" t="n">
        <v>0</v>
      </c>
      <c r="AK368" t="inlineStr">
        <is>
          <t>Current utilization of the SWS service. Seeking: a project with a team structure in a cloud context.</t>
        </is>
      </c>
      <c r="AL368" t="inlineStr">
        <is>
          <t>IT Information Technology (Hauke G.)</t>
        </is>
      </c>
      <c r="AM368" t="inlineStr">
        <is>
          <t>CT Cloud Technology I (Martin S.)</t>
        </is>
      </c>
      <c r="AN368" t="inlineStr">
        <is>
          <t>TC Technology &amp; Cloud (Martin S.)</t>
        </is>
      </c>
      <c r="AO368" t="inlineStr">
        <is>
          <t>bridgingIT GmbH</t>
        </is>
      </c>
      <c r="AP368" t="inlineStr">
        <is>
          <t>Stuttgart</t>
        </is>
      </c>
      <c r="AQ368" t="inlineStr">
        <is>
          <t>Martin Spörl</t>
        </is>
      </c>
    </row>
    <row r="369">
      <c r="A369" t="inlineStr">
        <is>
          <t>1522</t>
        </is>
      </c>
      <c r="B369" t="inlineStr">
        <is>
          <t>428CB4</t>
        </is>
      </c>
      <c r="C369" t="inlineStr">
        <is>
          <t>https://app.matchical.com/Consulting/ConsultantDetail?ConsultantId=3d8b63b7-f56a-4869-8cac-7c724569f4b9</t>
        </is>
      </c>
      <c r="D369" t="inlineStr">
        <is>
          <t>Maurice Greene</t>
        </is>
      </c>
      <c r="E369" t="inlineStr">
        <is>
          <t>maurice.greene@bridging-it.de</t>
        </is>
      </c>
      <c r="F369" s="2" t="n">
        <v>44713</v>
      </c>
      <c r="G369" s="2" t="n">
        <v>39569</v>
      </c>
      <c r="H369" t="n">
        <v>17</v>
      </c>
      <c r="I369" t="n">
        <v>0</v>
      </c>
      <c r="J369" t="n">
        <v>2</v>
      </c>
      <c r="K369" s="2" t="n">
        <v>45596</v>
      </c>
      <c r="L369" s="2" t="n">
        <v>45596</v>
      </c>
      <c r="M369" s="2" t="n">
        <v>45727</v>
      </c>
      <c r="N369" t="b">
        <v>0</v>
      </c>
      <c r="O369" t="n">
        <v>45</v>
      </c>
      <c r="P369" t="n">
        <v>94.95</v>
      </c>
      <c r="Q369" t="n">
        <v>41.95</v>
      </c>
      <c r="R369">
        <f>ROUND(O369-P369,2)</f>
        <v/>
      </c>
      <c r="S369">
        <f>ROUND(O369-Q369,2)</f>
        <v/>
      </c>
      <c r="T369" s="3">
        <f>IFERROR(P369/O369,"")</f>
        <v/>
      </c>
      <c r="U369" s="3">
        <f>IFERROR(Q369/O369,"")</f>
        <v/>
      </c>
      <c r="V369" t="n">
        <v>169</v>
      </c>
      <c r="W369" t="n">
        <v>186.05</v>
      </c>
      <c r="X369" t="n">
        <v>70.05</v>
      </c>
      <c r="Y369">
        <f>ROUND(V369-W369,2)</f>
        <v/>
      </c>
      <c r="Z369">
        <f>ROUND(V369-X369,2)</f>
        <v/>
      </c>
      <c r="AA369" s="3">
        <f>IFERROR(W369/V369,"")</f>
        <v/>
      </c>
      <c r="AB369" s="3">
        <f>IFERROR(X369/V369,"")</f>
        <v/>
      </c>
      <c r="AC369" t="b">
        <v>0</v>
      </c>
      <c r="AD369" t="b">
        <v>0</v>
      </c>
      <c r="AE369" t="b">
        <v>0</v>
      </c>
      <c r="AF369" t="inlineStr">
        <is>
          <t>Yes</t>
        </is>
      </c>
      <c r="AG369" s="2" t="n">
        <v>46143</v>
      </c>
      <c r="AI369" t="b">
        <v>0</v>
      </c>
      <c r="AJ369" t="n">
        <v>5</v>
      </c>
      <c r="AK369" t="inlineStr">
        <is>
          <t>(12.02.26): The current assignment runs until April 30. However, an extension of the assignment should follow. It is currently under discussion with Fresenius' procurement department.</t>
        </is>
      </c>
      <c r="AL369" t="inlineStr">
        <is>
          <t>ORG bIT</t>
        </is>
      </c>
      <c r="AM369" t="inlineStr">
        <is>
          <t>SBLN Standort Berlin (Claudia P.)</t>
        </is>
      </c>
      <c r="AN369" t="inlineStr">
        <is>
          <t>SBLN Standort Berlin (Claudia P.)</t>
        </is>
      </c>
      <c r="AO369" t="inlineStr">
        <is>
          <t>bridgingIT GmbH</t>
        </is>
      </c>
      <c r="AP369" t="inlineStr">
        <is>
          <t>Berlin</t>
        </is>
      </c>
      <c r="AQ369" t="inlineStr">
        <is>
          <t>Claudia Peters</t>
        </is>
      </c>
    </row>
    <row r="370">
      <c r="A370" t="inlineStr">
        <is>
          <t>10062</t>
        </is>
      </c>
      <c r="B370" t="inlineStr">
        <is>
          <t>83E6EC</t>
        </is>
      </c>
      <c r="C370" t="inlineStr">
        <is>
          <t>https://app.matchical.com/Consulting/ConsultantDetail?ConsultantId=52588e2e-2add-47c4-ae6c-fefe362a9557</t>
        </is>
      </c>
      <c r="D370" t="inlineStr">
        <is>
          <t>Max Edinger</t>
        </is>
      </c>
      <c r="E370" t="inlineStr">
        <is>
          <t>max.edinger@bridging-it.de</t>
        </is>
      </c>
      <c r="F370" s="2" t="n">
        <v>44958</v>
      </c>
      <c r="G370" s="2" t="n">
        <v>44501</v>
      </c>
      <c r="H370" t="n">
        <v>4</v>
      </c>
      <c r="I370" t="n">
        <v>0</v>
      </c>
      <c r="J370" t="n">
        <v>1</v>
      </c>
      <c r="K370" s="2" t="n">
        <v>44992</v>
      </c>
      <c r="L370" s="2" t="n">
        <v>44742</v>
      </c>
      <c r="M370" s="2" t="n">
        <v>44926</v>
      </c>
      <c r="N370" t="b">
        <v>0</v>
      </c>
      <c r="O370" t="n">
        <v>37</v>
      </c>
      <c r="P370" t="n">
        <v>35</v>
      </c>
      <c r="Q370" t="n">
        <v>35</v>
      </c>
      <c r="R370">
        <f>ROUND(O370-P370,2)</f>
        <v/>
      </c>
      <c r="S370">
        <f>ROUND(O370-Q370,2)</f>
        <v/>
      </c>
      <c r="T370" s="3">
        <f>IFERROR(P370/O370,"")</f>
        <v/>
      </c>
      <c r="U370" s="3">
        <f>IFERROR(Q370/O370,"")</f>
        <v/>
      </c>
      <c r="V370" t="n">
        <v>15</v>
      </c>
      <c r="W370" t="n">
        <v>14.97</v>
      </c>
      <c r="X370" t="n">
        <v>14.97</v>
      </c>
      <c r="Y370">
        <f>ROUND(V370-W370,2)</f>
        <v/>
      </c>
      <c r="Z370">
        <f>ROUND(V370-X370,2)</f>
        <v/>
      </c>
      <c r="AA370" s="3">
        <f>IFERROR(W370/V370,"")</f>
        <v/>
      </c>
      <c r="AB370" s="3">
        <f>IFERROR(X370/V370,"")</f>
        <v/>
      </c>
      <c r="AC370" t="b">
        <v>0</v>
      </c>
      <c r="AD370" t="b">
        <v>0</v>
      </c>
      <c r="AE370" t="b">
        <v>0</v>
      </c>
      <c r="AF370" t="inlineStr">
        <is>
          <t>No</t>
        </is>
      </c>
      <c r="AI370" t="b">
        <v>0</v>
      </c>
      <c r="AJ370" t="n">
        <v>0</v>
      </c>
      <c r="AK370" t="inlineStr">
        <is>
          <t>Max brings solid experience in our full-stack technologies (Angular / Spring Boot, partly during his studies!). He is also familiar with DevOps topics and brings initial cloud experience with AWS.</t>
        </is>
      </c>
      <c r="AL370" t="inlineStr">
        <is>
          <t>A&amp;SE Analytics &amp; Software Engineering (Philip R.)</t>
        </is>
      </c>
      <c r="AM370" t="inlineStr">
        <is>
          <t>FA Fullstack Astronauts (Jochen K.)</t>
        </is>
      </c>
      <c r="AN370" t="inlineStr">
        <is>
          <t>FUN Fullstack Ninjas (Stefan Z.)</t>
        </is>
      </c>
      <c r="AO370" t="inlineStr">
        <is>
          <t>bridgingIT GmbH</t>
        </is>
      </c>
      <c r="AP370" t="inlineStr">
        <is>
          <t>Mannheim</t>
        </is>
      </c>
      <c r="AQ370" t="inlineStr">
        <is>
          <t>Jochen Kraushaar</t>
        </is>
      </c>
    </row>
    <row r="371">
      <c r="A371" t="inlineStr">
        <is>
          <t>10455</t>
        </is>
      </c>
      <c r="B371" t="inlineStr">
        <is>
          <t>D154AC</t>
        </is>
      </c>
      <c r="C371" t="inlineStr">
        <is>
          <t>https://app.matchical.com/Consulting/ConsultantDetail?ConsultantId=9d0d97f4-07ae-4eb3-b145-16d11b769777</t>
        </is>
      </c>
      <c r="D371" t="inlineStr">
        <is>
          <t>Max Mustermann</t>
        </is>
      </c>
      <c r="E371" t="inlineStr">
        <is>
          <t>max.mustermann@bridging-it.de</t>
        </is>
      </c>
      <c r="F371" s="2" t="n">
        <v>45962</v>
      </c>
      <c r="H371" t="n">
        <v>0</v>
      </c>
      <c r="I371" t="n">
        <v>0</v>
      </c>
      <c r="J371" t="n">
        <v>0</v>
      </c>
      <c r="N371" t="b">
        <v>1</v>
      </c>
      <c r="O371" t="n">
        <v>4</v>
      </c>
      <c r="P371" t="n">
        <v>0</v>
      </c>
      <c r="Q371" t="n">
        <v>0</v>
      </c>
      <c r="R371">
        <f>ROUND(O371-P371,2)</f>
        <v/>
      </c>
      <c r="S371">
        <f>ROUND(O371-Q371,2)</f>
        <v/>
      </c>
      <c r="T371" s="3">
        <f>IFERROR(P371/O371,"")</f>
        <v/>
      </c>
      <c r="U371" s="3">
        <f>IFERROR(Q371/O371,"")</f>
        <v/>
      </c>
      <c r="V371" t="n">
        <v>1510</v>
      </c>
      <c r="W371" t="n">
        <v>0</v>
      </c>
      <c r="X371" t="n">
        <v>0</v>
      </c>
      <c r="Y371">
        <f>ROUND(V371-W371,2)</f>
        <v/>
      </c>
      <c r="Z371">
        <f>ROUND(V371-X371,2)</f>
        <v/>
      </c>
      <c r="AA371" s="3">
        <f>IFERROR(W371/V371,"")</f>
        <v/>
      </c>
      <c r="AB371" s="3">
        <f>IFERROR(X371/V371,"")</f>
        <v/>
      </c>
      <c r="AC371" t="b">
        <v>0</v>
      </c>
      <c r="AD371" t="b">
        <v>0</v>
      </c>
      <c r="AE371" t="b">
        <v>0</v>
      </c>
      <c r="AF371" t="inlineStr">
        <is>
          <t>-</t>
        </is>
      </c>
      <c r="AI371" t="b">
        <v>0</v>
      </c>
      <c r="AJ371" t="n">
        <v>0</v>
      </c>
      <c r="AK371" t="inlineStr"/>
      <c r="AL371" t="inlineStr">
        <is>
          <t>Geschäftsleitung und Support</t>
        </is>
      </c>
      <c r="AM371" t="inlineStr">
        <is>
          <t>Thomas Arens</t>
        </is>
      </c>
      <c r="AN371" t="inlineStr">
        <is>
          <t>Frank Wallner</t>
        </is>
      </c>
      <c r="AO371" t="inlineStr">
        <is>
          <t>bridgingIT GmbH</t>
        </is>
      </c>
      <c r="AP371" t="inlineStr">
        <is>
          <t>Mannheim</t>
        </is>
      </c>
      <c r="AQ371" t="inlineStr">
        <is>
          <t>Thomas Arens</t>
        </is>
      </c>
    </row>
    <row r="372">
      <c r="A372" t="inlineStr">
        <is>
          <t>10105</t>
        </is>
      </c>
      <c r="B372" t="inlineStr">
        <is>
          <t>F4CAF4</t>
        </is>
      </c>
      <c r="C372" t="inlineStr">
        <is>
          <t>https://app.matchical.com/Consulting/ConsultantDetail?ConsultantId=f7cd5cc0-c49b-4284-beee-694bbeaa9df5</t>
        </is>
      </c>
      <c r="D372" t="inlineStr">
        <is>
          <t>Maximilian Focke</t>
        </is>
      </c>
      <c r="E372" t="inlineStr">
        <is>
          <t>maximilian.focke@bridging-it.de</t>
        </is>
      </c>
      <c r="F372" s="2" t="n">
        <v>44986</v>
      </c>
      <c r="G372" s="2" t="n">
        <v>42644</v>
      </c>
      <c r="H372" t="n">
        <v>5</v>
      </c>
      <c r="I372" t="n">
        <v>0</v>
      </c>
      <c r="J372" t="n">
        <v>1</v>
      </c>
      <c r="K372" s="2" t="n">
        <v>45293</v>
      </c>
      <c r="L372" s="2" t="n">
        <v>44986</v>
      </c>
      <c r="M372" s="2" t="n">
        <v>45281</v>
      </c>
      <c r="N372" t="b">
        <v>0</v>
      </c>
      <c r="O372" t="n">
        <v>36</v>
      </c>
      <c r="P372" t="n">
        <v>35</v>
      </c>
      <c r="Q372" t="n">
        <v>35</v>
      </c>
      <c r="R372">
        <f>ROUND(O372-P372,2)</f>
        <v/>
      </c>
      <c r="S372">
        <f>ROUND(O372-Q372,2)</f>
        <v/>
      </c>
      <c r="T372" s="3">
        <f>IFERROR(P372/O372,"")</f>
        <v/>
      </c>
      <c r="U372" s="3">
        <f>IFERROR(Q372/O372,"")</f>
        <v/>
      </c>
      <c r="V372" t="n">
        <v>77</v>
      </c>
      <c r="W372" t="n">
        <v>69.94</v>
      </c>
      <c r="X372" t="n">
        <v>69.94</v>
      </c>
      <c r="Y372">
        <f>ROUND(V372-W372,2)</f>
        <v/>
      </c>
      <c r="Z372">
        <f>ROUND(V372-X372,2)</f>
        <v/>
      </c>
      <c r="AA372" s="3">
        <f>IFERROR(W372/V372,"")</f>
        <v/>
      </c>
      <c r="AB372" s="3">
        <f>IFERROR(X372/V372,"")</f>
        <v/>
      </c>
      <c r="AC372" t="b">
        <v>0</v>
      </c>
      <c r="AD372" t="b">
        <v>0</v>
      </c>
      <c r="AE372" t="b">
        <v>0</v>
      </c>
      <c r="AF372" t="inlineStr">
        <is>
          <t>No</t>
        </is>
      </c>
      <c r="AI372" t="b">
        <v>0</v>
      </c>
      <c r="AJ372" t="n">
        <v>0</v>
      </c>
      <c r="AK372" t="inlineStr"/>
      <c r="AL372" t="inlineStr">
        <is>
          <t>IT - Information Technology (Sebastian L.)</t>
        </is>
      </c>
      <c r="AM372" t="inlineStr">
        <is>
          <t>P&amp;P - Processes &amp; Platforms (Bernd O.)</t>
        </is>
      </c>
      <c r="AN372" t="inlineStr">
        <is>
          <t>P&amp;DE - Platforms &amp; Digital Ecosystems (David S.)</t>
        </is>
      </c>
      <c r="AO372" t="inlineStr">
        <is>
          <t>bridgingIT GmbH</t>
        </is>
      </c>
      <c r="AP372" t="inlineStr">
        <is>
          <t>Mannheim</t>
        </is>
      </c>
      <c r="AQ372" t="inlineStr">
        <is>
          <t>Bernd Opitz</t>
        </is>
      </c>
    </row>
    <row r="373">
      <c r="A373" t="inlineStr">
        <is>
          <t>10274</t>
        </is>
      </c>
      <c r="B373" t="inlineStr">
        <is>
          <t>FB743C</t>
        </is>
      </c>
      <c r="C373" t="inlineStr">
        <is>
          <t>https://app.matchical.com/Consulting/ConsultantDetail?ConsultantId=261be0ef-8156-48ac-b425-a4a7741d5b8e</t>
        </is>
      </c>
      <c r="D373" t="inlineStr">
        <is>
          <t>Maximilian Köhler</t>
        </is>
      </c>
      <c r="E373" t="inlineStr">
        <is>
          <t>maximilian.koehler@crafting-it.de</t>
        </is>
      </c>
      <c r="F373" s="2" t="n">
        <v>45352</v>
      </c>
      <c r="H373" t="n">
        <v>5</v>
      </c>
      <c r="I373" t="n">
        <v>0</v>
      </c>
      <c r="J373" t="n">
        <v>0</v>
      </c>
      <c r="L373" s="2" t="n">
        <v>45870</v>
      </c>
      <c r="M373" s="2" t="n">
        <v>46022</v>
      </c>
      <c r="N373" t="b">
        <v>0</v>
      </c>
      <c r="O373" t="n">
        <v>24</v>
      </c>
      <c r="P373" t="n">
        <v>33</v>
      </c>
      <c r="Q373" t="n">
        <v>20</v>
      </c>
      <c r="R373">
        <f>ROUND(O373-P373,2)</f>
        <v/>
      </c>
      <c r="S373">
        <f>ROUND(O373-Q373,2)</f>
        <v/>
      </c>
      <c r="T373" s="3">
        <f>IFERROR(P373/O373,"")</f>
        <v/>
      </c>
      <c r="U373" s="3">
        <f>IFERROR(Q373/O373,"")</f>
        <v/>
      </c>
      <c r="V373" t="n">
        <v>1490</v>
      </c>
      <c r="W373" t="n">
        <v>0</v>
      </c>
      <c r="X373" t="n">
        <v>0</v>
      </c>
      <c r="Y373">
        <f>ROUND(V373-W373,2)</f>
        <v/>
      </c>
      <c r="Z373">
        <f>ROUND(V373-X373,2)</f>
        <v/>
      </c>
      <c r="AA373" s="3">
        <f>IFERROR(W373/V373,"")</f>
        <v/>
      </c>
      <c r="AB373" s="3">
        <f>IFERROR(X373/V373,"")</f>
        <v/>
      </c>
      <c r="AC373" t="b">
        <v>0</v>
      </c>
      <c r="AD373" t="b">
        <v>0</v>
      </c>
      <c r="AE373" t="b">
        <v>0</v>
      </c>
      <c r="AF373" t="inlineStr">
        <is>
          <t>No</t>
        </is>
      </c>
      <c r="AI373" t="b">
        <v>1</v>
      </c>
      <c r="AJ373" t="n">
        <v>0</v>
      </c>
      <c r="AK373" t="inlineStr"/>
      <c r="AL373" t="inlineStr">
        <is>
          <t>ORG cIT</t>
        </is>
      </c>
      <c r="AM373" t="inlineStr">
        <is>
          <t>cIT Development</t>
        </is>
      </c>
      <c r="AN373" t="inlineStr">
        <is>
          <t>cIT Service Delivery Magdeburg (Steffen A.)</t>
        </is>
      </c>
      <c r="AO373" t="inlineStr">
        <is>
          <t>craftingIT GmbH</t>
        </is>
      </c>
      <c r="AP373" t="inlineStr">
        <is>
          <t>Magdeburg</t>
        </is>
      </c>
      <c r="AQ373" t="inlineStr">
        <is>
          <t>Jennifer Saalfeld</t>
        </is>
      </c>
    </row>
    <row r="374">
      <c r="A374" t="inlineStr">
        <is>
          <t>10296</t>
        </is>
      </c>
      <c r="B374" t="inlineStr">
        <is>
          <t>29EF28</t>
        </is>
      </c>
      <c r="C374" t="inlineStr">
        <is>
          <t>https://app.matchical.com/Consulting/ConsultantDetail?ConsultantId=7ef48fe3-790f-40bb-89c9-06ba4695cdce</t>
        </is>
      </c>
      <c r="D374" t="inlineStr">
        <is>
          <t>Maximilian Pöhls</t>
        </is>
      </c>
      <c r="E374" t="inlineStr">
        <is>
          <t>maximilian.poehls@bridging-it.de</t>
        </is>
      </c>
      <c r="F374" s="2" t="n">
        <v>45505</v>
      </c>
      <c r="G374" s="2" t="n">
        <v>44044</v>
      </c>
      <c r="H374" t="n">
        <v>11</v>
      </c>
      <c r="I374" t="n">
        <v>0</v>
      </c>
      <c r="J374" t="n">
        <v>1</v>
      </c>
      <c r="K374" s="2" t="n">
        <v>45597</v>
      </c>
      <c r="L374" s="2" t="n">
        <v>45657</v>
      </c>
      <c r="M374" s="2" t="n">
        <v>46052</v>
      </c>
      <c r="N374" t="b">
        <v>0</v>
      </c>
      <c r="O374" t="n">
        <v>19</v>
      </c>
      <c r="P374" t="n">
        <v>34</v>
      </c>
      <c r="Q374" t="n">
        <v>18.79</v>
      </c>
      <c r="R374">
        <f>ROUND(O374-P374,2)</f>
        <v/>
      </c>
      <c r="S374">
        <f>ROUND(O374-Q374,2)</f>
        <v/>
      </c>
      <c r="T374" s="3">
        <f>IFERROR(P374/O374,"")</f>
        <v/>
      </c>
      <c r="U374" s="3">
        <f>IFERROR(Q374/O374,"")</f>
        <v/>
      </c>
      <c r="V374" t="n">
        <v>48</v>
      </c>
      <c r="W374" t="n">
        <v>50.99</v>
      </c>
      <c r="X374" t="n">
        <v>45.15</v>
      </c>
      <c r="Y374">
        <f>ROUND(V374-W374,2)</f>
        <v/>
      </c>
      <c r="Z374">
        <f>ROUND(V374-X374,2)</f>
        <v/>
      </c>
      <c r="AA374" s="3">
        <f>IFERROR(W374/V374,"")</f>
        <v/>
      </c>
      <c r="AB374" s="3">
        <f>IFERROR(X374/V374,"")</f>
        <v/>
      </c>
      <c r="AC374" t="b">
        <v>0</v>
      </c>
      <c r="AD374" t="b">
        <v>0</v>
      </c>
      <c r="AE374" t="b">
        <v>0</v>
      </c>
      <c r="AF374" t="inlineStr">
        <is>
          <t>No</t>
        </is>
      </c>
      <c r="AI374" t="b">
        <v>1</v>
      </c>
      <c r="AJ374" t="n">
        <v>0</v>
      </c>
      <c r="AK374" t="inlineStr"/>
      <c r="AL374" t="inlineStr">
        <is>
          <t>ORG bIT Bayern</t>
        </is>
      </c>
      <c r="AM374" t="inlineStr">
        <is>
          <t>CDI Cloud DevOps &amp; IT-Architecture (Tim J.)</t>
        </is>
      </c>
      <c r="AN374" t="inlineStr">
        <is>
          <t>SEC Software Engineering &amp; Cloud (Eli G.)</t>
        </is>
      </c>
      <c r="AO374" t="inlineStr">
        <is>
          <t>bridgingIT GmbH</t>
        </is>
      </c>
      <c r="AP374" t="inlineStr">
        <is>
          <t>München</t>
        </is>
      </c>
      <c r="AQ374" t="inlineStr">
        <is>
          <t>Tim Jabke</t>
        </is>
      </c>
    </row>
    <row r="375">
      <c r="A375" t="inlineStr">
        <is>
          <t>1494</t>
        </is>
      </c>
      <c r="B375" t="inlineStr">
        <is>
          <t>DF31C9</t>
        </is>
      </c>
      <c r="C375" t="inlineStr">
        <is>
          <t>https://app.matchical.com/Consulting/ConsultantDetail?ConsultantId=da1ecca0-0829-42c8-b436-68c377b08499</t>
        </is>
      </c>
      <c r="D375" t="inlineStr">
        <is>
          <t>Maximilian Schuhmacher</t>
        </is>
      </c>
      <c r="E375" t="inlineStr">
        <is>
          <t>maximilian.schuhmacher@bridging-it.de</t>
        </is>
      </c>
      <c r="F375" s="2" t="n">
        <v>44531</v>
      </c>
      <c r="G375" s="2" t="n">
        <v>44531</v>
      </c>
      <c r="H375" t="n">
        <v>8</v>
      </c>
      <c r="I375" t="n">
        <v>0</v>
      </c>
      <c r="J375" t="n">
        <v>2</v>
      </c>
      <c r="K375" s="2" t="n">
        <v>44592</v>
      </c>
      <c r="L375" s="2" t="n">
        <v>44957</v>
      </c>
      <c r="M375" s="2" t="n">
        <v>45565</v>
      </c>
      <c r="N375" t="b">
        <v>0</v>
      </c>
      <c r="O375" t="n">
        <v>51</v>
      </c>
      <c r="P375" t="n">
        <v>115.81</v>
      </c>
      <c r="Q375" t="n">
        <v>50.79</v>
      </c>
      <c r="R375">
        <f>ROUND(O375-P375,2)</f>
        <v/>
      </c>
      <c r="S375">
        <f>ROUND(O375-Q375,2)</f>
        <v/>
      </c>
      <c r="T375" s="3">
        <f>IFERROR(P375/O375,"")</f>
        <v/>
      </c>
      <c r="U375" s="3">
        <f>IFERROR(Q375/O375,"")</f>
        <v/>
      </c>
      <c r="V375" t="n">
        <v>0</v>
      </c>
      <c r="W375" t="n">
        <v>0</v>
      </c>
      <c r="X375" t="n">
        <v>0</v>
      </c>
      <c r="Y375">
        <f>ROUND(V375-W375,2)</f>
        <v/>
      </c>
      <c r="Z375">
        <f>ROUND(V375-X375,2)</f>
        <v/>
      </c>
      <c r="AA375" s="3">
        <f>IFERROR(W375/V375,"")</f>
        <v/>
      </c>
      <c r="AB375" s="3">
        <f>IFERROR(X375/V375,"")</f>
        <v/>
      </c>
      <c r="AC375" t="b">
        <v>0</v>
      </c>
      <c r="AD375" t="b">
        <v>0</v>
      </c>
      <c r="AE375" t="b">
        <v>0</v>
      </c>
      <c r="AF375" t="inlineStr">
        <is>
          <t>No</t>
        </is>
      </c>
      <c r="AI375" t="b">
        <v>0</v>
      </c>
      <c r="AJ375" t="n">
        <v>0</v>
      </c>
      <c r="AK375" t="inlineStr"/>
      <c r="AL375" t="inlineStr">
        <is>
          <t>A&amp;SE Analytics &amp; Software Engineering (Philip R.)</t>
        </is>
      </c>
      <c r="AM375" t="inlineStr">
        <is>
          <t>FV Fullstack Visionaries (Matthias H.)</t>
        </is>
      </c>
      <c r="AN375" t="inlineStr">
        <is>
          <t>FUN Fullstack Ninjas (Stefan Z.)</t>
        </is>
      </c>
      <c r="AO375" t="inlineStr">
        <is>
          <t>bridgingIT GmbH</t>
        </is>
      </c>
      <c r="AP375" t="inlineStr">
        <is>
          <t>Mannheim</t>
        </is>
      </c>
      <c r="AQ375" t="inlineStr">
        <is>
          <t>Matthias Hetz</t>
        </is>
      </c>
    </row>
    <row r="376">
      <c r="A376" t="inlineStr">
        <is>
          <t>3135</t>
        </is>
      </c>
      <c r="B376" t="inlineStr">
        <is>
          <t>7DD525</t>
        </is>
      </c>
      <c r="C376" t="inlineStr">
        <is>
          <t>https://app.matchical.com/Consulting/ConsultantDetail?ConsultantId=449470e6-bb32-4e1d-9c7c-11433f10f590</t>
        </is>
      </c>
      <c r="D376" t="inlineStr">
        <is>
          <t>Maximilian Stolz</t>
        </is>
      </c>
      <c r="E376" t="inlineStr">
        <is>
          <t>maximilian.stolz@bridging-it.de</t>
        </is>
      </c>
      <c r="F376" s="2" t="n">
        <v>42779</v>
      </c>
      <c r="G376" s="2" t="n">
        <v>42779</v>
      </c>
      <c r="H376" t="n">
        <v>9</v>
      </c>
      <c r="I376" t="n">
        <v>1</v>
      </c>
      <c r="J376" t="n">
        <v>0</v>
      </c>
      <c r="L376" s="2" t="n">
        <v>45596</v>
      </c>
      <c r="M376" s="2" t="n">
        <v>45657</v>
      </c>
      <c r="N376" t="b">
        <v>0</v>
      </c>
      <c r="O376" t="n">
        <v>108</v>
      </c>
      <c r="P376" t="n">
        <v>90</v>
      </c>
      <c r="Q376" t="n">
        <v>82</v>
      </c>
      <c r="R376">
        <f>ROUND(O376-P376,2)</f>
        <v/>
      </c>
      <c r="S376">
        <f>ROUND(O376-Q376,2)</f>
        <v/>
      </c>
      <c r="T376" s="3">
        <f>IFERROR(P376/O376,"")</f>
        <v/>
      </c>
      <c r="U376" s="3">
        <f>IFERROR(Q376/O376,"")</f>
        <v/>
      </c>
      <c r="V376" t="n">
        <v>0</v>
      </c>
      <c r="W376" t="n">
        <v>0</v>
      </c>
      <c r="X376" t="n">
        <v>0</v>
      </c>
      <c r="Y376">
        <f>ROUND(V376-W376,2)</f>
        <v/>
      </c>
      <c r="Z376">
        <f>ROUND(V376-X376,2)</f>
        <v/>
      </c>
      <c r="AA376" s="3">
        <f>IFERROR(W376/V376,"")</f>
        <v/>
      </c>
      <c r="AB376" s="3">
        <f>IFERROR(X376/V376,"")</f>
        <v/>
      </c>
      <c r="AC376" t="b">
        <v>0</v>
      </c>
      <c r="AD376" t="b">
        <v>0</v>
      </c>
      <c r="AE376" t="b">
        <v>0</v>
      </c>
      <c r="AF376" t="inlineStr">
        <is>
          <t>No</t>
        </is>
      </c>
      <c r="AI376" t="b">
        <v>0</v>
      </c>
      <c r="AJ376" t="n">
        <v>0</v>
      </c>
      <c r="AK376" t="inlineStr"/>
      <c r="AL376" t="inlineStr">
        <is>
          <t>ORG bIT</t>
        </is>
      </c>
      <c r="AM376" t="inlineStr">
        <is>
          <t>SE Software Engineering Frankfurt (Andreas M.)</t>
        </is>
      </c>
      <c r="AN376" t="inlineStr">
        <is>
          <t>ES Enterprise Solutions (Dominik H.)</t>
        </is>
      </c>
      <c r="AO376" t="inlineStr">
        <is>
          <t>bridgingIT GmbH</t>
        </is>
      </c>
      <c r="AP376" t="inlineStr">
        <is>
          <t>Frankfurt</t>
        </is>
      </c>
      <c r="AQ376" t="inlineStr">
        <is>
          <t>Andreas Morgenstern</t>
        </is>
      </c>
    </row>
    <row r="377">
      <c r="A377" t="inlineStr">
        <is>
          <t>10089</t>
        </is>
      </c>
      <c r="B377" t="inlineStr">
        <is>
          <t>AC1BF4</t>
        </is>
      </c>
      <c r="C377" t="inlineStr">
        <is>
          <t>https://app.matchical.com/Consulting/ConsultantDetail?ConsultantId=74301880-cb3d-4630-a1ff-f15c569ce5aa</t>
        </is>
      </c>
      <c r="D377" t="inlineStr">
        <is>
          <t>Maximilian Thiele</t>
        </is>
      </c>
      <c r="E377" t="inlineStr">
        <is>
          <t>maximilian.thiele@bridging-it.de</t>
        </is>
      </c>
      <c r="F377" s="2" t="n">
        <v>44986</v>
      </c>
      <c r="G377" s="2" t="n">
        <v>43374</v>
      </c>
      <c r="H377" t="n">
        <v>4</v>
      </c>
      <c r="I377" t="n">
        <v>0</v>
      </c>
      <c r="J377" t="n">
        <v>1</v>
      </c>
      <c r="K377" s="2" t="n">
        <v>44992</v>
      </c>
      <c r="L377" s="2" t="n">
        <v>44804</v>
      </c>
      <c r="M377" s="2" t="n">
        <v>44925</v>
      </c>
      <c r="N377" t="b">
        <v>0</v>
      </c>
      <c r="O377" t="n">
        <v>36</v>
      </c>
      <c r="P377" t="n">
        <v>35</v>
      </c>
      <c r="Q377" t="n">
        <v>35</v>
      </c>
      <c r="R377">
        <f>ROUND(O377-P377,2)</f>
        <v/>
      </c>
      <c r="S377">
        <f>ROUND(O377-Q377,2)</f>
        <v/>
      </c>
      <c r="T377" s="3">
        <f>IFERROR(P377/O377,"")</f>
        <v/>
      </c>
      <c r="U377" s="3">
        <f>IFERROR(Q377/O377,"")</f>
        <v/>
      </c>
      <c r="V377" t="n">
        <v>53</v>
      </c>
      <c r="W377" t="n">
        <v>20</v>
      </c>
      <c r="X377" t="n">
        <v>20</v>
      </c>
      <c r="Y377">
        <f>ROUND(V377-W377,2)</f>
        <v/>
      </c>
      <c r="Z377">
        <f>ROUND(V377-X377,2)</f>
        <v/>
      </c>
      <c r="AA377" s="3">
        <f>IFERROR(W377/V377,"")</f>
        <v/>
      </c>
      <c r="AB377" s="3">
        <f>IFERROR(X377/V377,"")</f>
        <v/>
      </c>
      <c r="AC377" t="b">
        <v>0</v>
      </c>
      <c r="AD377" t="b">
        <v>0</v>
      </c>
      <c r="AE377" t="b">
        <v>0</v>
      </c>
      <c r="AF377" t="inlineStr">
        <is>
          <t>No</t>
        </is>
      </c>
      <c r="AI377" t="b">
        <v>1</v>
      </c>
      <c r="AJ377" t="n">
        <v>0</v>
      </c>
      <c r="AK377" t="inlineStr"/>
      <c r="AL377" t="inlineStr">
        <is>
          <t>T&amp;A - Transformation &amp; Agility (Arne K.)</t>
        </is>
      </c>
      <c r="AM377" t="inlineStr">
        <is>
          <t>TBC - Transforming Business Concepts (Bastian T.)</t>
        </is>
      </c>
      <c r="AN377" t="inlineStr">
        <is>
          <t>TBC - Transforming Business Concepts (Bastian T.)</t>
        </is>
      </c>
      <c r="AO377" t="inlineStr">
        <is>
          <t>bridgingIT GmbH</t>
        </is>
      </c>
      <c r="AP377" t="inlineStr">
        <is>
          <t>Mannheim</t>
        </is>
      </c>
      <c r="AQ377" t="inlineStr">
        <is>
          <t>Bastian Trauth</t>
        </is>
      </c>
    </row>
    <row r="378">
      <c r="A378" t="inlineStr">
        <is>
          <t>10103</t>
        </is>
      </c>
      <c r="B378" t="inlineStr">
        <is>
          <t>89FCAD</t>
        </is>
      </c>
      <c r="C378" t="inlineStr">
        <is>
          <t>https://app.matchical.com/Consulting/ConsultantDetail?ConsultantId=4d8038c0-d7c3-4c6a-bbe4-9ebc02488e25</t>
        </is>
      </c>
      <c r="D378" t="inlineStr">
        <is>
          <t>Mehmet Fidan</t>
        </is>
      </c>
      <c r="E378" t="inlineStr">
        <is>
          <t>mehmet.fidan@bridging-it.de</t>
        </is>
      </c>
      <c r="F378" s="2" t="n">
        <v>45017</v>
      </c>
      <c r="G378" s="2" t="n">
        <v>44562</v>
      </c>
      <c r="H378" t="n">
        <v>4</v>
      </c>
      <c r="I378" t="n">
        <v>0</v>
      </c>
      <c r="J378" t="n">
        <v>1</v>
      </c>
      <c r="K378" s="2" t="n">
        <v>44286</v>
      </c>
      <c r="L378" s="2" t="n">
        <v>45039</v>
      </c>
      <c r="M378" s="2" t="n">
        <v>45291</v>
      </c>
      <c r="N378" t="b">
        <v>0</v>
      </c>
      <c r="O378" t="n">
        <v>35</v>
      </c>
      <c r="P378" t="n">
        <v>51.33</v>
      </c>
      <c r="Q378" t="n">
        <v>34.83</v>
      </c>
      <c r="R378">
        <f>ROUND(O378-P378,2)</f>
        <v/>
      </c>
      <c r="S378">
        <f>ROUND(O378-Q378,2)</f>
        <v/>
      </c>
      <c r="T378" s="3">
        <f>IFERROR(P378/O378,"")</f>
        <v/>
      </c>
      <c r="U378" s="3">
        <f>IFERROR(Q378/O378,"")</f>
        <v/>
      </c>
      <c r="V378" t="n">
        <v>15</v>
      </c>
      <c r="W378" t="n">
        <v>18.73</v>
      </c>
      <c r="X378" t="n">
        <v>14.79</v>
      </c>
      <c r="Y378">
        <f>ROUND(V378-W378,2)</f>
        <v/>
      </c>
      <c r="Z378">
        <f>ROUND(V378-X378,2)</f>
        <v/>
      </c>
      <c r="AA378" s="3">
        <f>IFERROR(W378/V378,"")</f>
        <v/>
      </c>
      <c r="AB378" s="3">
        <f>IFERROR(X378/V378,"")</f>
        <v/>
      </c>
      <c r="AC378" t="b">
        <v>0</v>
      </c>
      <c r="AD378" t="b">
        <v>0</v>
      </c>
      <c r="AE378" t="b">
        <v>0</v>
      </c>
      <c r="AF378" t="inlineStr">
        <is>
          <t>No</t>
        </is>
      </c>
      <c r="AI378" t="b">
        <v>1</v>
      </c>
      <c r="AJ378" t="n">
        <v>0</v>
      </c>
      <c r="AK378" t="inlineStr">
        <is>
          <t>Project ops:
SWS
Komm.one by 30.09.
50 Hz</t>
        </is>
      </c>
      <c r="AL378" t="inlineStr">
        <is>
          <t>IT Information Technology (Hauke G.)</t>
        </is>
      </c>
      <c r="AM378" t="inlineStr">
        <is>
          <t>CT Cloud Technology II (Marc L.)</t>
        </is>
      </c>
      <c r="AN378" t="inlineStr">
        <is>
          <t>TC Technology &amp; Cloud (Martin S.)</t>
        </is>
      </c>
      <c r="AO378" t="inlineStr">
        <is>
          <t>bridgingIT GmbH</t>
        </is>
      </c>
      <c r="AP378" t="inlineStr">
        <is>
          <t>Stuttgart</t>
        </is>
      </c>
      <c r="AQ378" t="inlineStr">
        <is>
          <t>Marc Leunig</t>
        </is>
      </c>
    </row>
    <row r="379">
      <c r="A379" t="inlineStr">
        <is>
          <t>2234</t>
        </is>
      </c>
      <c r="B379" t="inlineStr">
        <is>
          <t>BE1188</t>
        </is>
      </c>
      <c r="C379" t="inlineStr">
        <is>
          <t>https://app.matchical.com/Consulting/ConsultantDetail?ConsultantId=7d400981-b225-4bc1-88c4-0e1d0c8582bb</t>
        </is>
      </c>
      <c r="D379" t="inlineStr">
        <is>
          <t>Melanie Buchmüller-Schuon</t>
        </is>
      </c>
      <c r="E379" t="inlineStr">
        <is>
          <t>melanie.buchmueller-schuon@bridging-it.de</t>
        </is>
      </c>
      <c r="F379" s="2" t="n">
        <v>43374</v>
      </c>
      <c r="G379" s="2" t="n">
        <v>41036</v>
      </c>
      <c r="H379" t="n">
        <v>12</v>
      </c>
      <c r="I379" t="n">
        <v>0</v>
      </c>
      <c r="J379" t="n">
        <v>1</v>
      </c>
      <c r="K379" s="2" t="n">
        <v>41912</v>
      </c>
      <c r="L379" s="2" t="n">
        <v>44662</v>
      </c>
      <c r="M379" s="2" t="n">
        <v>45045</v>
      </c>
      <c r="N379" t="b">
        <v>0</v>
      </c>
      <c r="O379" t="n">
        <v>89</v>
      </c>
      <c r="P379" t="n">
        <v>147.26</v>
      </c>
      <c r="Q379" t="n">
        <v>80.86</v>
      </c>
      <c r="R379">
        <f>ROUND(O379-P379,2)</f>
        <v/>
      </c>
      <c r="S379">
        <f>ROUND(O379-Q379,2)</f>
        <v/>
      </c>
      <c r="T379" s="3">
        <f>IFERROR(P379/O379,"")</f>
        <v/>
      </c>
      <c r="U379" s="3">
        <f>IFERROR(Q379/O379,"")</f>
        <v/>
      </c>
      <c r="V379" t="n">
        <v>77</v>
      </c>
      <c r="W379" t="n">
        <v>149.74</v>
      </c>
      <c r="X379" t="n">
        <v>71.14</v>
      </c>
      <c r="Y379">
        <f>ROUND(V379-W379,2)</f>
        <v/>
      </c>
      <c r="Z379">
        <f>ROUND(V379-X379,2)</f>
        <v/>
      </c>
      <c r="AA379" s="3">
        <f>IFERROR(W379/V379,"")</f>
        <v/>
      </c>
      <c r="AB379" s="3">
        <f>IFERROR(X379/V379,"")</f>
        <v/>
      </c>
      <c r="AC379" t="b">
        <v>0</v>
      </c>
      <c r="AD379" t="b">
        <v>0</v>
      </c>
      <c r="AE379" t="b">
        <v>0</v>
      </c>
      <c r="AF379" t="inlineStr">
        <is>
          <t>No</t>
        </is>
      </c>
      <c r="AI379" t="b">
        <v>0</v>
      </c>
      <c r="AJ379" t="n">
        <v>0</v>
      </c>
      <c r="AK379" t="inlineStr"/>
      <c r="AL379" t="inlineStr">
        <is>
          <t>Sales BL</t>
        </is>
      </c>
      <c r="AM379" t="inlineStr">
        <is>
          <t>SAL Team Kernbach</t>
        </is>
      </c>
      <c r="AN379" t="inlineStr">
        <is>
          <t>Capability Management (Tim T.)</t>
        </is>
      </c>
      <c r="AO379" t="inlineStr">
        <is>
          <t>bridgingIT GmbH</t>
        </is>
      </c>
      <c r="AP379" t="inlineStr">
        <is>
          <t>Stuttgart</t>
        </is>
      </c>
      <c r="AQ379" t="inlineStr">
        <is>
          <t>Andreas Kernbach</t>
        </is>
      </c>
    </row>
    <row r="380">
      <c r="A380" t="inlineStr">
        <is>
          <t>10157</t>
        </is>
      </c>
      <c r="B380" t="inlineStr">
        <is>
          <t>D66587</t>
        </is>
      </c>
      <c r="C380" t="inlineStr">
        <is>
          <t>https://app.matchical.com/Consulting/ConsultantDetail?ConsultantId=063e6c13-4ca0-4b06-853e-f7de36920e31</t>
        </is>
      </c>
      <c r="D380" t="inlineStr">
        <is>
          <t>Melanie Ntolo</t>
        </is>
      </c>
      <c r="E380" t="inlineStr">
        <is>
          <t>melanie.ntolo@bridging-it.de</t>
        </is>
      </c>
      <c r="F380" s="2" t="n">
        <v>45170</v>
      </c>
      <c r="G380" s="2" t="n">
        <v>38384</v>
      </c>
      <c r="H380" t="n">
        <v>14</v>
      </c>
      <c r="I380" t="n">
        <v>0</v>
      </c>
      <c r="J380" t="n">
        <v>1</v>
      </c>
      <c r="K380" s="2" t="n">
        <v>45657</v>
      </c>
      <c r="L380" s="2" t="n">
        <v>45808</v>
      </c>
      <c r="M380" s="2" t="n">
        <v>46052</v>
      </c>
      <c r="N380" t="b">
        <v>0</v>
      </c>
      <c r="O380" t="n">
        <v>30</v>
      </c>
      <c r="P380" t="n">
        <v>59</v>
      </c>
      <c r="Q380" t="n">
        <v>29.8</v>
      </c>
      <c r="R380">
        <f>ROUND(O380-P380,2)</f>
        <v/>
      </c>
      <c r="S380">
        <f>ROUND(O380-Q380,2)</f>
        <v/>
      </c>
      <c r="T380" s="3">
        <f>IFERROR(P380/O380,"")</f>
        <v/>
      </c>
      <c r="U380" s="3">
        <f>IFERROR(Q380/O380,"")</f>
        <v/>
      </c>
      <c r="V380" t="n">
        <v>223</v>
      </c>
      <c r="W380" t="n">
        <v>211.97</v>
      </c>
      <c r="X380" t="n">
        <v>211.97</v>
      </c>
      <c r="Y380">
        <f>ROUND(V380-W380,2)</f>
        <v/>
      </c>
      <c r="Z380">
        <f>ROUND(V380-X380,2)</f>
        <v/>
      </c>
      <c r="AA380" s="3">
        <f>IFERROR(W380/V380,"")</f>
        <v/>
      </c>
      <c r="AB380" s="3">
        <f>IFERROR(X380/V380,"")</f>
        <v/>
      </c>
      <c r="AC380" t="b">
        <v>0</v>
      </c>
      <c r="AD380" t="b">
        <v>0</v>
      </c>
      <c r="AE380" t="b">
        <v>0</v>
      </c>
      <c r="AF380" t="inlineStr">
        <is>
          <t>Yes</t>
        </is>
      </c>
      <c r="AG380" s="2" t="n">
        <v>46023</v>
      </c>
      <c r="AI380" t="b">
        <v>1</v>
      </c>
      <c r="AJ380" t="n">
        <v>5</v>
      </c>
      <c r="AK380" t="inlineStr">
        <is>
          <t>Melanie is urgently seeking a project in Data Engineering / Data Visualization.</t>
        </is>
      </c>
      <c r="AL380" t="inlineStr">
        <is>
          <t>ORG bIT</t>
        </is>
      </c>
      <c r="AM380" t="inlineStr">
        <is>
          <t>DAC - Data Analytics Cologne (Manuel N.)</t>
        </is>
      </c>
      <c r="AN380" t="inlineStr">
        <is>
          <t>DPC - Datalytics &amp; Process Cologne (Claudia P.)</t>
        </is>
      </c>
      <c r="AO380" t="inlineStr">
        <is>
          <t>bridgingIT GmbH</t>
        </is>
      </c>
      <c r="AP380" t="inlineStr">
        <is>
          <t>Hamburg</t>
        </is>
      </c>
      <c r="AQ380" t="inlineStr">
        <is>
          <t>Manuel Niklos</t>
        </is>
      </c>
    </row>
    <row r="381">
      <c r="A381" t="inlineStr">
        <is>
          <t>10467</t>
        </is>
      </c>
      <c r="B381" t="inlineStr">
        <is>
          <t>06EFAB</t>
        </is>
      </c>
      <c r="C381" t="inlineStr">
        <is>
          <t>https://app.matchical.com/Consulting/ConsultantDetail?ConsultantId=29527d85-cdcd-4cb8-81d8-74444509e0e0</t>
        </is>
      </c>
      <c r="D381" t="inlineStr">
        <is>
          <t>Melika Standtke</t>
        </is>
      </c>
      <c r="E381" t="inlineStr">
        <is>
          <t>melika.standtke@bridging-it.de</t>
        </is>
      </c>
      <c r="F381" s="2" t="n">
        <v>46113</v>
      </c>
      <c r="H381" t="n">
        <v>3</v>
      </c>
      <c r="I381" t="n">
        <v>0</v>
      </c>
      <c r="J381" t="n">
        <v>0</v>
      </c>
      <c r="L381" s="2" t="n">
        <v>45747</v>
      </c>
      <c r="M381" s="2" t="n">
        <v>45899</v>
      </c>
      <c r="N381" t="b">
        <v>0</v>
      </c>
      <c r="O381" t="n">
        <v>0</v>
      </c>
      <c r="P381" t="n">
        <v>0</v>
      </c>
      <c r="Q381" t="n">
        <v>0</v>
      </c>
      <c r="R381">
        <f>ROUND(O381-P381,2)</f>
        <v/>
      </c>
      <c r="S381">
        <f>ROUND(O381-Q381,2)</f>
        <v/>
      </c>
      <c r="T381" s="3">
        <f>IFERROR(P381/O381,"")</f>
        <v/>
      </c>
      <c r="U381" s="3">
        <f>IFERROR(Q381/O381,"")</f>
        <v/>
      </c>
      <c r="V381" t="n">
        <v>1515</v>
      </c>
      <c r="W381" t="n">
        <v>42</v>
      </c>
      <c r="X381" t="n">
        <v>23</v>
      </c>
      <c r="Y381">
        <f>ROUND(V381-W381,2)</f>
        <v/>
      </c>
      <c r="Z381">
        <f>ROUND(V381-X381,2)</f>
        <v/>
      </c>
      <c r="AA381" s="3">
        <f>IFERROR(W381/V381,"")</f>
        <v/>
      </c>
      <c r="AB381" s="3">
        <f>IFERROR(X381/V381,"")</f>
        <v/>
      </c>
      <c r="AC381" t="b">
        <v>0</v>
      </c>
      <c r="AD381" t="b">
        <v>0</v>
      </c>
      <c r="AE381" t="b">
        <v>0</v>
      </c>
      <c r="AF381" t="inlineStr">
        <is>
          <t>Yes</t>
        </is>
      </c>
      <c r="AG381" s="2" t="n">
        <v>46113</v>
      </c>
      <c r="AI381" t="b">
        <v>1</v>
      </c>
      <c r="AJ381" t="n">
        <v>5</v>
      </c>
      <c r="AK381" t="inlineStr"/>
      <c r="AL381" t="inlineStr">
        <is>
          <t>IT - Information Technology (HH)</t>
        </is>
      </c>
      <c r="AM381" t="inlineStr">
        <is>
          <t>IPM - IT PM (Peter T.)</t>
        </is>
      </c>
      <c r="AN381" t="inlineStr">
        <is>
          <t>MWT HH (Udo P.)</t>
        </is>
      </c>
      <c r="AO381" t="inlineStr">
        <is>
          <t>bridgingIT GmbH</t>
        </is>
      </c>
      <c r="AP381" t="inlineStr">
        <is>
          <t>Hamburg</t>
        </is>
      </c>
      <c r="AQ381" t="inlineStr">
        <is>
          <t>Peter Triftshäuser</t>
        </is>
      </c>
    </row>
    <row r="382">
      <c r="A382" t="inlineStr">
        <is>
          <t>10011</t>
        </is>
      </c>
      <c r="B382" t="inlineStr">
        <is>
          <t>937AE6</t>
        </is>
      </c>
      <c r="C382" t="inlineStr">
        <is>
          <t>https://app.matchical.com/Consulting/ConsultantDetail?ConsultantId=4c18bd8e-b978-47b8-a9ee-6b2f50f152d5</t>
        </is>
      </c>
      <c r="D382" t="inlineStr">
        <is>
          <t>Michael Bohn</t>
        </is>
      </c>
      <c r="E382" t="inlineStr">
        <is>
          <t>michael.bohn@bridging-it.de</t>
        </is>
      </c>
      <c r="F382" s="2" t="n">
        <v>44866</v>
      </c>
      <c r="G382" s="2" t="n">
        <v>40909</v>
      </c>
      <c r="H382" t="n">
        <v>17</v>
      </c>
      <c r="I382" t="n">
        <v>0</v>
      </c>
      <c r="J382" t="n">
        <v>1</v>
      </c>
      <c r="K382" s="2" t="n">
        <v>45152</v>
      </c>
      <c r="L382" s="2" t="n">
        <v>45907</v>
      </c>
      <c r="M382" s="2" t="n">
        <v>46053</v>
      </c>
      <c r="N382" t="b">
        <v>0</v>
      </c>
      <c r="O382" t="n">
        <v>40</v>
      </c>
      <c r="P382" t="n">
        <v>74</v>
      </c>
      <c r="Q382" t="n">
        <v>39.79</v>
      </c>
      <c r="R382">
        <f>ROUND(O382-P382,2)</f>
        <v/>
      </c>
      <c r="S382">
        <f>ROUND(O382-Q382,2)</f>
        <v/>
      </c>
      <c r="T382" s="3">
        <f>IFERROR(P382/O382,"")</f>
        <v/>
      </c>
      <c r="U382" s="3">
        <f>IFERROR(Q382/O382,"")</f>
        <v/>
      </c>
      <c r="V382" t="n">
        <v>130</v>
      </c>
      <c r="W382" t="n">
        <v>162.97</v>
      </c>
      <c r="X382" t="n">
        <v>84.97</v>
      </c>
      <c r="Y382">
        <f>ROUND(V382-W382,2)</f>
        <v/>
      </c>
      <c r="Z382">
        <f>ROUND(V382-X382,2)</f>
        <v/>
      </c>
      <c r="AA382" s="3">
        <f>IFERROR(W382/V382,"")</f>
        <v/>
      </c>
      <c r="AB382" s="3">
        <f>IFERROR(X382/V382,"")</f>
        <v/>
      </c>
      <c r="AC382" t="b">
        <v>0</v>
      </c>
      <c r="AD382" t="b">
        <v>0</v>
      </c>
      <c r="AE382" t="b">
        <v>0</v>
      </c>
      <c r="AF382" t="inlineStr">
        <is>
          <t>No</t>
        </is>
      </c>
      <c r="AI382" t="b">
        <v>1</v>
      </c>
      <c r="AJ382" t="n">
        <v>0</v>
      </c>
      <c r="AK382" t="inlineStr">
        <is>
          <t>PPM, PO, BA - Travel-ready, experienced, and also open to AnÜ. The project at Emil Frey was suddenly halted today (01.09.) on the onboarding day. Available immediately.</t>
        </is>
      </c>
      <c r="AL382" t="inlineStr">
        <is>
          <t>DO Digital Organizations (Michael H.)</t>
        </is>
      </c>
      <c r="AM382" t="inlineStr">
        <is>
          <t>BT Business Transform. III (Valerie L.)</t>
        </is>
      </c>
      <c r="AN382" t="inlineStr">
        <is>
          <t>BT Business Transformation (Julian D.)</t>
        </is>
      </c>
      <c r="AO382" t="inlineStr">
        <is>
          <t>bridgingIT GmbH</t>
        </is>
      </c>
      <c r="AP382" t="inlineStr">
        <is>
          <t>Stuttgart</t>
        </is>
      </c>
      <c r="AQ382" t="inlineStr">
        <is>
          <t>Valerie Lorenz</t>
        </is>
      </c>
    </row>
    <row r="383">
      <c r="A383" t="inlineStr">
        <is>
          <t>10331</t>
        </is>
      </c>
      <c r="B383" t="inlineStr">
        <is>
          <t>944952</t>
        </is>
      </c>
      <c r="C383" t="inlineStr">
        <is>
          <t>https://app.matchical.com/Consulting/ConsultantDetail?ConsultantId=12fc2651-f88b-4150-a068-684df99a4615</t>
        </is>
      </c>
      <c r="D383" t="inlineStr">
        <is>
          <t>Michael Bredelin</t>
        </is>
      </c>
      <c r="E383" t="inlineStr">
        <is>
          <t>michael.bredelin@bridging-it.de</t>
        </is>
      </c>
      <c r="F383" s="2" t="n">
        <v>45536</v>
      </c>
      <c r="G383" s="2" t="n">
        <v>33147</v>
      </c>
      <c r="H383" t="n">
        <v>2</v>
      </c>
      <c r="I383" t="n">
        <v>0</v>
      </c>
      <c r="J383" t="n">
        <v>2</v>
      </c>
      <c r="K383" s="2" t="n">
        <v>44439</v>
      </c>
      <c r="N383" t="b">
        <v>0</v>
      </c>
      <c r="O383" t="n">
        <v>18</v>
      </c>
      <c r="P383" t="n">
        <v>34.47</v>
      </c>
      <c r="Q383" t="n">
        <v>17.77</v>
      </c>
      <c r="R383">
        <f>ROUND(O383-P383,2)</f>
        <v/>
      </c>
      <c r="S383">
        <f>ROUND(O383-Q383,2)</f>
        <v/>
      </c>
      <c r="T383" s="3">
        <f>IFERROR(P383/O383,"")</f>
        <v/>
      </c>
      <c r="U383" s="3">
        <f>IFERROR(Q383/O383,"")</f>
        <v/>
      </c>
      <c r="V383" t="n">
        <v>407</v>
      </c>
      <c r="W383" t="n">
        <v>35.53</v>
      </c>
      <c r="X383" t="n">
        <v>30.15</v>
      </c>
      <c r="Y383">
        <f>ROUND(V383-W383,2)</f>
        <v/>
      </c>
      <c r="Z383">
        <f>ROUND(V383-X383,2)</f>
        <v/>
      </c>
      <c r="AA383" s="3">
        <f>IFERROR(W383/V383,"")</f>
        <v/>
      </c>
      <c r="AB383" s="3">
        <f>IFERROR(X383/V383,"")</f>
        <v/>
      </c>
      <c r="AC383" t="b">
        <v>0</v>
      </c>
      <c r="AD383" t="b">
        <v>0</v>
      </c>
      <c r="AE383" t="b">
        <v>0</v>
      </c>
      <c r="AF383" t="inlineStr">
        <is>
          <t>Yes</t>
        </is>
      </c>
      <c r="AG383" s="2" t="n">
        <v>46054</v>
      </c>
      <c r="AI383" t="b">
        <v>1</v>
      </c>
      <c r="AJ383" t="n">
        <v>2.38</v>
      </c>
      <c r="AK383" t="inlineStr"/>
      <c r="AL383" t="inlineStr">
        <is>
          <t>IT Information Technology (Hauke G.)</t>
        </is>
      </c>
      <c r="AM383" t="inlineStr">
        <is>
          <t>CIS Compliance &amp; Information Security (David T.)</t>
        </is>
      </c>
      <c r="AN383" t="inlineStr">
        <is>
          <t>GRC IT-GRC (Erhan N.)</t>
        </is>
      </c>
      <c r="AO383" t="inlineStr">
        <is>
          <t>bridgingIT GmbH</t>
        </is>
      </c>
      <c r="AP383" t="inlineStr">
        <is>
          <t>Stuttgart</t>
        </is>
      </c>
      <c r="AQ383" t="inlineStr">
        <is>
          <t>David Turan</t>
        </is>
      </c>
    </row>
    <row r="384">
      <c r="A384" t="inlineStr">
        <is>
          <t>8068</t>
        </is>
      </c>
      <c r="B384" t="inlineStr">
        <is>
          <t>C42BC9</t>
        </is>
      </c>
      <c r="C384" t="inlineStr">
        <is>
          <t>https://app.matchical.com/Consulting/ConsultantDetail?ConsultantId=8f9a3229-de8c-4682-b40d-02e45669b9b2</t>
        </is>
      </c>
      <c r="D384" t="inlineStr">
        <is>
          <t>Michael Buchter</t>
        </is>
      </c>
      <c r="E384" t="inlineStr">
        <is>
          <t>michael.buchter@crafting-it.de</t>
        </is>
      </c>
      <c r="F384" s="2" t="n">
        <v>42461</v>
      </c>
      <c r="G384" s="2" t="n">
        <v>42461</v>
      </c>
      <c r="H384" t="n">
        <v>10</v>
      </c>
      <c r="I384" t="n">
        <v>0</v>
      </c>
      <c r="J384" t="n">
        <v>0</v>
      </c>
      <c r="L384" s="2" t="n">
        <v>44562</v>
      </c>
      <c r="M384" s="2" t="n">
        <v>44926</v>
      </c>
      <c r="N384" t="b">
        <v>0</v>
      </c>
      <c r="O384" t="n">
        <v>119</v>
      </c>
      <c r="P384" t="n">
        <v>412.51</v>
      </c>
      <c r="Q384" t="n">
        <v>118.8</v>
      </c>
      <c r="R384">
        <f>ROUND(O384-P384,2)</f>
        <v/>
      </c>
      <c r="S384">
        <f>ROUND(O384-Q384,2)</f>
        <v/>
      </c>
      <c r="T384" s="3">
        <f>IFERROR(P384/O384,"")</f>
        <v/>
      </c>
      <c r="U384" s="3">
        <f>IFERROR(Q384/O384,"")</f>
        <v/>
      </c>
      <c r="V384" t="n">
        <v>0</v>
      </c>
      <c r="W384" t="n">
        <v>0</v>
      </c>
      <c r="X384" t="n">
        <v>0</v>
      </c>
      <c r="Y384">
        <f>ROUND(V384-W384,2)</f>
        <v/>
      </c>
      <c r="Z384">
        <f>ROUND(V384-X384,2)</f>
        <v/>
      </c>
      <c r="AA384" s="3">
        <f>IFERROR(W384/V384,"")</f>
        <v/>
      </c>
      <c r="AB384" s="3">
        <f>IFERROR(X384/V384,"")</f>
        <v/>
      </c>
      <c r="AC384" t="b">
        <v>0</v>
      </c>
      <c r="AD384" t="b">
        <v>0</v>
      </c>
      <c r="AE384" t="b">
        <v>0</v>
      </c>
      <c r="AF384" t="inlineStr">
        <is>
          <t>No</t>
        </is>
      </c>
      <c r="AI384" t="b">
        <v>1</v>
      </c>
      <c r="AJ384" t="n">
        <v>0</v>
      </c>
      <c r="AK384" t="inlineStr"/>
      <c r="AL384" t="inlineStr">
        <is>
          <t>ORG cIT</t>
        </is>
      </c>
      <c r="AM384" t="inlineStr">
        <is>
          <t>cIT AMS / GIS Services (Michael B.)</t>
        </is>
      </c>
      <c r="AN384" t="inlineStr">
        <is>
          <t>cIT Service Delivery Magdeburg (Steffen A.)</t>
        </is>
      </c>
      <c r="AO384" t="inlineStr">
        <is>
          <t>craftingIT GmbH</t>
        </is>
      </c>
      <c r="AP384" t="inlineStr">
        <is>
          <t>Karlsruhe</t>
        </is>
      </c>
      <c r="AQ384" t="inlineStr">
        <is>
          <t>Steffen Adam</t>
        </is>
      </c>
    </row>
    <row r="385">
      <c r="A385" t="inlineStr">
        <is>
          <t>7038</t>
        </is>
      </c>
      <c r="B385" t="inlineStr">
        <is>
          <t>F757A4</t>
        </is>
      </c>
      <c r="C385" t="inlineStr">
        <is>
          <t>https://app.matchical.com/Consulting/ConsultantDetail?ConsultantId=ead6919b-eae6-4ec2-9353-4de0d64d6978</t>
        </is>
      </c>
      <c r="D385" t="inlineStr">
        <is>
          <t>Michael Capone</t>
        </is>
      </c>
      <c r="E385" t="inlineStr">
        <is>
          <t>michael.capone@fastahead.com</t>
        </is>
      </c>
      <c r="F385" s="2" t="n">
        <v>44593</v>
      </c>
      <c r="G385" s="2" t="n">
        <v>34366</v>
      </c>
      <c r="H385" t="n">
        <v>11</v>
      </c>
      <c r="I385" t="n">
        <v>0</v>
      </c>
      <c r="J385" t="n">
        <v>0</v>
      </c>
      <c r="L385" s="2" t="n">
        <v>45880</v>
      </c>
      <c r="M385" s="2" t="n">
        <v>46022</v>
      </c>
      <c r="N385" t="b">
        <v>0</v>
      </c>
      <c r="O385" t="n">
        <v>49</v>
      </c>
      <c r="P385" t="n">
        <v>73</v>
      </c>
      <c r="Q385" t="n">
        <v>43</v>
      </c>
      <c r="R385">
        <f>ROUND(O385-P385,2)</f>
        <v/>
      </c>
      <c r="S385">
        <f>ROUND(O385-Q385,2)</f>
        <v/>
      </c>
      <c r="T385" s="3">
        <f>IFERROR(P385/O385,"")</f>
        <v/>
      </c>
      <c r="U385" s="3">
        <f>IFERROR(Q385/O385,"")</f>
        <v/>
      </c>
      <c r="V385" t="n">
        <v>336</v>
      </c>
      <c r="W385" t="n">
        <v>25</v>
      </c>
      <c r="X385" t="n">
        <v>16</v>
      </c>
      <c r="Y385">
        <f>ROUND(V385-W385,2)</f>
        <v/>
      </c>
      <c r="Z385">
        <f>ROUND(V385-X385,2)</f>
        <v/>
      </c>
      <c r="AA385" s="3">
        <f>IFERROR(W385/V385,"")</f>
        <v/>
      </c>
      <c r="AB385" s="3">
        <f>IFERROR(X385/V385,"")</f>
        <v/>
      </c>
      <c r="AC385" t="b">
        <v>0</v>
      </c>
      <c r="AD385" t="b">
        <v>0</v>
      </c>
      <c r="AE385" t="b">
        <v>0</v>
      </c>
      <c r="AF385" t="inlineStr">
        <is>
          <t>Yes</t>
        </is>
      </c>
      <c r="AG385" s="2" t="n">
        <v>45870</v>
      </c>
      <c r="AH385" s="2" t="n">
        <v>46387</v>
      </c>
      <c r="AI385" t="b">
        <v>1</v>
      </c>
      <c r="AJ385" t="n">
        <v>5</v>
      </c>
      <c r="AK385" t="inlineStr">
        <is>
          <t>Innovation, SAFe, AGILE, Consulting, CRM, process consulting, service processes, GDPR, market research, strategic consulting
various bidding situations in manufacturing (Rexroth, SPIE, Deutz, NRW)</t>
        </is>
      </c>
      <c r="AL385" t="inlineStr">
        <is>
          <t>ORG fastahead GmbH &amp; Co. KG</t>
        </is>
      </c>
      <c r="AM385" t="inlineStr">
        <is>
          <t>IT-Transition (D. Rheinwalt)</t>
        </is>
      </c>
      <c r="AN385" t="inlineStr">
        <is>
          <t>fah Daniel Rheinwalt</t>
        </is>
      </c>
      <c r="AO385" t="inlineStr">
        <is>
          <t>fastahead GmbH &amp; Co. KG</t>
        </is>
      </c>
      <c r="AP385" t="inlineStr">
        <is>
          <t>Berlin</t>
        </is>
      </c>
      <c r="AQ385" t="inlineStr">
        <is>
          <t>Daniel Rheinwalt</t>
        </is>
      </c>
    </row>
    <row r="386">
      <c r="A386" t="inlineStr">
        <is>
          <t>3217</t>
        </is>
      </c>
      <c r="B386" t="inlineStr">
        <is>
          <t>643841</t>
        </is>
      </c>
      <c r="C386" t="inlineStr">
        <is>
          <t>https://app.matchical.com/Consulting/ConsultantDetail?ConsultantId=2b4b4ea3-a617-4bc2-ac13-389d84693f1d</t>
        </is>
      </c>
      <c r="D386" t="inlineStr">
        <is>
          <t>Michael Dambeck</t>
        </is>
      </c>
      <c r="E386" t="inlineStr">
        <is>
          <t>michael.dambeck@bridging-it.de</t>
        </is>
      </c>
      <c r="F386" s="2" t="n">
        <v>44228</v>
      </c>
      <c r="G386" s="2" t="n">
        <v>42036</v>
      </c>
      <c r="H386" t="n">
        <v>13</v>
      </c>
      <c r="I386" t="n">
        <v>0</v>
      </c>
      <c r="J386" t="n">
        <v>1</v>
      </c>
      <c r="K386" s="2" t="n">
        <v>44926</v>
      </c>
      <c r="L386" s="2" t="n">
        <v>44927</v>
      </c>
      <c r="M386" s="2" t="n">
        <v>45657</v>
      </c>
      <c r="N386" t="b">
        <v>0</v>
      </c>
      <c r="O386" t="n">
        <v>61</v>
      </c>
      <c r="P386" t="n">
        <v>148</v>
      </c>
      <c r="Q386" t="n">
        <v>59</v>
      </c>
      <c r="R386">
        <f>ROUND(O386-P386,2)</f>
        <v/>
      </c>
      <c r="S386">
        <f>ROUND(O386-Q386,2)</f>
        <v/>
      </c>
      <c r="T386" s="3">
        <f>IFERROR(P386/O386,"")</f>
        <v/>
      </c>
      <c r="U386" s="3">
        <f>IFERROR(Q386/O386,"")</f>
        <v/>
      </c>
      <c r="V386" t="n">
        <v>72</v>
      </c>
      <c r="W386" t="n">
        <v>48</v>
      </c>
      <c r="X386" t="n">
        <v>45</v>
      </c>
      <c r="Y386">
        <f>ROUND(V386-W386,2)</f>
        <v/>
      </c>
      <c r="Z386">
        <f>ROUND(V386-X386,2)</f>
        <v/>
      </c>
      <c r="AA386" s="3">
        <f>IFERROR(W386/V386,"")</f>
        <v/>
      </c>
      <c r="AB386" s="3">
        <f>IFERROR(X386/V386,"")</f>
        <v/>
      </c>
      <c r="AC386" t="b">
        <v>0</v>
      </c>
      <c r="AD386" t="b">
        <v>0</v>
      </c>
      <c r="AE386" t="b">
        <v>0</v>
      </c>
      <c r="AF386" t="inlineStr">
        <is>
          <t>No</t>
        </is>
      </c>
      <c r="AI386" t="b">
        <v>1</v>
      </c>
      <c r="AJ386" t="n">
        <v>0</v>
      </c>
      <c r="AK386" t="inlineStr"/>
      <c r="AL386" t="inlineStr">
        <is>
          <t>ORG bIT</t>
        </is>
      </c>
      <c r="AM386" t="inlineStr">
        <is>
          <t>Life Science Solutions FFM1 (Holger B.)</t>
        </is>
      </c>
      <c r="AN386" t="inlineStr">
        <is>
          <t>CC Life Science Solutions (Sabine S.)</t>
        </is>
      </c>
      <c r="AO386" t="inlineStr">
        <is>
          <t>bridgingIT GmbH</t>
        </is>
      </c>
      <c r="AP386" t="inlineStr">
        <is>
          <t>Frankfurt</t>
        </is>
      </c>
      <c r="AQ386" t="inlineStr">
        <is>
          <t>Holger Bohlen</t>
        </is>
      </c>
    </row>
    <row r="387">
      <c r="A387" t="inlineStr">
        <is>
          <t>2101</t>
        </is>
      </c>
      <c r="B387" t="inlineStr">
        <is>
          <t>E9B056</t>
        </is>
      </c>
      <c r="C387" t="inlineStr">
        <is>
          <t>https://app.matchical.com/Consulting/ConsultantDetail?ConsultantId=a1434d9d-d54a-4a30-a776-7af771327dbb</t>
        </is>
      </c>
      <c r="D387" t="inlineStr">
        <is>
          <t>Michael Hagenlocher</t>
        </is>
      </c>
      <c r="E387" t="inlineStr">
        <is>
          <t>michael.hagenlocher@bridging-it.de</t>
        </is>
      </c>
      <c r="F387" s="2" t="n">
        <v>41913</v>
      </c>
      <c r="G387" s="2" t="n">
        <v>38534</v>
      </c>
      <c r="H387" t="n">
        <v>30</v>
      </c>
      <c r="I387" t="n">
        <v>0</v>
      </c>
      <c r="J387" t="n">
        <v>0</v>
      </c>
      <c r="L387" s="2" t="n">
        <v>45554</v>
      </c>
      <c r="M387" s="2" t="n">
        <v>45847</v>
      </c>
      <c r="N387" t="b">
        <v>0</v>
      </c>
      <c r="O387" t="n">
        <v>137</v>
      </c>
      <c r="P387" t="n">
        <v>201</v>
      </c>
      <c r="Q387" t="n">
        <v>126</v>
      </c>
      <c r="R387">
        <f>ROUND(O387-P387,2)</f>
        <v/>
      </c>
      <c r="S387">
        <f>ROUND(O387-Q387,2)</f>
        <v/>
      </c>
      <c r="T387" s="3">
        <f>IFERROR(P387/O387,"")</f>
        <v/>
      </c>
      <c r="U387" s="3">
        <f>IFERROR(Q387/O387,"")</f>
        <v/>
      </c>
      <c r="V387" t="n">
        <v>111</v>
      </c>
      <c r="W387" t="n">
        <v>48</v>
      </c>
      <c r="X387" t="n">
        <v>34</v>
      </c>
      <c r="Y387">
        <f>ROUND(V387-W387,2)</f>
        <v/>
      </c>
      <c r="Z387">
        <f>ROUND(V387-X387,2)</f>
        <v/>
      </c>
      <c r="AA387" s="3">
        <f>IFERROR(W387/V387,"")</f>
        <v/>
      </c>
      <c r="AB387" s="3">
        <f>IFERROR(X387/V387,"")</f>
        <v/>
      </c>
      <c r="AC387" t="b">
        <v>0</v>
      </c>
      <c r="AD387" t="b">
        <v>0</v>
      </c>
      <c r="AE387" t="b">
        <v>0</v>
      </c>
      <c r="AF387" t="inlineStr">
        <is>
          <t>No</t>
        </is>
      </c>
      <c r="AI387" t="b">
        <v>0</v>
      </c>
      <c r="AJ387" t="n">
        <v>0</v>
      </c>
      <c r="AK387" t="inlineStr"/>
      <c r="AL387" t="inlineStr">
        <is>
          <t>DO Digital Organizations (Michael H.)</t>
        </is>
      </c>
      <c r="AM387" t="inlineStr">
        <is>
          <t>DO Line Management (Michael H.)</t>
        </is>
      </c>
      <c r="AN387" t="inlineStr">
        <is>
          <t>DO Line Management (Michael H.)</t>
        </is>
      </c>
      <c r="AO387" t="inlineStr">
        <is>
          <t>bridgingIT GmbH</t>
        </is>
      </c>
      <c r="AP387" t="inlineStr">
        <is>
          <t>Stuttgart</t>
        </is>
      </c>
      <c r="AQ387" t="inlineStr">
        <is>
          <t>Tim Kost</t>
        </is>
      </c>
    </row>
    <row r="388">
      <c r="A388" t="inlineStr">
        <is>
          <t>1177</t>
        </is>
      </c>
      <c r="B388" t="inlineStr">
        <is>
          <t>A31B3A</t>
        </is>
      </c>
      <c r="C388" t="inlineStr">
        <is>
          <t>https://app.matchical.com/Consulting/ConsultantDetail?ConsultantId=fa4990d2-8b8f-4282-881a-a47daf6b128e</t>
        </is>
      </c>
      <c r="D388" t="inlineStr">
        <is>
          <t>Michael Heßner</t>
        </is>
      </c>
      <c r="E388" t="inlineStr">
        <is>
          <t>michael.hessner@bridging-it.de</t>
        </is>
      </c>
      <c r="F388" s="2" t="n">
        <v>40817</v>
      </c>
      <c r="G388" s="2" t="n">
        <v>36192</v>
      </c>
      <c r="H388" t="n">
        <v>48</v>
      </c>
      <c r="I388" t="n">
        <v>0</v>
      </c>
      <c r="J388" t="n">
        <v>2</v>
      </c>
      <c r="K388" s="2" t="n">
        <v>43101</v>
      </c>
      <c r="L388" s="2" t="n">
        <v>45306</v>
      </c>
      <c r="M388" s="2" t="n">
        <v>45473</v>
      </c>
      <c r="N388" t="b">
        <v>0</v>
      </c>
      <c r="O388" t="n">
        <v>173</v>
      </c>
      <c r="P388" t="n">
        <v>370.06</v>
      </c>
      <c r="Q388" t="n">
        <v>172.81</v>
      </c>
      <c r="R388">
        <f>ROUND(O388-P388,2)</f>
        <v/>
      </c>
      <c r="S388">
        <f>ROUND(O388-Q388,2)</f>
        <v/>
      </c>
      <c r="T388" s="3">
        <f>IFERROR(P388/O388,"")</f>
        <v/>
      </c>
      <c r="U388" s="3">
        <f>IFERROR(Q388/O388,"")</f>
        <v/>
      </c>
      <c r="V388" t="n">
        <v>152</v>
      </c>
      <c r="W388" t="n">
        <v>152.94</v>
      </c>
      <c r="X388" t="n">
        <v>150.94</v>
      </c>
      <c r="Y388">
        <f>ROUND(V388-W388,2)</f>
        <v/>
      </c>
      <c r="Z388">
        <f>ROUND(V388-X388,2)</f>
        <v/>
      </c>
      <c r="AA388" s="3">
        <f>IFERROR(W388/V388,"")</f>
        <v/>
      </c>
      <c r="AB388" s="3">
        <f>IFERROR(X388/V388,"")</f>
        <v/>
      </c>
      <c r="AC388" t="b">
        <v>0</v>
      </c>
      <c r="AD388" t="b">
        <v>0</v>
      </c>
      <c r="AE388" t="b">
        <v>0</v>
      </c>
      <c r="AF388" t="inlineStr">
        <is>
          <t>No</t>
        </is>
      </c>
      <c r="AI388" t="b">
        <v>0</v>
      </c>
      <c r="AJ388" t="n">
        <v>0</v>
      </c>
      <c r="AK388" t="inlineStr">
        <is>
          <t>80% probability of continued engagement with Roche</t>
        </is>
      </c>
      <c r="AL388" t="inlineStr">
        <is>
          <t>IT - Information Technology (Sebastian L.)</t>
        </is>
      </c>
      <c r="AM388" t="inlineStr">
        <is>
          <t>ISM Information Security Management (Carsten T.)</t>
        </is>
      </c>
      <c r="AN388" t="inlineStr">
        <is>
          <t>O&amp;G - Organization &amp; Governance (Carsten T.)</t>
        </is>
      </c>
      <c r="AO388" t="inlineStr">
        <is>
          <t>bridgingIT GmbH</t>
        </is>
      </c>
      <c r="AP388" t="inlineStr">
        <is>
          <t>Mannheim</t>
        </is>
      </c>
      <c r="AQ388" t="inlineStr">
        <is>
          <t>Carsten Triebel</t>
        </is>
      </c>
    </row>
    <row r="389">
      <c r="A389" t="inlineStr">
        <is>
          <t>1172</t>
        </is>
      </c>
      <c r="B389" t="inlineStr">
        <is>
          <t>6DDA25</t>
        </is>
      </c>
      <c r="C389" t="inlineStr">
        <is>
          <t>https://app.matchical.com/Consulting/ConsultantDetail?ConsultantId=4e5d5efa-0825-43b5-aa66-32f591c8b655</t>
        </is>
      </c>
      <c r="D389" t="inlineStr">
        <is>
          <t>Michael Hof</t>
        </is>
      </c>
      <c r="E389" t="inlineStr">
        <is>
          <t>michael.hof@bridging-it.de</t>
        </is>
      </c>
      <c r="F389" s="2" t="n">
        <v>40787</v>
      </c>
      <c r="G389" s="2" t="n">
        <v>38231</v>
      </c>
      <c r="H389" t="n">
        <v>14</v>
      </c>
      <c r="I389" t="n">
        <v>0</v>
      </c>
      <c r="J389" t="n">
        <v>3</v>
      </c>
      <c r="K389" s="2" t="n">
        <v>40787</v>
      </c>
      <c r="L389" s="2" t="n">
        <v>41487</v>
      </c>
      <c r="M389" s="2" t="n">
        <v>43008</v>
      </c>
      <c r="N389" t="b">
        <v>0</v>
      </c>
      <c r="O389" t="n">
        <v>174</v>
      </c>
      <c r="P389" t="n">
        <v>483</v>
      </c>
      <c r="Q389" t="n">
        <v>173</v>
      </c>
      <c r="R389">
        <f>ROUND(O389-P389,2)</f>
        <v/>
      </c>
      <c r="S389">
        <f>ROUND(O389-Q389,2)</f>
        <v/>
      </c>
      <c r="T389" s="3">
        <f>IFERROR(P389/O389,"")</f>
        <v/>
      </c>
      <c r="U389" s="3">
        <f>IFERROR(Q389/O389,"")</f>
        <v/>
      </c>
      <c r="V389" t="n">
        <v>84</v>
      </c>
      <c r="W389" t="n">
        <v>103</v>
      </c>
      <c r="X389" t="n">
        <v>80</v>
      </c>
      <c r="Y389">
        <f>ROUND(V389-W389,2)</f>
        <v/>
      </c>
      <c r="Z389">
        <f>ROUND(V389-X389,2)</f>
        <v/>
      </c>
      <c r="AA389" s="3">
        <f>IFERROR(W389/V389,"")</f>
        <v/>
      </c>
      <c r="AB389" s="3">
        <f>IFERROR(X389/V389,"")</f>
        <v/>
      </c>
      <c r="AC389" t="b">
        <v>0</v>
      </c>
      <c r="AD389" t="b">
        <v>0</v>
      </c>
      <c r="AE389" t="b">
        <v>0</v>
      </c>
      <c r="AF389" t="inlineStr">
        <is>
          <t>No</t>
        </is>
      </c>
      <c r="AI389" t="b">
        <v>0</v>
      </c>
      <c r="AJ389" t="n">
        <v>0</v>
      </c>
      <c r="AK389" t="inlineStr"/>
      <c r="AL389" t="inlineStr">
        <is>
          <t>A&amp;SE Analytics &amp; Software Engineering (Philip R.)</t>
        </is>
      </c>
      <c r="AM389" t="inlineStr">
        <is>
          <t>DE Data Engineering (M. Hof)</t>
        </is>
      </c>
      <c r="AN389" t="inlineStr">
        <is>
          <t>A&amp;DDS - Analytics &amp; Data-driven Solutions (M. Hof)</t>
        </is>
      </c>
      <c r="AO389" t="inlineStr">
        <is>
          <t>bridgingIT GmbH</t>
        </is>
      </c>
      <c r="AP389" t="inlineStr">
        <is>
          <t>Mannheim</t>
        </is>
      </c>
      <c r="AQ389" t="inlineStr">
        <is>
          <t>Philip Rausch</t>
        </is>
      </c>
    </row>
    <row r="390">
      <c r="A390" t="inlineStr">
        <is>
          <t>2119</t>
        </is>
      </c>
      <c r="B390" t="inlineStr">
        <is>
          <t>A84CDA</t>
        </is>
      </c>
      <c r="C390" t="inlineStr">
        <is>
          <t>https://app.matchical.com/Consulting/ConsultantDetail?ConsultantId=f8d18859-f556-42bd-b050-88b668e32abd</t>
        </is>
      </c>
      <c r="D390" t="inlineStr">
        <is>
          <t>Michael Kirsch</t>
        </is>
      </c>
      <c r="E390" t="inlineStr">
        <is>
          <t>michael.kirsch@bridging-it.de</t>
        </is>
      </c>
      <c r="F390" s="2" t="n">
        <v>42217</v>
      </c>
      <c r="G390" s="2" t="n">
        <v>38261</v>
      </c>
      <c r="H390" t="n">
        <v>21</v>
      </c>
      <c r="I390" t="n">
        <v>0</v>
      </c>
      <c r="J390" t="n">
        <v>2</v>
      </c>
      <c r="K390" s="2" t="n">
        <v>42216</v>
      </c>
      <c r="L390" s="2" t="n">
        <v>45046</v>
      </c>
      <c r="M390" s="2" t="n">
        <v>45557</v>
      </c>
      <c r="N390" t="b">
        <v>0</v>
      </c>
      <c r="O390" t="n">
        <v>127</v>
      </c>
      <c r="P390" t="n">
        <v>320.97</v>
      </c>
      <c r="Q390" t="n">
        <v>125.99</v>
      </c>
      <c r="R390">
        <f>ROUND(O390-P390,2)</f>
        <v/>
      </c>
      <c r="S390">
        <f>ROUND(O390-Q390,2)</f>
        <v/>
      </c>
      <c r="T390" s="3">
        <f>IFERROR(P390/O390,"")</f>
        <v/>
      </c>
      <c r="U390" s="3">
        <f>IFERROR(Q390/O390,"")</f>
        <v/>
      </c>
      <c r="V390" t="n">
        <v>130</v>
      </c>
      <c r="W390" t="n">
        <v>202.03</v>
      </c>
      <c r="X390" t="n">
        <v>71.01000000000001</v>
      </c>
      <c r="Y390">
        <f>ROUND(V390-W390,2)</f>
        <v/>
      </c>
      <c r="Z390">
        <f>ROUND(V390-X390,2)</f>
        <v/>
      </c>
      <c r="AA390" s="3">
        <f>IFERROR(W390/V390,"")</f>
        <v/>
      </c>
      <c r="AB390" s="3">
        <f>IFERROR(X390/V390,"")</f>
        <v/>
      </c>
      <c r="AC390" t="b">
        <v>0</v>
      </c>
      <c r="AD390" t="b">
        <v>0</v>
      </c>
      <c r="AE390" t="b">
        <v>0</v>
      </c>
      <c r="AF390" t="inlineStr">
        <is>
          <t>No</t>
        </is>
      </c>
      <c r="AI390" t="b">
        <v>0</v>
      </c>
      <c r="AJ390" t="n">
        <v>0</v>
      </c>
      <c r="AK390" t="inlineStr">
        <is>
          <t>Extensive Enorme Energy experience, proven at the C-Level. Senior Project Manager.</t>
        </is>
      </c>
      <c r="AL390" t="inlineStr">
        <is>
          <t>DO Digital Organizations (Michael H.)</t>
        </is>
      </c>
      <c r="AM390" t="inlineStr">
        <is>
          <t>DO Line Management (Michael H.)</t>
        </is>
      </c>
      <c r="AN390" t="inlineStr">
        <is>
          <t>DO Line Management (Michael H.)</t>
        </is>
      </c>
      <c r="AO390" t="inlineStr">
        <is>
          <t>bridgingIT GmbH</t>
        </is>
      </c>
      <c r="AP390" t="inlineStr">
        <is>
          <t>Stuttgart</t>
        </is>
      </c>
      <c r="AQ390" t="inlineStr">
        <is>
          <t>Michael Hagenlocher</t>
        </is>
      </c>
    </row>
    <row r="391">
      <c r="A391" t="inlineStr">
        <is>
          <t>10085</t>
        </is>
      </c>
      <c r="B391" t="inlineStr">
        <is>
          <t>B1A0D3</t>
        </is>
      </c>
      <c r="C391" t="inlineStr">
        <is>
          <t>https://app.matchical.com/Consulting/ConsultantDetail?ConsultantId=2efbff5d-7bea-4de3-b07c-8d6ee0f4d5dd</t>
        </is>
      </c>
      <c r="D391" t="inlineStr">
        <is>
          <t>Michael Mathes</t>
        </is>
      </c>
      <c r="E391" t="inlineStr">
        <is>
          <t>michael.mathes@bridging-it.de</t>
        </is>
      </c>
      <c r="F391" s="2" t="n">
        <v>44986</v>
      </c>
      <c r="G391" s="2" t="n">
        <v>33848</v>
      </c>
      <c r="H391" t="n">
        <v>10</v>
      </c>
      <c r="I391" t="n">
        <v>0</v>
      </c>
      <c r="J391" t="n">
        <v>0</v>
      </c>
      <c r="L391" s="2" t="n">
        <v>44990</v>
      </c>
      <c r="M391" s="2" t="n">
        <v>45043</v>
      </c>
      <c r="N391" t="b">
        <v>0</v>
      </c>
      <c r="O391" t="n">
        <v>36</v>
      </c>
      <c r="P391" t="n">
        <v>2</v>
      </c>
      <c r="Q391" t="n">
        <v>2</v>
      </c>
      <c r="R391">
        <f>ROUND(O391-P391,2)</f>
        <v/>
      </c>
      <c r="S391">
        <f>ROUND(O391-Q391,2)</f>
        <v/>
      </c>
      <c r="T391" s="3">
        <f>IFERROR(P391/O391,"")</f>
        <v/>
      </c>
      <c r="U391" s="3">
        <f>IFERROR(Q391/O391,"")</f>
        <v/>
      </c>
      <c r="V391" t="n">
        <v>366</v>
      </c>
      <c r="W391" t="n">
        <v>189</v>
      </c>
      <c r="X391" t="n">
        <v>121</v>
      </c>
      <c r="Y391">
        <f>ROUND(V391-W391,2)</f>
        <v/>
      </c>
      <c r="Z391">
        <f>ROUND(V391-X391,2)</f>
        <v/>
      </c>
      <c r="AA391" s="3">
        <f>IFERROR(W391/V391,"")</f>
        <v/>
      </c>
      <c r="AB391" s="3">
        <f>IFERROR(X391/V391,"")</f>
        <v/>
      </c>
      <c r="AC391" t="b">
        <v>0</v>
      </c>
      <c r="AD391" t="b">
        <v>0</v>
      </c>
      <c r="AE391" t="b">
        <v>0</v>
      </c>
      <c r="AF391" t="inlineStr">
        <is>
          <t>No</t>
        </is>
      </c>
      <c r="AI391" t="b">
        <v>1</v>
      </c>
      <c r="AJ391" t="n">
        <v>0</v>
      </c>
      <c r="AK391" t="inlineStr">
        <is>
          <t>Project manager through and through: international large-scale projects (IT, finance, software, infra)\nIT security / cybersecurity, risk management, internal control system, deep technical IT knowledge, Linux, administration, network, IoT, process optimization, data management\nEnglish/French\nStructured, precise work; strong sense for processes, risks, and dependencies\nTo clarify and convey complex problems</t>
        </is>
      </c>
      <c r="AL391" t="inlineStr">
        <is>
          <t>IT Information Technology (Hauke G.)</t>
        </is>
      </c>
      <c r="AM391" t="inlineStr">
        <is>
          <t>ITS IT Security (Erhan N.)</t>
        </is>
      </c>
      <c r="AN391" t="inlineStr">
        <is>
          <t>GRC IT-GRC (Erhan N.)</t>
        </is>
      </c>
      <c r="AO391" t="inlineStr">
        <is>
          <t>bridgingIT GmbH</t>
        </is>
      </c>
      <c r="AP391" t="inlineStr">
        <is>
          <t>Stuttgart</t>
        </is>
      </c>
      <c r="AQ391" t="inlineStr">
        <is>
          <t>Erhan Nurdogan</t>
        </is>
      </c>
    </row>
    <row r="392">
      <c r="A392" t="inlineStr">
        <is>
          <t>1056</t>
        </is>
      </c>
      <c r="B392" t="inlineStr">
        <is>
          <t>C4D0AC</t>
        </is>
      </c>
      <c r="C392" t="inlineStr">
        <is>
          <t>https://app.matchical.com/Consulting/ConsultantDetail?ConsultantId=b5cff06d-befe-4cc1-b17c-13209940b887</t>
        </is>
      </c>
      <c r="D392" t="inlineStr">
        <is>
          <t>Michael Mohrbacher</t>
        </is>
      </c>
      <c r="E392" t="inlineStr">
        <is>
          <t>michael.mohrbacher@bridging-it.de</t>
        </is>
      </c>
      <c r="F392" s="2" t="n">
        <v>39569</v>
      </c>
      <c r="G392" s="2" t="n">
        <v>37500</v>
      </c>
      <c r="H392" t="n">
        <v>27</v>
      </c>
      <c r="I392" t="n">
        <v>0</v>
      </c>
      <c r="J392" t="n">
        <v>1</v>
      </c>
      <c r="K392" s="2" t="n">
        <v>42964</v>
      </c>
      <c r="L392" s="2" t="n">
        <v>45292</v>
      </c>
      <c r="M392" s="2" t="n">
        <v>45473</v>
      </c>
      <c r="N392" t="b">
        <v>0</v>
      </c>
      <c r="O392" t="n">
        <v>214</v>
      </c>
      <c r="P392" t="n">
        <v>273.98</v>
      </c>
      <c r="Q392" t="n">
        <v>183.65</v>
      </c>
      <c r="R392">
        <f>ROUND(O392-P392,2)</f>
        <v/>
      </c>
      <c r="S392">
        <f>ROUND(O392-Q392,2)</f>
        <v/>
      </c>
      <c r="T392" s="3">
        <f>IFERROR(P392/O392,"")</f>
        <v/>
      </c>
      <c r="U392" s="3">
        <f>IFERROR(Q392/O392,"")</f>
        <v/>
      </c>
      <c r="V392" t="n">
        <v>68</v>
      </c>
      <c r="W392" t="n">
        <v>50.02</v>
      </c>
      <c r="X392" t="n">
        <v>26.35</v>
      </c>
      <c r="Y392">
        <f>ROUND(V392-W392,2)</f>
        <v/>
      </c>
      <c r="Z392">
        <f>ROUND(V392-X392,2)</f>
        <v/>
      </c>
      <c r="AA392" s="3">
        <f>IFERROR(W392/V392,"")</f>
        <v/>
      </c>
      <c r="AB392" s="3">
        <f>IFERROR(X392/V392,"")</f>
        <v/>
      </c>
      <c r="AC392" t="b">
        <v>0</v>
      </c>
      <c r="AD392" t="b">
        <v>0</v>
      </c>
      <c r="AE392" t="b">
        <v>0</v>
      </c>
      <c r="AF392" t="inlineStr">
        <is>
          <t>No</t>
        </is>
      </c>
      <c r="AI392" t="b">
        <v>0</v>
      </c>
      <c r="AJ392" t="n">
        <v>0</v>
      </c>
      <c r="AK392" t="inlineStr"/>
      <c r="AL392" t="inlineStr">
        <is>
          <t>ORG bIT</t>
        </is>
      </c>
      <c r="AM392" t="inlineStr">
        <is>
          <t>Location Mannheim Team (Michael M.)</t>
        </is>
      </c>
      <c r="AN392" t="inlineStr">
        <is>
          <t>LM - Location Mannheim Unit (Michael M.)</t>
        </is>
      </c>
      <c r="AO392" t="inlineStr">
        <is>
          <t>bridgingIT GmbH</t>
        </is>
      </c>
      <c r="AP392" t="inlineStr">
        <is>
          <t>Mannheim</t>
        </is>
      </c>
      <c r="AQ392" t="inlineStr">
        <is>
          <t>Jochen Ruben</t>
        </is>
      </c>
    </row>
    <row r="393">
      <c r="A393" t="inlineStr">
        <is>
          <t>2099</t>
        </is>
      </c>
      <c r="B393" t="inlineStr">
        <is>
          <t>6A9B79</t>
        </is>
      </c>
      <c r="C393" t="inlineStr">
        <is>
          <t>https://app.matchical.com/Consulting/ConsultantDetail?ConsultantId=5bd647df-8106-44c5-adb4-c85a697cfd82</t>
        </is>
      </c>
      <c r="D393" t="inlineStr">
        <is>
          <t>Michael Oberdorf</t>
        </is>
      </c>
      <c r="E393" t="inlineStr">
        <is>
          <t>michael.oberdorf@bridging-it.de</t>
        </is>
      </c>
      <c r="F393" s="2" t="n">
        <v>41944</v>
      </c>
      <c r="G393" s="2" t="n">
        <v>36039</v>
      </c>
      <c r="H393" t="n">
        <v>16</v>
      </c>
      <c r="I393" t="n">
        <v>0</v>
      </c>
      <c r="J393" t="n">
        <v>1</v>
      </c>
      <c r="K393" s="2" t="n">
        <v>45901</v>
      </c>
      <c r="L393" s="2" t="n">
        <v>45473</v>
      </c>
      <c r="M393" s="2" t="n">
        <v>45899</v>
      </c>
      <c r="N393" t="b">
        <v>0</v>
      </c>
      <c r="O393" t="n">
        <v>136</v>
      </c>
      <c r="P393" t="n">
        <v>160.96</v>
      </c>
      <c r="Q393" t="n">
        <v>125.96</v>
      </c>
      <c r="R393">
        <f>ROUND(O393-P393,2)</f>
        <v/>
      </c>
      <c r="S393">
        <f>ROUND(O393-Q393,2)</f>
        <v/>
      </c>
      <c r="T393" s="3">
        <f>IFERROR(P393/O393,"")</f>
        <v/>
      </c>
      <c r="U393" s="3">
        <f>IFERROR(Q393/O393,"")</f>
        <v/>
      </c>
      <c r="V393" t="n">
        <v>194</v>
      </c>
      <c r="W393" t="n">
        <v>96.04000000000001</v>
      </c>
      <c r="X393" t="n">
        <v>96.04000000000001</v>
      </c>
      <c r="Y393">
        <f>ROUND(V393-W393,2)</f>
        <v/>
      </c>
      <c r="Z393">
        <f>ROUND(V393-X393,2)</f>
        <v/>
      </c>
      <c r="AA393" s="3">
        <f>IFERROR(W393/V393,"")</f>
        <v/>
      </c>
      <c r="AB393" s="3">
        <f>IFERROR(X393/V393,"")</f>
        <v/>
      </c>
      <c r="AC393" t="b">
        <v>0</v>
      </c>
      <c r="AD393" t="b">
        <v>0</v>
      </c>
      <c r="AE393" t="b">
        <v>0</v>
      </c>
      <c r="AF393" t="inlineStr">
        <is>
          <t>No</t>
        </is>
      </c>
      <c r="AI393" t="b">
        <v>0</v>
      </c>
      <c r="AJ393" t="n">
        <v>0</v>
      </c>
      <c r="AK393" t="inlineStr">
        <is>
          <t>Michael has a very broad and solid technical understanding. In addition to Azure and Terraform, he has very strong skills in Python/Analytics.
The field of DevOps Engineering in the areas of containers, IaC CI/CD, and automation is his home turf.</t>
        </is>
      </c>
      <c r="AL393" t="inlineStr">
        <is>
          <t>IT Information Technology (Hauke G.)</t>
        </is>
      </c>
      <c r="AM393" t="inlineStr">
        <is>
          <t>CT Cloud Technology II (Marc L.)</t>
        </is>
      </c>
      <c r="AN393" t="inlineStr">
        <is>
          <t>TC Technology &amp; Cloud (Martin S.)</t>
        </is>
      </c>
      <c r="AO393" t="inlineStr">
        <is>
          <t>bridgingIT GmbH</t>
        </is>
      </c>
      <c r="AP393" t="inlineStr">
        <is>
          <t>Stuttgart</t>
        </is>
      </c>
      <c r="AQ393" t="inlineStr">
        <is>
          <t>Marc Leunig</t>
        </is>
      </c>
    </row>
    <row r="394">
      <c r="A394" t="inlineStr">
        <is>
          <t>5105</t>
        </is>
      </c>
      <c r="B394" t="inlineStr">
        <is>
          <t>DF75E4</t>
        </is>
      </c>
      <c r="C394" t="inlineStr">
        <is>
          <t>https://app.matchical.com/Consulting/ConsultantDetail?ConsultantId=561ceca6-46ea-48d4-9ce7-653e9fba2fef</t>
        </is>
      </c>
      <c r="D394" t="inlineStr">
        <is>
          <t>Michael Stephan</t>
        </is>
      </c>
      <c r="E394" t="inlineStr">
        <is>
          <t>michael.stephan@bridging-it.de</t>
        </is>
      </c>
      <c r="F394" s="2" t="n">
        <v>44866</v>
      </c>
      <c r="G394" s="2" t="n">
        <v>34700</v>
      </c>
      <c r="H394" t="n">
        <v>10</v>
      </c>
      <c r="I394" t="n">
        <v>0</v>
      </c>
      <c r="J394" t="n">
        <v>3</v>
      </c>
      <c r="K394" s="2" t="n">
        <v>44561</v>
      </c>
      <c r="L394" s="2" t="n">
        <v>44316</v>
      </c>
      <c r="M394" s="2" t="n">
        <v>45106</v>
      </c>
      <c r="N394" t="b">
        <v>0</v>
      </c>
      <c r="O394" t="n">
        <v>40</v>
      </c>
      <c r="P394" t="n">
        <v>106.04</v>
      </c>
      <c r="Q394" t="n">
        <v>39.79</v>
      </c>
      <c r="R394">
        <f>ROUND(O394-P394,2)</f>
        <v/>
      </c>
      <c r="S394">
        <f>ROUND(O394-Q394,2)</f>
        <v/>
      </c>
      <c r="T394" s="3">
        <f>IFERROR(P394/O394,"")</f>
        <v/>
      </c>
      <c r="U394" s="3">
        <f>IFERROR(Q394/O394,"")</f>
        <v/>
      </c>
      <c r="V394" t="n">
        <v>334</v>
      </c>
      <c r="W394" t="n">
        <v>181.96</v>
      </c>
      <c r="X394" t="n">
        <v>121.12</v>
      </c>
      <c r="Y394">
        <f>ROUND(V394-W394,2)</f>
        <v/>
      </c>
      <c r="Z394">
        <f>ROUND(V394-X394,2)</f>
        <v/>
      </c>
      <c r="AA394" s="3">
        <f>IFERROR(W394/V394,"")</f>
        <v/>
      </c>
      <c r="AB394" s="3">
        <f>IFERROR(X394/V394,"")</f>
        <v/>
      </c>
      <c r="AC394" t="b">
        <v>0</v>
      </c>
      <c r="AD394" t="b">
        <v>0</v>
      </c>
      <c r="AE394" t="b">
        <v>0</v>
      </c>
      <c r="AF394" t="inlineStr">
        <is>
          <t>No</t>
        </is>
      </c>
      <c r="AI394" t="b">
        <v>1</v>
      </c>
      <c r="AJ394" t="n">
        <v>2.5</v>
      </c>
      <c r="AK394" t="inlineStr"/>
      <c r="AL394" t="inlineStr">
        <is>
          <t>ORG bIT</t>
        </is>
      </c>
      <c r="AM394" t="inlineStr">
        <is>
          <t>SEC - Software Engineering Cologne (Michael S.)</t>
        </is>
      </c>
      <c r="AN394" t="inlineStr">
        <is>
          <t>ITMC - IT-Management Cologne (Dominik H.)</t>
        </is>
      </c>
      <c r="AO394" t="inlineStr">
        <is>
          <t>bridgingIT GmbH</t>
        </is>
      </c>
      <c r="AP394" t="inlineStr">
        <is>
          <t>Köln</t>
        </is>
      </c>
      <c r="AQ394" t="inlineStr">
        <is>
          <t>Dominik Hanft</t>
        </is>
      </c>
    </row>
    <row r="395">
      <c r="A395" t="inlineStr">
        <is>
          <t>1193</t>
        </is>
      </c>
      <c r="B395" t="inlineStr">
        <is>
          <t>60DFB4</t>
        </is>
      </c>
      <c r="C395" t="inlineStr">
        <is>
          <t>https://app.matchical.com/Consulting/ConsultantDetail?ConsultantId=99e23d18-6784-4590-9797-944aca4e6bd3</t>
        </is>
      </c>
      <c r="D395" t="inlineStr">
        <is>
          <t>Michael Zahneißen</t>
        </is>
      </c>
      <c r="E395" t="inlineStr">
        <is>
          <t>michael.zahneissen@bridging-it.de</t>
        </is>
      </c>
      <c r="F395" s="2" t="n">
        <v>41122</v>
      </c>
      <c r="G395" s="2" t="n">
        <v>33239</v>
      </c>
      <c r="H395" t="n">
        <v>20</v>
      </c>
      <c r="I395" t="n">
        <v>0</v>
      </c>
      <c r="J395" t="n">
        <v>0</v>
      </c>
      <c r="L395" s="2" t="n">
        <v>44562</v>
      </c>
      <c r="M395" s="2" t="n">
        <v>45657</v>
      </c>
      <c r="N395" t="b">
        <v>0</v>
      </c>
      <c r="O395" t="n">
        <v>163</v>
      </c>
      <c r="P395" t="n">
        <v>208</v>
      </c>
      <c r="Q395" t="n">
        <v>143</v>
      </c>
      <c r="R395">
        <f>ROUND(O395-P395,2)</f>
        <v/>
      </c>
      <c r="S395">
        <f>ROUND(O395-Q395,2)</f>
        <v/>
      </c>
      <c r="T395" s="3">
        <f>IFERROR(P395/O395,"")</f>
        <v/>
      </c>
      <c r="U395" s="3">
        <f>IFERROR(Q395/O395,"")</f>
        <v/>
      </c>
      <c r="V395" t="n">
        <v>259</v>
      </c>
      <c r="W395" t="n">
        <v>0</v>
      </c>
      <c r="X395" t="n">
        <v>0</v>
      </c>
      <c r="Y395">
        <f>ROUND(V395-W395,2)</f>
        <v/>
      </c>
      <c r="Z395">
        <f>ROUND(V395-X395,2)</f>
        <v/>
      </c>
      <c r="AA395" s="3">
        <f>IFERROR(W395/V395,"")</f>
        <v/>
      </c>
      <c r="AB395" s="3">
        <f>IFERROR(X395/V395,"")</f>
        <v/>
      </c>
      <c r="AC395" t="b">
        <v>0</v>
      </c>
      <c r="AD395" t="b">
        <v>0</v>
      </c>
      <c r="AE395" t="b">
        <v>0</v>
      </c>
      <c r="AF395" t="inlineStr">
        <is>
          <t>No</t>
        </is>
      </c>
      <c r="AG395" s="2" t="n">
        <v>43617</v>
      </c>
      <c r="AI395" t="b">
        <v>0</v>
      </c>
      <c r="AJ395" t="n">
        <v>5</v>
      </c>
      <c r="AK395" t="inlineStr">
        <is>
          <t>none</t>
        </is>
      </c>
      <c r="AL395" t="inlineStr">
        <is>
          <t>IT - Information Technology (Sebastian L.)</t>
        </is>
      </c>
      <c r="AM395" t="inlineStr">
        <is>
          <t>PAM Platform Architecture Management (David S.)</t>
        </is>
      </c>
      <c r="AN395" t="inlineStr">
        <is>
          <t>P&amp;DE - Platforms &amp; Digital Ecosystems (David S.)</t>
        </is>
      </c>
      <c r="AO395" t="inlineStr">
        <is>
          <t>bridgingIT GmbH</t>
        </is>
      </c>
      <c r="AP395" t="inlineStr">
        <is>
          <t>Mannheim</t>
        </is>
      </c>
      <c r="AQ395" t="inlineStr">
        <is>
          <t>David Schleweis</t>
        </is>
      </c>
    </row>
    <row r="396">
      <c r="A396" t="inlineStr">
        <is>
          <t>8058</t>
        </is>
      </c>
      <c r="B396" t="inlineStr">
        <is>
          <t>1CE766</t>
        </is>
      </c>
      <c r="C396" t="inlineStr">
        <is>
          <t>https://app.matchical.com/Consulting/ConsultantDetail?ConsultantId=8d3e9a68-64c1-4033-83b0-ade70ae0ca0d</t>
        </is>
      </c>
      <c r="D396" t="inlineStr">
        <is>
          <t>Miguel Al Badawi</t>
        </is>
      </c>
      <c r="E396" t="inlineStr">
        <is>
          <t>miguel.albadawi@crafting-it.de</t>
        </is>
      </c>
      <c r="F396" s="2" t="n">
        <v>42401</v>
      </c>
      <c r="G396" s="2" t="n">
        <v>40909</v>
      </c>
      <c r="H396" t="n">
        <v>14</v>
      </c>
      <c r="I396" t="n">
        <v>0</v>
      </c>
      <c r="J396" t="n">
        <v>0</v>
      </c>
      <c r="L396" s="2" t="n">
        <v>45474</v>
      </c>
      <c r="M396" s="2" t="n">
        <v>45657</v>
      </c>
      <c r="N396" t="b">
        <v>0</v>
      </c>
      <c r="O396" t="n">
        <v>121</v>
      </c>
      <c r="P396" t="n">
        <v>122</v>
      </c>
      <c r="Q396" t="n">
        <v>61</v>
      </c>
      <c r="R396">
        <f>ROUND(O396-P396,2)</f>
        <v/>
      </c>
      <c r="S396">
        <f>ROUND(O396-Q396,2)</f>
        <v/>
      </c>
      <c r="T396" s="3">
        <f>IFERROR(P396/O396,"")</f>
        <v/>
      </c>
      <c r="U396" s="3">
        <f>IFERROR(Q396/O396,"")</f>
        <v/>
      </c>
      <c r="V396" t="n">
        <v>49</v>
      </c>
      <c r="W396" t="n">
        <v>0</v>
      </c>
      <c r="X396" t="n">
        <v>0</v>
      </c>
      <c r="Y396">
        <f>ROUND(V396-W396,2)</f>
        <v/>
      </c>
      <c r="Z396">
        <f>ROUND(V396-X396,2)</f>
        <v/>
      </c>
      <c r="AA396" s="3">
        <f>IFERROR(W396/V396,"")</f>
        <v/>
      </c>
      <c r="AB396" s="3">
        <f>IFERROR(X396/V396,"")</f>
        <v/>
      </c>
      <c r="AC396" t="b">
        <v>0</v>
      </c>
      <c r="AD396" t="b">
        <v>0</v>
      </c>
      <c r="AE396" t="b">
        <v>0</v>
      </c>
      <c r="AF396" t="inlineStr">
        <is>
          <t>No</t>
        </is>
      </c>
      <c r="AI396" t="b">
        <v>1</v>
      </c>
      <c r="AJ396" t="n">
        <v>0</v>
      </c>
      <c r="AK396" t="inlineStr"/>
      <c r="AL396" t="inlineStr">
        <is>
          <t>ORG cIT 2</t>
        </is>
      </c>
      <c r="AM396" t="inlineStr">
        <is>
          <t>cIT Individualservices</t>
        </is>
      </c>
      <c r="AN396" t="inlineStr">
        <is>
          <t>LS Lokation Magdeburg (Alexander J.)</t>
        </is>
      </c>
      <c r="AO396" t="inlineStr">
        <is>
          <t>craftingIT GmbH</t>
        </is>
      </c>
      <c r="AP396" t="inlineStr">
        <is>
          <t>Magdeburg</t>
        </is>
      </c>
      <c r="AQ396" t="inlineStr">
        <is>
          <t>Alexander Jende</t>
        </is>
      </c>
    </row>
    <row r="397">
      <c r="A397" t="inlineStr">
        <is>
          <t>10342</t>
        </is>
      </c>
      <c r="B397" t="inlineStr">
        <is>
          <t>77D2AE</t>
        </is>
      </c>
      <c r="C397" t="inlineStr">
        <is>
          <t>https://app.matchical.com/Consulting/ConsultantDetail?ConsultantId=026c473f-e385-4e27-aeb3-7d4316a68e85</t>
        </is>
      </c>
      <c r="D397" t="inlineStr">
        <is>
          <t>Milad Miri</t>
        </is>
      </c>
      <c r="E397" t="inlineStr">
        <is>
          <t>milad.miri@crafting-it.de</t>
        </is>
      </c>
      <c r="F397" s="2" t="n">
        <v>45597</v>
      </c>
      <c r="H397" t="n">
        <v>3</v>
      </c>
      <c r="I397" t="n">
        <v>0</v>
      </c>
      <c r="J397" t="n">
        <v>1</v>
      </c>
      <c r="K397" s="2" t="n">
        <v>45679</v>
      </c>
      <c r="L397" s="2" t="n">
        <v>45839</v>
      </c>
      <c r="M397" s="2" t="n">
        <v>46022</v>
      </c>
      <c r="N397" t="b">
        <v>0</v>
      </c>
      <c r="O397" t="n">
        <v>16</v>
      </c>
      <c r="P397" t="n">
        <v>24</v>
      </c>
      <c r="Q397" t="n">
        <v>12</v>
      </c>
      <c r="R397">
        <f>ROUND(O397-P397,2)</f>
        <v/>
      </c>
      <c r="S397">
        <f>ROUND(O397-Q397,2)</f>
        <v/>
      </c>
      <c r="T397" s="3">
        <f>IFERROR(P397/O397,"")</f>
        <v/>
      </c>
      <c r="U397" s="3">
        <f>IFERROR(Q397/O397,"")</f>
        <v/>
      </c>
      <c r="V397" t="n">
        <v>1498</v>
      </c>
      <c r="W397" t="n">
        <v>0</v>
      </c>
      <c r="X397" t="n">
        <v>0</v>
      </c>
      <c r="Y397">
        <f>ROUND(V397-W397,2)</f>
        <v/>
      </c>
      <c r="Z397">
        <f>ROUND(V397-X397,2)</f>
        <v/>
      </c>
      <c r="AA397" s="3">
        <f>IFERROR(W397/V397,"")</f>
        <v/>
      </c>
      <c r="AB397" s="3">
        <f>IFERROR(X397/V397,"")</f>
        <v/>
      </c>
      <c r="AC397" t="b">
        <v>0</v>
      </c>
      <c r="AD397" t="b">
        <v>0</v>
      </c>
      <c r="AE397" t="b">
        <v>0</v>
      </c>
      <c r="AF397" t="inlineStr">
        <is>
          <t>No</t>
        </is>
      </c>
      <c r="AI397" t="b">
        <v>1</v>
      </c>
      <c r="AJ397" t="n">
        <v>0</v>
      </c>
      <c r="AK397" t="inlineStr"/>
      <c r="AL397" t="inlineStr">
        <is>
          <t>ORG cIT</t>
        </is>
      </c>
      <c r="AM397" t="inlineStr">
        <is>
          <t>cIT IT Services</t>
        </is>
      </c>
      <c r="AN397" t="inlineStr">
        <is>
          <t>cIT Service Delivery Magdeburg (Steffen A.)</t>
        </is>
      </c>
      <c r="AO397" t="inlineStr">
        <is>
          <t>craftingIT GmbH</t>
        </is>
      </c>
      <c r="AP397" t="inlineStr">
        <is>
          <t>Magdeburg</t>
        </is>
      </c>
      <c r="AQ397" t="inlineStr">
        <is>
          <t>Marcel Kelle</t>
        </is>
      </c>
    </row>
    <row r="398">
      <c r="A398" t="inlineStr">
        <is>
          <t>6532</t>
        </is>
      </c>
      <c r="B398" t="inlineStr">
        <is>
          <t>8CED46</t>
        </is>
      </c>
      <c r="C398" t="inlineStr">
        <is>
          <t>https://app.matchical.com/Consulting/ConsultantDetail?ConsultantId=aa663bdb-fca5-4481-acd4-7206ea030592</t>
        </is>
      </c>
      <c r="D398" t="inlineStr">
        <is>
          <t>Miodrag Vidanovic</t>
        </is>
      </c>
      <c r="E398" t="inlineStr">
        <is>
          <t>miodrag.vidanovic@bridging-it.de</t>
        </is>
      </c>
      <c r="F398" s="2" t="n">
        <v>43252</v>
      </c>
      <c r="G398" s="2" t="n">
        <v>35431</v>
      </c>
      <c r="H398" t="n">
        <v>10</v>
      </c>
      <c r="I398" t="n">
        <v>0</v>
      </c>
      <c r="J398" t="n">
        <v>1</v>
      </c>
      <c r="K398" s="2" t="n">
        <v>44865</v>
      </c>
      <c r="L398" s="2" t="n">
        <v>45716</v>
      </c>
      <c r="M398" s="2" t="n">
        <v>46022</v>
      </c>
      <c r="N398" t="b">
        <v>0</v>
      </c>
      <c r="O398" t="n">
        <v>93</v>
      </c>
      <c r="P398" t="n">
        <v>180.78</v>
      </c>
      <c r="Q398" t="n">
        <v>92.81</v>
      </c>
      <c r="R398">
        <f>ROUND(O398-P398,2)</f>
        <v/>
      </c>
      <c r="S398">
        <f>ROUND(O398-Q398,2)</f>
        <v/>
      </c>
      <c r="T398" s="3">
        <f>IFERROR(P398/O398,"")</f>
        <v/>
      </c>
      <c r="U398" s="3">
        <f>IFERROR(Q398/O398,"")</f>
        <v/>
      </c>
      <c r="V398" t="n">
        <v>257</v>
      </c>
      <c r="W398" t="n">
        <v>17.02</v>
      </c>
      <c r="X398" t="n">
        <v>11.2</v>
      </c>
      <c r="Y398">
        <f>ROUND(V398-W398,2)</f>
        <v/>
      </c>
      <c r="Z398">
        <f>ROUND(V398-X398,2)</f>
        <v/>
      </c>
      <c r="AA398" s="3">
        <f>IFERROR(W398/V398,"")</f>
        <v/>
      </c>
      <c r="AB398" s="3">
        <f>IFERROR(X398/V398,"")</f>
        <v/>
      </c>
      <c r="AC398" t="b">
        <v>0</v>
      </c>
      <c r="AD398" t="b">
        <v>0</v>
      </c>
      <c r="AE398" t="b">
        <v>0</v>
      </c>
      <c r="AF398" t="inlineStr">
        <is>
          <t>Yes</t>
        </is>
      </c>
      <c r="AG398" s="2" t="n">
        <v>46113</v>
      </c>
      <c r="AI398" t="b">
        <v>0</v>
      </c>
      <c r="AJ398" t="n">
        <v>5</v>
      </c>
      <c r="AK398" t="inlineStr">
        <is>
          <t>He has over 20 years of IT experience, seven of which were with various cloud platforms. He has broad development expertise and understands development workflows as well as the lifecycle of applications. He has experience with containers, various monitoring and logging solutions, and the administration of Linux environments, which rounds out his profile.</t>
        </is>
      </c>
      <c r="AL398" t="inlineStr">
        <is>
          <t>IT - Information Technology (Sebastian L.)</t>
        </is>
      </c>
      <c r="AM398" t="inlineStr">
        <is>
          <t>DOE DevOps Enablement (Florian W.)</t>
        </is>
      </c>
      <c r="AN398" t="inlineStr">
        <is>
          <t>C&amp;DO - Cloud &amp; DevOps (Sebastian L.)</t>
        </is>
      </c>
      <c r="AO398" t="inlineStr">
        <is>
          <t>bridgingIT GmbH</t>
        </is>
      </c>
      <c r="AP398" t="inlineStr">
        <is>
          <t>Mannheim</t>
        </is>
      </c>
      <c r="AQ398" t="inlineStr">
        <is>
          <t>Florian Wendel</t>
        </is>
      </c>
    </row>
    <row r="399">
      <c r="A399" t="inlineStr">
        <is>
          <t>10276</t>
        </is>
      </c>
      <c r="B399" t="inlineStr">
        <is>
          <t>870FC4</t>
        </is>
      </c>
      <c r="C399" t="inlineStr">
        <is>
          <t>https://app.matchical.com/Consulting/ConsultantDetail?ConsultantId=b731b5c9-c8a1-40a3-9feb-628360e0a9fe</t>
        </is>
      </c>
      <c r="D399" t="inlineStr">
        <is>
          <t>Mira Jacobs</t>
        </is>
      </c>
      <c r="E399" t="inlineStr">
        <is>
          <t>mira.jacobs@bridging-it.de</t>
        </is>
      </c>
      <c r="F399" s="2" t="n">
        <v>45413</v>
      </c>
      <c r="G399" s="2" t="n">
        <v>39814</v>
      </c>
      <c r="H399" t="n">
        <v>12</v>
      </c>
      <c r="I399" t="n">
        <v>0</v>
      </c>
      <c r="J399" t="n">
        <v>0</v>
      </c>
      <c r="L399" s="2" t="n">
        <v>45474</v>
      </c>
      <c r="M399" s="2" t="n">
        <v>45776</v>
      </c>
      <c r="N399" t="b">
        <v>0</v>
      </c>
      <c r="O399" t="n">
        <v>22</v>
      </c>
      <c r="P399" t="n">
        <v>10</v>
      </c>
      <c r="Q399" t="n">
        <v>10</v>
      </c>
      <c r="R399">
        <f>ROUND(O399-P399,2)</f>
        <v/>
      </c>
      <c r="S399">
        <f>ROUND(O399-Q399,2)</f>
        <v/>
      </c>
      <c r="T399" s="3">
        <f>IFERROR(P399/O399,"")</f>
        <v/>
      </c>
      <c r="U399" s="3">
        <f>IFERROR(Q399/O399,"")</f>
        <v/>
      </c>
      <c r="V399" t="n">
        <v>184</v>
      </c>
      <c r="W399" t="n">
        <v>70</v>
      </c>
      <c r="X399" t="n">
        <v>47</v>
      </c>
      <c r="Y399">
        <f>ROUND(V399-W399,2)</f>
        <v/>
      </c>
      <c r="Z399">
        <f>ROUND(V399-X399,2)</f>
        <v/>
      </c>
      <c r="AA399" s="3">
        <f>IFERROR(W399/V399,"")</f>
        <v/>
      </c>
      <c r="AB399" s="3">
        <f>IFERROR(X399/V399,"")</f>
        <v/>
      </c>
      <c r="AC399" t="b">
        <v>0</v>
      </c>
      <c r="AD399" t="b">
        <v>0</v>
      </c>
      <c r="AE399" t="b">
        <v>0</v>
      </c>
      <c r="AF399" t="inlineStr">
        <is>
          <t>No</t>
        </is>
      </c>
      <c r="AI399" t="b">
        <v>1</v>
      </c>
      <c r="AJ399" t="n">
        <v>0</v>
      </c>
      <c r="AK399" t="inlineStr"/>
      <c r="AL399" t="inlineStr">
        <is>
          <t>IT - Information Technology (Sebastian L.)</t>
        </is>
      </c>
      <c r="AM399" t="inlineStr">
        <is>
          <t>ISM Information Security Management (Carsten T.)</t>
        </is>
      </c>
      <c r="AN399" t="inlineStr">
        <is>
          <t>O&amp;G - Organization &amp; Governance (Carsten T.)</t>
        </is>
      </c>
      <c r="AO399" t="inlineStr">
        <is>
          <t>bridgingIT GmbH</t>
        </is>
      </c>
      <c r="AP399" t="inlineStr">
        <is>
          <t>Mannheim</t>
        </is>
      </c>
      <c r="AQ399" t="inlineStr">
        <is>
          <t>Carsten Triebel</t>
        </is>
      </c>
    </row>
    <row r="400">
      <c r="A400" t="inlineStr">
        <is>
          <t>1462</t>
        </is>
      </c>
      <c r="B400" t="inlineStr">
        <is>
          <t>18AAD5</t>
        </is>
      </c>
      <c r="C400" t="inlineStr">
        <is>
          <t>https://app.matchical.com/Consulting/ConsultantDetail?ConsultantId=552f4807-3f30-4b25-947b-e428f962193a</t>
        </is>
      </c>
      <c r="D400" t="inlineStr">
        <is>
          <t>Miriam Hagedorn</t>
        </is>
      </c>
      <c r="E400" t="inlineStr">
        <is>
          <t>miriam.hagedorn@bridging-it.de</t>
        </is>
      </c>
      <c r="F400" s="2" t="n">
        <v>43891</v>
      </c>
      <c r="G400" s="2" t="n">
        <v>40742</v>
      </c>
      <c r="H400" t="n">
        <v>5</v>
      </c>
      <c r="I400" t="n">
        <v>0</v>
      </c>
      <c r="J400" t="n">
        <v>0</v>
      </c>
      <c r="L400" s="2" t="n">
        <v>43492</v>
      </c>
      <c r="M400" s="2" t="n">
        <v>43860</v>
      </c>
      <c r="N400" t="b">
        <v>0</v>
      </c>
      <c r="O400" t="n">
        <v>72</v>
      </c>
      <c r="P400" t="n">
        <v>0</v>
      </c>
      <c r="Q400" t="n">
        <v>0</v>
      </c>
      <c r="R400">
        <f>ROUND(O400-P400,2)</f>
        <v/>
      </c>
      <c r="S400">
        <f>ROUND(O400-Q400,2)</f>
        <v/>
      </c>
      <c r="T400" s="3">
        <f>IFERROR(P400/O400,"")</f>
        <v/>
      </c>
      <c r="U400" s="3">
        <f>IFERROR(Q400/O400,"")</f>
        <v/>
      </c>
      <c r="V400" t="n">
        <v>103</v>
      </c>
      <c r="W400" t="n">
        <v>72</v>
      </c>
      <c r="X400" t="n">
        <v>61</v>
      </c>
      <c r="Y400">
        <f>ROUND(V400-W400,2)</f>
        <v/>
      </c>
      <c r="Z400">
        <f>ROUND(V400-X400,2)</f>
        <v/>
      </c>
      <c r="AA400" s="3">
        <f>IFERROR(W400/V400,"")</f>
        <v/>
      </c>
      <c r="AB400" s="3">
        <f>IFERROR(X400/V400,"")</f>
        <v/>
      </c>
      <c r="AC400" t="b">
        <v>0</v>
      </c>
      <c r="AD400" t="b">
        <v>0</v>
      </c>
      <c r="AE400" t="b">
        <v>0</v>
      </c>
      <c r="AF400" t="inlineStr">
        <is>
          <t>No</t>
        </is>
      </c>
      <c r="AI400" t="b">
        <v>0</v>
      </c>
      <c r="AJ400" t="n">
        <v>0</v>
      </c>
      <c r="AK400" t="inlineStr"/>
      <c r="AL400" t="inlineStr">
        <is>
          <t>Sales BL</t>
        </is>
      </c>
      <c r="AM400" t="inlineStr">
        <is>
          <t>Zentrales Sales Office (Miriam H.)</t>
        </is>
      </c>
      <c r="AN400" t="inlineStr">
        <is>
          <t>Capability Management (Tim T.)</t>
        </is>
      </c>
      <c r="AO400" t="inlineStr">
        <is>
          <t>bridgingIT GmbH</t>
        </is>
      </c>
      <c r="AP400" t="inlineStr">
        <is>
          <t>Mannheim</t>
        </is>
      </c>
      <c r="AQ400" t="inlineStr">
        <is>
          <t>Tim Thierfelder</t>
        </is>
      </c>
    </row>
    <row r="401">
      <c r="A401" t="inlineStr">
        <is>
          <t>10117</t>
        </is>
      </c>
      <c r="B401" t="inlineStr">
        <is>
          <t>3D74A7</t>
        </is>
      </c>
      <c r="C401" t="inlineStr">
        <is>
          <t>https://app.matchical.com/Consulting/ConsultantDetail?ConsultantId=2d02b728-a051-4cd9-9020-b88a9dcd24a0</t>
        </is>
      </c>
      <c r="D401" t="inlineStr">
        <is>
          <t>Mirjam Nieuwenhoven</t>
        </is>
      </c>
      <c r="E401" t="inlineStr">
        <is>
          <t>mirjam.nieuwenhoven@bridging-it.de</t>
        </is>
      </c>
      <c r="F401" s="2" t="n">
        <v>45047</v>
      </c>
      <c r="G401" s="2" t="n">
        <v>36251</v>
      </c>
      <c r="H401" t="n">
        <v>6</v>
      </c>
      <c r="I401" t="n">
        <v>0</v>
      </c>
      <c r="J401" t="n">
        <v>0</v>
      </c>
      <c r="L401" s="2" t="n">
        <v>45341</v>
      </c>
      <c r="M401" s="2" t="n">
        <v>46043</v>
      </c>
      <c r="N401" t="b">
        <v>0</v>
      </c>
      <c r="O401" t="n">
        <v>34</v>
      </c>
      <c r="P401" t="n">
        <v>30</v>
      </c>
      <c r="Q401" t="n">
        <v>30</v>
      </c>
      <c r="R401">
        <f>ROUND(O401-P401,2)</f>
        <v/>
      </c>
      <c r="S401">
        <f>ROUND(O401-Q401,2)</f>
        <v/>
      </c>
      <c r="T401" s="3">
        <f>IFERROR(P401/O401,"")</f>
        <v/>
      </c>
      <c r="U401" s="3">
        <f>IFERROR(Q401/O401,"")</f>
        <v/>
      </c>
      <c r="V401" t="n">
        <v>289</v>
      </c>
      <c r="W401" t="n">
        <v>44</v>
      </c>
      <c r="X401" t="n">
        <v>44</v>
      </c>
      <c r="Y401">
        <f>ROUND(V401-W401,2)</f>
        <v/>
      </c>
      <c r="Z401">
        <f>ROUND(V401-X401,2)</f>
        <v/>
      </c>
      <c r="AA401" s="3">
        <f>IFERROR(W401/V401,"")</f>
        <v/>
      </c>
      <c r="AB401" s="3">
        <f>IFERROR(X401/V401,"")</f>
        <v/>
      </c>
      <c r="AC401" t="b">
        <v>0</v>
      </c>
      <c r="AD401" t="b">
        <v>0</v>
      </c>
      <c r="AE401" t="b">
        <v>0</v>
      </c>
      <c r="AF401" t="inlineStr">
        <is>
          <t>Yes</t>
        </is>
      </c>
      <c r="AG401" s="2" t="n">
        <v>46048</v>
      </c>
      <c r="AI401" t="b">
        <v>1</v>
      </c>
      <c r="AJ401" t="n">
        <v>4</v>
      </c>
      <c r="AK401" t="inlineStr">
        <is>
          <t>Experienced Agile practitioner (Agile Coach, Scrum Master, RTE perspective) with IT and testing background
First experiences also as Product Owner and in DevOps
On the R+V project since June 19, 2023</t>
        </is>
      </c>
      <c r="AL401" t="inlineStr">
        <is>
          <t>DO Digital Organizations (Michael H.)</t>
        </is>
      </c>
      <c r="AM401" t="inlineStr">
        <is>
          <t>AO Agile Organizations (Andreas G.)</t>
        </is>
      </c>
      <c r="AN401" t="inlineStr">
        <is>
          <t>BT Business Transformation (Julian D.)</t>
        </is>
      </c>
      <c r="AO401" t="inlineStr">
        <is>
          <t>bridgingIT GmbH</t>
        </is>
      </c>
      <c r="AP401" t="inlineStr">
        <is>
          <t>Stuttgart</t>
        </is>
      </c>
      <c r="AQ401" t="inlineStr">
        <is>
          <t>Andreas Glasa</t>
        </is>
      </c>
    </row>
    <row r="402">
      <c r="A402" t="inlineStr">
        <is>
          <t>10175</t>
        </is>
      </c>
      <c r="B402" t="inlineStr">
        <is>
          <t>0CBC33</t>
        </is>
      </c>
      <c r="C402" t="inlineStr">
        <is>
          <t>https://app.matchical.com/Consulting/ConsultantDetail?ConsultantId=c07aa74e-cd49-4fc0-9bdc-777f2394a401</t>
        </is>
      </c>
      <c r="D402" t="inlineStr">
        <is>
          <t>Mirka Weidenbach</t>
        </is>
      </c>
      <c r="E402" t="inlineStr">
        <is>
          <t>mirka.weidenbach@bridging-it.de</t>
        </is>
      </c>
      <c r="F402" s="2" t="n">
        <v>45231</v>
      </c>
      <c r="G402" s="2" t="n">
        <v>42125</v>
      </c>
      <c r="H402" t="n">
        <v>4</v>
      </c>
      <c r="I402" t="n">
        <v>0</v>
      </c>
      <c r="J402" t="n">
        <v>1</v>
      </c>
      <c r="K402" s="2" t="n">
        <v>44530</v>
      </c>
      <c r="L402" s="2" t="n">
        <v>43799</v>
      </c>
      <c r="M402" s="2" t="n">
        <v>44195</v>
      </c>
      <c r="N402" t="b">
        <v>0</v>
      </c>
      <c r="O402" t="n">
        <v>28</v>
      </c>
      <c r="P402" t="n">
        <v>27.34</v>
      </c>
      <c r="Q402" t="n">
        <v>27.34</v>
      </c>
      <c r="R402">
        <f>ROUND(O402-P402,2)</f>
        <v/>
      </c>
      <c r="S402">
        <f>ROUND(O402-Q402,2)</f>
        <v/>
      </c>
      <c r="T402" s="3">
        <f>IFERROR(P402/O402,"")</f>
        <v/>
      </c>
      <c r="U402" s="3">
        <f>IFERROR(Q402/O402,"")</f>
        <v/>
      </c>
      <c r="V402" t="n">
        <v>102</v>
      </c>
      <c r="W402" t="n">
        <v>103.62</v>
      </c>
      <c r="X402" t="n">
        <v>90.62</v>
      </c>
      <c r="Y402">
        <f>ROUND(V402-W402,2)</f>
        <v/>
      </c>
      <c r="Z402">
        <f>ROUND(V402-X402,2)</f>
        <v/>
      </c>
      <c r="AA402" s="3">
        <f>IFERROR(W402/V402,"")</f>
        <v/>
      </c>
      <c r="AB402" s="3">
        <f>IFERROR(X402/V402,"")</f>
        <v/>
      </c>
      <c r="AC402" t="b">
        <v>0</v>
      </c>
      <c r="AD402" t="b">
        <v>0</v>
      </c>
      <c r="AE402" t="b">
        <v>0</v>
      </c>
      <c r="AF402" t="inlineStr">
        <is>
          <t>No</t>
        </is>
      </c>
      <c r="AI402" t="b">
        <v>1</v>
      </c>
      <c r="AJ402" t="n">
        <v>0</v>
      </c>
      <c r="AK402" t="inlineStr"/>
      <c r="AL402" t="inlineStr">
        <is>
          <t>ORG bIT</t>
        </is>
      </c>
      <c r="AM402" t="inlineStr">
        <is>
          <t>DOC - Digital Organization Cologne (Diana G.)</t>
        </is>
      </c>
      <c r="AN402" t="inlineStr">
        <is>
          <t>BTC - Business Transformation Cologne (Anna S.)</t>
        </is>
      </c>
      <c r="AO402" t="inlineStr">
        <is>
          <t>bridgingIT GmbH</t>
        </is>
      </c>
      <c r="AP402" t="inlineStr">
        <is>
          <t>Köln</t>
        </is>
      </c>
      <c r="AQ402" t="inlineStr">
        <is>
          <t>Diana Gülker</t>
        </is>
      </c>
    </row>
    <row r="403">
      <c r="A403" t="inlineStr">
        <is>
          <t>2081</t>
        </is>
      </c>
      <c r="B403" t="inlineStr">
        <is>
          <t>E933CB</t>
        </is>
      </c>
      <c r="C403" t="inlineStr">
        <is>
          <t>https://app.matchical.com/Consulting/ConsultantDetail?ConsultantId=4b7f6a0f-557e-4ffd-bc1c-bbd028529dce</t>
        </is>
      </c>
      <c r="D403" t="inlineStr">
        <is>
          <t>Mladen Kosic</t>
        </is>
      </c>
      <c r="E403" t="inlineStr">
        <is>
          <t>mladen.kosic@bridging-it.de</t>
        </is>
      </c>
      <c r="F403" s="2" t="n">
        <v>41640</v>
      </c>
      <c r="G403" s="2" t="n">
        <v>38731</v>
      </c>
      <c r="H403" t="n">
        <v>19</v>
      </c>
      <c r="I403" t="n">
        <v>0</v>
      </c>
      <c r="J403" t="n">
        <v>0</v>
      </c>
      <c r="L403" s="2" t="n">
        <v>45536</v>
      </c>
      <c r="M403" s="2" t="n">
        <v>45688</v>
      </c>
      <c r="N403" t="b">
        <v>0</v>
      </c>
      <c r="O403" t="n">
        <v>146</v>
      </c>
      <c r="P403" t="n">
        <v>177.97</v>
      </c>
      <c r="Q403" t="n">
        <v>127.97</v>
      </c>
      <c r="R403">
        <f>ROUND(O403-P403,2)</f>
        <v/>
      </c>
      <c r="S403">
        <f>ROUND(O403-Q403,2)</f>
        <v/>
      </c>
      <c r="T403" s="3">
        <f>IFERROR(P403/O403,"")</f>
        <v/>
      </c>
      <c r="U403" s="3">
        <f>IFERROR(Q403/O403,"")</f>
        <v/>
      </c>
      <c r="V403" t="n">
        <v>96</v>
      </c>
      <c r="W403" t="n">
        <v>97.03</v>
      </c>
      <c r="X403" t="n">
        <v>76.03</v>
      </c>
      <c r="Y403">
        <f>ROUND(V403-W403,2)</f>
        <v/>
      </c>
      <c r="Z403">
        <f>ROUND(V403-X403,2)</f>
        <v/>
      </c>
      <c r="AA403" s="3">
        <f>IFERROR(W403/V403,"")</f>
        <v/>
      </c>
      <c r="AB403" s="3">
        <f>IFERROR(X403/V403,"")</f>
        <v/>
      </c>
      <c r="AC403" t="b">
        <v>0</v>
      </c>
      <c r="AD403" t="b">
        <v>0</v>
      </c>
      <c r="AE403" t="b">
        <v>0</v>
      </c>
      <c r="AF403" t="inlineStr">
        <is>
          <t>No</t>
        </is>
      </c>
      <c r="AI403" t="b">
        <v>0</v>
      </c>
      <c r="AJ403" t="n">
        <v>0</v>
      </c>
      <c r="AK403" t="inlineStr">
        <is>
          <t>90% probability VKB</t>
        </is>
      </c>
      <c r="AL403" t="inlineStr">
        <is>
          <t>ORG bIT Bayern</t>
        </is>
      </c>
      <c r="AM403" t="inlineStr">
        <is>
          <t>CDI Cloud DevOps &amp; IT-Architecture (Tim J.)</t>
        </is>
      </c>
      <c r="AN403" t="inlineStr">
        <is>
          <t>SEC Software Engineering &amp; Cloud (Eli G.)</t>
        </is>
      </c>
      <c r="AO403" t="inlineStr">
        <is>
          <t>bridgingIT GmbH</t>
        </is>
      </c>
      <c r="AP403" t="inlineStr">
        <is>
          <t>München</t>
        </is>
      </c>
      <c r="AQ403" t="inlineStr">
        <is>
          <t>Tim Jabke</t>
        </is>
      </c>
    </row>
    <row r="404">
      <c r="A404" t="inlineStr">
        <is>
          <t>2272</t>
        </is>
      </c>
      <c r="B404" t="inlineStr">
        <is>
          <t>B36FD3</t>
        </is>
      </c>
      <c r="C404" t="inlineStr">
        <is>
          <t>https://app.matchical.com/Consulting/ConsultantDetail?ConsultantId=2bdc39c5-49be-4aa9-b223-0ea859c3a124</t>
        </is>
      </c>
      <c r="D404" t="inlineStr">
        <is>
          <t>Mohamed Habbassi</t>
        </is>
      </c>
      <c r="E404" t="inlineStr">
        <is>
          <t>mohamed.habbassi@bridging-it.de</t>
        </is>
      </c>
      <c r="F404" s="2" t="n">
        <v>44151</v>
      </c>
      <c r="G404" s="2" t="n">
        <v>44151</v>
      </c>
      <c r="H404" t="n">
        <v>6</v>
      </c>
      <c r="I404" t="n">
        <v>0</v>
      </c>
      <c r="J404" t="n">
        <v>1</v>
      </c>
      <c r="K404" s="2" t="n">
        <v>45382</v>
      </c>
      <c r="L404" s="2" t="n">
        <v>44927</v>
      </c>
      <c r="M404" s="2" t="n">
        <v>45379</v>
      </c>
      <c r="N404" t="b">
        <v>0</v>
      </c>
      <c r="O404" t="n">
        <v>63</v>
      </c>
      <c r="P404" t="n">
        <v>49</v>
      </c>
      <c r="Q404" t="n">
        <v>49</v>
      </c>
      <c r="R404">
        <f>ROUND(O404-P404,2)</f>
        <v/>
      </c>
      <c r="S404">
        <f>ROUND(O404-Q404,2)</f>
        <v/>
      </c>
      <c r="T404" s="3">
        <f>IFERROR(P404/O404,"")</f>
        <v/>
      </c>
      <c r="U404" s="3">
        <f>IFERROR(Q404/O404,"")</f>
        <v/>
      </c>
      <c r="V404" t="n">
        <v>0</v>
      </c>
      <c r="W404" t="n">
        <v>0</v>
      </c>
      <c r="X404" t="n">
        <v>0</v>
      </c>
      <c r="Y404">
        <f>ROUND(V404-W404,2)</f>
        <v/>
      </c>
      <c r="Z404">
        <f>ROUND(V404-X404,2)</f>
        <v/>
      </c>
      <c r="AA404" s="3">
        <f>IFERROR(W404/V404,"")</f>
        <v/>
      </c>
      <c r="AB404" s="3">
        <f>IFERROR(X404/V404,"")</f>
        <v/>
      </c>
      <c r="AC404" t="b">
        <v>0</v>
      </c>
      <c r="AD404" t="b">
        <v>0</v>
      </c>
      <c r="AE404" t="b">
        <v>0</v>
      </c>
      <c r="AF404" t="inlineStr">
        <is>
          <t>Yes</t>
        </is>
      </c>
      <c r="AG404" s="2" t="n">
        <v>46204</v>
      </c>
      <c r="AI404" t="b">
        <v>0</v>
      </c>
      <c r="AJ404" t="n">
        <v>5</v>
      </c>
      <c r="AK404" t="inlineStr">
        <is>
          <t>"Fullstack"-Project: Alternatively: Front-End (Angular) or .NET / .NET Core sought.</t>
        </is>
      </c>
      <c r="AL404" t="inlineStr">
        <is>
          <t>ES Enterprise Solutions (Gina H.)</t>
        </is>
      </c>
      <c r="AM404" t="inlineStr">
        <is>
          <t>IEM .Net II (Aleksandar B.)</t>
        </is>
      </c>
      <c r="AN404" t="inlineStr">
        <is>
          <t>IEJ Individualentwicklung JAVA (Dominik S.)</t>
        </is>
      </c>
      <c r="AO404" t="inlineStr">
        <is>
          <t>bridgingIT GmbH</t>
        </is>
      </c>
      <c r="AP404" t="inlineStr">
        <is>
          <t>Stuttgart</t>
        </is>
      </c>
      <c r="AQ404" t="inlineStr">
        <is>
          <t>Aleksandar Blagojevic</t>
        </is>
      </c>
    </row>
    <row r="405">
      <c r="A405" t="inlineStr">
        <is>
          <t>1043</t>
        </is>
      </c>
      <c r="B405" t="inlineStr">
        <is>
          <t>A841CC</t>
        </is>
      </c>
      <c r="C405" t="inlineStr">
        <is>
          <t>https://app.matchical.com/Consulting/ConsultantDetail?ConsultantId=4c406561-b0dd-4af2-87c7-dbc3775f93c1</t>
        </is>
      </c>
      <c r="D405" t="inlineStr">
        <is>
          <t>Mohammad Fatemi</t>
        </is>
      </c>
      <c r="E405" t="inlineStr">
        <is>
          <t>mohammad.fatemi@bridging-it.de</t>
        </is>
      </c>
      <c r="F405" s="2" t="n">
        <v>39569</v>
      </c>
      <c r="G405" s="2" t="n">
        <v>35339</v>
      </c>
      <c r="H405" t="n">
        <v>26</v>
      </c>
      <c r="I405" t="n">
        <v>0</v>
      </c>
      <c r="J405" t="n">
        <v>7</v>
      </c>
      <c r="K405" s="2" t="n">
        <v>39448</v>
      </c>
      <c r="L405" s="2" t="n">
        <v>41275</v>
      </c>
      <c r="M405" s="2" t="n">
        <v>41487</v>
      </c>
      <c r="N405" t="b">
        <v>0</v>
      </c>
      <c r="O405" t="n">
        <v>214</v>
      </c>
      <c r="P405" t="n">
        <v>1184.96</v>
      </c>
      <c r="Q405" t="n">
        <v>213.82</v>
      </c>
      <c r="R405">
        <f>ROUND(O405-P405,2)</f>
        <v/>
      </c>
      <c r="S405">
        <f>ROUND(O405-Q405,2)</f>
        <v/>
      </c>
      <c r="T405" s="3">
        <f>IFERROR(P405/O405,"")</f>
        <v/>
      </c>
      <c r="U405" s="3">
        <f>IFERROR(Q405/O405,"")</f>
        <v/>
      </c>
      <c r="V405" t="n">
        <v>139</v>
      </c>
      <c r="W405" t="n">
        <v>202.04</v>
      </c>
      <c r="X405" t="n">
        <v>111.5</v>
      </c>
      <c r="Y405">
        <f>ROUND(V405-W405,2)</f>
        <v/>
      </c>
      <c r="Z405">
        <f>ROUND(V405-X405,2)</f>
        <v/>
      </c>
      <c r="AA405" s="3">
        <f>IFERROR(W405/V405,"")</f>
        <v/>
      </c>
      <c r="AB405" s="3">
        <f>IFERROR(X405/V405,"")</f>
        <v/>
      </c>
      <c r="AC405" t="b">
        <v>0</v>
      </c>
      <c r="AD405" t="b">
        <v>0</v>
      </c>
      <c r="AE405" t="b">
        <v>0</v>
      </c>
      <c r="AF405" t="inlineStr">
        <is>
          <t>No</t>
        </is>
      </c>
      <c r="AG405" s="2" t="n">
        <v>42095</v>
      </c>
      <c r="AI405" t="b">
        <v>0</v>
      </c>
      <c r="AJ405" t="n">
        <v>0</v>
      </c>
      <c r="AK405" t="inlineStr">
        <is>
          <t>none</t>
        </is>
      </c>
      <c r="AL405" t="inlineStr">
        <is>
          <t>Geschäftsleitung und Support</t>
        </is>
      </c>
      <c r="AM405" t="inlineStr">
        <is>
          <t>Frank Wallner</t>
        </is>
      </c>
      <c r="AN405" t="inlineStr">
        <is>
          <t>Frank Wallner</t>
        </is>
      </c>
      <c r="AO405" t="inlineStr">
        <is>
          <t>bridgingIT GmbH</t>
        </is>
      </c>
      <c r="AP405" t="inlineStr">
        <is>
          <t>Mannheim</t>
        </is>
      </c>
      <c r="AQ405" t="inlineStr">
        <is>
          <t>Frank Wallner</t>
        </is>
      </c>
    </row>
    <row r="406">
      <c r="A406" t="inlineStr">
        <is>
          <t>2277</t>
        </is>
      </c>
      <c r="B406" t="inlineStr">
        <is>
          <t>541F62</t>
        </is>
      </c>
      <c r="C406" t="inlineStr">
        <is>
          <t>https://app.matchical.com/Consulting/ConsultantDetail?ConsultantId=cfb86391-5cbc-4439-8bad-3ac96d15e5a7</t>
        </is>
      </c>
      <c r="D406" t="inlineStr">
        <is>
          <t>Moritz Heigel</t>
        </is>
      </c>
      <c r="E406" t="inlineStr">
        <is>
          <t>moritz.heigel@bridging-it.de</t>
        </is>
      </c>
      <c r="F406" s="2" t="n">
        <v>44228</v>
      </c>
      <c r="G406" s="2" t="n">
        <v>40848</v>
      </c>
      <c r="H406" t="n">
        <v>15</v>
      </c>
      <c r="I406" t="n">
        <v>0</v>
      </c>
      <c r="J406" t="n">
        <v>2</v>
      </c>
      <c r="K406" s="2" t="n">
        <v>44277</v>
      </c>
      <c r="L406" s="2" t="n">
        <v>45658</v>
      </c>
      <c r="M406" s="2" t="n">
        <v>46022</v>
      </c>
      <c r="N406" t="b">
        <v>0</v>
      </c>
      <c r="O406" t="n">
        <v>61</v>
      </c>
      <c r="P406" t="n">
        <v>167.82</v>
      </c>
      <c r="Q406" t="n">
        <v>60.7</v>
      </c>
      <c r="R406">
        <f>ROUND(O406-P406,2)</f>
        <v/>
      </c>
      <c r="S406">
        <f>ROUND(O406-Q406,2)</f>
        <v/>
      </c>
      <c r="T406" s="3">
        <f>IFERROR(P406/O406,"")</f>
        <v/>
      </c>
      <c r="U406" s="3">
        <f>IFERROR(Q406/O406,"")</f>
        <v/>
      </c>
      <c r="V406" t="n">
        <v>111</v>
      </c>
      <c r="W406" t="n">
        <v>57.06</v>
      </c>
      <c r="X406" t="n">
        <v>42.65</v>
      </c>
      <c r="Y406">
        <f>ROUND(V406-W406,2)</f>
        <v/>
      </c>
      <c r="Z406">
        <f>ROUND(V406-X406,2)</f>
        <v/>
      </c>
      <c r="AA406" s="3">
        <f>IFERROR(W406/V406,"")</f>
        <v/>
      </c>
      <c r="AB406" s="3">
        <f>IFERROR(X406/V406,"")</f>
        <v/>
      </c>
      <c r="AC406" t="b">
        <v>0</v>
      </c>
      <c r="AD406" t="b">
        <v>0</v>
      </c>
      <c r="AE406" t="b">
        <v>0</v>
      </c>
      <c r="AF406" t="inlineStr">
        <is>
          <t>No</t>
        </is>
      </c>
      <c r="AI406" t="b">
        <v>1</v>
      </c>
      <c r="AJ406" t="n">
        <v>0</v>
      </c>
      <c r="AK406" t="inlineStr"/>
      <c r="AL406" t="inlineStr">
        <is>
          <t>IT Information Technology (Hauke G.)</t>
        </is>
      </c>
      <c r="AM406" t="inlineStr">
        <is>
          <t>CT Cloud Technology I (Martin S.)</t>
        </is>
      </c>
      <c r="AN406" t="inlineStr">
        <is>
          <t>TC Technology &amp; Cloud (Martin S.)</t>
        </is>
      </c>
      <c r="AO406" t="inlineStr">
        <is>
          <t>bridgingIT GmbH</t>
        </is>
      </c>
      <c r="AP406" t="inlineStr">
        <is>
          <t>Stuttgart</t>
        </is>
      </c>
      <c r="AQ406" t="inlineStr">
        <is>
          <t>Martin Spörl</t>
        </is>
      </c>
    </row>
    <row r="407">
      <c r="A407" t="inlineStr">
        <is>
          <t>10386</t>
        </is>
      </c>
      <c r="B407" t="inlineStr">
        <is>
          <t>2D2140</t>
        </is>
      </c>
      <c r="C407" t="inlineStr">
        <is>
          <t>https://app.matchical.com/Consulting/ConsultantDetail?ConsultantId=438780c4-4491-4543-891b-048c9296a7a1</t>
        </is>
      </c>
      <c r="D407" t="inlineStr">
        <is>
          <t>Moritz Joos</t>
        </is>
      </c>
      <c r="E407" t="inlineStr">
        <is>
          <t>moritz.joos@bridging-it.de</t>
        </is>
      </c>
      <c r="F407" s="2" t="n">
        <v>45901</v>
      </c>
      <c r="G407" s="2" t="n">
        <v>45901</v>
      </c>
      <c r="H407" t="n">
        <v>1</v>
      </c>
      <c r="I407" t="n">
        <v>0</v>
      </c>
      <c r="J407" t="n">
        <v>0</v>
      </c>
      <c r="N407" t="b">
        <v>0</v>
      </c>
      <c r="O407" t="n">
        <v>6</v>
      </c>
      <c r="P407" t="n">
        <v>3.9</v>
      </c>
      <c r="Q407" t="n">
        <v>3.9</v>
      </c>
      <c r="R407">
        <f>ROUND(O407-P407,2)</f>
        <v/>
      </c>
      <c r="S407">
        <f>ROUND(O407-Q407,2)</f>
        <v/>
      </c>
      <c r="T407" s="3">
        <f>IFERROR(P407/O407,"")</f>
        <v/>
      </c>
      <c r="U407" s="3">
        <f>IFERROR(Q407/O407,"")</f>
        <v/>
      </c>
      <c r="V407" t="n">
        <v>0</v>
      </c>
      <c r="W407" t="n">
        <v>0</v>
      </c>
      <c r="X407" t="n">
        <v>0</v>
      </c>
      <c r="Y407">
        <f>ROUND(V407-W407,2)</f>
        <v/>
      </c>
      <c r="Z407">
        <f>ROUND(V407-X407,2)</f>
        <v/>
      </c>
      <c r="AA407" s="3">
        <f>IFERROR(W407/V407,"")</f>
        <v/>
      </c>
      <c r="AB407" s="3">
        <f>IFERROR(X407/V407,"")</f>
        <v/>
      </c>
      <c r="AC407" t="b">
        <v>0</v>
      </c>
      <c r="AD407" t="b">
        <v>0</v>
      </c>
      <c r="AE407" t="b">
        <v>0</v>
      </c>
      <c r="AF407" t="inlineStr">
        <is>
          <t>No</t>
        </is>
      </c>
      <c r="AI407" t="b">
        <v>1</v>
      </c>
      <c r="AJ407" t="n">
        <v>0</v>
      </c>
      <c r="AK407" t="inlineStr"/>
      <c r="AL407" t="inlineStr">
        <is>
          <t>IT - Information Technology (Sebastian L.)</t>
        </is>
      </c>
      <c r="AM407" t="inlineStr">
        <is>
          <t>CS Collaboration Solutions (Sebastian P.)</t>
        </is>
      </c>
      <c r="AN407" t="inlineStr">
        <is>
          <t>P&amp;DE - Platforms &amp; Digital Ecosystems (David S.)</t>
        </is>
      </c>
      <c r="AO407" t="inlineStr">
        <is>
          <t>bridgingIT GmbH</t>
        </is>
      </c>
      <c r="AP407" t="inlineStr">
        <is>
          <t>Mannheim</t>
        </is>
      </c>
      <c r="AQ407" t="inlineStr">
        <is>
          <t>Sebastian Poth</t>
        </is>
      </c>
    </row>
    <row r="408">
      <c r="A408" t="inlineStr">
        <is>
          <t>10424</t>
        </is>
      </c>
      <c r="B408" t="inlineStr">
        <is>
          <t>7C6B92</t>
        </is>
      </c>
      <c r="C408" t="inlineStr">
        <is>
          <t>https://app.matchical.com/Consulting/ConsultantDetail?ConsultantId=1113a7b4-253b-4e63-91ba-88c4bbb01b84</t>
        </is>
      </c>
      <c r="D408" t="inlineStr">
        <is>
          <t>Moritz Land</t>
        </is>
      </c>
      <c r="E408" t="inlineStr">
        <is>
          <t>moritz.land@bridging-it.de</t>
        </is>
      </c>
      <c r="F408" s="2" t="n">
        <v>46023</v>
      </c>
      <c r="G408" s="2" t="n">
        <v>44713</v>
      </c>
      <c r="H408" t="n">
        <v>5</v>
      </c>
      <c r="I408" t="n">
        <v>0</v>
      </c>
      <c r="J408" t="n">
        <v>1</v>
      </c>
      <c r="K408" s="2" t="n">
        <v>46024</v>
      </c>
      <c r="L408" s="2" t="n">
        <v>45535</v>
      </c>
      <c r="M408" s="2" t="n">
        <v>46021</v>
      </c>
      <c r="N408" t="b">
        <v>0</v>
      </c>
      <c r="O408" t="n">
        <v>2</v>
      </c>
      <c r="P408" t="n">
        <v>1</v>
      </c>
      <c r="Q408" t="n">
        <v>1</v>
      </c>
      <c r="R408">
        <f>ROUND(O408-P408,2)</f>
        <v/>
      </c>
      <c r="S408">
        <f>ROUND(O408-Q408,2)</f>
        <v/>
      </c>
      <c r="T408" s="3">
        <f>IFERROR(P408/O408,"")</f>
        <v/>
      </c>
      <c r="U408" s="3">
        <f>IFERROR(Q408/O408,"")</f>
        <v/>
      </c>
      <c r="V408" t="n">
        <v>43</v>
      </c>
      <c r="W408" t="n">
        <v>43</v>
      </c>
      <c r="X408" t="n">
        <v>25.5</v>
      </c>
      <c r="Y408">
        <f>ROUND(V408-W408,2)</f>
        <v/>
      </c>
      <c r="Z408">
        <f>ROUND(V408-X408,2)</f>
        <v/>
      </c>
      <c r="AA408" s="3">
        <f>IFERROR(W408/V408,"")</f>
        <v/>
      </c>
      <c r="AB408" s="3">
        <f>IFERROR(X408/V408,"")</f>
        <v/>
      </c>
      <c r="AC408" t="b">
        <v>0</v>
      </c>
      <c r="AD408" t="b">
        <v>0</v>
      </c>
      <c r="AE408" t="b">
        <v>0</v>
      </c>
      <c r="AF408" t="inlineStr">
        <is>
          <t>No</t>
        </is>
      </c>
      <c r="AI408" t="b">
        <v>1</v>
      </c>
      <c r="AJ408" t="n">
        <v>0</v>
      </c>
      <c r="AK408" t="inlineStr">
        <is>
          <t>Probably has an 80% assignment on a project at LBBW.</t>
        </is>
      </c>
      <c r="AL408" t="inlineStr">
        <is>
          <t>IT - Information Technology (HH)</t>
        </is>
      </c>
      <c r="AM408" t="inlineStr">
        <is>
          <t>DAI - Data Analytics &amp; KI (Julia Sch.)</t>
        </is>
      </c>
      <c r="AN408" t="inlineStr">
        <is>
          <t>ITC HH (Nicole F.)</t>
        </is>
      </c>
      <c r="AO408" t="inlineStr">
        <is>
          <t>bridgingIT GmbH</t>
        </is>
      </c>
      <c r="AP408" t="inlineStr">
        <is>
          <t>Hamburg</t>
        </is>
      </c>
      <c r="AQ408" t="inlineStr">
        <is>
          <t>Markus Stefan</t>
        </is>
      </c>
    </row>
    <row r="409">
      <c r="A409" t="inlineStr">
        <is>
          <t>3107</t>
        </is>
      </c>
      <c r="B409" t="inlineStr">
        <is>
          <t>6BF7BE</t>
        </is>
      </c>
      <c r="C409" t="inlineStr">
        <is>
          <t>https://app.matchical.com/Consulting/ConsultantDetail?ConsultantId=91d25131-1af1-4769-accd-1fb0d1b61956</t>
        </is>
      </c>
      <c r="D409" t="inlineStr">
        <is>
          <t>Moritz Mars</t>
        </is>
      </c>
      <c r="E409" t="inlineStr">
        <is>
          <t>moritz.mars@bridging-it.de</t>
        </is>
      </c>
      <c r="F409" s="2" t="n">
        <v>42370</v>
      </c>
      <c r="G409" s="2" t="n">
        <v>37742</v>
      </c>
      <c r="H409" t="n">
        <v>10</v>
      </c>
      <c r="I409" t="n">
        <v>0</v>
      </c>
      <c r="J409" t="n">
        <v>1</v>
      </c>
      <c r="K409" s="2" t="n">
        <v>45781</v>
      </c>
      <c r="L409" s="2" t="n">
        <v>44571</v>
      </c>
      <c r="M409" s="2" t="n">
        <v>45656</v>
      </c>
      <c r="N409" t="b">
        <v>0</v>
      </c>
      <c r="O409" t="n">
        <v>122</v>
      </c>
      <c r="P409" t="n">
        <v>182.99</v>
      </c>
      <c r="Q409" t="n">
        <v>121.79</v>
      </c>
      <c r="R409">
        <f>ROUND(O409-P409,2)</f>
        <v/>
      </c>
      <c r="S409">
        <f>ROUND(O409-Q409,2)</f>
        <v/>
      </c>
      <c r="T409" s="3">
        <f>IFERROR(P409/O409,"")</f>
        <v/>
      </c>
      <c r="U409" s="3">
        <f>IFERROR(Q409/O409,"")</f>
        <v/>
      </c>
      <c r="V409" t="n">
        <v>152</v>
      </c>
      <c r="W409" t="n">
        <v>2.01</v>
      </c>
      <c r="X409" t="n">
        <v>1.19</v>
      </c>
      <c r="Y409">
        <f>ROUND(V409-W409,2)</f>
        <v/>
      </c>
      <c r="Z409">
        <f>ROUND(V409-X409,2)</f>
        <v/>
      </c>
      <c r="AA409" s="3">
        <f>IFERROR(W409/V409,"")</f>
        <v/>
      </c>
      <c r="AB409" s="3">
        <f>IFERROR(X409/V409,"")</f>
        <v/>
      </c>
      <c r="AC409" t="b">
        <v>0</v>
      </c>
      <c r="AD409" t="b">
        <v>0</v>
      </c>
      <c r="AE409" t="b">
        <v>0</v>
      </c>
      <c r="AF409" t="inlineStr">
        <is>
          <t>Yes</t>
        </is>
      </c>
      <c r="AG409" s="2" t="n">
        <v>46055</v>
      </c>
      <c r="AI409" t="b">
        <v>1</v>
      </c>
      <c r="AJ409" t="n">
        <v>5</v>
      </c>
      <c r="AK409" t="inlineStr">
        <is>
          <t>MS FULL-STACK and O365 developer with a very broad deployment potential in custom development on the Microsoft stack or product-oriented development in the same context. (Azure, C#, IoT, O365, Angular, Web development, SQL)
Also 2 years of experience in Node.js, Docker
Current leads:
bevestor replacement for Samy
DB Systel eBRS2</t>
        </is>
      </c>
      <c r="AL409" t="inlineStr">
        <is>
          <t>ORG bIT</t>
        </is>
      </c>
      <c r="AM409" t="inlineStr">
        <is>
          <t>SE Software Engineering Frankfurt (Steffen F.)</t>
        </is>
      </c>
      <c r="AN409" t="inlineStr">
        <is>
          <t>ES Enterprise Solutions (Dominik H.)</t>
        </is>
      </c>
      <c r="AO409" t="inlineStr">
        <is>
          <t>bridgingIT GmbH</t>
        </is>
      </c>
      <c r="AP409" t="inlineStr">
        <is>
          <t>Frankfurt</t>
        </is>
      </c>
      <c r="AQ409" t="inlineStr">
        <is>
          <t>Steffen Flick</t>
        </is>
      </c>
    </row>
    <row r="410">
      <c r="A410" t="inlineStr">
        <is>
          <t>10121</t>
        </is>
      </c>
      <c r="B410" t="inlineStr">
        <is>
          <t>FB6794</t>
        </is>
      </c>
      <c r="C410" t="inlineStr">
        <is>
          <t>https://app.matchical.com/Consulting/ConsultantDetail?ConsultantId=5c2c4563-3ba5-4195-ba18-cd6cebea05de</t>
        </is>
      </c>
      <c r="D410" t="inlineStr">
        <is>
          <t>Mouaz Tabboush</t>
        </is>
      </c>
      <c r="E410" t="inlineStr">
        <is>
          <t>mouaz.tabboush@bridging-it.de</t>
        </is>
      </c>
      <c r="F410" s="2" t="n">
        <v>45047</v>
      </c>
      <c r="G410" s="2" t="n">
        <v>43710</v>
      </c>
      <c r="H410" t="n">
        <v>11</v>
      </c>
      <c r="I410" t="n">
        <v>0</v>
      </c>
      <c r="J410" t="n">
        <v>4</v>
      </c>
      <c r="K410" s="2" t="n">
        <v>43861</v>
      </c>
      <c r="L410" s="2" t="n">
        <v>45322</v>
      </c>
      <c r="M410" s="2" t="n">
        <v>45473</v>
      </c>
      <c r="N410" t="b">
        <v>0</v>
      </c>
      <c r="O410" t="n">
        <v>34</v>
      </c>
      <c r="P410" t="n">
        <v>161.45</v>
      </c>
      <c r="Q410" t="n">
        <v>33.84</v>
      </c>
      <c r="R410">
        <f>ROUND(O410-P410,2)</f>
        <v/>
      </c>
      <c r="S410">
        <f>ROUND(O410-Q410,2)</f>
        <v/>
      </c>
      <c r="T410" s="3">
        <f>IFERROR(P410/O410,"")</f>
        <v/>
      </c>
      <c r="U410" s="3">
        <f>IFERROR(Q410/O410,"")</f>
        <v/>
      </c>
      <c r="V410" t="n">
        <v>44</v>
      </c>
      <c r="W410" t="n">
        <v>94.55</v>
      </c>
      <c r="X410" t="n">
        <v>29.24</v>
      </c>
      <c r="Y410">
        <f>ROUND(V410-W410,2)</f>
        <v/>
      </c>
      <c r="Z410">
        <f>ROUND(V410-X410,2)</f>
        <v/>
      </c>
      <c r="AA410" s="3">
        <f>IFERROR(W410/V410,"")</f>
        <v/>
      </c>
      <c r="AB410" s="3">
        <f>IFERROR(X410/V410,"")</f>
        <v/>
      </c>
      <c r="AC410" t="b">
        <v>0</v>
      </c>
      <c r="AD410" t="b">
        <v>0</v>
      </c>
      <c r="AE410" t="b">
        <v>0</v>
      </c>
      <c r="AF410" t="inlineStr">
        <is>
          <t>No</t>
        </is>
      </c>
      <c r="AI410" t="b">
        <v>0</v>
      </c>
      <c r="AJ410" t="n">
        <v>0</v>
      </c>
      <c r="AK410" t="inlineStr"/>
      <c r="AL410" t="inlineStr">
        <is>
          <t>IT Information Technology (Hauke G.)</t>
        </is>
      </c>
      <c r="AM410" t="inlineStr">
        <is>
          <t>CT Cloud Technology I (Martin S.)</t>
        </is>
      </c>
      <c r="AN410" t="inlineStr">
        <is>
          <t>TC Technology &amp; Cloud (Martin S.)</t>
        </is>
      </c>
      <c r="AO410" t="inlineStr">
        <is>
          <t>bridgingIT GmbH</t>
        </is>
      </c>
      <c r="AP410" t="inlineStr">
        <is>
          <t>Stuttgart</t>
        </is>
      </c>
      <c r="AQ410" t="inlineStr">
        <is>
          <t>Martin Spörl</t>
        </is>
      </c>
    </row>
    <row r="411">
      <c r="A411" t="inlineStr">
        <is>
          <t>10167</t>
        </is>
      </c>
      <c r="B411" t="inlineStr">
        <is>
          <t>4A1E2A</t>
        </is>
      </c>
      <c r="C411" t="inlineStr">
        <is>
          <t>https://app.matchical.com/Consulting/ConsultantDetail?ConsultantId=01874535-6f64-4fd6-b432-9cc809cbc65e</t>
        </is>
      </c>
      <c r="D411" t="inlineStr">
        <is>
          <t>Murat Cakan</t>
        </is>
      </c>
      <c r="E411" t="inlineStr">
        <is>
          <t>murat.cakan@bridging-it.de</t>
        </is>
      </c>
      <c r="F411" s="2" t="n">
        <v>45261</v>
      </c>
      <c r="G411" s="2" t="n">
        <v>36161</v>
      </c>
      <c r="H411" t="n">
        <v>8</v>
      </c>
      <c r="I411" t="n">
        <v>0</v>
      </c>
      <c r="J411" t="n">
        <v>0</v>
      </c>
      <c r="L411" s="2" t="n">
        <v>45352</v>
      </c>
      <c r="M411" s="2" t="n">
        <v>45657</v>
      </c>
      <c r="N411" t="b">
        <v>0</v>
      </c>
      <c r="O411" t="n">
        <v>27</v>
      </c>
      <c r="P411" t="n">
        <v>10</v>
      </c>
      <c r="Q411" t="n">
        <v>10</v>
      </c>
      <c r="R411">
        <f>ROUND(O411-P411,2)</f>
        <v/>
      </c>
      <c r="S411">
        <f>ROUND(O411-Q411,2)</f>
        <v/>
      </c>
      <c r="T411" s="3">
        <f>IFERROR(P411/O411,"")</f>
        <v/>
      </c>
      <c r="U411" s="3">
        <f>IFERROR(Q411/O411,"")</f>
        <v/>
      </c>
      <c r="V411" t="n">
        <v>299</v>
      </c>
      <c r="W411" t="n">
        <v>251</v>
      </c>
      <c r="X411" t="n">
        <v>176</v>
      </c>
      <c r="Y411">
        <f>ROUND(V411-W411,2)</f>
        <v/>
      </c>
      <c r="Z411">
        <f>ROUND(V411-X411,2)</f>
        <v/>
      </c>
      <c r="AA411" s="3">
        <f>IFERROR(W411/V411,"")</f>
        <v/>
      </c>
      <c r="AB411" s="3">
        <f>IFERROR(X411/V411,"")</f>
        <v/>
      </c>
      <c r="AC411" t="b">
        <v>0</v>
      </c>
      <c r="AD411" t="b">
        <v>0</v>
      </c>
      <c r="AE411" t="b">
        <v>0</v>
      </c>
      <c r="AF411" t="inlineStr">
        <is>
          <t>No</t>
        </is>
      </c>
      <c r="AI411" t="b">
        <v>1</v>
      </c>
      <c r="AJ411" t="n">
        <v>0</v>
      </c>
      <c r="AK411" t="inlineStr"/>
      <c r="AL411" t="inlineStr">
        <is>
          <t>IT Information Technology (Hauke G.)</t>
        </is>
      </c>
      <c r="AM411" t="inlineStr">
        <is>
          <t>CT Cloud Technology II (Marc L.)</t>
        </is>
      </c>
      <c r="AN411" t="inlineStr">
        <is>
          <t>TC Technology &amp; Cloud (Martin S.)</t>
        </is>
      </c>
      <c r="AO411" t="inlineStr">
        <is>
          <t>bridgingIT GmbH</t>
        </is>
      </c>
      <c r="AP411" t="inlineStr">
        <is>
          <t>Stuttgart</t>
        </is>
      </c>
      <c r="AQ411" t="inlineStr">
        <is>
          <t>Marc Leunig</t>
        </is>
      </c>
    </row>
    <row r="412">
      <c r="A412" t="inlineStr">
        <is>
          <t>10049</t>
        </is>
      </c>
      <c r="B412" t="inlineStr">
        <is>
          <t>48336B</t>
        </is>
      </c>
      <c r="C412" t="inlineStr">
        <is>
          <t>https://app.matchical.com/Consulting/ConsultantDetail?ConsultantId=d56cff36-2756-4820-b934-f37c1a93ecf1</t>
        </is>
      </c>
      <c r="D412" t="inlineStr">
        <is>
          <t>Nabeel Sameer</t>
        </is>
      </c>
      <c r="E412" t="inlineStr">
        <is>
          <t>nabeel.sameer@bridging-it.de</t>
        </is>
      </c>
      <c r="F412" s="2" t="n">
        <v>44941</v>
      </c>
      <c r="H412" t="n">
        <v>7</v>
      </c>
      <c r="I412" t="n">
        <v>0</v>
      </c>
      <c r="J412" t="n">
        <v>4</v>
      </c>
      <c r="K412" s="2" t="n">
        <v>44104</v>
      </c>
      <c r="L412" s="2" t="n">
        <v>45658</v>
      </c>
      <c r="M412" s="2" t="n">
        <v>46022</v>
      </c>
      <c r="N412" t="b">
        <v>0</v>
      </c>
      <c r="O412" t="n">
        <v>37</v>
      </c>
      <c r="P412" t="n">
        <v>156.28</v>
      </c>
      <c r="Q412" t="n">
        <v>37.32</v>
      </c>
      <c r="R412">
        <f>ROUND(O412-P412,2)</f>
        <v/>
      </c>
      <c r="S412">
        <f>ROUND(O412-Q412,2)</f>
        <v/>
      </c>
      <c r="T412" s="3">
        <f>IFERROR(P412/O412,"")</f>
        <v/>
      </c>
      <c r="U412" s="3">
        <f>IFERROR(Q412/O412,"")</f>
        <v/>
      </c>
      <c r="V412" t="n">
        <v>1476</v>
      </c>
      <c r="W412" t="n">
        <v>62.72</v>
      </c>
      <c r="X412" t="n">
        <v>20.37</v>
      </c>
      <c r="Y412">
        <f>ROUND(V412-W412,2)</f>
        <v/>
      </c>
      <c r="Z412">
        <f>ROUND(V412-X412,2)</f>
        <v/>
      </c>
      <c r="AA412" s="3">
        <f>IFERROR(W412/V412,"")</f>
        <v/>
      </c>
      <c r="AB412" s="3">
        <f>IFERROR(X412/V412,"")</f>
        <v/>
      </c>
      <c r="AC412" t="b">
        <v>0</v>
      </c>
      <c r="AD412" t="b">
        <v>0</v>
      </c>
      <c r="AE412" t="b">
        <v>0</v>
      </c>
      <c r="AF412" t="inlineStr">
        <is>
          <t>No</t>
        </is>
      </c>
      <c r="AI412" t="b">
        <v>0</v>
      </c>
      <c r="AJ412" t="n">
        <v>0</v>
      </c>
      <c r="AK412" t="inlineStr">
        <is>
          <t>Currently partial utilization (cost coverage) at SWS-VDC. An option for more available days has been given - therefore seeking a flexible project with a team structure. Target topics: Cloud Automation
Opportunity: TNG Automation placed at SI with 1 PT/week.</t>
        </is>
      </c>
      <c r="AL412" t="inlineStr">
        <is>
          <t>IT Information Technology (Hauke G.)</t>
        </is>
      </c>
      <c r="AM412" t="inlineStr">
        <is>
          <t>CT Cloud Technology II (Marc L.)</t>
        </is>
      </c>
      <c r="AN412" t="inlineStr">
        <is>
          <t>TC Technology &amp; Cloud (Martin S.)</t>
        </is>
      </c>
      <c r="AO412" t="inlineStr">
        <is>
          <t>bridgingIT GmbH</t>
        </is>
      </c>
      <c r="AP412" t="inlineStr">
        <is>
          <t>Stuttgart</t>
        </is>
      </c>
      <c r="AQ412" t="inlineStr">
        <is>
          <t>Marc Leunig</t>
        </is>
      </c>
    </row>
    <row r="413">
      <c r="A413" t="inlineStr">
        <is>
          <t>10017</t>
        </is>
      </c>
      <c r="B413" t="inlineStr">
        <is>
          <t>D64EF0</t>
        </is>
      </c>
      <c r="C413" t="inlineStr">
        <is>
          <t>https://app.matchical.com/Consulting/ConsultantDetail?ConsultantId=e784b0b7-3da5-4d48-b7c4-ba92f3962e9e</t>
        </is>
      </c>
      <c r="D413" t="inlineStr">
        <is>
          <t>Nadine Naunov</t>
        </is>
      </c>
      <c r="E413" t="inlineStr">
        <is>
          <t>nadine.naunov@bridging-it.de</t>
        </is>
      </c>
      <c r="F413" s="2" t="n">
        <v>44866</v>
      </c>
      <c r="G413" s="2" t="n">
        <v>41307</v>
      </c>
      <c r="H413" t="n">
        <v>10</v>
      </c>
      <c r="I413" t="n">
        <v>0</v>
      </c>
      <c r="J413" t="n">
        <v>0</v>
      </c>
      <c r="L413" s="2" t="n">
        <v>45677</v>
      </c>
      <c r="M413" s="2" t="n">
        <v>45754</v>
      </c>
      <c r="N413" t="b">
        <v>0</v>
      </c>
      <c r="O413" t="n">
        <v>40</v>
      </c>
      <c r="P413" t="n">
        <v>30</v>
      </c>
      <c r="Q413" t="n">
        <v>27</v>
      </c>
      <c r="R413">
        <f>ROUND(O413-P413,2)</f>
        <v/>
      </c>
      <c r="S413">
        <f>ROUND(O413-Q413,2)</f>
        <v/>
      </c>
      <c r="T413" s="3">
        <f>IFERROR(P413/O413,"")</f>
        <v/>
      </c>
      <c r="U413" s="3">
        <f>IFERROR(Q413/O413,"")</f>
        <v/>
      </c>
      <c r="V413" t="n">
        <v>117</v>
      </c>
      <c r="W413" t="n">
        <v>65</v>
      </c>
      <c r="X413" t="n">
        <v>55</v>
      </c>
      <c r="Y413">
        <f>ROUND(V413-W413,2)</f>
        <v/>
      </c>
      <c r="Z413">
        <f>ROUND(V413-X413,2)</f>
        <v/>
      </c>
      <c r="AA413" s="3">
        <f>IFERROR(W413/V413,"")</f>
        <v/>
      </c>
      <c r="AB413" s="3">
        <f>IFERROR(X413/V413,"")</f>
        <v/>
      </c>
      <c r="AC413" t="b">
        <v>0</v>
      </c>
      <c r="AD413" t="b">
        <v>0</v>
      </c>
      <c r="AE413" t="b">
        <v>0</v>
      </c>
      <c r="AF413" t="inlineStr">
        <is>
          <t>No</t>
        </is>
      </c>
      <c r="AI413" t="b">
        <v>1</v>
      </c>
      <c r="AJ413" t="n">
        <v>0</v>
      </c>
      <c r="AK413" t="inlineStr"/>
      <c r="AL413" t="inlineStr">
        <is>
          <t>T&amp;A - Transformation &amp; Agility (Arne K.)</t>
        </is>
      </c>
      <c r="AM413" t="inlineStr">
        <is>
          <t>CTM – Change &amp; Transformationmgmt. HH (Katja R.)</t>
        </is>
      </c>
      <c r="AN413" t="inlineStr">
        <is>
          <t>A&amp;PM Agility &amp; Project Management (Jan H.)</t>
        </is>
      </c>
      <c r="AO413" t="inlineStr">
        <is>
          <t>bridgingIT GmbH</t>
        </is>
      </c>
      <c r="AP413" t="inlineStr">
        <is>
          <t>Hamburg</t>
        </is>
      </c>
      <c r="AQ413" t="inlineStr">
        <is>
          <t>Katja Runge</t>
        </is>
      </c>
    </row>
    <row r="414">
      <c r="A414" t="inlineStr">
        <is>
          <t>1533</t>
        </is>
      </c>
      <c r="B414" t="inlineStr">
        <is>
          <t>6051C7</t>
        </is>
      </c>
      <c r="C414" t="inlineStr">
        <is>
          <t>https://app.matchical.com/Consulting/ConsultantDetail?ConsultantId=40849aae-099b-4639-8533-44661a46bfbd</t>
        </is>
      </c>
      <c r="D414" t="inlineStr">
        <is>
          <t>Nadine Sprengart</t>
        </is>
      </c>
      <c r="E414" t="inlineStr">
        <is>
          <t>nadine.sprengart@bridging-it.de</t>
        </is>
      </c>
      <c r="F414" s="2" t="n">
        <v>44835</v>
      </c>
      <c r="G414" s="2" t="n">
        <v>36526</v>
      </c>
      <c r="H414" t="n">
        <v>12</v>
      </c>
      <c r="I414" t="n">
        <v>0</v>
      </c>
      <c r="J414" t="n">
        <v>0</v>
      </c>
      <c r="L414" s="2" t="n">
        <v>45777</v>
      </c>
      <c r="M414" s="2" t="n">
        <v>45929</v>
      </c>
      <c r="N414" t="b">
        <v>0</v>
      </c>
      <c r="O414" t="n">
        <v>41</v>
      </c>
      <c r="P414" t="n">
        <v>103.95</v>
      </c>
      <c r="Q414" t="n">
        <v>37.04</v>
      </c>
      <c r="R414">
        <f>ROUND(O414-P414,2)</f>
        <v/>
      </c>
      <c r="S414">
        <f>ROUND(O414-Q414,2)</f>
        <v/>
      </c>
      <c r="T414" s="3">
        <f>IFERROR(P414/O414,"")</f>
        <v/>
      </c>
      <c r="U414" s="3">
        <f>IFERROR(Q414/O414,"")</f>
        <v/>
      </c>
      <c r="V414" t="n">
        <v>273</v>
      </c>
      <c r="W414" t="n">
        <v>29.05</v>
      </c>
      <c r="X414" t="n">
        <v>14.96</v>
      </c>
      <c r="Y414">
        <f>ROUND(V414-W414,2)</f>
        <v/>
      </c>
      <c r="Z414">
        <f>ROUND(V414-X414,2)</f>
        <v/>
      </c>
      <c r="AA414" s="3">
        <f>IFERROR(W414/V414,"")</f>
        <v/>
      </c>
      <c r="AB414" s="3">
        <f>IFERROR(X414/V414,"")</f>
        <v/>
      </c>
      <c r="AC414" t="b">
        <v>0</v>
      </c>
      <c r="AD414" t="b">
        <v>0</v>
      </c>
      <c r="AE414" t="b">
        <v>0</v>
      </c>
      <c r="AF414" t="inlineStr">
        <is>
          <t>No</t>
        </is>
      </c>
      <c r="AI414" t="b">
        <v>1</v>
      </c>
      <c r="AJ414" t="n">
        <v>0</v>
      </c>
      <c r="AK414" t="inlineStr">
        <is>
          <t>Nadine is looking for a project in the field of business analysis, requirements engineering, preferably oriented toward data analysis and transformation management.</t>
        </is>
      </c>
      <c r="AL414" t="inlineStr">
        <is>
          <t>T&amp;A - Transformation &amp; Agility (Arne K.)</t>
        </is>
      </c>
      <c r="AM414" t="inlineStr">
        <is>
          <t>TBC - Transforming Business Concepts (Bastian T.)</t>
        </is>
      </c>
      <c r="AN414" t="inlineStr">
        <is>
          <t>TBC - Transforming Business Concepts (Bastian T.)</t>
        </is>
      </c>
      <c r="AO414" t="inlineStr">
        <is>
          <t>bridgingIT GmbH</t>
        </is>
      </c>
      <c r="AP414" t="inlineStr">
        <is>
          <t>Mannheim</t>
        </is>
      </c>
      <c r="AQ414" t="inlineStr">
        <is>
          <t>Bastian Trauth</t>
        </is>
      </c>
    </row>
    <row r="415">
      <c r="A415" t="inlineStr">
        <is>
          <t>10268</t>
        </is>
      </c>
      <c r="B415" t="inlineStr">
        <is>
          <t>D668D2</t>
        </is>
      </c>
      <c r="C415" t="inlineStr">
        <is>
          <t>https://app.matchical.com/Consulting/ConsultantDetail?ConsultantId=3eed9342-ee19-4e2f-b1cc-48afbfa12e92</t>
        </is>
      </c>
      <c r="D415" t="inlineStr">
        <is>
          <t>Nadja Baranek</t>
        </is>
      </c>
      <c r="E415" t="inlineStr">
        <is>
          <t>nadja.baranek@bridging-it.de</t>
        </is>
      </c>
      <c r="F415" s="2" t="n">
        <v>45352</v>
      </c>
      <c r="G415" s="2" t="n">
        <v>42219</v>
      </c>
      <c r="H415" t="n">
        <v>13</v>
      </c>
      <c r="I415" t="n">
        <v>0</v>
      </c>
      <c r="J415" t="n">
        <v>2</v>
      </c>
      <c r="K415" s="2" t="n">
        <v>45747</v>
      </c>
      <c r="L415" s="2" t="n">
        <v>45596</v>
      </c>
      <c r="M415" s="2" t="n">
        <v>45899</v>
      </c>
      <c r="N415" t="b">
        <v>0</v>
      </c>
      <c r="O415" t="n">
        <v>24</v>
      </c>
      <c r="P415" t="n">
        <v>51.87</v>
      </c>
      <c r="Q415" t="n">
        <v>23.82</v>
      </c>
      <c r="R415">
        <f>ROUND(O415-P415,2)</f>
        <v/>
      </c>
      <c r="S415">
        <f>ROUND(O415-Q415,2)</f>
        <v/>
      </c>
      <c r="T415" s="3">
        <f>IFERROR(P415/O415,"")</f>
        <v/>
      </c>
      <c r="U415" s="3">
        <f>IFERROR(Q415/O415,"")</f>
        <v/>
      </c>
      <c r="V415" t="n">
        <v>103</v>
      </c>
      <c r="W415" t="n">
        <v>86.01000000000001</v>
      </c>
      <c r="X415" t="n">
        <v>63.75</v>
      </c>
      <c r="Y415">
        <f>ROUND(V415-W415,2)</f>
        <v/>
      </c>
      <c r="Z415">
        <f>ROUND(V415-X415,2)</f>
        <v/>
      </c>
      <c r="AA415" s="3">
        <f>IFERROR(W415/V415,"")</f>
        <v/>
      </c>
      <c r="AB415" s="3">
        <f>IFERROR(X415/V415,"")</f>
        <v/>
      </c>
      <c r="AC415" t="b">
        <v>0</v>
      </c>
      <c r="AD415" t="b">
        <v>0</v>
      </c>
      <c r="AE415" t="b">
        <v>0</v>
      </c>
      <c r="AF415" t="inlineStr">
        <is>
          <t>Yes</t>
        </is>
      </c>
      <c r="AG415" s="2" t="n">
        <v>46174</v>
      </c>
      <c r="AI415" t="b">
        <v>1</v>
      </c>
      <c r="AJ415" t="n">
        <v>5</v>
      </c>
      <c r="AK415" t="inlineStr">
        <is>
          <t>Nadja's core strengths are requirements management and process management. She brings a strong understanding of processes and analytical skills. In addition, Nadja is proficient in the M365 environment and possesses a high degree of empathy. She is familiar with the Energy, Manufacturing, and Healthcare &amp; Life Science sectors.</t>
        </is>
      </c>
      <c r="AL415" t="inlineStr">
        <is>
          <t>T&amp;A - Transformation &amp; Agility (Arne K.)</t>
        </is>
      </c>
      <c r="AM415" t="inlineStr">
        <is>
          <t>CTM – Change &amp; Transformationmgmt. HH (Katja R.)</t>
        </is>
      </c>
      <c r="AN415" t="inlineStr">
        <is>
          <t>A&amp;PM Agility &amp; Project Management (Jan H.)</t>
        </is>
      </c>
      <c r="AO415" t="inlineStr">
        <is>
          <t>bridgingIT GmbH</t>
        </is>
      </c>
      <c r="AP415" t="inlineStr">
        <is>
          <t>Hamburg</t>
        </is>
      </c>
      <c r="AQ415" t="inlineStr">
        <is>
          <t>Katja Runge</t>
        </is>
      </c>
    </row>
    <row r="416">
      <c r="A416" t="inlineStr">
        <is>
          <t>10096</t>
        </is>
      </c>
      <c r="B416" t="inlineStr">
        <is>
          <t>AFA2A3</t>
        </is>
      </c>
      <c r="C416" t="inlineStr">
        <is>
          <t>https://app.matchical.com/Consulting/ConsultantDetail?ConsultantId=3bf4c4f4-9001-4ec9-8d27-c14047813240</t>
        </is>
      </c>
      <c r="D416" t="inlineStr">
        <is>
          <t>Nadja Thomsen</t>
        </is>
      </c>
      <c r="E416" t="inlineStr">
        <is>
          <t>nadja.thomsen@bridging-it.de</t>
        </is>
      </c>
      <c r="F416" s="2" t="n">
        <v>45017</v>
      </c>
      <c r="G416" s="2" t="n">
        <v>43466</v>
      </c>
      <c r="H416" t="n">
        <v>19</v>
      </c>
      <c r="I416" t="n">
        <v>0</v>
      </c>
      <c r="J416" t="n">
        <v>0</v>
      </c>
      <c r="L416" s="2" t="n">
        <v>46035</v>
      </c>
      <c r="M416" s="2" t="n">
        <v>46058</v>
      </c>
      <c r="N416" t="b">
        <v>0</v>
      </c>
      <c r="O416" t="n">
        <v>35</v>
      </c>
      <c r="P416" t="n">
        <v>69</v>
      </c>
      <c r="Q416" t="n">
        <v>34.83</v>
      </c>
      <c r="R416">
        <f>ROUND(O416-P416,2)</f>
        <v/>
      </c>
      <c r="S416">
        <f>ROUND(O416-Q416,2)</f>
        <v/>
      </c>
      <c r="T416" s="3">
        <f>IFERROR(P416/O416,"")</f>
        <v/>
      </c>
      <c r="U416" s="3">
        <f>IFERROR(Q416/O416,"")</f>
        <v/>
      </c>
      <c r="V416" t="n">
        <v>51</v>
      </c>
      <c r="W416" t="n">
        <v>62</v>
      </c>
      <c r="X416" t="n">
        <v>36</v>
      </c>
      <c r="Y416">
        <f>ROUND(V416-W416,2)</f>
        <v/>
      </c>
      <c r="Z416">
        <f>ROUND(V416-X416,2)</f>
        <v/>
      </c>
      <c r="AA416" s="3">
        <f>IFERROR(W416/V416,"")</f>
        <v/>
      </c>
      <c r="AB416" s="3">
        <f>IFERROR(X416/V416,"")</f>
        <v/>
      </c>
      <c r="AC416" t="b">
        <v>0</v>
      </c>
      <c r="AD416" t="b">
        <v>0</v>
      </c>
      <c r="AE416" t="b">
        <v>0</v>
      </c>
      <c r="AF416" t="inlineStr">
        <is>
          <t>Yes</t>
        </is>
      </c>
      <c r="AG416" s="2" t="n">
        <v>46076</v>
      </c>
      <c r="AI416" t="b">
        <v>1</v>
      </c>
      <c r="AJ416" t="n">
        <v>5</v>
      </c>
      <c r="AK416" t="inlineStr">
        <is>
          <t>Nadja works as an Agile Coach at LINK digital on project assignments and supports RV EnBW. Afterwards, she looks forward to a new project as a Team/ Agile Coach, Change Manager or Scrum Master. Additionally, tasks in the digital/agile transformation space fit very well.</t>
        </is>
      </c>
      <c r="AL416" t="inlineStr">
        <is>
          <t>T&amp;A - Transformation &amp; Agility (Arne K.)</t>
        </is>
      </c>
      <c r="AM416" t="inlineStr">
        <is>
          <t>PACE – Project Agility &amp; Cont' Evolution (Jan H.)</t>
        </is>
      </c>
      <c r="AN416" t="inlineStr">
        <is>
          <t>A&amp;PM Agility &amp; Project Management (Jan H.)</t>
        </is>
      </c>
      <c r="AO416" t="inlineStr">
        <is>
          <t>bridgingIT GmbH</t>
        </is>
      </c>
      <c r="AP416" t="inlineStr">
        <is>
          <t>Mannheim</t>
        </is>
      </c>
      <c r="AQ416" t="inlineStr">
        <is>
          <t>Jan Heinemann</t>
        </is>
      </c>
    </row>
    <row r="417">
      <c r="A417" t="inlineStr">
        <is>
          <t>8112</t>
        </is>
      </c>
      <c r="B417" t="inlineStr">
        <is>
          <t>EC81C9</t>
        </is>
      </c>
      <c r="C417" t="inlineStr">
        <is>
          <t>https://app.matchical.com/Consulting/ConsultantDetail?ConsultantId=e45b4a26-932e-4dda-b685-9aac1e15adb4</t>
        </is>
      </c>
      <c r="D417" t="inlineStr">
        <is>
          <t>Nancy Conrad</t>
        </is>
      </c>
      <c r="E417" t="inlineStr">
        <is>
          <t>nancy.conrad@crafting-it.de</t>
        </is>
      </c>
      <c r="F417" s="2" t="n">
        <v>42461</v>
      </c>
      <c r="G417" s="2" t="n">
        <v>42461</v>
      </c>
      <c r="H417" t="n">
        <v>0</v>
      </c>
      <c r="I417" t="n">
        <v>0</v>
      </c>
      <c r="J417" t="n">
        <v>0</v>
      </c>
      <c r="N417" t="b">
        <v>0</v>
      </c>
      <c r="O417" t="n">
        <v>119</v>
      </c>
      <c r="P417" t="n">
        <v>0</v>
      </c>
      <c r="Q417" t="n">
        <v>0</v>
      </c>
      <c r="R417">
        <f>ROUND(O417-P417,2)</f>
        <v/>
      </c>
      <c r="S417">
        <f>ROUND(O417-Q417,2)</f>
        <v/>
      </c>
      <c r="T417" s="3">
        <f>IFERROR(P417/O417,"")</f>
        <v/>
      </c>
      <c r="U417" s="3">
        <f>IFERROR(Q417/O417,"")</f>
        <v/>
      </c>
      <c r="V417" t="n">
        <v>0</v>
      </c>
      <c r="W417" t="n">
        <v>0</v>
      </c>
      <c r="X417" t="n">
        <v>0</v>
      </c>
      <c r="Y417">
        <f>ROUND(V417-W417,2)</f>
        <v/>
      </c>
      <c r="Z417">
        <f>ROUND(V417-X417,2)</f>
        <v/>
      </c>
      <c r="AA417" s="3">
        <f>IFERROR(W417/V417,"")</f>
        <v/>
      </c>
      <c r="AB417" s="3">
        <f>IFERROR(X417/V417,"")</f>
        <v/>
      </c>
      <c r="AC417" t="b">
        <v>0</v>
      </c>
      <c r="AD417" t="b">
        <v>0</v>
      </c>
      <c r="AE417" t="b">
        <v>0</v>
      </c>
      <c r="AF417" t="inlineStr">
        <is>
          <t>No</t>
        </is>
      </c>
      <c r="AI417" t="b">
        <v>1</v>
      </c>
      <c r="AJ417" t="n">
        <v>0</v>
      </c>
      <c r="AK417" t="inlineStr"/>
      <c r="AL417" t="inlineStr">
        <is>
          <t>TPD cIT - BL Third Party Delivery (Christian K.)</t>
        </is>
      </c>
      <c r="AM417" t="inlineStr">
        <is>
          <t>cIT TPM</t>
        </is>
      </c>
      <c r="AN417" t="inlineStr">
        <is>
          <t>TPD cIT - BU Third Party Delivery (Christian K.)</t>
        </is>
      </c>
      <c r="AO417" t="inlineStr">
        <is>
          <t>craftingIT GmbH</t>
        </is>
      </c>
      <c r="AP417" t="inlineStr">
        <is>
          <t>Magdeburg</t>
        </is>
      </c>
      <c r="AQ417" t="inlineStr">
        <is>
          <t>Christian Kobl</t>
        </is>
      </c>
    </row>
    <row r="418">
      <c r="A418" t="inlineStr">
        <is>
          <t>1390</t>
        </is>
      </c>
      <c r="B418" t="inlineStr">
        <is>
          <t>459CBC</t>
        </is>
      </c>
      <c r="C418" t="inlineStr">
        <is>
          <t>https://app.matchical.com/Consulting/ConsultantDetail?ConsultantId=1e4e7010-25c6-463c-b83c-36daf6978e38</t>
        </is>
      </c>
      <c r="D418" t="inlineStr">
        <is>
          <t>Natalia Abreu Tovar</t>
        </is>
      </c>
      <c r="E418" t="inlineStr">
        <is>
          <t>natalia.abreu-tovar@bridging-it.de</t>
        </is>
      </c>
      <c r="F418" s="2" t="n">
        <v>42917</v>
      </c>
      <c r="G418" s="2" t="n">
        <v>39692</v>
      </c>
      <c r="H418" t="n">
        <v>8</v>
      </c>
      <c r="I418" t="n">
        <v>0</v>
      </c>
      <c r="J418" t="n">
        <v>0</v>
      </c>
      <c r="L418" s="2" t="n">
        <v>44682</v>
      </c>
      <c r="M418" s="2" t="n">
        <v>45231</v>
      </c>
      <c r="N418" t="b">
        <v>0</v>
      </c>
      <c r="O418" t="n">
        <v>104</v>
      </c>
      <c r="P418" t="n">
        <v>66.97</v>
      </c>
      <c r="Q418" t="n">
        <v>59.97</v>
      </c>
      <c r="R418">
        <f>ROUND(O418-P418,2)</f>
        <v/>
      </c>
      <c r="S418">
        <f>ROUND(O418-Q418,2)</f>
        <v/>
      </c>
      <c r="T418" s="3">
        <f>IFERROR(P418/O418,"")</f>
        <v/>
      </c>
      <c r="U418" s="3">
        <f>IFERROR(Q418/O418,"")</f>
        <v/>
      </c>
      <c r="V418" t="n">
        <v>106</v>
      </c>
      <c r="W418" t="n">
        <v>10.03</v>
      </c>
      <c r="X418" t="n">
        <v>10.03</v>
      </c>
      <c r="Y418">
        <f>ROUND(V418-W418,2)</f>
        <v/>
      </c>
      <c r="Z418">
        <f>ROUND(V418-X418,2)</f>
        <v/>
      </c>
      <c r="AA418" s="3">
        <f>IFERROR(W418/V418,"")</f>
        <v/>
      </c>
      <c r="AB418" s="3">
        <f>IFERROR(X418/V418,"")</f>
        <v/>
      </c>
      <c r="AC418" t="b">
        <v>0</v>
      </c>
      <c r="AD418" t="b">
        <v>0</v>
      </c>
      <c r="AE418" t="b">
        <v>0</v>
      </c>
      <c r="AF418" t="inlineStr">
        <is>
          <t>No</t>
        </is>
      </c>
      <c r="AI418" t="b">
        <v>1</v>
      </c>
      <c r="AJ418" t="n">
        <v>0</v>
      </c>
      <c r="AK418" t="inlineStr"/>
      <c r="AL418" t="inlineStr">
        <is>
          <t>ORG bIT</t>
        </is>
      </c>
      <c r="AM418" t="inlineStr">
        <is>
          <t>AMC - Agility Masters Cologne (Severin E.)</t>
        </is>
      </c>
      <c r="AN418" t="inlineStr">
        <is>
          <t>BTC - Business Transformation Cologne (Anna S.)</t>
        </is>
      </c>
      <c r="AO418" t="inlineStr">
        <is>
          <t>bridgingIT GmbH</t>
        </is>
      </c>
      <c r="AP418" t="inlineStr">
        <is>
          <t>Köln</t>
        </is>
      </c>
      <c r="AQ418" t="inlineStr">
        <is>
          <t>Severin Etzbach</t>
        </is>
      </c>
    </row>
    <row r="419">
      <c r="A419" t="inlineStr">
        <is>
          <t>4167</t>
        </is>
      </c>
      <c r="B419" t="inlineStr">
        <is>
          <t>331C1D</t>
        </is>
      </c>
      <c r="C419" t="inlineStr">
        <is>
          <t>https://app.matchical.com/Consulting/ConsultantDetail?ConsultantId=cf12eb3d-11c3-4646-a2c1-17842bd61ffe</t>
        </is>
      </c>
      <c r="D419" t="inlineStr">
        <is>
          <t>Natalia Mrvelj</t>
        </is>
      </c>
      <c r="E419" t="inlineStr">
        <is>
          <t>natalia.mrvelj@bridging-it.de</t>
        </is>
      </c>
      <c r="F419" s="2" t="n">
        <v>44835</v>
      </c>
      <c r="G419" s="2" t="n">
        <v>42248</v>
      </c>
      <c r="H419" t="n">
        <v>10</v>
      </c>
      <c r="I419" t="n">
        <v>0</v>
      </c>
      <c r="J419" t="n">
        <v>0</v>
      </c>
      <c r="L419" s="2" t="n">
        <v>45459</v>
      </c>
      <c r="M419" s="2" t="n">
        <v>45656</v>
      </c>
      <c r="N419" t="b">
        <v>0</v>
      </c>
      <c r="O419" t="n">
        <v>41</v>
      </c>
      <c r="P419" t="n">
        <v>39.85</v>
      </c>
      <c r="Q419" t="n">
        <v>36.85</v>
      </c>
      <c r="R419">
        <f>ROUND(O419-P419,2)</f>
        <v/>
      </c>
      <c r="S419">
        <f>ROUND(O419-Q419,2)</f>
        <v/>
      </c>
      <c r="T419" s="3">
        <f>IFERROR(P419/O419,"")</f>
        <v/>
      </c>
      <c r="U419" s="3">
        <f>IFERROR(Q419/O419,"")</f>
        <v/>
      </c>
      <c r="V419" t="n">
        <v>85</v>
      </c>
      <c r="W419" t="n">
        <v>49</v>
      </c>
      <c r="X419" t="n">
        <v>37</v>
      </c>
      <c r="Y419">
        <f>ROUND(V419-W419,2)</f>
        <v/>
      </c>
      <c r="Z419">
        <f>ROUND(V419-X419,2)</f>
        <v/>
      </c>
      <c r="AA419" s="3">
        <f>IFERROR(W419/V419,"")</f>
        <v/>
      </c>
      <c r="AB419" s="3">
        <f>IFERROR(X419/V419,"")</f>
        <v/>
      </c>
      <c r="AC419" t="b">
        <v>0</v>
      </c>
      <c r="AD419" t="b">
        <v>0</v>
      </c>
      <c r="AE419" t="b">
        <v>0</v>
      </c>
      <c r="AF419" t="inlineStr">
        <is>
          <t>No</t>
        </is>
      </c>
      <c r="AI419" t="b">
        <v>1</v>
      </c>
      <c r="AJ419" t="n">
        <v>0</v>
      </c>
      <c r="AK419" t="inlineStr">
        <is>
          <t>Natalia has been working for eight years as a project manager and business analyst in various industries. She understands the specific requirements of clients and supports projects from requirements specification to technical implementation. Her excellent analytical skills enable her to convey complex information and to find effective solutions.</t>
        </is>
      </c>
      <c r="AL419" t="inlineStr">
        <is>
          <t>ORG bIT Bayern</t>
        </is>
      </c>
      <c r="AM419" t="inlineStr">
        <is>
          <t>BAA Business Analysis &amp; Architecture (Viktor P.)</t>
        </is>
      </c>
      <c r="AN419" t="inlineStr">
        <is>
          <t>BPD Business Processes &amp; Data Engineering(Arne K.)</t>
        </is>
      </c>
      <c r="AO419" t="inlineStr">
        <is>
          <t>bridgingIT GmbH</t>
        </is>
      </c>
      <c r="AP419" t="inlineStr">
        <is>
          <t>München</t>
        </is>
      </c>
      <c r="AQ419" t="inlineStr">
        <is>
          <t>Viktor Poloczek</t>
        </is>
      </c>
    </row>
    <row r="420">
      <c r="A420" t="inlineStr">
        <is>
          <t>10407</t>
        </is>
      </c>
      <c r="B420" t="inlineStr">
        <is>
          <t>B5F7E8</t>
        </is>
      </c>
      <c r="C420" t="inlineStr">
        <is>
          <t>https://app.matchical.com/Consulting/ConsultantDetail?ConsultantId=5731cf27-6e18-4bb7-9993-dc9114d12a65</t>
        </is>
      </c>
      <c r="D420" t="inlineStr">
        <is>
          <t>Natalie Simon</t>
        </is>
      </c>
      <c r="E420" t="inlineStr">
        <is>
          <t>natalie.simon@bridging-it.de</t>
        </is>
      </c>
      <c r="F420" s="2" t="n">
        <v>45962</v>
      </c>
      <c r="G420" s="2" t="n">
        <v>44305</v>
      </c>
      <c r="H420" t="n">
        <v>5</v>
      </c>
      <c r="I420" t="n">
        <v>0</v>
      </c>
      <c r="J420" t="n">
        <v>0</v>
      </c>
      <c r="L420" s="2" t="n">
        <v>45716</v>
      </c>
      <c r="M420" s="2" t="n">
        <v>45898</v>
      </c>
      <c r="N420" t="b">
        <v>0</v>
      </c>
      <c r="O420" t="n">
        <v>4</v>
      </c>
      <c r="P420" t="n">
        <v>0</v>
      </c>
      <c r="Q420" t="n">
        <v>0</v>
      </c>
      <c r="R420">
        <f>ROUND(O420-P420,2)</f>
        <v/>
      </c>
      <c r="S420">
        <f>ROUND(O420-Q420,2)</f>
        <v/>
      </c>
      <c r="T420" s="3">
        <f>IFERROR(P420/O420,"")</f>
        <v/>
      </c>
      <c r="U420" s="3">
        <f>IFERROR(Q420/O420,"")</f>
        <v/>
      </c>
      <c r="V420" t="n">
        <v>54</v>
      </c>
      <c r="W420" t="n">
        <v>48</v>
      </c>
      <c r="X420" t="n">
        <v>36</v>
      </c>
      <c r="Y420">
        <f>ROUND(V420-W420,2)</f>
        <v/>
      </c>
      <c r="Z420">
        <f>ROUND(V420-X420,2)</f>
        <v/>
      </c>
      <c r="AA420" s="3">
        <f>IFERROR(W420/V420,"")</f>
        <v/>
      </c>
      <c r="AB420" s="3">
        <f>IFERROR(X420/V420,"")</f>
        <v/>
      </c>
      <c r="AC420" t="b">
        <v>0</v>
      </c>
      <c r="AD420" t="b">
        <v>0</v>
      </c>
      <c r="AE420" t="b">
        <v>0</v>
      </c>
      <c r="AF420" t="inlineStr">
        <is>
          <t>No</t>
        </is>
      </c>
      <c r="AG420" s="2" t="n">
        <v>46296</v>
      </c>
      <c r="AI420" t="b">
        <v>1</v>
      </c>
      <c r="AJ420" t="n">
        <v>0</v>
      </c>
      <c r="AK420" t="inlineStr">
        <is>
          <t>Natalie is an IT project and change manager with superpowers in process standardization, S/4HANA projects and training concept development, with experience in healthcare, automotive and energy.</t>
        </is>
      </c>
      <c r="AL420" t="inlineStr">
        <is>
          <t>T&amp;A - Transformation &amp; Agility (Arne K.)</t>
        </is>
      </c>
      <c r="AM420" t="inlineStr">
        <is>
          <t>P&amp;OS - Processes &amp; Organizational Str. (Raina B.)</t>
        </is>
      </c>
      <c r="AN420" t="inlineStr">
        <is>
          <t>TB - Transforming Business (Arne K.)</t>
        </is>
      </c>
      <c r="AO420" t="inlineStr">
        <is>
          <t>bridgingIT GmbH</t>
        </is>
      </c>
      <c r="AP420" t="inlineStr">
        <is>
          <t>Mannheim</t>
        </is>
      </c>
      <c r="AQ420" t="inlineStr">
        <is>
          <t>Raina Beck</t>
        </is>
      </c>
    </row>
    <row r="421">
      <c r="A421" t="inlineStr">
        <is>
          <t>9860</t>
        </is>
      </c>
      <c r="B421" t="inlineStr">
        <is>
          <t>47809A</t>
        </is>
      </c>
      <c r="C421" t="inlineStr">
        <is>
          <t>https://app.matchical.com/Consulting/ConsultantDetail?ConsultantId=ba2e8ab1-c941-42bf-afe0-40814e6eda8f</t>
        </is>
      </c>
      <c r="D421" t="inlineStr">
        <is>
          <t>Natallia Senger</t>
        </is>
      </c>
      <c r="E421" t="inlineStr">
        <is>
          <t>natallia.senger@leistungen.de</t>
        </is>
      </c>
      <c r="F421" s="2" t="n">
        <v>44445</v>
      </c>
      <c r="H421" t="n">
        <v>0</v>
      </c>
      <c r="I421" t="n">
        <v>0</v>
      </c>
      <c r="J421" t="n">
        <v>0</v>
      </c>
      <c r="N421" t="b">
        <v>1</v>
      </c>
      <c r="O421" t="n">
        <v>54</v>
      </c>
      <c r="P421" t="n">
        <v>0</v>
      </c>
      <c r="Q421" t="n">
        <v>0</v>
      </c>
      <c r="R421">
        <f>ROUND(O421-P421,2)</f>
        <v/>
      </c>
      <c r="S421">
        <f>ROUND(O421-Q421,2)</f>
        <v/>
      </c>
      <c r="T421" s="3">
        <f>IFERROR(P421/O421,"")</f>
        <v/>
      </c>
      <c r="U421" s="3">
        <f>IFERROR(Q421/O421,"")</f>
        <v/>
      </c>
      <c r="V421" t="n">
        <v>1460</v>
      </c>
      <c r="W421" t="n">
        <v>0</v>
      </c>
      <c r="X421" t="n">
        <v>0</v>
      </c>
      <c r="Y421">
        <f>ROUND(V421-W421,2)</f>
        <v/>
      </c>
      <c r="Z421">
        <f>ROUND(V421-X421,2)</f>
        <v/>
      </c>
      <c r="AA421" s="3">
        <f>IFERROR(W421/V421,"")</f>
        <v/>
      </c>
      <c r="AB421" s="3">
        <f>IFERROR(X421/V421,"")</f>
        <v/>
      </c>
      <c r="AC421" t="b">
        <v>0</v>
      </c>
      <c r="AD421" t="b">
        <v>0</v>
      </c>
      <c r="AE421" t="b">
        <v>0</v>
      </c>
      <c r="AF421" t="inlineStr">
        <is>
          <t>No</t>
        </is>
      </c>
      <c r="AI421" t="b">
        <v>1</v>
      </c>
      <c r="AJ421" t="n">
        <v>0</v>
      </c>
      <c r="AK421" t="inlineStr"/>
      <c r="AL421" t="inlineStr">
        <is>
          <t>Geschäftsleitung und Support</t>
        </is>
      </c>
      <c r="AM421" t="inlineStr">
        <is>
          <t>Support Externe Partner</t>
        </is>
      </c>
      <c r="AN421" t="inlineStr">
        <is>
          <t>Frank Wallner</t>
        </is>
      </c>
      <c r="AO421" t="inlineStr">
        <is>
          <t>bridgingIT GmbH</t>
        </is>
      </c>
      <c r="AP421" t="inlineStr">
        <is>
          <t>Mannheim</t>
        </is>
      </c>
      <c r="AQ421" t="inlineStr">
        <is>
          <t>Nina Beckenbach</t>
        </is>
      </c>
    </row>
    <row r="422">
      <c r="A422" t="inlineStr">
        <is>
          <t>2309</t>
        </is>
      </c>
      <c r="B422" t="inlineStr">
        <is>
          <t>02E9AE</t>
        </is>
      </c>
      <c r="C422" t="inlineStr">
        <is>
          <t>https://app.matchical.com/Consulting/ConsultantDetail?ConsultantId=7519c614-2e57-4f53-ae72-b10b6ad59cb1</t>
        </is>
      </c>
      <c r="D422" t="inlineStr">
        <is>
          <t>Natascha Stromer</t>
        </is>
      </c>
      <c r="E422" t="inlineStr">
        <is>
          <t>natascha.stromer@bridging-it.de</t>
        </is>
      </c>
      <c r="F422" s="2" t="n">
        <v>44743</v>
      </c>
      <c r="G422" s="2" t="n">
        <v>41791</v>
      </c>
      <c r="H422" t="n">
        <v>4</v>
      </c>
      <c r="I422" t="n">
        <v>0</v>
      </c>
      <c r="J422" t="n">
        <v>0</v>
      </c>
      <c r="L422" s="2" t="n">
        <v>44670</v>
      </c>
      <c r="M422" s="2" t="n">
        <v>45289</v>
      </c>
      <c r="N422" t="b">
        <v>0</v>
      </c>
      <c r="O422" t="n">
        <v>44</v>
      </c>
      <c r="P422" t="n">
        <v>26.71</v>
      </c>
      <c r="Q422" t="n">
        <v>17.77</v>
      </c>
      <c r="R422">
        <f>ROUND(O422-P422,2)</f>
        <v/>
      </c>
      <c r="S422">
        <f>ROUND(O422-Q422,2)</f>
        <v/>
      </c>
      <c r="T422" s="3">
        <f>IFERROR(P422/O422,"")</f>
        <v/>
      </c>
      <c r="U422" s="3">
        <f>IFERROR(Q422/O422,"")</f>
        <v/>
      </c>
      <c r="V422" t="n">
        <v>97</v>
      </c>
      <c r="W422" t="n">
        <v>34.29</v>
      </c>
      <c r="X422" t="n">
        <v>31.23</v>
      </c>
      <c r="Y422">
        <f>ROUND(V422-W422,2)</f>
        <v/>
      </c>
      <c r="Z422">
        <f>ROUND(V422-X422,2)</f>
        <v/>
      </c>
      <c r="AA422" s="3">
        <f>IFERROR(W422/V422,"")</f>
        <v/>
      </c>
      <c r="AB422" s="3">
        <f>IFERROR(X422/V422,"")</f>
        <v/>
      </c>
      <c r="AC422" t="b">
        <v>0</v>
      </c>
      <c r="AD422" t="b">
        <v>0</v>
      </c>
      <c r="AE422" t="b">
        <v>0</v>
      </c>
      <c r="AF422" t="inlineStr">
        <is>
          <t>No</t>
        </is>
      </c>
      <c r="AI422" t="b">
        <v>0</v>
      </c>
      <c r="AJ422" t="n">
        <v>0</v>
      </c>
      <c r="AK422" t="inlineStr">
        <is>
          <t>Change, OR, Agile Coaching, Systemic Coach. Product Owner, has many years of experience in steering several development teams. C-Level-ready, founder and start-up approved. Gets shit done! 60% part-time, also 4–5 days per week within a 24-hour window. Public Sector, Automotive, Manufacturing, Start-Ups</t>
        </is>
      </c>
      <c r="AL422" t="inlineStr">
        <is>
          <t>DO Digital Organizations (Michael H.)</t>
        </is>
      </c>
      <c r="AM422" t="inlineStr">
        <is>
          <t>BT Business Transform. II (Patrick D.)</t>
        </is>
      </c>
      <c r="AN422" t="inlineStr">
        <is>
          <t>BT Business Transformation (Julian D.)</t>
        </is>
      </c>
      <c r="AO422" t="inlineStr">
        <is>
          <t>bridgingIT GmbH</t>
        </is>
      </c>
      <c r="AP422" t="inlineStr">
        <is>
          <t>Stuttgart</t>
        </is>
      </c>
      <c r="AQ422" t="inlineStr">
        <is>
          <t>Patrick Dehner</t>
        </is>
      </c>
    </row>
    <row r="423">
      <c r="A423" t="inlineStr">
        <is>
          <t>2139</t>
        </is>
      </c>
      <c r="B423" t="inlineStr">
        <is>
          <t>CFADF1</t>
        </is>
      </c>
      <c r="C423" t="inlineStr">
        <is>
          <t>https://app.matchical.com/Consulting/ConsultantDetail?ConsultantId=e281de06-1fb4-4a7e-9a2d-7214787daa9a</t>
        </is>
      </c>
      <c r="D423" t="inlineStr">
        <is>
          <t>Nedim Saric</t>
        </is>
      </c>
      <c r="E423" t="inlineStr">
        <is>
          <t>nedim.saric@bridging-it.de</t>
        </is>
      </c>
      <c r="F423" s="2" t="n">
        <v>42430</v>
      </c>
      <c r="G423" s="2" t="n">
        <v>38626</v>
      </c>
      <c r="H423" t="n">
        <v>30</v>
      </c>
      <c r="I423" t="n">
        <v>0</v>
      </c>
      <c r="J423" t="n">
        <v>0</v>
      </c>
      <c r="L423" s="2" t="n">
        <v>45716</v>
      </c>
      <c r="M423" s="2" t="n">
        <v>45899</v>
      </c>
      <c r="N423" t="b">
        <v>0</v>
      </c>
      <c r="O423" t="n">
        <v>120</v>
      </c>
      <c r="P423" t="n">
        <v>180.93</v>
      </c>
      <c r="Q423" t="n">
        <v>110.5</v>
      </c>
      <c r="R423">
        <f>ROUND(O423-P423,2)</f>
        <v/>
      </c>
      <c r="S423">
        <f>ROUND(O423-Q423,2)</f>
        <v/>
      </c>
      <c r="T423" s="3">
        <f>IFERROR(P423/O423,"")</f>
        <v/>
      </c>
      <c r="U423" s="3">
        <f>IFERROR(Q423/O423,"")</f>
        <v/>
      </c>
      <c r="V423" t="n">
        <v>125</v>
      </c>
      <c r="W423" t="n">
        <v>187.97</v>
      </c>
      <c r="X423" t="n">
        <v>122.4</v>
      </c>
      <c r="Y423">
        <f>ROUND(V423-W423,2)</f>
        <v/>
      </c>
      <c r="Z423">
        <f>ROUND(V423-X423,2)</f>
        <v/>
      </c>
      <c r="AA423" s="3">
        <f>IFERROR(W423/V423,"")</f>
        <v/>
      </c>
      <c r="AB423" s="3">
        <f>IFERROR(X423/V423,"")</f>
        <v/>
      </c>
      <c r="AC423" t="b">
        <v>0</v>
      </c>
      <c r="AD423" t="b">
        <v>0</v>
      </c>
      <c r="AE423" t="b">
        <v>0</v>
      </c>
      <c r="AF423" t="inlineStr">
        <is>
          <t>No</t>
        </is>
      </c>
      <c r="AI423" t="b">
        <v>1</v>
      </c>
      <c r="AJ423" t="n">
        <v>0</v>
      </c>
      <c r="AK423" t="inlineStr">
        <is>
          <t>Looking for projects with the pillars of expertise
- BI, ETL, databases, Azure BI, Data Factory, Databricks, Fabric
- .NET Developer (Backend Focus), Microservices, Blazor, K9s Kubernetes clusters</t>
        </is>
      </c>
      <c r="AL423" t="inlineStr">
        <is>
          <t>ES Enterprise Solutions (Gina H.)</t>
        </is>
      </c>
      <c r="AM423" t="inlineStr">
        <is>
          <t>DA Data &amp; AI Solutions (Ralf Fi.)</t>
        </is>
      </c>
      <c r="AN423" t="inlineStr">
        <is>
          <t>PA Platform &amp; Application Solutions (Thomas K.)</t>
        </is>
      </c>
      <c r="AO423" t="inlineStr">
        <is>
          <t>bridgingIT GmbH</t>
        </is>
      </c>
      <c r="AP423" t="inlineStr">
        <is>
          <t>Stuttgart</t>
        </is>
      </c>
      <c r="AQ423" t="inlineStr">
        <is>
          <t>Ralf Fischer</t>
        </is>
      </c>
    </row>
    <row r="424">
      <c r="A424" t="inlineStr">
        <is>
          <t>10278</t>
        </is>
      </c>
      <c r="B424" t="inlineStr">
        <is>
          <t>3FA072</t>
        </is>
      </c>
      <c r="C424" t="inlineStr">
        <is>
          <t>https://app.matchical.com/Consulting/ConsultantDetail?ConsultantId=c4ad881f-0bd8-4960-b7e6-555d6b4273a4</t>
        </is>
      </c>
      <c r="D424" t="inlineStr">
        <is>
          <t>Nella Al-Edwan</t>
        </is>
      </c>
      <c r="E424" t="inlineStr">
        <is>
          <t>nella.al-edwan@bridging-it.de</t>
        </is>
      </c>
      <c r="F424" s="2" t="n">
        <v>45383</v>
      </c>
      <c r="G424" s="2" t="n">
        <v>45383</v>
      </c>
      <c r="H424" t="n">
        <v>6</v>
      </c>
      <c r="I424" t="n">
        <v>0</v>
      </c>
      <c r="J424" t="n">
        <v>2</v>
      </c>
      <c r="K424" s="2" t="n">
        <v>45382</v>
      </c>
      <c r="L424" s="2" t="n">
        <v>45719</v>
      </c>
      <c r="M424" s="2" t="n">
        <v>46053</v>
      </c>
      <c r="N424" t="b">
        <v>0</v>
      </c>
      <c r="O424" t="n">
        <v>23</v>
      </c>
      <c r="P424" t="n">
        <v>43.97</v>
      </c>
      <c r="Q424" t="n">
        <v>22.8</v>
      </c>
      <c r="R424">
        <f>ROUND(O424-P424,2)</f>
        <v/>
      </c>
      <c r="S424">
        <f>ROUND(O424-Q424,2)</f>
        <v/>
      </c>
      <c r="T424" s="3">
        <f>IFERROR(P424/O424,"")</f>
        <v/>
      </c>
      <c r="U424" s="3">
        <f>IFERROR(Q424/O424,"")</f>
        <v/>
      </c>
      <c r="V424" t="n">
        <v>0</v>
      </c>
      <c r="W424" t="n">
        <v>0</v>
      </c>
      <c r="X424" t="n">
        <v>0</v>
      </c>
      <c r="Y424">
        <f>ROUND(V424-W424,2)</f>
        <v/>
      </c>
      <c r="Z424">
        <f>ROUND(V424-X424,2)</f>
        <v/>
      </c>
      <c r="AA424" s="3">
        <f>IFERROR(W424/V424,"")</f>
        <v/>
      </c>
      <c r="AB424" s="3">
        <f>IFERROR(X424/V424,"")</f>
        <v/>
      </c>
      <c r="AC424" t="b">
        <v>0</v>
      </c>
      <c r="AD424" t="b">
        <v>0</v>
      </c>
      <c r="AE424" t="b">
        <v>0</v>
      </c>
      <c r="AF424" t="inlineStr">
        <is>
          <t>Yes</t>
        </is>
      </c>
      <c r="AG424" s="2" t="n">
        <v>46203</v>
      </c>
      <c r="AI424" t="b">
        <v>1</v>
      </c>
      <c r="AJ424" t="n">
        <v>5</v>
      </c>
      <c r="AK424" t="inlineStr">
        <is>
          <t>Status as of 05.02.26: 
-Currently at BHI for Deutsche Leasing AG RfP extension of internal and external reporting until 30.06.26</t>
        </is>
      </c>
      <c r="AL424" t="inlineStr">
        <is>
          <t>ORG bIT</t>
        </is>
      </c>
      <c r="AM424" t="inlineStr">
        <is>
          <t>DAC - Data Analytics Cologne (Manuel N.)</t>
        </is>
      </c>
      <c r="AN424" t="inlineStr">
        <is>
          <t>DPC - Datalytics &amp; Process Cologne (Claudia P.)</t>
        </is>
      </c>
      <c r="AO424" t="inlineStr">
        <is>
          <t>bridgingIT GmbH</t>
        </is>
      </c>
      <c r="AP424" t="inlineStr">
        <is>
          <t>Köln</t>
        </is>
      </c>
      <c r="AQ424" t="inlineStr">
        <is>
          <t>Manuel Niklos</t>
        </is>
      </c>
    </row>
    <row r="425">
      <c r="A425" t="inlineStr">
        <is>
          <t>1377</t>
        </is>
      </c>
      <c r="B425" t="inlineStr">
        <is>
          <t>D83AC9</t>
        </is>
      </c>
      <c r="C425" t="inlineStr">
        <is>
          <t>https://app.matchical.com/Consulting/ConsultantDetail?ConsultantId=f220c11a-98a1-4359-ae0a-b9246c2cd0f2</t>
        </is>
      </c>
      <c r="D425" t="inlineStr">
        <is>
          <t>Nico Schwarz-Oberländer</t>
        </is>
      </c>
      <c r="E425" t="inlineStr">
        <is>
          <t>nico.schwarz-oberlaender@bridging-it.de</t>
        </is>
      </c>
      <c r="F425" s="2" t="n">
        <v>42736</v>
      </c>
      <c r="G425" s="2" t="n">
        <v>42736</v>
      </c>
      <c r="H425" t="n">
        <v>18</v>
      </c>
      <c r="I425" t="n">
        <v>0</v>
      </c>
      <c r="J425" t="n">
        <v>2</v>
      </c>
      <c r="K425" s="2" t="n">
        <v>43830</v>
      </c>
      <c r="L425" s="2" t="n">
        <v>45579</v>
      </c>
      <c r="M425" s="2" t="n">
        <v>46022</v>
      </c>
      <c r="N425" t="b">
        <v>0</v>
      </c>
      <c r="O425" t="n">
        <v>110</v>
      </c>
      <c r="P425" t="n">
        <v>282.83</v>
      </c>
      <c r="Q425" t="n">
        <v>109.77</v>
      </c>
      <c r="R425">
        <f>ROUND(O425-P425,2)</f>
        <v/>
      </c>
      <c r="S425">
        <f>ROUND(O425-Q425,2)</f>
        <v/>
      </c>
      <c r="T425" s="3">
        <f>IFERROR(P425/O425,"")</f>
        <v/>
      </c>
      <c r="U425" s="3">
        <f>IFERROR(Q425/O425,"")</f>
        <v/>
      </c>
      <c r="V425" t="n">
        <v>0</v>
      </c>
      <c r="W425" t="n">
        <v>0</v>
      </c>
      <c r="X425" t="n">
        <v>0</v>
      </c>
      <c r="Y425">
        <f>ROUND(V425-W425,2)</f>
        <v/>
      </c>
      <c r="Z425">
        <f>ROUND(V425-X425,2)</f>
        <v/>
      </c>
      <c r="AA425" s="3">
        <f>IFERROR(W425/V425,"")</f>
        <v/>
      </c>
      <c r="AB425" s="3">
        <f>IFERROR(X425/V425,"")</f>
        <v/>
      </c>
      <c r="AC425" t="b">
        <v>0</v>
      </c>
      <c r="AD425" t="b">
        <v>0</v>
      </c>
      <c r="AE425" t="b">
        <v>0</v>
      </c>
      <c r="AF425" t="inlineStr">
        <is>
          <t>No</t>
        </is>
      </c>
      <c r="AI425" t="b">
        <v>1</v>
      </c>
      <c r="AJ425" t="n">
        <v>0</v>
      </c>
      <c r="AK425" t="inlineStr"/>
      <c r="AL425" t="inlineStr">
        <is>
          <t>ORG bIT</t>
        </is>
      </c>
      <c r="AM425" t="inlineStr">
        <is>
          <t>AT Agile Transformation (Anna S.)</t>
        </is>
      </c>
      <c r="AN425" t="inlineStr">
        <is>
          <t>TH Transformation Hub (Ulrich W.)</t>
        </is>
      </c>
      <c r="AO425" t="inlineStr">
        <is>
          <t>bridgingIT GmbH</t>
        </is>
      </c>
      <c r="AP425" t="inlineStr">
        <is>
          <t>Frankfurt</t>
        </is>
      </c>
      <c r="AQ425" t="inlineStr">
        <is>
          <t>Anna Schnorrenberger</t>
        </is>
      </c>
    </row>
    <row r="426">
      <c r="A426" t="inlineStr">
        <is>
          <t>1321</t>
        </is>
      </c>
      <c r="B426" t="inlineStr">
        <is>
          <t>ABF3D2</t>
        </is>
      </c>
      <c r="C426" t="inlineStr">
        <is>
          <t>https://app.matchical.com/Consulting/ConsultantDetail?ConsultantId=fa17eb2c-7f94-4e70-b2e0-6945ff8c9d59</t>
        </is>
      </c>
      <c r="D426" t="inlineStr">
        <is>
          <t>Nicolas Kramer</t>
        </is>
      </c>
      <c r="E426" t="inlineStr">
        <is>
          <t>nicolas.kramer@bridging-it.de</t>
        </is>
      </c>
      <c r="F426" s="2" t="n">
        <v>42401</v>
      </c>
      <c r="G426" s="2" t="n">
        <v>39630</v>
      </c>
      <c r="H426" t="n">
        <v>9</v>
      </c>
      <c r="I426" t="n">
        <v>0</v>
      </c>
      <c r="J426" t="n">
        <v>1</v>
      </c>
      <c r="K426" s="2" t="n">
        <v>42436</v>
      </c>
      <c r="L426" s="2" t="n">
        <v>44439</v>
      </c>
      <c r="M426" s="2" t="n">
        <v>44680</v>
      </c>
      <c r="N426" t="b">
        <v>0</v>
      </c>
      <c r="O426" t="n">
        <v>121</v>
      </c>
      <c r="P426" t="n">
        <v>127</v>
      </c>
      <c r="Q426" t="n">
        <v>119</v>
      </c>
      <c r="R426">
        <f>ROUND(O426-P426,2)</f>
        <v/>
      </c>
      <c r="S426">
        <f>ROUND(O426-Q426,2)</f>
        <v/>
      </c>
      <c r="T426" s="3">
        <f>IFERROR(P426/O426,"")</f>
        <v/>
      </c>
      <c r="U426" s="3">
        <f>IFERROR(Q426/O426,"")</f>
        <v/>
      </c>
      <c r="V426" t="n">
        <v>91</v>
      </c>
      <c r="W426" t="n">
        <v>56</v>
      </c>
      <c r="X426" t="n">
        <v>25</v>
      </c>
      <c r="Y426">
        <f>ROUND(V426-W426,2)</f>
        <v/>
      </c>
      <c r="Z426">
        <f>ROUND(V426-X426,2)</f>
        <v/>
      </c>
      <c r="AA426" s="3">
        <f>IFERROR(W426/V426,"")</f>
        <v/>
      </c>
      <c r="AB426" s="3">
        <f>IFERROR(X426/V426,"")</f>
        <v/>
      </c>
      <c r="AC426" t="b">
        <v>0</v>
      </c>
      <c r="AD426" t="b">
        <v>0</v>
      </c>
      <c r="AE426" t="b">
        <v>0</v>
      </c>
      <c r="AF426" t="inlineStr">
        <is>
          <t>Yes</t>
        </is>
      </c>
      <c r="AG426" s="2" t="n">
        <v>46204</v>
      </c>
      <c r="AI426" t="b">
        <v>0</v>
      </c>
      <c r="AJ426" t="n">
        <v>5</v>
      </c>
      <c r="AK426" t="inlineStr"/>
      <c r="AL426" t="inlineStr">
        <is>
          <t>IT - Information Technology (Sebastian L.)</t>
        </is>
      </c>
      <c r="AM426" t="inlineStr">
        <is>
          <t>ISM Information Security Management (Carsten T.)</t>
        </is>
      </c>
      <c r="AN426" t="inlineStr">
        <is>
          <t>O&amp;G - Organization &amp; Governance (Carsten T.)</t>
        </is>
      </c>
      <c r="AO426" t="inlineStr">
        <is>
          <t>bridgingIT GmbH</t>
        </is>
      </c>
      <c r="AP426" t="inlineStr">
        <is>
          <t>Mannheim</t>
        </is>
      </c>
      <c r="AQ426" t="inlineStr">
        <is>
          <t>Carsten Triebel</t>
        </is>
      </c>
    </row>
    <row r="427">
      <c r="A427" t="inlineStr">
        <is>
          <t>3066</t>
        </is>
      </c>
      <c r="B427" t="inlineStr">
        <is>
          <t>53ECDE</t>
        </is>
      </c>
      <c r="C427" t="inlineStr">
        <is>
          <t>https://app.matchical.com/Consulting/ConsultantDetail?ConsultantId=b5764591-ddd0-4c1d-93c3-739dce0c4ab5</t>
        </is>
      </c>
      <c r="D427" t="inlineStr">
        <is>
          <t>Nicolas Rücker</t>
        </is>
      </c>
      <c r="E427" t="inlineStr">
        <is>
          <t>nicolas.ruecker@bridging-it.de</t>
        </is>
      </c>
      <c r="F427" s="2" t="n">
        <v>41365</v>
      </c>
      <c r="G427" s="2" t="n">
        <v>40079</v>
      </c>
      <c r="H427" t="n">
        <v>21</v>
      </c>
      <c r="I427" t="n">
        <v>0</v>
      </c>
      <c r="J427" t="n">
        <v>0</v>
      </c>
      <c r="L427" s="2" t="n">
        <v>45962</v>
      </c>
      <c r="M427" s="2" t="n">
        <v>46022</v>
      </c>
      <c r="N427" t="b">
        <v>0</v>
      </c>
      <c r="O427" t="n">
        <v>155</v>
      </c>
      <c r="P427" t="n">
        <v>135.97</v>
      </c>
      <c r="Q427" t="n">
        <v>125.97</v>
      </c>
      <c r="R427">
        <f>ROUND(O427-P427,2)</f>
        <v/>
      </c>
      <c r="S427">
        <f>ROUND(O427-Q427,2)</f>
        <v/>
      </c>
      <c r="T427" s="3">
        <f>IFERROR(P427/O427,"")</f>
        <v/>
      </c>
      <c r="U427" s="3">
        <f>IFERROR(Q427/O427,"")</f>
        <v/>
      </c>
      <c r="V427" t="n">
        <v>42</v>
      </c>
      <c r="W427" t="n">
        <v>55.79</v>
      </c>
      <c r="X427" t="n">
        <v>42.25</v>
      </c>
      <c r="Y427">
        <f>ROUND(V427-W427,2)</f>
        <v/>
      </c>
      <c r="Z427">
        <f>ROUND(V427-X427,2)</f>
        <v/>
      </c>
      <c r="AA427" s="3">
        <f>IFERROR(W427/V427,"")</f>
        <v/>
      </c>
      <c r="AB427" s="3">
        <f>IFERROR(X427/V427,"")</f>
        <v/>
      </c>
      <c r="AC427" t="b">
        <v>0</v>
      </c>
      <c r="AD427" t="b">
        <v>0</v>
      </c>
      <c r="AE427" t="b">
        <v>0</v>
      </c>
      <c r="AF427" t="inlineStr">
        <is>
          <t>Yes</t>
        </is>
      </c>
      <c r="AG427" s="2" t="n">
        <v>46023</v>
      </c>
      <c r="AI427" t="b">
        <v>1</v>
      </c>
      <c r="AJ427" t="n">
        <v>5</v>
      </c>
      <c r="AK427" t="inlineStr"/>
      <c r="AL427" t="inlineStr">
        <is>
          <t>ORG bIT</t>
        </is>
      </c>
      <c r="AM427" t="inlineStr">
        <is>
          <t>QE Quality Engineering (Boris B.)</t>
        </is>
      </c>
      <c r="AN427" t="inlineStr">
        <is>
          <t>TH Transformation Hub (Ulrich W.)</t>
        </is>
      </c>
      <c r="AO427" t="inlineStr">
        <is>
          <t>bridgingIT GmbH</t>
        </is>
      </c>
      <c r="AP427" t="inlineStr">
        <is>
          <t>Frankfurt</t>
        </is>
      </c>
      <c r="AQ427" t="inlineStr">
        <is>
          <t>Boris Bergner</t>
        </is>
      </c>
    </row>
    <row r="428">
      <c r="A428" t="inlineStr">
        <is>
          <t>10414</t>
        </is>
      </c>
      <c r="B428" t="inlineStr">
        <is>
          <t>F68B0F</t>
        </is>
      </c>
      <c r="C428" t="inlineStr">
        <is>
          <t>https://app.matchical.com/Consulting/ConsultantDetail?ConsultantId=70ca5534-f13d-41ae-89a9-683ef139116f</t>
        </is>
      </c>
      <c r="D428" t="inlineStr">
        <is>
          <t>Nicole Fabian</t>
        </is>
      </c>
      <c r="E428" t="inlineStr">
        <is>
          <t>nicole.fabian@bridging-it.de</t>
        </is>
      </c>
      <c r="F428" s="2" t="n">
        <v>46023</v>
      </c>
      <c r="G428" s="2" t="n">
        <v>36526</v>
      </c>
      <c r="H428" t="n">
        <v>3</v>
      </c>
      <c r="I428" t="n">
        <v>0</v>
      </c>
      <c r="J428" t="n">
        <v>1</v>
      </c>
      <c r="K428" s="2" t="n">
        <v>46024</v>
      </c>
      <c r="L428" s="2" t="n">
        <v>45777</v>
      </c>
      <c r="M428" s="2" t="n">
        <v>46021</v>
      </c>
      <c r="N428" t="b">
        <v>0</v>
      </c>
      <c r="O428" t="n">
        <v>2</v>
      </c>
      <c r="P428" t="n">
        <v>1</v>
      </c>
      <c r="Q428" t="n">
        <v>1</v>
      </c>
      <c r="R428">
        <f>ROUND(O428-P428,2)</f>
        <v/>
      </c>
      <c r="S428">
        <f>ROUND(O428-Q428,2)</f>
        <v/>
      </c>
      <c r="T428" s="3">
        <f>IFERROR(P428/O428,"")</f>
        <v/>
      </c>
      <c r="U428" s="3">
        <f>IFERROR(Q428/O428,"")</f>
        <v/>
      </c>
      <c r="V428" t="n">
        <v>312</v>
      </c>
      <c r="W428" t="n">
        <v>26</v>
      </c>
      <c r="X428" t="n">
        <v>22</v>
      </c>
      <c r="Y428">
        <f>ROUND(V428-W428,2)</f>
        <v/>
      </c>
      <c r="Z428">
        <f>ROUND(V428-X428,2)</f>
        <v/>
      </c>
      <c r="AA428" s="3">
        <f>IFERROR(W428/V428,"")</f>
        <v/>
      </c>
      <c r="AB428" s="3">
        <f>IFERROR(X428/V428,"")</f>
        <v/>
      </c>
      <c r="AC428" t="b">
        <v>0</v>
      </c>
      <c r="AD428" t="b">
        <v>0</v>
      </c>
      <c r="AE428" t="b">
        <v>0</v>
      </c>
      <c r="AF428" t="inlineStr">
        <is>
          <t>Yes</t>
        </is>
      </c>
      <c r="AG428" s="2" t="n">
        <v>46023</v>
      </c>
      <c r="AI428" t="b">
        <v>1</v>
      </c>
      <c r="AJ428" t="n">
        <v>2.5</v>
      </c>
      <c r="AK428" t="inlineStr"/>
      <c r="AL428" t="inlineStr">
        <is>
          <t>IT - Information Technology (HH)</t>
        </is>
      </c>
      <c r="AM428" t="inlineStr">
        <is>
          <t>ITCM - Management (Nicole F.)</t>
        </is>
      </c>
      <c r="AN428" t="inlineStr">
        <is>
          <t>ITC HH (Nicole F.)</t>
        </is>
      </c>
      <c r="AO428" t="inlineStr">
        <is>
          <t>bridgingIT GmbH</t>
        </is>
      </c>
      <c r="AP428" t="inlineStr">
        <is>
          <t>Hamburg</t>
        </is>
      </c>
      <c r="AQ428" t="inlineStr">
        <is>
          <t>Markus Stefan</t>
        </is>
      </c>
    </row>
    <row r="429">
      <c r="A429" t="inlineStr">
        <is>
          <t>10189</t>
        </is>
      </c>
      <c r="B429" t="inlineStr">
        <is>
          <t>CC8150</t>
        </is>
      </c>
      <c r="C429" t="inlineStr">
        <is>
          <t>https://app.matchical.com/Consulting/ConsultantDetail?ConsultantId=8c53f7be-317e-4542-b83d-9283b8ffd856</t>
        </is>
      </c>
      <c r="D429" t="inlineStr">
        <is>
          <t>Nicole Temper</t>
        </is>
      </c>
      <c r="E429" t="inlineStr">
        <is>
          <t>nicole.temper@bridging-it.de</t>
        </is>
      </c>
      <c r="F429" s="2" t="n">
        <v>45200</v>
      </c>
      <c r="G429" s="2" t="n">
        <v>45170</v>
      </c>
      <c r="H429" t="n">
        <v>6</v>
      </c>
      <c r="I429" t="n">
        <v>0</v>
      </c>
      <c r="J429" t="n">
        <v>0</v>
      </c>
      <c r="L429" s="2" t="n">
        <v>45868</v>
      </c>
      <c r="M429" s="2" t="n">
        <v>46022</v>
      </c>
      <c r="N429" t="b">
        <v>0</v>
      </c>
      <c r="O429" t="n">
        <v>29</v>
      </c>
      <c r="P429" t="n">
        <v>25</v>
      </c>
      <c r="Q429" t="n">
        <v>22</v>
      </c>
      <c r="R429">
        <f>ROUND(O429-P429,2)</f>
        <v/>
      </c>
      <c r="S429">
        <f>ROUND(O429-Q429,2)</f>
        <v/>
      </c>
      <c r="T429" s="3">
        <f>IFERROR(P429/O429,"")</f>
        <v/>
      </c>
      <c r="U429" s="3">
        <f>IFERROR(Q429/O429,"")</f>
        <v/>
      </c>
      <c r="V429" t="n">
        <v>1</v>
      </c>
      <c r="W429" t="n">
        <v>0</v>
      </c>
      <c r="X429" t="n">
        <v>0</v>
      </c>
      <c r="Y429">
        <f>ROUND(V429-W429,2)</f>
        <v/>
      </c>
      <c r="Z429">
        <f>ROUND(V429-X429,2)</f>
        <v/>
      </c>
      <c r="AA429" s="3">
        <f>IFERROR(W429/V429,"")</f>
        <v/>
      </c>
      <c r="AB429" s="3">
        <f>IFERROR(X429/V429,"")</f>
        <v/>
      </c>
      <c r="AC429" t="b">
        <v>0</v>
      </c>
      <c r="AD429" t="b">
        <v>0</v>
      </c>
      <c r="AE429" t="b">
        <v>0</v>
      </c>
      <c r="AF429" t="inlineStr">
        <is>
          <t>No</t>
        </is>
      </c>
      <c r="AI429" t="b">
        <v>0</v>
      </c>
      <c r="AJ429" t="n">
        <v>0</v>
      </c>
      <c r="AK429" t="inlineStr">
        <is>
          <t>Fullstack .NET (.NET + Angular).
Leads: KVNOO, TKE, SPIE JSS</t>
        </is>
      </c>
      <c r="AL429" t="inlineStr">
        <is>
          <t>ES Enterprise Solutions (Gina H.)</t>
        </is>
      </c>
      <c r="AM429" t="inlineStr">
        <is>
          <t>IEM .Net II (Aleksandar B.)</t>
        </is>
      </c>
      <c r="AN429" t="inlineStr">
        <is>
          <t>IEJ Individualentwicklung JAVA (Dominik S.)</t>
        </is>
      </c>
      <c r="AO429" t="inlineStr">
        <is>
          <t>bridgingIT GmbH</t>
        </is>
      </c>
      <c r="AP429" t="inlineStr">
        <is>
          <t>Stuttgart</t>
        </is>
      </c>
      <c r="AQ429" t="inlineStr">
        <is>
          <t>Aleksandar Blagojevic</t>
        </is>
      </c>
    </row>
    <row r="430">
      <c r="A430" t="inlineStr">
        <is>
          <t>10477</t>
        </is>
      </c>
      <c r="B430" t="inlineStr">
        <is>
          <t>2F45F7</t>
        </is>
      </c>
      <c r="C430" t="inlineStr">
        <is>
          <t>https://app.matchical.com/Consulting/ConsultantDetail?ConsultantId=a2b7bae1-e2f2-4625-8655-7b1647544599</t>
        </is>
      </c>
      <c r="D430" t="inlineStr">
        <is>
          <t>Niklas Horn</t>
        </is>
      </c>
      <c r="E430" t="inlineStr">
        <is>
          <t>niklas.horn@bridging-it.de</t>
        </is>
      </c>
      <c r="F430" s="2" t="n">
        <v>46113</v>
      </c>
      <c r="H430" t="n">
        <v>2</v>
      </c>
      <c r="I430" t="n">
        <v>0</v>
      </c>
      <c r="J430" t="n">
        <v>0</v>
      </c>
      <c r="L430" s="2" t="n">
        <v>45382</v>
      </c>
      <c r="M430" s="2" t="n">
        <v>45656</v>
      </c>
      <c r="N430" t="b">
        <v>0</v>
      </c>
      <c r="O430" t="n">
        <v>0</v>
      </c>
      <c r="P430" t="n">
        <v>0</v>
      </c>
      <c r="Q430" t="n">
        <v>0</v>
      </c>
      <c r="R430">
        <f>ROUND(O430-P430,2)</f>
        <v/>
      </c>
      <c r="S430">
        <f>ROUND(O430-Q430,2)</f>
        <v/>
      </c>
      <c r="T430" s="3">
        <f>IFERROR(P430/O430,"")</f>
        <v/>
      </c>
      <c r="U430" s="3">
        <f>IFERROR(Q430/O430,"")</f>
        <v/>
      </c>
      <c r="V430" t="n">
        <v>1515</v>
      </c>
      <c r="W430" t="n">
        <v>22.88</v>
      </c>
      <c r="X430" t="n">
        <v>22.88</v>
      </c>
      <c r="Y430">
        <f>ROUND(V430-W430,2)</f>
        <v/>
      </c>
      <c r="Z430">
        <f>ROUND(V430-X430,2)</f>
        <v/>
      </c>
      <c r="AA430" s="3">
        <f>IFERROR(W430/V430,"")</f>
        <v/>
      </c>
      <c r="AB430" s="3">
        <f>IFERROR(X430/V430,"")</f>
        <v/>
      </c>
      <c r="AC430" t="b">
        <v>0</v>
      </c>
      <c r="AD430" t="b">
        <v>0</v>
      </c>
      <c r="AE430" t="b">
        <v>0</v>
      </c>
      <c r="AF430" t="inlineStr">
        <is>
          <t>Yes</t>
        </is>
      </c>
      <c r="AG430" s="2" t="n">
        <v>46113</v>
      </c>
      <c r="AI430" t="b">
        <v>1</v>
      </c>
      <c r="AJ430" t="n">
        <v>5</v>
      </c>
      <c r="AK430" t="inlineStr"/>
      <c r="AL430" t="inlineStr">
        <is>
          <t>IT - Information Technology (HH)</t>
        </is>
      </c>
      <c r="AM430" t="inlineStr">
        <is>
          <t>CRM I - Platform Solutions &amp; CRM (Fortunato D. D.)</t>
        </is>
      </c>
      <c r="AN430" t="inlineStr">
        <is>
          <t>BAA HH (Torben H.)</t>
        </is>
      </c>
      <c r="AO430" t="inlineStr">
        <is>
          <t>bridgingIT GmbH</t>
        </is>
      </c>
      <c r="AP430" t="inlineStr">
        <is>
          <t>Hamburg</t>
        </is>
      </c>
      <c r="AQ430" t="inlineStr">
        <is>
          <t>Fortunato Di Donato</t>
        </is>
      </c>
    </row>
    <row r="431">
      <c r="A431" t="inlineStr">
        <is>
          <t>10284</t>
        </is>
      </c>
      <c r="B431" t="inlineStr">
        <is>
          <t>07C20E</t>
        </is>
      </c>
      <c r="C431" t="inlineStr">
        <is>
          <t>https://app.matchical.com/Consulting/ConsultantDetail?ConsultantId=33d51b90-dd77-457c-b1c9-a5e99769f6c9</t>
        </is>
      </c>
      <c r="D431" t="inlineStr">
        <is>
          <t>Nikola Lezaja</t>
        </is>
      </c>
      <c r="E431" t="inlineStr">
        <is>
          <t>nikola.lezaja@bridging-it.de</t>
        </is>
      </c>
      <c r="F431" s="2" t="n">
        <v>45413</v>
      </c>
      <c r="G431" s="2" t="n">
        <v>45078</v>
      </c>
      <c r="H431" t="n">
        <v>8</v>
      </c>
      <c r="I431" t="n">
        <v>0</v>
      </c>
      <c r="J431" t="n">
        <v>2</v>
      </c>
      <c r="K431" s="2" t="n">
        <v>44926</v>
      </c>
      <c r="L431" s="2" t="n">
        <v>45322</v>
      </c>
      <c r="M431" s="2" t="n">
        <v>45411</v>
      </c>
      <c r="N431" t="b">
        <v>0</v>
      </c>
      <c r="O431" t="n">
        <v>22</v>
      </c>
      <c r="P431" t="n">
        <v>21.34</v>
      </c>
      <c r="Q431" t="n">
        <v>18.27</v>
      </c>
      <c r="R431">
        <f>ROUND(O431-P431,2)</f>
        <v/>
      </c>
      <c r="S431">
        <f>ROUND(O431-Q431,2)</f>
        <v/>
      </c>
      <c r="T431" s="3">
        <f>IFERROR(P431/O431,"")</f>
        <v/>
      </c>
      <c r="U431" s="3">
        <f>IFERROR(Q431/O431,"")</f>
        <v/>
      </c>
      <c r="V431" t="n">
        <v>11</v>
      </c>
      <c r="W431" t="n">
        <v>21.77</v>
      </c>
      <c r="X431" t="n">
        <v>11.01</v>
      </c>
      <c r="Y431">
        <f>ROUND(V431-W431,2)</f>
        <v/>
      </c>
      <c r="Z431">
        <f>ROUND(V431-X431,2)</f>
        <v/>
      </c>
      <c r="AA431" s="3">
        <f>IFERROR(W431/V431,"")</f>
        <v/>
      </c>
      <c r="AB431" s="3">
        <f>IFERROR(X431/V431,"")</f>
        <v/>
      </c>
      <c r="AC431" t="b">
        <v>0</v>
      </c>
      <c r="AD431" t="b">
        <v>0</v>
      </c>
      <c r="AE431" t="b">
        <v>0</v>
      </c>
      <c r="AF431" t="inlineStr">
        <is>
          <t>Yes</t>
        </is>
      </c>
      <c r="AG431" s="2" t="n">
        <v>46113</v>
      </c>
      <c r="AI431" t="b">
        <v>1</v>
      </c>
      <c r="AJ431" t="n">
        <v>5</v>
      </c>
      <c r="AK431" t="inlineStr"/>
      <c r="AL431" t="inlineStr">
        <is>
          <t>ORG bIT</t>
        </is>
      </c>
      <c r="AM431" t="inlineStr">
        <is>
          <t>SE Software Engineering Frankfurt (Timm B.)</t>
        </is>
      </c>
      <c r="AN431" t="inlineStr">
        <is>
          <t>ES Enterprise Solutions (Dominik H.)</t>
        </is>
      </c>
      <c r="AO431" t="inlineStr">
        <is>
          <t>bridgingIT GmbH</t>
        </is>
      </c>
      <c r="AP431" t="inlineStr">
        <is>
          <t>Frankfurt</t>
        </is>
      </c>
      <c r="AQ431" t="inlineStr">
        <is>
          <t>Timm Bremus</t>
        </is>
      </c>
    </row>
    <row r="432">
      <c r="A432" t="inlineStr">
        <is>
          <t>10465</t>
        </is>
      </c>
      <c r="B432" t="inlineStr">
        <is>
          <t>57664D</t>
        </is>
      </c>
      <c r="C432" t="inlineStr">
        <is>
          <t>https://app.matchical.com/Consulting/ConsultantDetail?ConsultantId=9b48d399-7cbf-42db-9da5-dfa0c9a93627</t>
        </is>
      </c>
      <c r="D432" t="inlineStr">
        <is>
          <t>Nikolaj Wecker</t>
        </is>
      </c>
      <c r="E432" t="inlineStr">
        <is>
          <t>nikolaj.wecker@bridging-it.de</t>
        </is>
      </c>
      <c r="F432" s="2" t="n">
        <v>46113</v>
      </c>
      <c r="H432" t="n">
        <v>0</v>
      </c>
      <c r="I432" t="n">
        <v>0</v>
      </c>
      <c r="J432" t="n">
        <v>0</v>
      </c>
      <c r="N432" t="b">
        <v>0</v>
      </c>
      <c r="O432" t="n">
        <v>0</v>
      </c>
      <c r="P432" t="n">
        <v>0</v>
      </c>
      <c r="Q432" t="n">
        <v>0</v>
      </c>
      <c r="R432">
        <f>ROUND(O432-P432,2)</f>
        <v/>
      </c>
      <c r="S432">
        <f>ROUND(O432-Q432,2)</f>
        <v/>
      </c>
      <c r="T432" s="3">
        <f>IFERROR(P432/O432,"")</f>
        <v/>
      </c>
      <c r="U432" s="3">
        <f>IFERROR(Q432/O432,"")</f>
        <v/>
      </c>
      <c r="V432" t="n">
        <v>1515</v>
      </c>
      <c r="W432" t="n">
        <v>0</v>
      </c>
      <c r="X432" t="n">
        <v>0</v>
      </c>
      <c r="Y432">
        <f>ROUND(V432-W432,2)</f>
        <v/>
      </c>
      <c r="Z432">
        <f>ROUND(V432-X432,2)</f>
        <v/>
      </c>
      <c r="AA432" s="3">
        <f>IFERROR(W432/V432,"")</f>
        <v/>
      </c>
      <c r="AB432" s="3">
        <f>IFERROR(X432/V432,"")</f>
        <v/>
      </c>
      <c r="AC432" t="b">
        <v>0</v>
      </c>
      <c r="AD432" t="b">
        <v>0</v>
      </c>
      <c r="AE432" t="b">
        <v>0</v>
      </c>
      <c r="AF432" t="inlineStr">
        <is>
          <t>Yes</t>
        </is>
      </c>
      <c r="AG432" s="2" t="n">
        <v>46113</v>
      </c>
      <c r="AI432" t="b">
        <v>1</v>
      </c>
      <c r="AJ432" t="n">
        <v>5</v>
      </c>
      <c r="AK432" t="inlineStr">
        <is>
          <t>Analysis and optimization of business processes, Business Analysis, digitization of processes.</t>
        </is>
      </c>
      <c r="AL432" t="inlineStr">
        <is>
          <t>DO Digital Organizations (Michael H.)</t>
        </is>
      </c>
      <c r="AM432" t="inlineStr">
        <is>
          <t>BPE Business Process Excellence (Heidi F.)</t>
        </is>
      </c>
      <c r="AN432" t="inlineStr">
        <is>
          <t>BE Business Engineering (Heidi Foldenauer)</t>
        </is>
      </c>
      <c r="AO432" t="inlineStr">
        <is>
          <t>bridgingIT GmbH</t>
        </is>
      </c>
      <c r="AP432" t="inlineStr">
        <is>
          <t>Stuttgart</t>
        </is>
      </c>
      <c r="AQ432" t="inlineStr">
        <is>
          <t>Heidi Foldenauer</t>
        </is>
      </c>
    </row>
    <row r="433">
      <c r="A433" t="inlineStr">
        <is>
          <t>10318</t>
        </is>
      </c>
      <c r="B433" t="inlineStr">
        <is>
          <t>EFB593</t>
        </is>
      </c>
      <c r="C433" t="inlineStr">
        <is>
          <t>https://app.matchical.com/Consulting/ConsultantDetail?ConsultantId=5d564ac5-4304-42d5-8af7-f720b463bf83</t>
        </is>
      </c>
      <c r="D433" t="inlineStr">
        <is>
          <t>Nikolas Kruser</t>
        </is>
      </c>
      <c r="E433" t="inlineStr">
        <is>
          <t>nikolas.kruser@bridging-it.de</t>
        </is>
      </c>
      <c r="F433" s="2" t="n">
        <v>45566</v>
      </c>
      <c r="G433" s="2" t="n">
        <v>41153</v>
      </c>
      <c r="H433" t="n">
        <v>7</v>
      </c>
      <c r="I433" t="n">
        <v>0</v>
      </c>
      <c r="J433" t="n">
        <v>1</v>
      </c>
      <c r="K433" s="2" t="n">
        <v>45663</v>
      </c>
      <c r="L433" s="2" t="n">
        <v>45109</v>
      </c>
      <c r="M433" s="2" t="n">
        <v>45564</v>
      </c>
      <c r="N433" t="b">
        <v>0</v>
      </c>
      <c r="O433" t="n">
        <v>17</v>
      </c>
      <c r="P433" t="n">
        <v>13</v>
      </c>
      <c r="Q433" t="n">
        <v>13</v>
      </c>
      <c r="R433">
        <f>ROUND(O433-P433,2)</f>
        <v/>
      </c>
      <c r="S433">
        <f>ROUND(O433-Q433,2)</f>
        <v/>
      </c>
      <c r="T433" s="3">
        <f>IFERROR(P433/O433,"")</f>
        <v/>
      </c>
      <c r="U433" s="3">
        <f>IFERROR(Q433/O433,"")</f>
        <v/>
      </c>
      <c r="V433" t="n">
        <v>145</v>
      </c>
      <c r="W433" t="n">
        <v>51</v>
      </c>
      <c r="X433" t="n">
        <v>47</v>
      </c>
      <c r="Y433">
        <f>ROUND(V433-W433,2)</f>
        <v/>
      </c>
      <c r="Z433">
        <f>ROUND(V433-X433,2)</f>
        <v/>
      </c>
      <c r="AA433" s="3">
        <f>IFERROR(W433/V433,"")</f>
        <v/>
      </c>
      <c r="AB433" s="3">
        <f>IFERROR(X433/V433,"")</f>
        <v/>
      </c>
      <c r="AC433" t="b">
        <v>0</v>
      </c>
      <c r="AD433" t="b">
        <v>0</v>
      </c>
      <c r="AE433" t="b">
        <v>0</v>
      </c>
      <c r="AF433" t="inlineStr">
        <is>
          <t>No</t>
        </is>
      </c>
      <c r="AI433" t="b">
        <v>0</v>
      </c>
      <c r="AJ433" t="n">
        <v>0</v>
      </c>
      <c r="AK433" t="inlineStr">
        <is>
          <t>Experienced Agile Coach, SAFe Coach, RTE or Transformation Consultant.</t>
        </is>
      </c>
      <c r="AL433" t="inlineStr">
        <is>
          <t>DO Digital Organizations (Michael H.)</t>
        </is>
      </c>
      <c r="AM433" t="inlineStr">
        <is>
          <t>AO Agile Organizations (Andreas G.)</t>
        </is>
      </c>
      <c r="AN433" t="inlineStr">
        <is>
          <t>BT Business Transformation (Julian D.)</t>
        </is>
      </c>
      <c r="AO433" t="inlineStr">
        <is>
          <t>bridgingIT GmbH</t>
        </is>
      </c>
      <c r="AP433" t="inlineStr">
        <is>
          <t>Stuttgart</t>
        </is>
      </c>
      <c r="AQ433" t="inlineStr">
        <is>
          <t>Andreas Glasa</t>
        </is>
      </c>
    </row>
    <row r="434">
      <c r="A434" t="inlineStr">
        <is>
          <t>10055</t>
        </is>
      </c>
      <c r="B434" t="inlineStr">
        <is>
          <t>0311FD</t>
        </is>
      </c>
      <c r="C434" t="inlineStr">
        <is>
          <t>https://app.matchical.com/Consulting/ConsultantDetail?ConsultantId=fa1d3a4f-7404-49e8-83e5-453a7f0870ec</t>
        </is>
      </c>
      <c r="D434" t="inlineStr">
        <is>
          <t>Nils Klimek</t>
        </is>
      </c>
      <c r="E434" t="inlineStr">
        <is>
          <t>nils.klimek@bridging-it.de</t>
        </is>
      </c>
      <c r="F434" s="2" t="n">
        <v>44958</v>
      </c>
      <c r="G434" s="2" t="n">
        <v>38869</v>
      </c>
      <c r="H434" t="n">
        <v>8</v>
      </c>
      <c r="I434" t="n">
        <v>0</v>
      </c>
      <c r="J434" t="n">
        <v>1</v>
      </c>
      <c r="K434" s="2" t="n">
        <v>45565</v>
      </c>
      <c r="L434" s="2" t="n">
        <v>44990</v>
      </c>
      <c r="M434" s="2" t="n">
        <v>45776</v>
      </c>
      <c r="N434" t="b">
        <v>0</v>
      </c>
      <c r="O434" t="n">
        <v>37</v>
      </c>
      <c r="P434" t="n">
        <v>47.71</v>
      </c>
      <c r="Q434" t="n">
        <v>35.83</v>
      </c>
      <c r="R434">
        <f>ROUND(O434-P434,2)</f>
        <v/>
      </c>
      <c r="S434">
        <f>ROUND(O434-Q434,2)</f>
        <v/>
      </c>
      <c r="T434" s="3">
        <f>IFERROR(P434/O434,"")</f>
        <v/>
      </c>
      <c r="U434" s="3">
        <f>IFERROR(Q434/O434,"")</f>
        <v/>
      </c>
      <c r="V434" t="n">
        <v>200</v>
      </c>
      <c r="W434" t="n">
        <v>130.29</v>
      </c>
      <c r="X434" t="n">
        <v>108.17</v>
      </c>
      <c r="Y434">
        <f>ROUND(V434-W434,2)</f>
        <v/>
      </c>
      <c r="Z434">
        <f>ROUND(V434-X434,2)</f>
        <v/>
      </c>
      <c r="AA434" s="3">
        <f>IFERROR(W434/V434,"")</f>
        <v/>
      </c>
      <c r="AB434" s="3">
        <f>IFERROR(X434/V434,"")</f>
        <v/>
      </c>
      <c r="AC434" t="b">
        <v>0</v>
      </c>
      <c r="AD434" t="b">
        <v>0</v>
      </c>
      <c r="AE434" t="b">
        <v>0</v>
      </c>
      <c r="AF434" t="inlineStr">
        <is>
          <t>Yes</t>
        </is>
      </c>
      <c r="AG434" s="2" t="n">
        <v>46327</v>
      </c>
      <c r="AI434" t="b">
        <v>1</v>
      </c>
      <c r="AJ434" t="n">
        <v>2.5</v>
      </c>
      <c r="AK434" t="inlineStr">
        <is>
          <t>Public Sector &amp; Retail, Systemic Organizational Development, Business Coaching, Change Management, Project and Program Management, Scrum Master, DevSecOps.
Currently at dmTech and Komm.ONE; if applicable, one of the engagements ends in November 2026</t>
        </is>
      </c>
      <c r="AL434" t="inlineStr">
        <is>
          <t>DO Digital Organizations (Michael H.)</t>
        </is>
      </c>
      <c r="AM434" t="inlineStr">
        <is>
          <t>BT Business Transform. II (Patrick D.)</t>
        </is>
      </c>
      <c r="AN434" t="inlineStr">
        <is>
          <t>BT Business Transformation (Julian D.)</t>
        </is>
      </c>
      <c r="AO434" t="inlineStr">
        <is>
          <t>bridgingIT GmbH</t>
        </is>
      </c>
      <c r="AP434" t="inlineStr">
        <is>
          <t>Stuttgart</t>
        </is>
      </c>
      <c r="AQ434" t="inlineStr">
        <is>
          <t>Patrick Dehner</t>
        </is>
      </c>
    </row>
    <row r="435">
      <c r="A435" t="inlineStr">
        <is>
          <t>1498</t>
        </is>
      </c>
      <c r="B435" t="inlineStr">
        <is>
          <t>9C242B</t>
        </is>
      </c>
      <c r="C435" t="inlineStr">
        <is>
          <t>https://app.matchical.com/Consulting/ConsultantDetail?ConsultantId=a9b663c4-c379-4cad-ac09-1bbe9ef5e9d1</t>
        </is>
      </c>
      <c r="D435" t="inlineStr">
        <is>
          <t>Nils Walter</t>
        </is>
      </c>
      <c r="E435" t="inlineStr">
        <is>
          <t>nils.walter@bridging-it.de</t>
        </is>
      </c>
      <c r="F435" s="2" t="n">
        <v>44593</v>
      </c>
      <c r="G435" s="2" t="n">
        <v>38899</v>
      </c>
      <c r="H435" t="n">
        <v>5</v>
      </c>
      <c r="I435" t="n">
        <v>0</v>
      </c>
      <c r="J435" t="n">
        <v>0</v>
      </c>
      <c r="L435" s="2" t="n">
        <v>44605</v>
      </c>
      <c r="M435" s="2" t="n">
        <v>45656</v>
      </c>
      <c r="N435" t="b">
        <v>0</v>
      </c>
      <c r="O435" t="n">
        <v>49</v>
      </c>
      <c r="P435" t="n">
        <v>35</v>
      </c>
      <c r="Q435" t="n">
        <v>35</v>
      </c>
      <c r="R435">
        <f>ROUND(O435-P435,2)</f>
        <v/>
      </c>
      <c r="S435">
        <f>ROUND(O435-Q435,2)</f>
        <v/>
      </c>
      <c r="T435" s="3">
        <f>IFERROR(P435/O435,"")</f>
        <v/>
      </c>
      <c r="U435" s="3">
        <f>IFERROR(Q435/O435,"")</f>
        <v/>
      </c>
      <c r="V435" t="n">
        <v>187</v>
      </c>
      <c r="W435" t="n">
        <v>180</v>
      </c>
      <c r="X435" t="n">
        <v>151</v>
      </c>
      <c r="Y435">
        <f>ROUND(V435-W435,2)</f>
        <v/>
      </c>
      <c r="Z435">
        <f>ROUND(V435-X435,2)</f>
        <v/>
      </c>
      <c r="AA435" s="3">
        <f>IFERROR(W435/V435,"")</f>
        <v/>
      </c>
      <c r="AB435" s="3">
        <f>IFERROR(X435/V435,"")</f>
        <v/>
      </c>
      <c r="AC435" t="b">
        <v>0</v>
      </c>
      <c r="AD435" t="b">
        <v>0</v>
      </c>
      <c r="AE435" t="b">
        <v>0</v>
      </c>
      <c r="AF435" t="inlineStr">
        <is>
          <t>Yes</t>
        </is>
      </c>
      <c r="AG435" s="2" t="n">
        <v>46143</v>
      </c>
      <c r="AI435" t="b">
        <v>0</v>
      </c>
      <c r="AJ435" t="n">
        <v>4.29</v>
      </c>
      <c r="AK435" t="inlineStr">
        <is>
          <t>* Areas of expertise: BI Developer, Data Modeling, Data Warehousing
(1) [Deutsche Leasing] Renewal in preparation, still &lt;80% (Andreas Kernbach)</t>
        </is>
      </c>
      <c r="AL435" t="inlineStr">
        <is>
          <t>A&amp;SE Analytics &amp; Software Engineering (Philip R.)</t>
        </is>
      </c>
      <c r="AM435" t="inlineStr">
        <is>
          <t>DE Data Engineering (M. Hof)</t>
        </is>
      </c>
      <c r="AN435" t="inlineStr">
        <is>
          <t>A&amp;DDS - Analytics &amp; Data-driven Solutions (M. Hof)</t>
        </is>
      </c>
      <c r="AO435" t="inlineStr">
        <is>
          <t>bridgingIT GmbH</t>
        </is>
      </c>
      <c r="AP435" t="inlineStr">
        <is>
          <t>Mannheim</t>
        </is>
      </c>
      <c r="AQ435" t="inlineStr">
        <is>
          <t>Michael Hof</t>
        </is>
      </c>
    </row>
    <row r="436">
      <c r="A436" t="inlineStr">
        <is>
          <t>10408</t>
        </is>
      </c>
      <c r="B436" t="inlineStr">
        <is>
          <t>213D9E</t>
        </is>
      </c>
      <c r="C436" t="inlineStr">
        <is>
          <t>https://app.matchical.com/Consulting/ConsultantDetail?ConsultantId=1a481b80-7e34-48b9-b0cb-50c52060eec8</t>
        </is>
      </c>
      <c r="D436" t="inlineStr">
        <is>
          <t>Nima Mahsouli</t>
        </is>
      </c>
      <c r="E436" t="inlineStr">
        <is>
          <t>nima.mahsouli@crafting-it.de</t>
        </is>
      </c>
      <c r="F436" s="2" t="n">
        <v>45962</v>
      </c>
      <c r="G436" s="2" t="n">
        <v>44774</v>
      </c>
      <c r="H436" t="n">
        <v>1</v>
      </c>
      <c r="I436" t="n">
        <v>0</v>
      </c>
      <c r="J436" t="n">
        <v>1</v>
      </c>
      <c r="K436" s="2" t="n">
        <v>45961</v>
      </c>
      <c r="N436" t="b">
        <v>0</v>
      </c>
      <c r="O436" t="n">
        <v>4</v>
      </c>
      <c r="P436" t="n">
        <v>2.97</v>
      </c>
      <c r="Q436" t="n">
        <v>2.97</v>
      </c>
      <c r="R436">
        <f>ROUND(O436-P436,2)</f>
        <v/>
      </c>
      <c r="S436">
        <f>ROUND(O436-Q436,2)</f>
        <v/>
      </c>
      <c r="T436" s="3">
        <f>IFERROR(P436/O436,"")</f>
        <v/>
      </c>
      <c r="U436" s="3">
        <f>IFERROR(Q436/O436,"")</f>
        <v/>
      </c>
      <c r="V436" t="n">
        <v>39</v>
      </c>
      <c r="W436" t="n">
        <v>0.03</v>
      </c>
      <c r="X436" t="n">
        <v>0.03</v>
      </c>
      <c r="Y436">
        <f>ROUND(V436-W436,2)</f>
        <v/>
      </c>
      <c r="Z436">
        <f>ROUND(V436-X436,2)</f>
        <v/>
      </c>
      <c r="AA436" s="3">
        <f>IFERROR(W436/V436,"")</f>
        <v/>
      </c>
      <c r="AB436" s="3">
        <f>IFERROR(X436/V436,"")</f>
        <v/>
      </c>
      <c r="AC436" t="b">
        <v>0</v>
      </c>
      <c r="AD436" t="b">
        <v>0</v>
      </c>
      <c r="AE436" t="b">
        <v>0</v>
      </c>
      <c r="AF436" t="inlineStr">
        <is>
          <t>No</t>
        </is>
      </c>
      <c r="AI436" t="b">
        <v>1</v>
      </c>
      <c r="AJ436" t="n">
        <v>0</v>
      </c>
      <c r="AK436" t="inlineStr"/>
      <c r="AL436" t="inlineStr">
        <is>
          <t>ORG cIT</t>
        </is>
      </c>
      <c r="AM436" t="inlineStr">
        <is>
          <t>cIT IT Services</t>
        </is>
      </c>
      <c r="AN436" t="inlineStr">
        <is>
          <t>cIT Service Delivery Magdeburg (Steffen A.)</t>
        </is>
      </c>
      <c r="AO436" t="inlineStr">
        <is>
          <t>craftingIT GmbH</t>
        </is>
      </c>
      <c r="AP436" t="inlineStr">
        <is>
          <t>Magdeburg</t>
        </is>
      </c>
      <c r="AQ436" t="inlineStr">
        <is>
          <t>Marcel Kelle</t>
        </is>
      </c>
    </row>
    <row r="437">
      <c r="A437" t="inlineStr">
        <is>
          <t>8012</t>
        </is>
      </c>
      <c r="B437" t="inlineStr">
        <is>
          <t>CDE4B7</t>
        </is>
      </c>
      <c r="C437" t="inlineStr">
        <is>
          <t>https://app.matchical.com/Consulting/ConsultantDetail?ConsultantId=8a4bb2f0-56ee-4f65-a42e-8f636ff9fb1f</t>
        </is>
      </c>
      <c r="D437" t="inlineStr">
        <is>
          <t>Nina-Christine Bruckner</t>
        </is>
      </c>
      <c r="E437" t="inlineStr">
        <is>
          <t>nina-christine.bruckner@bridging-it.de</t>
        </is>
      </c>
      <c r="F437" s="2" t="n">
        <v>41730</v>
      </c>
      <c r="G437" s="2" t="n">
        <v>39448</v>
      </c>
      <c r="H437" t="n">
        <v>27</v>
      </c>
      <c r="I437" t="n">
        <v>0</v>
      </c>
      <c r="J437" t="n">
        <v>3</v>
      </c>
      <c r="K437" s="2" t="n">
        <v>44742</v>
      </c>
      <c r="L437" s="2" t="n">
        <v>44743</v>
      </c>
      <c r="M437" s="2" t="n">
        <v>44926</v>
      </c>
      <c r="N437" t="b">
        <v>0</v>
      </c>
      <c r="O437" t="n">
        <v>143</v>
      </c>
      <c r="P437" t="n">
        <v>258</v>
      </c>
      <c r="Q437" t="n">
        <v>138</v>
      </c>
      <c r="R437">
        <f>ROUND(O437-P437,2)</f>
        <v/>
      </c>
      <c r="S437">
        <f>ROUND(O437-Q437,2)</f>
        <v/>
      </c>
      <c r="T437" s="3">
        <f>IFERROR(P437/O437,"")</f>
        <v/>
      </c>
      <c r="U437" s="3">
        <f>IFERROR(Q437/O437,"")</f>
        <v/>
      </c>
      <c r="V437" t="n">
        <v>75</v>
      </c>
      <c r="W437" t="n">
        <v>0</v>
      </c>
      <c r="X437" t="n">
        <v>0</v>
      </c>
      <c r="Y437">
        <f>ROUND(V437-W437,2)</f>
        <v/>
      </c>
      <c r="Z437">
        <f>ROUND(V437-X437,2)</f>
        <v/>
      </c>
      <c r="AA437" s="3">
        <f>IFERROR(W437/V437,"")</f>
        <v/>
      </c>
      <c r="AB437" s="3">
        <f>IFERROR(X437/V437,"")</f>
        <v/>
      </c>
      <c r="AC437" t="b">
        <v>0</v>
      </c>
      <c r="AD437" t="b">
        <v>0</v>
      </c>
      <c r="AE437" t="b">
        <v>0</v>
      </c>
      <c r="AF437" t="inlineStr">
        <is>
          <t>No</t>
        </is>
      </c>
      <c r="AI437" t="b">
        <v>1</v>
      </c>
      <c r="AJ437" t="n">
        <v>0</v>
      </c>
      <c r="AK437" t="inlineStr">
        <is>
          <t>Currently only a small Bosch allocation is anticipated. Java project sought.</t>
        </is>
      </c>
      <c r="AL437" t="inlineStr">
        <is>
          <t>ES Enterprise Solutions (Gina H.)</t>
        </is>
      </c>
      <c r="AM437" t="inlineStr">
        <is>
          <t>CC Content &amp; Collaboration (Frank G.)</t>
        </is>
      </c>
      <c r="AN437" t="inlineStr">
        <is>
          <t>PA Platform &amp; Application Solutions (Thomas K.)</t>
        </is>
      </c>
      <c r="AO437" t="inlineStr">
        <is>
          <t>bridgingIT GmbH</t>
        </is>
      </c>
      <c r="AP437" t="inlineStr">
        <is>
          <t>Stuttgart</t>
        </is>
      </c>
      <c r="AQ437" t="inlineStr">
        <is>
          <t>Frank Gärtner</t>
        </is>
      </c>
    </row>
    <row r="438">
      <c r="A438" t="inlineStr">
        <is>
          <t>1450</t>
        </is>
      </c>
      <c r="B438" t="inlineStr">
        <is>
          <t>FCD236</t>
        </is>
      </c>
      <c r="C438" t="inlineStr">
        <is>
          <t>https://app.matchical.com/Consulting/ConsultantDetail?ConsultantId=1b162e4c-b208-4769-9bdc-3cd84ea96084</t>
        </is>
      </c>
      <c r="D438" t="inlineStr">
        <is>
          <t>Oliver Heberger</t>
        </is>
      </c>
      <c r="E438" t="inlineStr">
        <is>
          <t>oliver.heberger@bridging-it.de</t>
        </is>
      </c>
      <c r="F438" s="2" t="n">
        <v>43556</v>
      </c>
      <c r="G438" s="2" t="n">
        <v>40452</v>
      </c>
      <c r="H438" t="n">
        <v>14</v>
      </c>
      <c r="I438" t="n">
        <v>0</v>
      </c>
      <c r="J438" t="n">
        <v>1</v>
      </c>
      <c r="K438" s="2" t="n">
        <v>45718</v>
      </c>
      <c r="L438" s="2" t="n">
        <v>45230</v>
      </c>
      <c r="M438" s="2" t="n">
        <v>45775</v>
      </c>
      <c r="N438" t="b">
        <v>0</v>
      </c>
      <c r="O438" t="n">
        <v>83</v>
      </c>
      <c r="P438" t="n">
        <v>111</v>
      </c>
      <c r="Q438" t="n">
        <v>82.83</v>
      </c>
      <c r="R438">
        <f>ROUND(O438-P438,2)</f>
        <v/>
      </c>
      <c r="S438">
        <f>ROUND(O438-Q438,2)</f>
        <v/>
      </c>
      <c r="T438" s="3">
        <f>IFERROR(P438/O438,"")</f>
        <v/>
      </c>
      <c r="U438" s="3">
        <f>IFERROR(Q438/O438,"")</f>
        <v/>
      </c>
      <c r="V438" t="n">
        <v>102</v>
      </c>
      <c r="W438" t="n">
        <v>36</v>
      </c>
      <c r="X438" t="n">
        <v>28</v>
      </c>
      <c r="Y438">
        <f>ROUND(V438-W438,2)</f>
        <v/>
      </c>
      <c r="Z438">
        <f>ROUND(V438-X438,2)</f>
        <v/>
      </c>
      <c r="AA438" s="3">
        <f>IFERROR(W438/V438,"")</f>
        <v/>
      </c>
      <c r="AB438" s="3">
        <f>IFERROR(X438/V438,"")</f>
        <v/>
      </c>
      <c r="AC438" t="b">
        <v>0</v>
      </c>
      <c r="AD438" t="b">
        <v>0</v>
      </c>
      <c r="AE438" t="b">
        <v>0</v>
      </c>
      <c r="AF438" t="inlineStr">
        <is>
          <t>Yes</t>
        </is>
      </c>
      <c r="AG438" s="2" t="n">
        <v>46204</v>
      </c>
      <c r="AI438" t="b">
        <v>1</v>
      </c>
      <c r="AJ438" t="n">
        <v>5</v>
      </c>
      <c r="AK438" t="inlineStr">
        <is>
          <t>We are seeking a project in the context of product management, business analysis, requirements engineering, and product ownership.</t>
        </is>
      </c>
      <c r="AL438" t="inlineStr">
        <is>
          <t>T&amp;A - Transformation &amp; Agility (Arne K.)</t>
        </is>
      </c>
      <c r="AM438" t="inlineStr">
        <is>
          <t>TBC - Transforming Business Concepts (Bastian T.)</t>
        </is>
      </c>
      <c r="AN438" t="inlineStr">
        <is>
          <t>TBC - Transforming Business Concepts (Bastian T.)</t>
        </is>
      </c>
      <c r="AO438" t="inlineStr">
        <is>
          <t>bridgingIT GmbH</t>
        </is>
      </c>
      <c r="AP438" t="inlineStr">
        <is>
          <t>Mannheim</t>
        </is>
      </c>
      <c r="AQ438" t="inlineStr">
        <is>
          <t>Bastian Trauth</t>
        </is>
      </c>
    </row>
    <row r="439">
      <c r="A439" t="inlineStr">
        <is>
          <t>1274</t>
        </is>
      </c>
      <c r="B439" t="inlineStr">
        <is>
          <t>DD4B0B</t>
        </is>
      </c>
      <c r="C439" t="inlineStr">
        <is>
          <t>https://app.matchical.com/Consulting/ConsultantDetail?ConsultantId=868f7983-9427-4e20-a1b2-de0a9beab00c</t>
        </is>
      </c>
      <c r="D439" t="inlineStr">
        <is>
          <t>Oliver Polm</t>
        </is>
      </c>
      <c r="E439" t="inlineStr">
        <is>
          <t>oliver.polm@bridging-it.de</t>
        </is>
      </c>
      <c r="F439" s="2" t="n">
        <v>42005</v>
      </c>
      <c r="G439" s="2" t="n">
        <v>34151</v>
      </c>
      <c r="H439" t="n">
        <v>13</v>
      </c>
      <c r="I439" t="n">
        <v>0</v>
      </c>
      <c r="J439" t="n">
        <v>0</v>
      </c>
      <c r="L439" s="2" t="n">
        <v>45658</v>
      </c>
      <c r="M439" s="2" t="n">
        <v>45838</v>
      </c>
      <c r="N439" t="b">
        <v>0</v>
      </c>
      <c r="O439" t="n">
        <v>134</v>
      </c>
      <c r="P439" t="n">
        <v>119</v>
      </c>
      <c r="Q439" t="n">
        <v>112</v>
      </c>
      <c r="R439">
        <f>ROUND(O439-P439,2)</f>
        <v/>
      </c>
      <c r="S439">
        <f>ROUND(O439-Q439,2)</f>
        <v/>
      </c>
      <c r="T439" s="3">
        <f>IFERROR(P439/O439,"")</f>
        <v/>
      </c>
      <c r="U439" s="3">
        <f>IFERROR(Q439/O439,"")</f>
        <v/>
      </c>
      <c r="V439" t="n">
        <v>258</v>
      </c>
      <c r="W439" t="n">
        <v>90</v>
      </c>
      <c r="X439" t="n">
        <v>73</v>
      </c>
      <c r="Y439">
        <f>ROUND(V439-W439,2)</f>
        <v/>
      </c>
      <c r="Z439">
        <f>ROUND(V439-X439,2)</f>
        <v/>
      </c>
      <c r="AA439" s="3">
        <f>IFERROR(W439/V439,"")</f>
        <v/>
      </c>
      <c r="AB439" s="3">
        <f>IFERROR(X439/V439,"")</f>
        <v/>
      </c>
      <c r="AC439" t="b">
        <v>0</v>
      </c>
      <c r="AD439" t="b">
        <v>0</v>
      </c>
      <c r="AE439" t="b">
        <v>0</v>
      </c>
      <c r="AF439" t="inlineStr">
        <is>
          <t>Yes</t>
        </is>
      </c>
      <c r="AG439" s="2" t="n">
        <v>46113</v>
      </c>
      <c r="AI439" t="b">
        <v>1</v>
      </c>
      <c r="AJ439" t="n">
        <v>5</v>
      </c>
      <c r="AK439" t="inlineStr">
        <is>
          <t>Oliver is a senior backend-focused developer (prefer Spring Boot with Java/Kotlin). Frontend (Angular) in combination with the backend is also possible. A pure frontend project is unfortunately not suitable.</t>
        </is>
      </c>
      <c r="AL439" t="inlineStr">
        <is>
          <t>A&amp;SE Analytics &amp; Software Engineering (Philip R.)</t>
        </is>
      </c>
      <c r="AM439" t="inlineStr">
        <is>
          <t>FH Fullstack Heroes (Lars P.)</t>
        </is>
      </c>
      <c r="AN439" t="inlineStr">
        <is>
          <t>FUN Fullstack Ninjas (Stefan Z.)</t>
        </is>
      </c>
      <c r="AO439" t="inlineStr">
        <is>
          <t>bridgingIT GmbH</t>
        </is>
      </c>
      <c r="AP439" t="inlineStr">
        <is>
          <t>Mannheim</t>
        </is>
      </c>
      <c r="AQ439" t="inlineStr">
        <is>
          <t>Lars Preschke</t>
        </is>
      </c>
    </row>
    <row r="440">
      <c r="A440" t="inlineStr">
        <is>
          <t>7043</t>
        </is>
      </c>
      <c r="B440" t="inlineStr">
        <is>
          <t>17E5A5</t>
        </is>
      </c>
      <c r="C440" t="inlineStr">
        <is>
          <t>https://app.matchical.com/Consulting/ConsultantDetail?ConsultantId=d1b93901-d481-409b-90bc-de707cf72a86</t>
        </is>
      </c>
      <c r="D440" t="inlineStr">
        <is>
          <t>Oliver Urbaniak</t>
        </is>
      </c>
      <c r="E440" t="inlineStr">
        <is>
          <t>oliver.urbaniak@bridging-it.de</t>
        </is>
      </c>
      <c r="F440" s="2" t="n">
        <v>44652</v>
      </c>
      <c r="G440" s="2" t="n">
        <v>44652</v>
      </c>
      <c r="H440" t="n">
        <v>10</v>
      </c>
      <c r="I440" t="n">
        <v>0</v>
      </c>
      <c r="J440" t="n">
        <v>1</v>
      </c>
      <c r="K440" s="2" t="n">
        <v>45535</v>
      </c>
      <c r="L440" s="2" t="n">
        <v>45658</v>
      </c>
      <c r="M440" s="2" t="n">
        <v>46022</v>
      </c>
      <c r="N440" t="b">
        <v>0</v>
      </c>
      <c r="O440" t="n">
        <v>47</v>
      </c>
      <c r="P440" t="n">
        <v>74</v>
      </c>
      <c r="Q440" t="n">
        <v>43</v>
      </c>
      <c r="R440">
        <f>ROUND(O440-P440,2)</f>
        <v/>
      </c>
      <c r="S440">
        <f>ROUND(O440-Q440,2)</f>
        <v/>
      </c>
      <c r="T440" s="3">
        <f>IFERROR(P440/O440,"")</f>
        <v/>
      </c>
      <c r="U440" s="3">
        <f>IFERROR(Q440/O440,"")</f>
        <v/>
      </c>
      <c r="V440" t="n">
        <v>0</v>
      </c>
      <c r="W440" t="n">
        <v>0</v>
      </c>
      <c r="X440" t="n">
        <v>0</v>
      </c>
      <c r="Y440">
        <f>ROUND(V440-W440,2)</f>
        <v/>
      </c>
      <c r="Z440">
        <f>ROUND(V440-X440,2)</f>
        <v/>
      </c>
      <c r="AA440" s="3">
        <f>IFERROR(W440/V440,"")</f>
        <v/>
      </c>
      <c r="AB440" s="3">
        <f>IFERROR(X440/V440,"")</f>
        <v/>
      </c>
      <c r="AC440" t="b">
        <v>0</v>
      </c>
      <c r="AD440" t="b">
        <v>0</v>
      </c>
      <c r="AE440" t="b">
        <v>0</v>
      </c>
      <c r="AF440" t="inlineStr">
        <is>
          <t>No</t>
        </is>
      </c>
      <c r="AI440" t="b">
        <v>0</v>
      </c>
      <c r="AJ440" t="n">
        <v>0</v>
      </c>
      <c r="AK440" t="inlineStr"/>
      <c r="AL440" t="inlineStr">
        <is>
          <t>ES Enterprise Solutions BLN (Gina H.)</t>
        </is>
      </c>
      <c r="AM440" t="inlineStr">
        <is>
          <t>SE I BLN (Dominik S.)</t>
        </is>
      </c>
      <c r="AN440" t="inlineStr">
        <is>
          <t>SE Software Engineering BLN (Dominik S.)</t>
        </is>
      </c>
      <c r="AO440" t="inlineStr">
        <is>
          <t>bridgingIT GmbH</t>
        </is>
      </c>
      <c r="AP440" t="inlineStr">
        <is>
          <t>Berlin</t>
        </is>
      </c>
      <c r="AQ440" t="inlineStr">
        <is>
          <t>Dominik Schadow</t>
        </is>
      </c>
    </row>
    <row r="441">
      <c r="A441" t="inlineStr">
        <is>
          <t>10194</t>
        </is>
      </c>
      <c r="B441" t="inlineStr">
        <is>
          <t>11FE8D</t>
        </is>
      </c>
      <c r="C441" t="inlineStr">
        <is>
          <t>https://app.matchical.com/Consulting/ConsultantDetail?ConsultantId=5ddac6f7-4bef-4391-abe9-c6685ae4561c</t>
        </is>
      </c>
      <c r="D441" t="inlineStr">
        <is>
          <t>Oliver Zehm</t>
        </is>
      </c>
      <c r="E441" t="inlineStr">
        <is>
          <t>oliver.zehm@bridging-it.de</t>
        </is>
      </c>
      <c r="F441" s="2" t="n">
        <v>45261</v>
      </c>
      <c r="G441" s="2" t="n">
        <v>43831</v>
      </c>
      <c r="H441" t="n">
        <v>4</v>
      </c>
      <c r="I441" t="n">
        <v>0</v>
      </c>
      <c r="J441" t="n">
        <v>0</v>
      </c>
      <c r="L441" s="2" t="n">
        <v>45322</v>
      </c>
      <c r="M441" s="2" t="n">
        <v>45715</v>
      </c>
      <c r="N441" t="b">
        <v>0</v>
      </c>
      <c r="O441" t="n">
        <v>27</v>
      </c>
      <c r="P441" t="n">
        <v>13</v>
      </c>
      <c r="Q441" t="n">
        <v>13</v>
      </c>
      <c r="R441">
        <f>ROUND(O441-P441,2)</f>
        <v/>
      </c>
      <c r="S441">
        <f>ROUND(O441-Q441,2)</f>
        <v/>
      </c>
      <c r="T441" s="3">
        <f>IFERROR(P441/O441,"")</f>
        <v/>
      </c>
      <c r="U441" s="3">
        <f>IFERROR(Q441/O441,"")</f>
        <v/>
      </c>
      <c r="V441" t="n">
        <v>47</v>
      </c>
      <c r="W441" t="n">
        <v>36</v>
      </c>
      <c r="X441" t="n">
        <v>36</v>
      </c>
      <c r="Y441">
        <f>ROUND(V441-W441,2)</f>
        <v/>
      </c>
      <c r="Z441">
        <f>ROUND(V441-X441,2)</f>
        <v/>
      </c>
      <c r="AA441" s="3">
        <f>IFERROR(W441/V441,"")</f>
        <v/>
      </c>
      <c r="AB441" s="3">
        <f>IFERROR(X441/V441,"")</f>
        <v/>
      </c>
      <c r="AC441" t="b">
        <v>0</v>
      </c>
      <c r="AD441" t="b">
        <v>0</v>
      </c>
      <c r="AE441" t="b">
        <v>0</v>
      </c>
      <c r="AF441" t="inlineStr">
        <is>
          <t>No</t>
        </is>
      </c>
      <c r="AI441" t="b">
        <v>1</v>
      </c>
      <c r="AJ441" t="n">
        <v>0</v>
      </c>
      <c r="AK441" t="inlineStr"/>
      <c r="AL441" t="inlineStr">
        <is>
          <t>A&amp;SE Analytics &amp; Software Engineering (Philip R.)</t>
        </is>
      </c>
      <c r="AM441" t="inlineStr">
        <is>
          <t>DS Data Science (Dr. Philip W.)</t>
        </is>
      </c>
      <c r="AN441" t="inlineStr">
        <is>
          <t>A&amp;DDS - Analytics &amp; Data-driven Solutions (M. Hof)</t>
        </is>
      </c>
      <c r="AO441" t="inlineStr">
        <is>
          <t>bridgingIT GmbH</t>
        </is>
      </c>
      <c r="AP441" t="inlineStr">
        <is>
          <t>Mannheim</t>
        </is>
      </c>
      <c r="AQ441" t="inlineStr">
        <is>
          <t>Philip Wollfarth</t>
        </is>
      </c>
    </row>
    <row r="442">
      <c r="A442" t="inlineStr">
        <is>
          <t>10365</t>
        </is>
      </c>
      <c r="B442" t="inlineStr">
        <is>
          <t>2B6E91</t>
        </is>
      </c>
      <c r="C442" t="inlineStr">
        <is>
          <t>https://app.matchical.com/Consulting/ConsultantDetail?ConsultantId=611fdc4d-2861-48a4-b971-6f4430dda6aa</t>
        </is>
      </c>
      <c r="D442" t="inlineStr">
        <is>
          <t>Otto Flake</t>
        </is>
      </c>
      <c r="E442" t="inlineStr">
        <is>
          <t>otto.flake@bridging-it.de</t>
        </is>
      </c>
      <c r="F442" s="2" t="n">
        <v>45839</v>
      </c>
      <c r="G442" s="2" t="n">
        <v>38961</v>
      </c>
      <c r="H442" t="n">
        <v>5</v>
      </c>
      <c r="I442" t="n">
        <v>0</v>
      </c>
      <c r="J442" t="n">
        <v>1</v>
      </c>
      <c r="K442" s="2" t="n">
        <v>45848</v>
      </c>
      <c r="L442" s="2" t="n">
        <v>45107</v>
      </c>
      <c r="M442" s="2" t="n">
        <v>45382</v>
      </c>
      <c r="N442" t="b">
        <v>0</v>
      </c>
      <c r="O442" t="n">
        <v>8</v>
      </c>
      <c r="P442" t="n">
        <v>7</v>
      </c>
      <c r="Q442" t="n">
        <v>7</v>
      </c>
      <c r="R442">
        <f>ROUND(O442-P442,2)</f>
        <v/>
      </c>
      <c r="S442">
        <f>ROUND(O442-Q442,2)</f>
        <v/>
      </c>
      <c r="T442" s="3">
        <f>IFERROR(P442/O442,"")</f>
        <v/>
      </c>
      <c r="U442" s="3">
        <f>IFERROR(Q442/O442,"")</f>
        <v/>
      </c>
      <c r="V442" t="n">
        <v>226</v>
      </c>
      <c r="W442" t="n">
        <v>40</v>
      </c>
      <c r="X442" t="n">
        <v>34</v>
      </c>
      <c r="Y442">
        <f>ROUND(V442-W442,2)</f>
        <v/>
      </c>
      <c r="Z442">
        <f>ROUND(V442-X442,2)</f>
        <v/>
      </c>
      <c r="AA442" s="3">
        <f>IFERROR(W442/V442,"")</f>
        <v/>
      </c>
      <c r="AB442" s="3">
        <f>IFERROR(X442/V442,"")</f>
        <v/>
      </c>
      <c r="AC442" t="b">
        <v>0</v>
      </c>
      <c r="AD442" t="b">
        <v>0</v>
      </c>
      <c r="AE442" t="b">
        <v>0</v>
      </c>
      <c r="AF442" t="inlineStr">
        <is>
          <t>No</t>
        </is>
      </c>
      <c r="AI442" t="b">
        <v>1</v>
      </c>
      <c r="AJ442" t="n">
        <v>0</v>
      </c>
      <c r="AK442" t="inlineStr"/>
      <c r="AL442" t="inlineStr">
        <is>
          <t>IT - Information Technology (Sebastian L.)</t>
        </is>
      </c>
      <c r="AM442" t="inlineStr">
        <is>
          <t>ESM Enterprise Service Management (Christian Wo.)</t>
        </is>
      </c>
      <c r="AN442" t="inlineStr">
        <is>
          <t>C&amp;DO - Cloud &amp; DevOps (Sebastian L.)</t>
        </is>
      </c>
      <c r="AO442" t="inlineStr">
        <is>
          <t>bridgingIT GmbH</t>
        </is>
      </c>
      <c r="AP442" t="inlineStr">
        <is>
          <t>Mannheim</t>
        </is>
      </c>
      <c r="AQ442" t="inlineStr">
        <is>
          <t>Christian Wolf</t>
        </is>
      </c>
    </row>
    <row r="443">
      <c r="A443" t="inlineStr">
        <is>
          <t>10149</t>
        </is>
      </c>
      <c r="B443" t="inlineStr">
        <is>
          <t>506FB2</t>
        </is>
      </c>
      <c r="C443" t="inlineStr">
        <is>
          <t>https://app.matchical.com/Consulting/ConsultantDetail?ConsultantId=b3c6c7dc-1225-4513-9ece-cc748c2d96bd</t>
        </is>
      </c>
      <c r="D443" t="inlineStr">
        <is>
          <t>Pascal Beuse</t>
        </is>
      </c>
      <c r="E443" t="inlineStr">
        <is>
          <t>pascal.beuse@bridging-it.de</t>
        </is>
      </c>
      <c r="F443" s="2" t="n">
        <v>45108</v>
      </c>
      <c r="G443" s="2" t="n">
        <v>43709</v>
      </c>
      <c r="H443" t="n">
        <v>9</v>
      </c>
      <c r="I443" t="n">
        <v>0</v>
      </c>
      <c r="J443" t="n">
        <v>1</v>
      </c>
      <c r="K443" s="2" t="n">
        <v>45565</v>
      </c>
      <c r="L443" s="2" t="n">
        <v>45199</v>
      </c>
      <c r="M443" s="2" t="n">
        <v>45534</v>
      </c>
      <c r="N443" t="b">
        <v>0</v>
      </c>
      <c r="O443" t="n">
        <v>32</v>
      </c>
      <c r="P443" t="n">
        <v>29.01</v>
      </c>
      <c r="Q443" t="n">
        <v>28.59</v>
      </c>
      <c r="R443">
        <f>ROUND(O443-P443,2)</f>
        <v/>
      </c>
      <c r="S443">
        <f>ROUND(O443-Q443,2)</f>
        <v/>
      </c>
      <c r="T443" s="3">
        <f>IFERROR(P443/O443,"")</f>
        <v/>
      </c>
      <c r="U443" s="3">
        <f>IFERROR(Q443/O443,"")</f>
        <v/>
      </c>
      <c r="V443" t="n">
        <v>46</v>
      </c>
      <c r="W443" t="n">
        <v>57.99</v>
      </c>
      <c r="X443" t="n">
        <v>40.41</v>
      </c>
      <c r="Y443">
        <f>ROUND(V443-W443,2)</f>
        <v/>
      </c>
      <c r="Z443">
        <f>ROUND(V443-X443,2)</f>
        <v/>
      </c>
      <c r="AA443" s="3">
        <f>IFERROR(W443/V443,"")</f>
        <v/>
      </c>
      <c r="AB443" s="3">
        <f>IFERROR(X443/V443,"")</f>
        <v/>
      </c>
      <c r="AC443" t="b">
        <v>0</v>
      </c>
      <c r="AD443" t="b">
        <v>0</v>
      </c>
      <c r="AE443" t="b">
        <v>0</v>
      </c>
      <c r="AF443" t="inlineStr">
        <is>
          <t>No</t>
        </is>
      </c>
      <c r="AG443" s="2" t="n">
        <v>46204</v>
      </c>
      <c r="AI443" t="b">
        <v>1</v>
      </c>
      <c r="AJ443" t="n">
        <v>0</v>
      </c>
      <c r="AK443" t="inlineStr">
        <is>
          <t>50 Hz</t>
        </is>
      </c>
      <c r="AL443" t="inlineStr">
        <is>
          <t>ORG bIT Bayern</t>
        </is>
      </c>
      <c r="AM443" t="inlineStr">
        <is>
          <t>TG Transformation Guidance (Clemens L.)</t>
        </is>
      </c>
      <c r="AN443" t="inlineStr">
        <is>
          <t>BAT Business Agility &amp; Transformation (Marc S.)</t>
        </is>
      </c>
      <c r="AO443" t="inlineStr">
        <is>
          <t>bridgingIT GmbH</t>
        </is>
      </c>
      <c r="AP443" t="inlineStr">
        <is>
          <t>München</t>
        </is>
      </c>
      <c r="AQ443" t="inlineStr">
        <is>
          <t>Clemens Lindner</t>
        </is>
      </c>
    </row>
    <row r="444">
      <c r="A444" t="inlineStr">
        <is>
          <t>10036</t>
        </is>
      </c>
      <c r="B444" t="inlineStr">
        <is>
          <t>F23A8E</t>
        </is>
      </c>
      <c r="C444" t="inlineStr">
        <is>
          <t>https://app.matchical.com/Consulting/ConsultantDetail?ConsultantId=5f1ea28f-d75d-4144-8ced-b6b34957b537</t>
        </is>
      </c>
      <c r="D444" t="inlineStr">
        <is>
          <t>Pascal Schwarz</t>
        </is>
      </c>
      <c r="E444" t="inlineStr">
        <is>
          <t>pascal.schwarz@bridging-it.de</t>
        </is>
      </c>
      <c r="F444" s="2" t="n">
        <v>44896</v>
      </c>
      <c r="G444" s="2" t="n">
        <v>43101</v>
      </c>
      <c r="H444" t="n">
        <v>7</v>
      </c>
      <c r="I444" t="n">
        <v>0</v>
      </c>
      <c r="J444" t="n">
        <v>0</v>
      </c>
      <c r="L444" s="2" t="n">
        <v>45138</v>
      </c>
      <c r="M444" s="2" t="n">
        <v>45838</v>
      </c>
      <c r="N444" t="b">
        <v>0</v>
      </c>
      <c r="O444" t="n">
        <v>39</v>
      </c>
      <c r="P444" t="n">
        <v>30</v>
      </c>
      <c r="Q444" t="n">
        <v>30</v>
      </c>
      <c r="R444">
        <f>ROUND(O444-P444,2)</f>
        <v/>
      </c>
      <c r="S444">
        <f>ROUND(O444-Q444,2)</f>
        <v/>
      </c>
      <c r="T444" s="3">
        <f>IFERROR(P444/O444,"")</f>
        <v/>
      </c>
      <c r="U444" s="3">
        <f>IFERROR(Q444/O444,"")</f>
        <v/>
      </c>
      <c r="V444" t="n">
        <v>59</v>
      </c>
      <c r="W444" t="n">
        <v>13</v>
      </c>
      <c r="X444" t="n">
        <v>12</v>
      </c>
      <c r="Y444">
        <f>ROUND(V444-W444,2)</f>
        <v/>
      </c>
      <c r="Z444">
        <f>ROUND(V444-X444,2)</f>
        <v/>
      </c>
      <c r="AA444" s="3">
        <f>IFERROR(W444/V444,"")</f>
        <v/>
      </c>
      <c r="AB444" s="3">
        <f>IFERROR(X444/V444,"")</f>
        <v/>
      </c>
      <c r="AC444" t="b">
        <v>0</v>
      </c>
      <c r="AD444" t="b">
        <v>0</v>
      </c>
      <c r="AE444" t="b">
        <v>0</v>
      </c>
      <c r="AF444" t="inlineStr">
        <is>
          <t>No</t>
        </is>
      </c>
      <c r="AI444" t="b">
        <v>1</v>
      </c>
      <c r="AJ444" t="n">
        <v>0</v>
      </c>
      <c r="AK444" t="inlineStr"/>
      <c r="AL444" t="inlineStr">
        <is>
          <t>IT - Information Technology (Sebastian L.)</t>
        </is>
      </c>
      <c r="AM444" t="inlineStr">
        <is>
          <t>ESM Enterprise Service Management (Christian Wo.)</t>
        </is>
      </c>
      <c r="AN444" t="inlineStr">
        <is>
          <t>C&amp;DO - Cloud &amp; DevOps (Sebastian L.)</t>
        </is>
      </c>
      <c r="AO444" t="inlineStr">
        <is>
          <t>bridgingIT GmbH</t>
        </is>
      </c>
      <c r="AP444" t="inlineStr">
        <is>
          <t>Mannheim</t>
        </is>
      </c>
      <c r="AQ444" t="inlineStr">
        <is>
          <t>Christian Wolf</t>
        </is>
      </c>
    </row>
    <row r="445">
      <c r="A445" t="inlineStr">
        <is>
          <t>1499</t>
        </is>
      </c>
      <c r="B445" t="inlineStr">
        <is>
          <t>4E9043</t>
        </is>
      </c>
      <c r="C445" t="inlineStr">
        <is>
          <t>https://app.matchical.com/Consulting/ConsultantDetail?ConsultantId=4f1df100-8e62-4dc8-ab85-fff552f2fb2d</t>
        </is>
      </c>
      <c r="D445" t="inlineStr">
        <is>
          <t>Patricio Plänich</t>
        </is>
      </c>
      <c r="E445" t="inlineStr">
        <is>
          <t>patricio.plaenich@bridging-it.de</t>
        </is>
      </c>
      <c r="F445" s="2" t="n">
        <v>44593</v>
      </c>
      <c r="G445" s="2" t="n">
        <v>42856</v>
      </c>
      <c r="H445" t="n">
        <v>7</v>
      </c>
      <c r="I445" t="n">
        <v>0</v>
      </c>
      <c r="J445" t="n">
        <v>1</v>
      </c>
      <c r="K445" s="2" t="n">
        <v>45531</v>
      </c>
      <c r="L445" s="2" t="n">
        <v>45389</v>
      </c>
      <c r="M445" s="2" t="n">
        <v>45445</v>
      </c>
      <c r="N445" t="b">
        <v>0</v>
      </c>
      <c r="O445" t="n">
        <v>49</v>
      </c>
      <c r="P445" t="n">
        <v>62</v>
      </c>
      <c r="Q445" t="n">
        <v>43</v>
      </c>
      <c r="R445">
        <f>ROUND(O445-P445,2)</f>
        <v/>
      </c>
      <c r="S445">
        <f>ROUND(O445-Q445,2)</f>
        <v/>
      </c>
      <c r="T445" s="3">
        <f>IFERROR(P445/O445,"")</f>
        <v/>
      </c>
      <c r="U445" s="3">
        <f>IFERROR(Q445/O445,"")</f>
        <v/>
      </c>
      <c r="V445" t="n">
        <v>57</v>
      </c>
      <c r="W445" t="n">
        <v>36</v>
      </c>
      <c r="X445" t="n">
        <v>25</v>
      </c>
      <c r="Y445">
        <f>ROUND(V445-W445,2)</f>
        <v/>
      </c>
      <c r="Z445">
        <f>ROUND(V445-X445,2)</f>
        <v/>
      </c>
      <c r="AA445" s="3">
        <f>IFERROR(W445/V445,"")</f>
        <v/>
      </c>
      <c r="AB445" s="3">
        <f>IFERROR(X445/V445,"")</f>
        <v/>
      </c>
      <c r="AC445" t="b">
        <v>0</v>
      </c>
      <c r="AD445" t="b">
        <v>0</v>
      </c>
      <c r="AE445" t="b">
        <v>0</v>
      </c>
      <c r="AF445" t="inlineStr">
        <is>
          <t>No</t>
        </is>
      </c>
      <c r="AI445" t="b">
        <v>1</v>
      </c>
      <c r="AJ445" t="n">
        <v>0</v>
      </c>
      <c r="AK445" t="inlineStr"/>
      <c r="AL445" t="inlineStr">
        <is>
          <t>A&amp;SE Analytics &amp; Software Engineering (Philip R.)</t>
        </is>
      </c>
      <c r="AM445" t="inlineStr">
        <is>
          <t>DP Data Platforms (Martin K.)</t>
        </is>
      </c>
      <c r="AN445" t="inlineStr">
        <is>
          <t>A&amp;DDS - Analytics &amp; Data-driven Solutions (M. Hof)</t>
        </is>
      </c>
      <c r="AO445" t="inlineStr">
        <is>
          <t>bridgingIT GmbH</t>
        </is>
      </c>
      <c r="AP445" t="inlineStr">
        <is>
          <t>Mannheim</t>
        </is>
      </c>
      <c r="AQ445" t="inlineStr">
        <is>
          <t>Martin Klingenberg</t>
        </is>
      </c>
    </row>
    <row r="446">
      <c r="A446" t="inlineStr">
        <is>
          <t>10225</t>
        </is>
      </c>
      <c r="B446" t="inlineStr">
        <is>
          <t>B20A26</t>
        </is>
      </c>
      <c r="C446" t="inlineStr">
        <is>
          <t>https://app.matchical.com/Consulting/ConsultantDetail?ConsultantId=d29d3b64-a106-47ea-8c75-4950277dcdb2</t>
        </is>
      </c>
      <c r="D446" t="inlineStr">
        <is>
          <t>Patrick Boadu Boafo</t>
        </is>
      </c>
      <c r="E446" t="inlineStr">
        <is>
          <t>patrick.boadu@bridging-it.de</t>
        </is>
      </c>
      <c r="F446" s="2" t="n">
        <v>45231</v>
      </c>
      <c r="G446" s="2" t="n">
        <v>45231</v>
      </c>
      <c r="H446" t="n">
        <v>6</v>
      </c>
      <c r="I446" t="n">
        <v>0</v>
      </c>
      <c r="J446" t="n">
        <v>1</v>
      </c>
      <c r="K446" s="2" t="n">
        <v>45586</v>
      </c>
      <c r="L446" s="2" t="n">
        <v>45340</v>
      </c>
      <c r="M446" s="2" t="n">
        <v>45806</v>
      </c>
      <c r="N446" t="b">
        <v>0</v>
      </c>
      <c r="O446" t="n">
        <v>28</v>
      </c>
      <c r="P446" t="n">
        <v>36</v>
      </c>
      <c r="Q446" t="n">
        <v>23</v>
      </c>
      <c r="R446">
        <f>ROUND(O446-P446,2)</f>
        <v/>
      </c>
      <c r="S446">
        <f>ROUND(O446-Q446,2)</f>
        <v/>
      </c>
      <c r="T446" s="3">
        <f>IFERROR(P446/O446,"")</f>
        <v/>
      </c>
      <c r="U446" s="3">
        <f>IFERROR(Q446/O446,"")</f>
        <v/>
      </c>
      <c r="V446" t="n">
        <v>0</v>
      </c>
      <c r="W446" t="n">
        <v>0</v>
      </c>
      <c r="X446" t="n">
        <v>0</v>
      </c>
      <c r="Y446">
        <f>ROUND(V446-W446,2)</f>
        <v/>
      </c>
      <c r="Z446">
        <f>ROUND(V446-X446,2)</f>
        <v/>
      </c>
      <c r="AA446" s="3">
        <f>IFERROR(W446/V446,"")</f>
        <v/>
      </c>
      <c r="AB446" s="3">
        <f>IFERROR(X446/V446,"")</f>
        <v/>
      </c>
      <c r="AC446" t="b">
        <v>0</v>
      </c>
      <c r="AD446" t="b">
        <v>0</v>
      </c>
      <c r="AE446" t="b">
        <v>0</v>
      </c>
      <c r="AF446" t="inlineStr">
        <is>
          <t>No</t>
        </is>
      </c>
      <c r="AI446" t="b">
        <v>1</v>
      </c>
      <c r="AJ446" t="n">
        <v>0</v>
      </c>
      <c r="AK446" t="inlineStr"/>
      <c r="AL446" t="inlineStr">
        <is>
          <t>ORG bIT</t>
        </is>
      </c>
      <c r="AM446" t="inlineStr">
        <is>
          <t>SEC - Software Engineering Cologne (Michael S.)</t>
        </is>
      </c>
      <c r="AN446" t="inlineStr">
        <is>
          <t>ITMC - IT-Management Cologne (Dominik H.)</t>
        </is>
      </c>
      <c r="AO446" t="inlineStr">
        <is>
          <t>bridgingIT GmbH</t>
        </is>
      </c>
      <c r="AP446" t="inlineStr">
        <is>
          <t>Köln</t>
        </is>
      </c>
      <c r="AQ446" t="inlineStr">
        <is>
          <t>Michael Stephan</t>
        </is>
      </c>
    </row>
    <row r="447">
      <c r="A447" t="inlineStr">
        <is>
          <t>2287</t>
        </is>
      </c>
      <c r="B447" t="inlineStr">
        <is>
          <t>DA7BE2</t>
        </is>
      </c>
      <c r="C447" t="inlineStr">
        <is>
          <t>https://app.matchical.com/Consulting/ConsultantDetail?ConsultantId=8a5c2d12-cd50-445e-869e-7c0eac12d9f7</t>
        </is>
      </c>
      <c r="D447" t="inlineStr">
        <is>
          <t>Patrick Dehner</t>
        </is>
      </c>
      <c r="E447" t="inlineStr">
        <is>
          <t>patrick.dehner@bridging-it.de</t>
        </is>
      </c>
      <c r="F447" s="2" t="n">
        <v>44470</v>
      </c>
      <c r="G447" s="2" t="n">
        <v>40452</v>
      </c>
      <c r="H447" t="n">
        <v>19</v>
      </c>
      <c r="I447" t="n">
        <v>0</v>
      </c>
      <c r="J447" t="n">
        <v>2</v>
      </c>
      <c r="K447" s="2" t="n">
        <v>44469</v>
      </c>
      <c r="L447" s="2" t="n">
        <v>45824</v>
      </c>
      <c r="M447" s="2" t="n">
        <v>46022</v>
      </c>
      <c r="N447" t="b">
        <v>0</v>
      </c>
      <c r="O447" t="n">
        <v>53</v>
      </c>
      <c r="P447" t="n">
        <v>176.85</v>
      </c>
      <c r="Q447" t="n">
        <v>52.8</v>
      </c>
      <c r="R447">
        <f>ROUND(O447-P447,2)</f>
        <v/>
      </c>
      <c r="S447">
        <f>ROUND(O447-Q447,2)</f>
        <v/>
      </c>
      <c r="T447" s="3">
        <f>IFERROR(P447/O447,"")</f>
        <v/>
      </c>
      <c r="U447" s="3">
        <f>IFERROR(Q447/O447,"")</f>
        <v/>
      </c>
      <c r="V447" t="n">
        <v>132</v>
      </c>
      <c r="W447" t="n">
        <v>219.05</v>
      </c>
      <c r="X447" t="n">
        <v>92.03</v>
      </c>
      <c r="Y447">
        <f>ROUND(V447-W447,2)</f>
        <v/>
      </c>
      <c r="Z447">
        <f>ROUND(V447-X447,2)</f>
        <v/>
      </c>
      <c r="AA447" s="3">
        <f>IFERROR(W447/V447,"")</f>
        <v/>
      </c>
      <c r="AB447" s="3">
        <f>IFERROR(X447/V447,"")</f>
        <v/>
      </c>
      <c r="AC447" t="b">
        <v>0</v>
      </c>
      <c r="AD447" t="b">
        <v>0</v>
      </c>
      <c r="AE447" t="b">
        <v>0</v>
      </c>
      <c r="AF447" t="inlineStr">
        <is>
          <t>No</t>
        </is>
      </c>
      <c r="AI447" t="b">
        <v>0</v>
      </c>
      <c r="AJ447" t="n">
        <v>0</v>
      </c>
      <c r="AK447" t="inlineStr">
        <is>
          <t>Experienced project manager /// Product Owner /// Business Development // Innovation &amp; business-model development /// 50% SAL-Public Sector Southwest building block.</t>
        </is>
      </c>
      <c r="AL447" t="inlineStr">
        <is>
          <t>DO Digital Organizations (Michael H.)</t>
        </is>
      </c>
      <c r="AM447" t="inlineStr">
        <is>
          <t>BT Business Transform. II (Patrick D.)</t>
        </is>
      </c>
      <c r="AN447" t="inlineStr">
        <is>
          <t>BT Business Transformation (Julian D.)</t>
        </is>
      </c>
      <c r="AO447" t="inlineStr">
        <is>
          <t>bridgingIT GmbH</t>
        </is>
      </c>
      <c r="AP447" t="inlineStr">
        <is>
          <t>Stuttgart</t>
        </is>
      </c>
      <c r="AQ447" t="inlineStr">
        <is>
          <t>Julian Dahlbender</t>
        </is>
      </c>
    </row>
    <row r="448">
      <c r="A448" t="inlineStr">
        <is>
          <t>10253</t>
        </is>
      </c>
      <c r="B448" t="inlineStr">
        <is>
          <t>21AEAF</t>
        </is>
      </c>
      <c r="C448" t="inlineStr">
        <is>
          <t>https://app.matchical.com/Consulting/ConsultantDetail?ConsultantId=4be465ff-3e73-4238-bf01-d138aea0ea5a</t>
        </is>
      </c>
      <c r="D448" t="inlineStr">
        <is>
          <t>Patrick Illing</t>
        </is>
      </c>
      <c r="E448" t="inlineStr">
        <is>
          <t>patrick.illing@crafting-it.de</t>
        </is>
      </c>
      <c r="F448" s="2" t="n">
        <v>45352</v>
      </c>
      <c r="H448" t="n">
        <v>6</v>
      </c>
      <c r="I448" t="n">
        <v>0</v>
      </c>
      <c r="J448" t="n">
        <v>0</v>
      </c>
      <c r="L448" s="2" t="n">
        <v>45505</v>
      </c>
      <c r="M448" s="2" t="n">
        <v>46022</v>
      </c>
      <c r="N448" t="b">
        <v>0</v>
      </c>
      <c r="O448" t="n">
        <v>24</v>
      </c>
      <c r="P448" t="n">
        <v>29</v>
      </c>
      <c r="Q448" t="n">
        <v>17</v>
      </c>
      <c r="R448">
        <f>ROUND(O448-P448,2)</f>
        <v/>
      </c>
      <c r="S448">
        <f>ROUND(O448-Q448,2)</f>
        <v/>
      </c>
      <c r="T448" s="3">
        <f>IFERROR(P448/O448,"")</f>
        <v/>
      </c>
      <c r="U448" s="3">
        <f>IFERROR(Q448/O448,"")</f>
        <v/>
      </c>
      <c r="V448" t="n">
        <v>1490</v>
      </c>
      <c r="W448" t="n">
        <v>45</v>
      </c>
      <c r="X448" t="n">
        <v>37</v>
      </c>
      <c r="Y448">
        <f>ROUND(V448-W448,2)</f>
        <v/>
      </c>
      <c r="Z448">
        <f>ROUND(V448-X448,2)</f>
        <v/>
      </c>
      <c r="AA448" s="3">
        <f>IFERROR(W448/V448,"")</f>
        <v/>
      </c>
      <c r="AB448" s="3">
        <f>IFERROR(X448/V448,"")</f>
        <v/>
      </c>
      <c r="AC448" t="b">
        <v>0</v>
      </c>
      <c r="AD448" t="b">
        <v>0</v>
      </c>
      <c r="AE448" t="b">
        <v>0</v>
      </c>
      <c r="AF448" t="inlineStr">
        <is>
          <t>No</t>
        </is>
      </c>
      <c r="AI448" t="b">
        <v>1</v>
      </c>
      <c r="AJ448" t="n">
        <v>0</v>
      </c>
      <c r="AK448" t="inlineStr"/>
      <c r="AL448" t="inlineStr">
        <is>
          <t>ORG cIT 2</t>
        </is>
      </c>
      <c r="AM448" t="inlineStr">
        <is>
          <t>cIT Product Ownership Managed Services</t>
        </is>
      </c>
      <c r="AN448" t="inlineStr">
        <is>
          <t>cIT Services allgemein (Christian K.)</t>
        </is>
      </c>
      <c r="AO448" t="inlineStr">
        <is>
          <t>craftingIT GmbH</t>
        </is>
      </c>
      <c r="AP448" t="inlineStr">
        <is>
          <t>Magdeburg</t>
        </is>
      </c>
      <c r="AQ448" t="inlineStr">
        <is>
          <t>Christian Kobl</t>
        </is>
      </c>
    </row>
    <row r="449">
      <c r="A449" t="inlineStr">
        <is>
          <t>2275</t>
        </is>
      </c>
      <c r="B449" t="inlineStr">
        <is>
          <t>B64568</t>
        </is>
      </c>
      <c r="C449" t="inlineStr">
        <is>
          <t>https://app.matchical.com/Consulting/ConsultantDetail?ConsultantId=3806c241-1892-4475-8ce7-6721d4e47880</t>
        </is>
      </c>
      <c r="D449" t="inlineStr">
        <is>
          <t>Patrick Ruether</t>
        </is>
      </c>
      <c r="E449" t="inlineStr">
        <is>
          <t>patrick.ruether@bridging-it.de</t>
        </is>
      </c>
      <c r="F449" s="2" t="n">
        <v>44228</v>
      </c>
      <c r="G449" s="2" t="n">
        <v>40087</v>
      </c>
      <c r="H449" t="n">
        <v>11</v>
      </c>
      <c r="I449" t="n">
        <v>0</v>
      </c>
      <c r="J449" t="n">
        <v>2</v>
      </c>
      <c r="K449" s="2" t="n">
        <v>44458</v>
      </c>
      <c r="L449" s="2" t="n">
        <v>45658</v>
      </c>
      <c r="M449" s="2" t="n">
        <v>46022</v>
      </c>
      <c r="N449" t="b">
        <v>0</v>
      </c>
      <c r="O449" t="n">
        <v>61</v>
      </c>
      <c r="P449" t="n">
        <v>149.97</v>
      </c>
      <c r="Q449" t="n">
        <v>60.75</v>
      </c>
      <c r="R449">
        <f>ROUND(O449-P449,2)</f>
        <v/>
      </c>
      <c r="S449">
        <f>ROUND(O449-Q449,2)</f>
        <v/>
      </c>
      <c r="T449" s="3">
        <f>IFERROR(P449/O449,"")</f>
        <v/>
      </c>
      <c r="U449" s="3">
        <f>IFERROR(Q449/O449,"")</f>
        <v/>
      </c>
      <c r="V449" t="n">
        <v>136</v>
      </c>
      <c r="W449" t="n">
        <v>69.03</v>
      </c>
      <c r="X449" t="n">
        <v>53.49</v>
      </c>
      <c r="Y449">
        <f>ROUND(V449-W449,2)</f>
        <v/>
      </c>
      <c r="Z449">
        <f>ROUND(V449-X449,2)</f>
        <v/>
      </c>
      <c r="AA449" s="3">
        <f>IFERROR(W449/V449,"")</f>
        <v/>
      </c>
      <c r="AB449" s="3">
        <f>IFERROR(X449/V449,"")</f>
        <v/>
      </c>
      <c r="AC449" t="b">
        <v>0</v>
      </c>
      <c r="AD449" t="b">
        <v>0</v>
      </c>
      <c r="AE449" t="b">
        <v>0</v>
      </c>
      <c r="AF449" t="inlineStr">
        <is>
          <t>No</t>
        </is>
      </c>
      <c r="AI449" t="b">
        <v>1</v>
      </c>
      <c r="AJ449" t="n">
        <v>0</v>
      </c>
      <c r="AK449" t="inlineStr"/>
      <c r="AL449" t="inlineStr">
        <is>
          <t>DO Digital Organizations (Michael H.)</t>
        </is>
      </c>
      <c r="AM449" t="inlineStr">
        <is>
          <t>BT Business Transform. II (Patrick D.)</t>
        </is>
      </c>
      <c r="AN449" t="inlineStr">
        <is>
          <t>BT Business Transformation (Julian D.)</t>
        </is>
      </c>
      <c r="AO449" t="inlineStr">
        <is>
          <t>bridgingIT GmbH</t>
        </is>
      </c>
      <c r="AP449" t="inlineStr">
        <is>
          <t>Stuttgart</t>
        </is>
      </c>
      <c r="AQ449" t="inlineStr">
        <is>
          <t>Patrick Dehner</t>
        </is>
      </c>
    </row>
    <row r="450">
      <c r="A450" t="inlineStr">
        <is>
          <t>10172</t>
        </is>
      </c>
      <c r="B450" t="inlineStr">
        <is>
          <t>7C146A</t>
        </is>
      </c>
      <c r="C450" t="inlineStr">
        <is>
          <t>https://app.matchical.com/Consulting/ConsultantDetail?ConsultantId=20bd8520-1ed0-459f-a4c5-33b1351d8f36</t>
        </is>
      </c>
      <c r="D450" t="inlineStr">
        <is>
          <t>Patrick Schell</t>
        </is>
      </c>
      <c r="E450" t="inlineStr">
        <is>
          <t>patrick.schell@bridging-it.de</t>
        </is>
      </c>
      <c r="F450" s="2" t="n">
        <v>45200</v>
      </c>
      <c r="G450" s="2" t="n">
        <v>38626</v>
      </c>
      <c r="H450" t="n">
        <v>25</v>
      </c>
      <c r="I450" t="n">
        <v>0</v>
      </c>
      <c r="J450" t="n">
        <v>0</v>
      </c>
      <c r="L450" s="2" t="n">
        <v>45869</v>
      </c>
      <c r="M450" s="2" t="n">
        <v>46022</v>
      </c>
      <c r="N450" t="b">
        <v>0</v>
      </c>
      <c r="O450" t="n">
        <v>29</v>
      </c>
      <c r="P450" t="n">
        <v>70.89</v>
      </c>
      <c r="Q450" t="n">
        <v>28.81</v>
      </c>
      <c r="R450">
        <f>ROUND(O450-P450,2)</f>
        <v/>
      </c>
      <c r="S450">
        <f>ROUND(O450-Q450,2)</f>
        <v/>
      </c>
      <c r="T450" s="3">
        <f>IFERROR(P450/O450,"")</f>
        <v/>
      </c>
      <c r="U450" s="3">
        <f>IFERROR(Q450/O450,"")</f>
        <v/>
      </c>
      <c r="V450" t="n">
        <v>216</v>
      </c>
      <c r="W450" t="n">
        <v>301.94</v>
      </c>
      <c r="X450" t="n">
        <v>134.57</v>
      </c>
      <c r="Y450">
        <f>ROUND(V450-W450,2)</f>
        <v/>
      </c>
      <c r="Z450">
        <f>ROUND(V450-X450,2)</f>
        <v/>
      </c>
      <c r="AA450" s="3">
        <f>IFERROR(W450/V450,"")</f>
        <v/>
      </c>
      <c r="AB450" s="3">
        <f>IFERROR(X450/V450,"")</f>
        <v/>
      </c>
      <c r="AC450" t="b">
        <v>0</v>
      </c>
      <c r="AD450" t="b">
        <v>0</v>
      </c>
      <c r="AE450" t="b">
        <v>0</v>
      </c>
      <c r="AF450" t="inlineStr">
        <is>
          <t>Yes</t>
        </is>
      </c>
      <c r="AG450" s="2" t="n">
        <v>46023</v>
      </c>
      <c r="AI450" t="b">
        <v>1</v>
      </c>
      <c r="AJ450" t="n">
        <v>2</v>
      </c>
      <c r="AK450" t="inlineStr">
        <is>
          <t>Patrick Schell switched in 2018 from the procurement domain to management consulting and specialized in Europe-wide software implementation with a focus on implementation, support, and ongoing development. Since 2023 at Bridging IT, he has expanded his experience in project and service management and efficiently optimizes software projects through technical expertise.</t>
        </is>
      </c>
      <c r="AL450" t="inlineStr">
        <is>
          <t>IT Information Technology (Hauke G.)</t>
        </is>
      </c>
      <c r="AM450" t="inlineStr">
        <is>
          <t>ITT IT-Transformation (Carmen D.)</t>
        </is>
      </c>
      <c r="AN450" t="inlineStr">
        <is>
          <t>ITM IT-Management (Jörg M.)</t>
        </is>
      </c>
      <c r="AO450" t="inlineStr">
        <is>
          <t>bridgingIT GmbH</t>
        </is>
      </c>
      <c r="AP450" t="inlineStr">
        <is>
          <t>Stuttgart</t>
        </is>
      </c>
      <c r="AQ450" t="inlineStr">
        <is>
          <t>Carmen Deubelbeiss</t>
        </is>
      </c>
    </row>
    <row r="451">
      <c r="A451" t="inlineStr">
        <is>
          <t>2125</t>
        </is>
      </c>
      <c r="B451" t="inlineStr">
        <is>
          <t>A00F5D</t>
        </is>
      </c>
      <c r="C451" t="inlineStr">
        <is>
          <t>https://app.matchical.com/Consulting/ConsultantDetail?ConsultantId=3e1d0875-dc49-46b8-b5df-f5872df19de3</t>
        </is>
      </c>
      <c r="D451" t="inlineStr">
        <is>
          <t>Patrick Wasik</t>
        </is>
      </c>
      <c r="E451" t="inlineStr">
        <is>
          <t>patrick.wasik@bridging-it.de</t>
        </is>
      </c>
      <c r="F451" s="2" t="n">
        <v>42309</v>
      </c>
      <c r="G451" s="2" t="n">
        <v>39845</v>
      </c>
      <c r="H451" t="n">
        <v>19</v>
      </c>
      <c r="I451" t="n">
        <v>0</v>
      </c>
      <c r="J451" t="n">
        <v>0</v>
      </c>
      <c r="L451" s="2" t="n">
        <v>45658</v>
      </c>
      <c r="M451" s="2" t="n">
        <v>46022</v>
      </c>
      <c r="N451" t="b">
        <v>0</v>
      </c>
      <c r="O451" t="n">
        <v>124</v>
      </c>
      <c r="P451" t="n">
        <v>117</v>
      </c>
      <c r="Q451" t="n">
        <v>113</v>
      </c>
      <c r="R451">
        <f>ROUND(O451-P451,2)</f>
        <v/>
      </c>
      <c r="S451">
        <f>ROUND(O451-Q451,2)</f>
        <v/>
      </c>
      <c r="T451" s="3">
        <f>IFERROR(P451/O451,"")</f>
        <v/>
      </c>
      <c r="U451" s="3">
        <f>IFERROR(Q451/O451,"")</f>
        <v/>
      </c>
      <c r="V451" t="n">
        <v>81</v>
      </c>
      <c r="W451" t="n">
        <v>79</v>
      </c>
      <c r="X451" t="n">
        <v>79</v>
      </c>
      <c r="Y451">
        <f>ROUND(V451-W451,2)</f>
        <v/>
      </c>
      <c r="Z451">
        <f>ROUND(V451-X451,2)</f>
        <v/>
      </c>
      <c r="AA451" s="3">
        <f>IFERROR(W451/V451,"")</f>
        <v/>
      </c>
      <c r="AB451" s="3">
        <f>IFERROR(X451/V451,"")</f>
        <v/>
      </c>
      <c r="AC451" t="b">
        <v>0</v>
      </c>
      <c r="AD451" t="b">
        <v>0</v>
      </c>
      <c r="AE451" t="b">
        <v>0</v>
      </c>
      <c r="AF451" t="inlineStr">
        <is>
          <t>No</t>
        </is>
      </c>
      <c r="AI451" t="b">
        <v>1</v>
      </c>
      <c r="AJ451" t="n">
        <v>0</v>
      </c>
      <c r="AK451" t="inlineStr">
        <is>
          <t>Competencies: IT AT &amp; TT with a focus on support, management, and transition of on-premises solutions, architectures, infrastructures, Linux, cloud, DevOps</t>
        </is>
      </c>
      <c r="AL451" t="inlineStr">
        <is>
          <t>ORG bIT</t>
        </is>
      </c>
      <c r="AM451" t="inlineStr">
        <is>
          <t>CDC - Cloud &amp; DevOps Cologne (Henning F.)</t>
        </is>
      </c>
      <c r="AN451" t="inlineStr">
        <is>
          <t>ITMC - IT-Management Cologne (Dominik H.)</t>
        </is>
      </c>
      <c r="AO451" t="inlineStr">
        <is>
          <t>bridgingIT GmbH</t>
        </is>
      </c>
      <c r="AP451" t="inlineStr">
        <is>
          <t>Köln</t>
        </is>
      </c>
      <c r="AQ451" t="inlineStr">
        <is>
          <t>Henning Feldkamp</t>
        </is>
      </c>
    </row>
    <row r="452">
      <c r="A452" t="inlineStr">
        <is>
          <t>10314</t>
        </is>
      </c>
      <c r="B452" t="inlineStr">
        <is>
          <t>AA01B6</t>
        </is>
      </c>
      <c r="C452" t="inlineStr">
        <is>
          <t>https://app.matchical.com/Consulting/ConsultantDetail?ConsultantId=1675b1d6-ce14-4b93-bcb1-6f005bbaca1a</t>
        </is>
      </c>
      <c r="D452" t="inlineStr">
        <is>
          <t>Paul Figur</t>
        </is>
      </c>
      <c r="E452" t="inlineStr">
        <is>
          <t>paul.figur@bridging-it.de</t>
        </is>
      </c>
      <c r="F452" s="2" t="n">
        <v>45566</v>
      </c>
      <c r="G452" s="2" t="n">
        <v>41640</v>
      </c>
      <c r="H452" t="n">
        <v>9</v>
      </c>
      <c r="I452" t="n">
        <v>0</v>
      </c>
      <c r="J452" t="n">
        <v>0</v>
      </c>
      <c r="L452" s="2" t="n">
        <v>45747</v>
      </c>
      <c r="M452" s="2" t="n">
        <v>46022</v>
      </c>
      <c r="N452" t="b">
        <v>0</v>
      </c>
      <c r="O452" t="n">
        <v>17</v>
      </c>
      <c r="P452" t="n">
        <v>29.93</v>
      </c>
      <c r="Q452" t="n">
        <v>16.79</v>
      </c>
      <c r="R452">
        <f>ROUND(O452-P452,2)</f>
        <v/>
      </c>
      <c r="S452">
        <f>ROUND(O452-Q452,2)</f>
        <v/>
      </c>
      <c r="T452" s="3">
        <f>IFERROR(P452/O452,"")</f>
        <v/>
      </c>
      <c r="U452" s="3">
        <f>IFERROR(Q452/O452,"")</f>
        <v/>
      </c>
      <c r="V452" t="n">
        <v>129</v>
      </c>
      <c r="W452" t="n">
        <v>43</v>
      </c>
      <c r="X452" t="n">
        <v>32</v>
      </c>
      <c r="Y452">
        <f>ROUND(V452-W452,2)</f>
        <v/>
      </c>
      <c r="Z452">
        <f>ROUND(V452-X452,2)</f>
        <v/>
      </c>
      <c r="AA452" s="3">
        <f>IFERROR(W452/V452,"")</f>
        <v/>
      </c>
      <c r="AB452" s="3">
        <f>IFERROR(X452/V452,"")</f>
        <v/>
      </c>
      <c r="AC452" t="b">
        <v>0</v>
      </c>
      <c r="AD452" t="b">
        <v>0</v>
      </c>
      <c r="AE452" t="b">
        <v>0</v>
      </c>
      <c r="AF452" t="inlineStr">
        <is>
          <t>Yes</t>
        </is>
      </c>
      <c r="AG452" s="2" t="n">
        <v>46113</v>
      </c>
      <c r="AI452" t="b">
        <v>1</v>
      </c>
      <c r="AJ452" t="n">
        <v>2.5</v>
      </c>
      <c r="AK452" t="inlineStr"/>
      <c r="AL452" t="inlineStr">
        <is>
          <t>IT - Information Technology (Sebastian L.)</t>
        </is>
      </c>
      <c r="AM452" t="inlineStr">
        <is>
          <t>CS - Cyber Security (Jochen Ka.)</t>
        </is>
      </c>
      <c r="AN452" t="inlineStr">
        <is>
          <t>O&amp;G - Organization &amp; Governance (Carsten T.)</t>
        </is>
      </c>
      <c r="AO452" t="inlineStr">
        <is>
          <t>bridgingIT GmbH</t>
        </is>
      </c>
      <c r="AP452" t="inlineStr">
        <is>
          <t>Hamburg</t>
        </is>
      </c>
      <c r="AQ452" t="inlineStr">
        <is>
          <t>Jochen Kauba</t>
        </is>
      </c>
    </row>
    <row r="453">
      <c r="A453" t="inlineStr">
        <is>
          <t>10241</t>
        </is>
      </c>
      <c r="B453" t="inlineStr">
        <is>
          <t>DD4812</t>
        </is>
      </c>
      <c r="C453" t="inlineStr">
        <is>
          <t>https://app.matchical.com/Consulting/ConsultantDetail?ConsultantId=de5ff7dd-13c6-467f-b455-e6416cd2294f</t>
        </is>
      </c>
      <c r="D453" t="inlineStr">
        <is>
          <t>Paul Heisner</t>
        </is>
      </c>
      <c r="E453" t="inlineStr">
        <is>
          <t>paul.heisner@bridging-it.de</t>
        </is>
      </c>
      <c r="F453" s="2" t="n">
        <v>45323</v>
      </c>
      <c r="G453" s="2" t="n">
        <v>44835</v>
      </c>
      <c r="H453" t="n">
        <v>4</v>
      </c>
      <c r="I453" t="n">
        <v>0</v>
      </c>
      <c r="J453" t="n">
        <v>1</v>
      </c>
      <c r="K453" s="2" t="n">
        <v>45351</v>
      </c>
      <c r="L453" s="2" t="n">
        <v>44957</v>
      </c>
      <c r="M453" s="2" t="n">
        <v>45322</v>
      </c>
      <c r="N453" t="b">
        <v>0</v>
      </c>
      <c r="O453" t="n">
        <v>25</v>
      </c>
      <c r="P453" t="n">
        <v>23</v>
      </c>
      <c r="Q453" t="n">
        <v>23</v>
      </c>
      <c r="R453">
        <f>ROUND(O453-P453,2)</f>
        <v/>
      </c>
      <c r="S453">
        <f>ROUND(O453-Q453,2)</f>
        <v/>
      </c>
      <c r="T453" s="3">
        <f>IFERROR(P453/O453,"")</f>
        <v/>
      </c>
      <c r="U453" s="3">
        <f>IFERROR(Q453/O453,"")</f>
        <v/>
      </c>
      <c r="V453" t="n">
        <v>16</v>
      </c>
      <c r="W453" t="n">
        <v>15.97</v>
      </c>
      <c r="X453" t="n">
        <v>15.97</v>
      </c>
      <c r="Y453">
        <f>ROUND(V453-W453,2)</f>
        <v/>
      </c>
      <c r="Z453">
        <f>ROUND(V453-X453,2)</f>
        <v/>
      </c>
      <c r="AA453" s="3">
        <f>IFERROR(W453/V453,"")</f>
        <v/>
      </c>
      <c r="AB453" s="3">
        <f>IFERROR(X453/V453,"")</f>
        <v/>
      </c>
      <c r="AC453" t="b">
        <v>0</v>
      </c>
      <c r="AD453" t="b">
        <v>0</v>
      </c>
      <c r="AE453" t="b">
        <v>0</v>
      </c>
      <c r="AF453" t="inlineStr">
        <is>
          <t>No</t>
        </is>
      </c>
      <c r="AI453" t="b">
        <v>0</v>
      </c>
      <c r="AJ453" t="n">
        <v>0</v>
      </c>
      <c r="AK453" t="inlineStr">
        <is>
          <t>Paul has several years of experience in professional software development. Both in a team and as a solo contributor, he has already successfully contributed to projects. His strengths lie in frontend development with the React framework. He also has solid experience with Angular. On the backend, he has already implemented work packages with Kotlin/Spring Boot.</t>
        </is>
      </c>
      <c r="AL453" t="inlineStr">
        <is>
          <t>A&amp;SE Analytics &amp; Software Engineering (Philip R.)</t>
        </is>
      </c>
      <c r="AM453" t="inlineStr">
        <is>
          <t>FV Fullstack Visionaries (Matthias H.)</t>
        </is>
      </c>
      <c r="AN453" t="inlineStr">
        <is>
          <t>FUN Fullstack Ninjas (Stefan Z.)</t>
        </is>
      </c>
      <c r="AO453" t="inlineStr">
        <is>
          <t>bridgingIT GmbH</t>
        </is>
      </c>
      <c r="AP453" t="inlineStr">
        <is>
          <t>Mannheim</t>
        </is>
      </c>
      <c r="AQ453" t="inlineStr">
        <is>
          <t>Matthias Hetz</t>
        </is>
      </c>
    </row>
    <row r="454">
      <c r="A454" t="inlineStr">
        <is>
          <t>10106</t>
        </is>
      </c>
      <c r="B454" t="inlineStr">
        <is>
          <t>CADCEC</t>
        </is>
      </c>
      <c r="C454" t="inlineStr">
        <is>
          <t>https://app.matchical.com/Consulting/ConsultantDetail?ConsultantId=28e24b56-6db7-49ed-9a79-19642413e692</t>
        </is>
      </c>
      <c r="D454" t="inlineStr">
        <is>
          <t>Paul Seelmeyer</t>
        </is>
      </c>
      <c r="E454" t="inlineStr">
        <is>
          <t>paul.seelmeyer@fastahead.com</t>
        </is>
      </c>
      <c r="F454" s="2" t="n">
        <v>45047</v>
      </c>
      <c r="G454" s="2" t="n">
        <v>35339</v>
      </c>
      <c r="H454" t="n">
        <v>15</v>
      </c>
      <c r="I454" t="n">
        <v>0</v>
      </c>
      <c r="J454" t="n">
        <v>2</v>
      </c>
      <c r="K454" s="2" t="n">
        <v>45535</v>
      </c>
      <c r="L454" s="2" t="n">
        <v>45505</v>
      </c>
      <c r="M454" s="2" t="n">
        <v>46053</v>
      </c>
      <c r="N454" t="b">
        <v>0</v>
      </c>
      <c r="O454" t="n">
        <v>34</v>
      </c>
      <c r="P454" t="n">
        <v>66</v>
      </c>
      <c r="Q454" t="n">
        <v>28</v>
      </c>
      <c r="R454">
        <f>ROUND(O454-P454,2)</f>
        <v/>
      </c>
      <c r="S454">
        <f>ROUND(O454-Q454,2)</f>
        <v/>
      </c>
      <c r="T454" s="3">
        <f>IFERROR(P454/O454,"")</f>
        <v/>
      </c>
      <c r="U454" s="3">
        <f>IFERROR(Q454/O454,"")</f>
        <v/>
      </c>
      <c r="V454" t="n">
        <v>319</v>
      </c>
      <c r="W454" t="n">
        <v>186</v>
      </c>
      <c r="X454" t="n">
        <v>126</v>
      </c>
      <c r="Y454">
        <f>ROUND(V454-W454,2)</f>
        <v/>
      </c>
      <c r="Z454">
        <f>ROUND(V454-X454,2)</f>
        <v/>
      </c>
      <c r="AA454" s="3">
        <f>IFERROR(W454/V454,"")</f>
        <v/>
      </c>
      <c r="AB454" s="3">
        <f>IFERROR(X454/V454,"")</f>
        <v/>
      </c>
      <c r="AC454" t="b">
        <v>0</v>
      </c>
      <c r="AD454" t="b">
        <v>0</v>
      </c>
      <c r="AE454" t="b">
        <v>0</v>
      </c>
      <c r="AF454" t="inlineStr">
        <is>
          <t>No</t>
        </is>
      </c>
      <c r="AI454" t="b">
        <v>1</v>
      </c>
      <c r="AJ454" t="n">
        <v>0</v>
      </c>
      <c r="AK454" t="inlineStr"/>
      <c r="AL454" t="inlineStr">
        <is>
          <t>ORG fastahead GmbH &amp; Co. KG</t>
        </is>
      </c>
      <c r="AM454" t="inlineStr">
        <is>
          <t>Strategy and Transformation (P. Seelmeyer)</t>
        </is>
      </c>
      <c r="AN454" t="inlineStr">
        <is>
          <t>fah Paul Seelmeyer</t>
        </is>
      </c>
      <c r="AO454" t="inlineStr">
        <is>
          <t>fastahead GmbH &amp; Co. KG</t>
        </is>
      </c>
      <c r="AP454" t="inlineStr">
        <is>
          <t>Berlin</t>
        </is>
      </c>
      <c r="AQ454" t="inlineStr">
        <is>
          <t>Tim Thierfelder</t>
        </is>
      </c>
    </row>
    <row r="455">
      <c r="A455" t="inlineStr">
        <is>
          <t>1391</t>
        </is>
      </c>
      <c r="B455" t="inlineStr">
        <is>
          <t>2FB344</t>
        </is>
      </c>
      <c r="C455" t="inlineStr">
        <is>
          <t>https://app.matchical.com/Consulting/ConsultantDetail?ConsultantId=d21697dc-ed5b-4142-9f95-db03bc6ea6c3</t>
        </is>
      </c>
      <c r="D455" t="inlineStr">
        <is>
          <t>Peer Bauspiess</t>
        </is>
      </c>
      <c r="E455" t="inlineStr">
        <is>
          <t>peer.bauspiess@crafting-it.de</t>
        </is>
      </c>
      <c r="F455" s="2" t="n">
        <v>42887</v>
      </c>
      <c r="G455" s="2" t="n">
        <v>42795</v>
      </c>
      <c r="H455" t="n">
        <v>24</v>
      </c>
      <c r="I455" t="n">
        <v>0</v>
      </c>
      <c r="J455" t="n">
        <v>2</v>
      </c>
      <c r="K455" s="2" t="n">
        <v>43230</v>
      </c>
      <c r="L455" s="2" t="n">
        <v>45292</v>
      </c>
      <c r="M455" s="2" t="n">
        <v>45473</v>
      </c>
      <c r="N455" t="b">
        <v>0</v>
      </c>
      <c r="O455" t="n">
        <v>105</v>
      </c>
      <c r="P455" t="n">
        <v>423.53</v>
      </c>
      <c r="Q455" t="n">
        <v>104.8</v>
      </c>
      <c r="R455">
        <f>ROUND(O455-P455,2)</f>
        <v/>
      </c>
      <c r="S455">
        <f>ROUND(O455-Q455,2)</f>
        <v/>
      </c>
      <c r="T455" s="3">
        <f>IFERROR(P455/O455,"")</f>
        <v/>
      </c>
      <c r="U455" s="3">
        <f>IFERROR(Q455/O455,"")</f>
        <v/>
      </c>
      <c r="V455" t="n">
        <v>3</v>
      </c>
      <c r="W455" t="n">
        <v>3</v>
      </c>
      <c r="X455" t="n">
        <v>3</v>
      </c>
      <c r="Y455">
        <f>ROUND(V455-W455,2)</f>
        <v/>
      </c>
      <c r="Z455">
        <f>ROUND(V455-X455,2)</f>
        <v/>
      </c>
      <c r="AA455" s="3">
        <f>IFERROR(W455/V455,"")</f>
        <v/>
      </c>
      <c r="AB455" s="3">
        <f>IFERROR(X455/V455,"")</f>
        <v/>
      </c>
      <c r="AC455" t="b">
        <v>0</v>
      </c>
      <c r="AD455" t="b">
        <v>0</v>
      </c>
      <c r="AE455" t="b">
        <v>0</v>
      </c>
      <c r="AF455" t="inlineStr">
        <is>
          <t>No</t>
        </is>
      </c>
      <c r="AI455" t="b">
        <v>0</v>
      </c>
      <c r="AJ455" t="n">
        <v>0</v>
      </c>
      <c r="AK455" t="inlineStr"/>
      <c r="AL455" t="inlineStr">
        <is>
          <t>ORG cIT</t>
        </is>
      </c>
      <c r="AM455" t="inlineStr">
        <is>
          <t>cIT AMS / GIS Services (Michael B.)</t>
        </is>
      </c>
      <c r="AN455" t="inlineStr">
        <is>
          <t>cIT Service Delivery Magdeburg (Steffen A.)</t>
        </is>
      </c>
      <c r="AO455" t="inlineStr">
        <is>
          <t>craftingIT GmbH</t>
        </is>
      </c>
      <c r="AP455" t="inlineStr">
        <is>
          <t>Karlsruhe</t>
        </is>
      </c>
      <c r="AQ455" t="inlineStr">
        <is>
          <t>Michael Buchter</t>
        </is>
      </c>
    </row>
    <row r="456">
      <c r="A456" t="inlineStr">
        <is>
          <t>10087</t>
        </is>
      </c>
      <c r="B456" t="inlineStr">
        <is>
          <t>DC121D</t>
        </is>
      </c>
      <c r="C456" t="inlineStr">
        <is>
          <t>https://app.matchical.com/Consulting/ConsultantDetail?ConsultantId=78e4a2d6-5ebe-4ab7-9ed5-f89c071e9bab</t>
        </is>
      </c>
      <c r="D456" t="inlineStr">
        <is>
          <t>Peer Hausen</t>
        </is>
      </c>
      <c r="E456" t="inlineStr">
        <is>
          <t>peer.hausen@bridging-it.de</t>
        </is>
      </c>
      <c r="F456" s="2" t="n">
        <v>44986</v>
      </c>
      <c r="G456" s="2" t="n">
        <v>40422</v>
      </c>
      <c r="H456" t="n">
        <v>6</v>
      </c>
      <c r="I456" t="n">
        <v>0</v>
      </c>
      <c r="J456" t="n">
        <v>1</v>
      </c>
      <c r="K456" s="2" t="n">
        <v>45054</v>
      </c>
      <c r="L456" s="2" t="n">
        <v>45566</v>
      </c>
      <c r="M456" s="2" t="n">
        <v>46022</v>
      </c>
      <c r="N456" t="b">
        <v>0</v>
      </c>
      <c r="O456" t="n">
        <v>36</v>
      </c>
      <c r="P456" t="n">
        <v>48</v>
      </c>
      <c r="Q456" t="n">
        <v>33</v>
      </c>
      <c r="R456">
        <f>ROUND(O456-P456,2)</f>
        <v/>
      </c>
      <c r="S456">
        <f>ROUND(O456-Q456,2)</f>
        <v/>
      </c>
      <c r="T456" s="3">
        <f>IFERROR(P456/O456,"")</f>
        <v/>
      </c>
      <c r="U456" s="3">
        <f>IFERROR(Q456/O456,"")</f>
        <v/>
      </c>
      <c r="V456" t="n">
        <v>150</v>
      </c>
      <c r="W456" t="n">
        <v>105</v>
      </c>
      <c r="X456" t="n">
        <v>89</v>
      </c>
      <c r="Y456">
        <f>ROUND(V456-W456,2)</f>
        <v/>
      </c>
      <c r="Z456">
        <f>ROUND(V456-X456,2)</f>
        <v/>
      </c>
      <c r="AA456" s="3">
        <f>IFERROR(W456/V456,"")</f>
        <v/>
      </c>
      <c r="AB456" s="3">
        <f>IFERROR(X456/V456,"")</f>
        <v/>
      </c>
      <c r="AC456" t="b">
        <v>0</v>
      </c>
      <c r="AD456" t="b">
        <v>0</v>
      </c>
      <c r="AE456" t="b">
        <v>0</v>
      </c>
      <c r="AF456" t="inlineStr">
        <is>
          <t>Yes</t>
        </is>
      </c>
      <c r="AG456" s="2" t="n">
        <v>46204</v>
      </c>
      <c r="AI456" t="b">
        <v>1</v>
      </c>
      <c r="AJ456" t="n">
        <v>1.09</v>
      </c>
      <c r="AK456" t="inlineStr">
        <is>
          <t>Extension with Roche until June 30, 2026</t>
        </is>
      </c>
      <c r="AL456" t="inlineStr">
        <is>
          <t>ORG bIT Bayern</t>
        </is>
      </c>
      <c r="AM456" t="inlineStr">
        <is>
          <t>TG Transformation Guidance (Clemens L.)</t>
        </is>
      </c>
      <c r="AN456" t="inlineStr">
        <is>
          <t>BAT Business Agility &amp; Transformation (Marc S.)</t>
        </is>
      </c>
      <c r="AO456" t="inlineStr">
        <is>
          <t>bridgingIT GmbH</t>
        </is>
      </c>
      <c r="AP456" t="inlineStr">
        <is>
          <t>München</t>
        </is>
      </c>
      <c r="AQ456" t="inlineStr">
        <is>
          <t>Clemens Lindner</t>
        </is>
      </c>
    </row>
    <row r="457">
      <c r="A457" t="inlineStr">
        <is>
          <t>2156</t>
        </is>
      </c>
      <c r="B457" t="inlineStr">
        <is>
          <t>D7E87A</t>
        </is>
      </c>
      <c r="C457" t="inlineStr">
        <is>
          <t>https://app.matchical.com/Consulting/ConsultantDetail?ConsultantId=1bdd1928-4ce5-4aaf-9958-6dce4e1d0409</t>
        </is>
      </c>
      <c r="D457" t="inlineStr">
        <is>
          <t>Peter Bauchmüller</t>
        </is>
      </c>
      <c r="E457" t="inlineStr">
        <is>
          <t>peter.bauchmueller@bridging-it.de</t>
        </is>
      </c>
      <c r="F457" s="2" t="n">
        <v>42614</v>
      </c>
      <c r="G457" s="2" t="n">
        <v>33512</v>
      </c>
      <c r="H457" t="n">
        <v>42</v>
      </c>
      <c r="I457" t="n">
        <v>0</v>
      </c>
      <c r="J457" t="n">
        <v>1</v>
      </c>
      <c r="K457" s="2" t="n">
        <v>45443</v>
      </c>
      <c r="L457" s="2" t="n">
        <v>44895</v>
      </c>
      <c r="M457" s="2" t="n">
        <v>45837</v>
      </c>
      <c r="N457" t="b">
        <v>0</v>
      </c>
      <c r="O457" t="n">
        <v>114</v>
      </c>
      <c r="P457" t="n">
        <v>184.93</v>
      </c>
      <c r="Q457" t="n">
        <v>113.77</v>
      </c>
      <c r="R457">
        <f>ROUND(O457-P457,2)</f>
        <v/>
      </c>
      <c r="S457">
        <f>ROUND(O457-Q457,2)</f>
        <v/>
      </c>
      <c r="T457" s="3">
        <f>IFERROR(P457/O457,"")</f>
        <v/>
      </c>
      <c r="U457" s="3">
        <f>IFERROR(Q457/O457,"")</f>
        <v/>
      </c>
      <c r="V457" t="n">
        <v>299</v>
      </c>
      <c r="W457" t="n">
        <v>199.07</v>
      </c>
      <c r="X457" t="n">
        <v>159.07</v>
      </c>
      <c r="Y457">
        <f>ROUND(V457-W457,2)</f>
        <v/>
      </c>
      <c r="Z457">
        <f>ROUND(V457-X457,2)</f>
        <v/>
      </c>
      <c r="AA457" s="3">
        <f>IFERROR(W457/V457,"")</f>
        <v/>
      </c>
      <c r="AB457" s="3">
        <f>IFERROR(X457/V457,"")</f>
        <v/>
      </c>
      <c r="AC457" t="b">
        <v>0</v>
      </c>
      <c r="AD457" t="b">
        <v>0</v>
      </c>
      <c r="AE457" t="b">
        <v>0</v>
      </c>
      <c r="AF457" t="inlineStr">
        <is>
          <t>Yes</t>
        </is>
      </c>
      <c r="AG457" s="2" t="n">
        <v>46055</v>
      </c>
      <c r="AI457" t="b">
        <v>1</v>
      </c>
      <c r="AJ457" t="n">
        <v>5</v>
      </c>
      <c r="AK457" t="inlineStr">
        <is>
          <t>A highly reliable Senior for PPM, ITSM, and strategic sourcing/purchasing — Finance, automotive, energy &amp; utilities, and retail.</t>
        </is>
      </c>
      <c r="AL457" t="inlineStr">
        <is>
          <t>DO Digital Organizations (Michael H.)</t>
        </is>
      </c>
      <c r="AM457" t="inlineStr">
        <is>
          <t>BT Business Transform. III (Valerie L.)</t>
        </is>
      </c>
      <c r="AN457" t="inlineStr">
        <is>
          <t>BT Business Transformation (Julian D.)</t>
        </is>
      </c>
      <c r="AO457" t="inlineStr">
        <is>
          <t>bridgingIT GmbH</t>
        </is>
      </c>
      <c r="AP457" t="inlineStr">
        <is>
          <t>Stuttgart</t>
        </is>
      </c>
      <c r="AQ457" t="inlineStr">
        <is>
          <t>Valerie Lorenz</t>
        </is>
      </c>
    </row>
    <row r="458">
      <c r="A458" t="inlineStr">
        <is>
          <t>3221</t>
        </is>
      </c>
      <c r="B458" t="inlineStr">
        <is>
          <t>C61748</t>
        </is>
      </c>
      <c r="C458" t="inlineStr">
        <is>
          <t>https://app.matchical.com/Consulting/ConsultantDetail?ConsultantId=7bf39f99-98f9-4e9f-a565-92a3e4160630</t>
        </is>
      </c>
      <c r="D458" t="inlineStr">
        <is>
          <t>Peter Bunse</t>
        </is>
      </c>
      <c r="E458" t="inlineStr">
        <is>
          <t>peter.bunse@bridging-it.de</t>
        </is>
      </c>
      <c r="F458" s="2" t="n">
        <v>44256</v>
      </c>
      <c r="G458" s="2" t="n">
        <v>31503</v>
      </c>
      <c r="H458" t="n">
        <v>7</v>
      </c>
      <c r="I458" t="n">
        <v>0</v>
      </c>
      <c r="J458" t="n">
        <v>0</v>
      </c>
      <c r="L458" s="2" t="n">
        <v>45292</v>
      </c>
      <c r="M458" s="2" t="n">
        <v>45442</v>
      </c>
      <c r="N458" t="b">
        <v>0</v>
      </c>
      <c r="O458" t="n">
        <v>60</v>
      </c>
      <c r="P458" t="n">
        <v>9.880000000000001</v>
      </c>
      <c r="Q458" t="n">
        <v>9.289999999999999</v>
      </c>
      <c r="R458">
        <f>ROUND(O458-P458,2)</f>
        <v/>
      </c>
      <c r="S458">
        <f>ROUND(O458-Q458,2)</f>
        <v/>
      </c>
      <c r="T458" s="3">
        <f>IFERROR(P458/O458,"")</f>
        <v/>
      </c>
      <c r="U458" s="3">
        <f>IFERROR(Q458/O458,"")</f>
        <v/>
      </c>
      <c r="V458" t="n">
        <v>419</v>
      </c>
      <c r="W458" t="n">
        <v>44.12</v>
      </c>
      <c r="X458" t="n">
        <v>33.71</v>
      </c>
      <c r="Y458">
        <f>ROUND(V458-W458,2)</f>
        <v/>
      </c>
      <c r="Z458">
        <f>ROUND(V458-X458,2)</f>
        <v/>
      </c>
      <c r="AA458" s="3">
        <f>IFERROR(W458/V458,"")</f>
        <v/>
      </c>
      <c r="AB458" s="3">
        <f>IFERROR(X458/V458,"")</f>
        <v/>
      </c>
      <c r="AC458" t="b">
        <v>0</v>
      </c>
      <c r="AD458" t="b">
        <v>0</v>
      </c>
      <c r="AE458" t="b">
        <v>0</v>
      </c>
      <c r="AF458" t="inlineStr">
        <is>
          <t>No</t>
        </is>
      </c>
      <c r="AI458" t="b">
        <v>0</v>
      </c>
      <c r="AJ458" t="n">
        <v>0</v>
      </c>
      <c r="AK458" t="inlineStr"/>
      <c r="AL458" t="inlineStr">
        <is>
          <t>Geschäftsleitung und Support</t>
        </is>
      </c>
      <c r="AM458" t="inlineStr">
        <is>
          <t>CxO</t>
        </is>
      </c>
      <c r="AN458" t="inlineStr">
        <is>
          <t>CEO</t>
        </is>
      </c>
      <c r="AO458" t="inlineStr">
        <is>
          <t>bridgingIT GmbH</t>
        </is>
      </c>
      <c r="AP458" t="inlineStr">
        <is>
          <t>Mannheim</t>
        </is>
      </c>
      <c r="AQ458" t="inlineStr">
        <is>
          <t>Simon Dillmann</t>
        </is>
      </c>
    </row>
    <row r="459">
      <c r="A459" t="inlineStr">
        <is>
          <t>3067</t>
        </is>
      </c>
      <c r="B459" t="inlineStr">
        <is>
          <t>BA068D</t>
        </is>
      </c>
      <c r="C459" t="inlineStr">
        <is>
          <t>https://app.matchical.com/Consulting/ConsultantDetail?ConsultantId=3edad3cb-a54e-40ed-a1f1-d27a926e628a</t>
        </is>
      </c>
      <c r="D459" t="inlineStr">
        <is>
          <t>Peter Müller</t>
        </is>
      </c>
      <c r="E459" t="inlineStr">
        <is>
          <t>peter.mueller@bridging-it.de</t>
        </is>
      </c>
      <c r="F459" s="2" t="n">
        <v>41365</v>
      </c>
      <c r="G459" s="2" t="n">
        <v>33970</v>
      </c>
      <c r="H459" t="n">
        <v>14</v>
      </c>
      <c r="I459" t="n">
        <v>0</v>
      </c>
      <c r="J459" t="n">
        <v>0</v>
      </c>
      <c r="L459" s="2" t="n">
        <v>43831</v>
      </c>
      <c r="M459" s="2" t="n">
        <v>44924</v>
      </c>
      <c r="N459" t="b">
        <v>0</v>
      </c>
      <c r="O459" t="n">
        <v>155</v>
      </c>
      <c r="P459" t="n">
        <v>169</v>
      </c>
      <c r="Q459" t="n">
        <v>111</v>
      </c>
      <c r="R459">
        <f>ROUND(O459-P459,2)</f>
        <v/>
      </c>
      <c r="S459">
        <f>ROUND(O459-Q459,2)</f>
        <v/>
      </c>
      <c r="T459" s="3">
        <f>IFERROR(P459/O459,"")</f>
        <v/>
      </c>
      <c r="U459" s="3">
        <f>IFERROR(Q459/O459,"")</f>
        <v/>
      </c>
      <c r="V459" t="n">
        <v>243</v>
      </c>
      <c r="W459" t="n">
        <v>115</v>
      </c>
      <c r="X459" t="n">
        <v>70</v>
      </c>
      <c r="Y459">
        <f>ROUND(V459-W459,2)</f>
        <v/>
      </c>
      <c r="Z459">
        <f>ROUND(V459-X459,2)</f>
        <v/>
      </c>
      <c r="AA459" s="3">
        <f>IFERROR(W459/V459,"")</f>
        <v/>
      </c>
      <c r="AB459" s="3">
        <f>IFERROR(X459/V459,"")</f>
        <v/>
      </c>
      <c r="AC459" t="b">
        <v>0</v>
      </c>
      <c r="AD459" t="b">
        <v>0</v>
      </c>
      <c r="AE459" t="b">
        <v>0</v>
      </c>
      <c r="AF459" t="inlineStr">
        <is>
          <t>No</t>
        </is>
      </c>
      <c r="AG459" s="2" t="n">
        <v>43402</v>
      </c>
      <c r="AI459" t="b">
        <v>1</v>
      </c>
      <c r="AJ459" t="n">
        <v>2</v>
      </c>
      <c r="AK459" t="inlineStr"/>
      <c r="AL459" t="inlineStr">
        <is>
          <t>Sales BL</t>
        </is>
      </c>
      <c r="AM459" t="inlineStr">
        <is>
          <t>SAL Team Schmitt</t>
        </is>
      </c>
      <c r="AN459" t="inlineStr">
        <is>
          <t>Capability Management (Tim T.)</t>
        </is>
      </c>
      <c r="AO459" t="inlineStr">
        <is>
          <t>bridgingIT GmbH</t>
        </is>
      </c>
      <c r="AP459" t="inlineStr">
        <is>
          <t>Mannheim</t>
        </is>
      </c>
      <c r="AQ459" t="inlineStr">
        <is>
          <t>Marc Schmitt</t>
        </is>
      </c>
    </row>
    <row r="460">
      <c r="A460" t="inlineStr">
        <is>
          <t>10393</t>
        </is>
      </c>
      <c r="B460" t="inlineStr">
        <is>
          <t>044D18</t>
        </is>
      </c>
      <c r="C460" t="inlineStr">
        <is>
          <t>https://app.matchical.com/Consulting/ConsultantDetail?ConsultantId=8b7a97dc-4d65-49d0-8c3a-d47fd6729e07</t>
        </is>
      </c>
      <c r="D460" t="inlineStr">
        <is>
          <t>Peter Zierz</t>
        </is>
      </c>
      <c r="E460" t="inlineStr">
        <is>
          <t>peter.zierz@bridging-it.de</t>
        </is>
      </c>
      <c r="F460" s="2" t="n">
        <v>45901</v>
      </c>
      <c r="G460" s="2" t="n">
        <v>41821</v>
      </c>
      <c r="H460" t="n">
        <v>6</v>
      </c>
      <c r="I460" t="n">
        <v>0</v>
      </c>
      <c r="J460" t="n">
        <v>0</v>
      </c>
      <c r="L460" s="2" t="n">
        <v>45902</v>
      </c>
      <c r="M460" s="2" t="n">
        <v>46022</v>
      </c>
      <c r="N460" t="b">
        <v>0</v>
      </c>
      <c r="O460" t="n">
        <v>6</v>
      </c>
      <c r="P460" t="n">
        <v>8.85</v>
      </c>
      <c r="Q460" t="n">
        <v>5.78</v>
      </c>
      <c r="R460">
        <f>ROUND(O460-P460,2)</f>
        <v/>
      </c>
      <c r="S460">
        <f>ROUND(O460-Q460,2)</f>
        <v/>
      </c>
      <c r="T460" s="3">
        <f>IFERROR(P460/O460,"")</f>
        <v/>
      </c>
      <c r="U460" s="3">
        <f>IFERROR(Q460/O460,"")</f>
        <v/>
      </c>
      <c r="V460" t="n">
        <v>134</v>
      </c>
      <c r="W460" t="n">
        <v>54</v>
      </c>
      <c r="X460" t="n">
        <v>43</v>
      </c>
      <c r="Y460">
        <f>ROUND(V460-W460,2)</f>
        <v/>
      </c>
      <c r="Z460">
        <f>ROUND(V460-X460,2)</f>
        <v/>
      </c>
      <c r="AA460" s="3">
        <f>IFERROR(W460/V460,"")</f>
        <v/>
      </c>
      <c r="AB460" s="3">
        <f>IFERROR(X460/V460,"")</f>
        <v/>
      </c>
      <c r="AC460" t="b">
        <v>0</v>
      </c>
      <c r="AD460" t="b">
        <v>0</v>
      </c>
      <c r="AE460" t="b">
        <v>0</v>
      </c>
      <c r="AF460" t="inlineStr">
        <is>
          <t>Yes</t>
        </is>
      </c>
      <c r="AG460" s="2" t="n">
        <v>46204</v>
      </c>
      <c r="AI460" t="b">
        <v>1</v>
      </c>
      <c r="AJ460" t="n">
        <v>5</v>
      </c>
      <c r="AK460" t="inlineStr">
        <is>
          <t>Peter is currently working on a project as a Project Manager at Spie for 2 days a week. For the remaining 3 days, we are seeking a project as a Business Analyst / Requirements Manager, preferably in a data-driven project context. Peter is technically proficient and is willing to dive deeper into technical analysis and implementation.</t>
        </is>
      </c>
      <c r="AL460" t="inlineStr">
        <is>
          <t>ORG bIT</t>
        </is>
      </c>
      <c r="AM460" t="inlineStr">
        <is>
          <t>BAPO - BA and Product Ownership (Edgar K.)</t>
        </is>
      </c>
      <c r="AN460" t="inlineStr">
        <is>
          <t>ABC Analysing Business &amp; Collaboration (Edgar K.)</t>
        </is>
      </c>
      <c r="AO460" t="inlineStr">
        <is>
          <t>bridgingIT GmbH</t>
        </is>
      </c>
      <c r="AP460" t="inlineStr">
        <is>
          <t>Frankfurt</t>
        </is>
      </c>
      <c r="AQ460" t="inlineStr">
        <is>
          <t>Edgar Kauz</t>
        </is>
      </c>
    </row>
    <row r="461">
      <c r="A461" t="inlineStr">
        <is>
          <t>10217</t>
        </is>
      </c>
      <c r="B461" t="inlineStr">
        <is>
          <t>00C008</t>
        </is>
      </c>
      <c r="C461" t="inlineStr">
        <is>
          <t>https://app.matchical.com/Consulting/ConsultantDetail?ConsultantId=7ac6c766-cca3-41bf-a666-2c98f24c207a</t>
        </is>
      </c>
      <c r="D461" t="inlineStr">
        <is>
          <t>Petra Dicks</t>
        </is>
      </c>
      <c r="E461" t="inlineStr">
        <is>
          <t>petra.dicks@bridging-it.de</t>
        </is>
      </c>
      <c r="F461" s="2" t="n">
        <v>45292</v>
      </c>
      <c r="G461" s="2" t="n">
        <v>40483</v>
      </c>
      <c r="H461" t="n">
        <v>6</v>
      </c>
      <c r="I461" t="n">
        <v>0</v>
      </c>
      <c r="J461" t="n">
        <v>0</v>
      </c>
      <c r="L461" s="2" t="n">
        <v>45382</v>
      </c>
      <c r="M461" s="2" t="n">
        <v>45838</v>
      </c>
      <c r="N461" t="b">
        <v>0</v>
      </c>
      <c r="O461" t="n">
        <v>26</v>
      </c>
      <c r="P461" t="n">
        <v>15</v>
      </c>
      <c r="Q461" t="n">
        <v>15</v>
      </c>
      <c r="R461">
        <f>ROUND(O461-P461,2)</f>
        <v/>
      </c>
      <c r="S461">
        <f>ROUND(O461-Q461,2)</f>
        <v/>
      </c>
      <c r="T461" s="3">
        <f>IFERROR(P461/O461,"")</f>
        <v/>
      </c>
      <c r="U461" s="3">
        <f>IFERROR(Q461/O461,"")</f>
        <v/>
      </c>
      <c r="V461" t="n">
        <v>158</v>
      </c>
      <c r="W461" t="n">
        <v>70</v>
      </c>
      <c r="X461" t="n">
        <v>64</v>
      </c>
      <c r="Y461">
        <f>ROUND(V461-W461,2)</f>
        <v/>
      </c>
      <c r="Z461">
        <f>ROUND(V461-X461,2)</f>
        <v/>
      </c>
      <c r="AA461" s="3">
        <f>IFERROR(W461/V461,"")</f>
        <v/>
      </c>
      <c r="AB461" s="3">
        <f>IFERROR(X461/V461,"")</f>
        <v/>
      </c>
      <c r="AC461" t="b">
        <v>0</v>
      </c>
      <c r="AD461" t="b">
        <v>0</v>
      </c>
      <c r="AE461" t="b">
        <v>0</v>
      </c>
      <c r="AF461" t="inlineStr">
        <is>
          <t>Yes</t>
        </is>
      </c>
      <c r="AG461" s="2" t="n">
        <v>46113</v>
      </c>
      <c r="AI461" t="b">
        <v>1</v>
      </c>
      <c r="AJ461" t="n">
        <v>4</v>
      </c>
      <c r="AK461" t="inlineStr">
        <is>
          <t>Since February 23, I have been in a reintegration program after a long illness. If an opportunity is available, a free onboarding would be possible.</t>
        </is>
      </c>
      <c r="AL461" t="inlineStr">
        <is>
          <t>ORG bIT</t>
        </is>
      </c>
      <c r="AM461" t="inlineStr">
        <is>
          <t>MaC - Management Cologne (Henning F.)</t>
        </is>
      </c>
      <c r="AN461" t="inlineStr">
        <is>
          <t>LMC - Location Management Cologne (Henning F.)</t>
        </is>
      </c>
      <c r="AO461" t="inlineStr">
        <is>
          <t>bridgingIT GmbH</t>
        </is>
      </c>
      <c r="AP461" t="inlineStr">
        <is>
          <t>Köln</t>
        </is>
      </c>
      <c r="AQ461" t="inlineStr">
        <is>
          <t>Henning Feldkamp</t>
        </is>
      </c>
    </row>
    <row r="462">
      <c r="A462" t="inlineStr">
        <is>
          <t>10243</t>
        </is>
      </c>
      <c r="B462" t="inlineStr">
        <is>
          <t>62CCAB</t>
        </is>
      </c>
      <c r="C462" t="inlineStr">
        <is>
          <t>https://app.matchical.com/Consulting/ConsultantDetail?ConsultantId=808fc7b0-867e-4030-83f2-1310fd61b048</t>
        </is>
      </c>
      <c r="D462" t="inlineStr">
        <is>
          <t>Philip Heinz</t>
        </is>
      </c>
      <c r="E462" t="inlineStr">
        <is>
          <t>philip.heinz@bridging-it.de</t>
        </is>
      </c>
      <c r="F462" s="2" t="n">
        <v>45292</v>
      </c>
      <c r="G462" s="2" t="n">
        <v>40210</v>
      </c>
      <c r="H462" t="n">
        <v>11</v>
      </c>
      <c r="I462" t="n">
        <v>0</v>
      </c>
      <c r="J462" t="n">
        <v>2</v>
      </c>
      <c r="K462" s="2" t="n">
        <v>45639</v>
      </c>
      <c r="L462" s="2" t="n">
        <v>45778</v>
      </c>
      <c r="M462" s="2" t="n">
        <v>45929</v>
      </c>
      <c r="N462" t="b">
        <v>0</v>
      </c>
      <c r="O462" t="n">
        <v>26</v>
      </c>
      <c r="P462" t="n">
        <v>40</v>
      </c>
      <c r="Q462" t="n">
        <v>24</v>
      </c>
      <c r="R462">
        <f>ROUND(O462-P462,2)</f>
        <v/>
      </c>
      <c r="S462">
        <f>ROUND(O462-Q462,2)</f>
        <v/>
      </c>
      <c r="T462" s="3">
        <f>IFERROR(P462/O462,"")</f>
        <v/>
      </c>
      <c r="U462" s="3">
        <f>IFERROR(Q462/O462,"")</f>
        <v/>
      </c>
      <c r="V462" t="n">
        <v>167</v>
      </c>
      <c r="W462" t="n">
        <v>68</v>
      </c>
      <c r="X462" t="n">
        <v>49</v>
      </c>
      <c r="Y462">
        <f>ROUND(V462-W462,2)</f>
        <v/>
      </c>
      <c r="Z462">
        <f>ROUND(V462-X462,2)</f>
        <v/>
      </c>
      <c r="AA462" s="3">
        <f>IFERROR(W462/V462,"")</f>
        <v/>
      </c>
      <c r="AB462" s="3">
        <f>IFERROR(X462/V462,"")</f>
        <v/>
      </c>
      <c r="AC462" t="b">
        <v>0</v>
      </c>
      <c r="AD462" t="b">
        <v>0</v>
      </c>
      <c r="AE462" t="b">
        <v>0</v>
      </c>
      <c r="AF462" t="inlineStr">
        <is>
          <t>No</t>
        </is>
      </c>
      <c r="AI462" t="b">
        <v>0</v>
      </c>
      <c r="AJ462" t="n">
        <v>0</v>
      </c>
      <c r="AK462" t="inlineStr">
        <is>
          <t>Should act as a multiplier only in projects where we can quickly staff additional colleagues.
Philip works part-time 7 hours per day (35 hours per week).</t>
        </is>
      </c>
      <c r="AL462" t="inlineStr">
        <is>
          <t>ES Enterprise Solutions BLN (Gina H.)</t>
        </is>
      </c>
      <c r="AM462" t="inlineStr">
        <is>
          <t>SE I BLN (Dominik S.)</t>
        </is>
      </c>
      <c r="AN462" t="inlineStr">
        <is>
          <t>SE Software Engineering BLN (Dominik S.)</t>
        </is>
      </c>
      <c r="AO462" t="inlineStr">
        <is>
          <t>bridgingIT GmbH</t>
        </is>
      </c>
      <c r="AP462" t="inlineStr">
        <is>
          <t>Berlin</t>
        </is>
      </c>
      <c r="AQ462" t="inlineStr">
        <is>
          <t>Dominik Schadow</t>
        </is>
      </c>
    </row>
    <row r="463">
      <c r="A463" t="inlineStr">
        <is>
          <t>2316</t>
        </is>
      </c>
      <c r="B463" t="inlineStr">
        <is>
          <t>88804B</t>
        </is>
      </c>
      <c r="C463" t="inlineStr">
        <is>
          <t>https://app.matchical.com/Consulting/ConsultantDetail?ConsultantId=e780798f-45c1-4c90-a0a7-3f84d66d08bc</t>
        </is>
      </c>
      <c r="D463" t="inlineStr">
        <is>
          <t>Philip Lindheimer</t>
        </is>
      </c>
      <c r="E463" t="inlineStr">
        <is>
          <t>philip.lindheimer@bridging-it.de</t>
        </is>
      </c>
      <c r="F463" s="2" t="n">
        <v>44743</v>
      </c>
      <c r="G463" s="2" t="n">
        <v>44317</v>
      </c>
      <c r="H463" t="n">
        <v>13</v>
      </c>
      <c r="I463" t="n">
        <v>0</v>
      </c>
      <c r="J463" t="n">
        <v>1</v>
      </c>
      <c r="K463" s="2" t="n">
        <v>45351</v>
      </c>
      <c r="L463" s="2" t="n">
        <v>45664</v>
      </c>
      <c r="M463" s="2" t="n">
        <v>46022</v>
      </c>
      <c r="N463" t="b">
        <v>0</v>
      </c>
      <c r="O463" t="n">
        <v>44</v>
      </c>
      <c r="P463" t="n">
        <v>108.97</v>
      </c>
      <c r="Q463" t="n">
        <v>43.83</v>
      </c>
      <c r="R463">
        <f>ROUND(O463-P463,2)</f>
        <v/>
      </c>
      <c r="S463">
        <f>ROUND(O463-Q463,2)</f>
        <v/>
      </c>
      <c r="T463" s="3">
        <f>IFERROR(P463/O463,"")</f>
        <v/>
      </c>
      <c r="U463" s="3">
        <f>IFERROR(Q463/O463,"")</f>
        <v/>
      </c>
      <c r="V463" t="n">
        <v>14</v>
      </c>
      <c r="W463" t="n">
        <v>13</v>
      </c>
      <c r="X463" t="n">
        <v>12.99</v>
      </c>
      <c r="Y463">
        <f>ROUND(V463-W463,2)</f>
        <v/>
      </c>
      <c r="Z463">
        <f>ROUND(V463-X463,2)</f>
        <v/>
      </c>
      <c r="AA463" s="3">
        <f>IFERROR(W463/V463,"")</f>
        <v/>
      </c>
      <c r="AB463" s="3">
        <f>IFERROR(X463/V463,"")</f>
        <v/>
      </c>
      <c r="AC463" t="b">
        <v>0</v>
      </c>
      <c r="AD463" t="b">
        <v>0</v>
      </c>
      <c r="AE463" t="b">
        <v>0</v>
      </c>
      <c r="AF463" t="inlineStr">
        <is>
          <t>No</t>
        </is>
      </c>
      <c r="AI463" t="b">
        <v>1</v>
      </c>
      <c r="AJ463" t="n">
        <v>0</v>
      </c>
      <c r="AK463" t="inlineStr">
        <is>
          <t>Focus: Low-Code, process analysis, process digitization, requirements management</t>
        </is>
      </c>
      <c r="AL463" t="inlineStr">
        <is>
          <t>DO Digital Organizations (Michael H.)</t>
        </is>
      </c>
      <c r="AM463" t="inlineStr">
        <is>
          <t>PD Process Digitalization II (Ralf Fr.)</t>
        </is>
      </c>
      <c r="AN463" t="inlineStr">
        <is>
          <t>DP Digital Processes (Hermann L.)</t>
        </is>
      </c>
      <c r="AO463" t="inlineStr">
        <is>
          <t>bridgingIT GmbH</t>
        </is>
      </c>
      <c r="AP463" t="inlineStr">
        <is>
          <t>Stuttgart</t>
        </is>
      </c>
      <c r="AQ463" t="inlineStr">
        <is>
          <t>Ralf Frotscher</t>
        </is>
      </c>
    </row>
    <row r="464">
      <c r="A464" t="inlineStr">
        <is>
          <t>1159</t>
        </is>
      </c>
      <c r="B464" t="inlineStr">
        <is>
          <t>78F2F1</t>
        </is>
      </c>
      <c r="C464" t="inlineStr">
        <is>
          <t>https://app.matchical.com/Consulting/ConsultantDetail?ConsultantId=76f3510e-5a0f-4380-9a18-b28717700a84</t>
        </is>
      </c>
      <c r="D464" t="inlineStr">
        <is>
          <t>Philip Rausch</t>
        </is>
      </c>
      <c r="E464" t="inlineStr">
        <is>
          <t>philip.rausch@bridging-it.de</t>
        </is>
      </c>
      <c r="F464" s="2" t="n">
        <v>40651</v>
      </c>
      <c r="G464" s="2" t="n">
        <v>39264</v>
      </c>
      <c r="H464" t="n">
        <v>8</v>
      </c>
      <c r="I464" t="n">
        <v>0</v>
      </c>
      <c r="J464" t="n">
        <v>1</v>
      </c>
      <c r="K464" s="2" t="n">
        <v>40787</v>
      </c>
      <c r="L464" s="2" t="n">
        <v>45016</v>
      </c>
      <c r="M464" s="2" t="n">
        <v>45411</v>
      </c>
      <c r="N464" t="b">
        <v>0</v>
      </c>
      <c r="O464" t="n">
        <v>178</v>
      </c>
      <c r="P464" t="n">
        <v>360</v>
      </c>
      <c r="Q464" t="n">
        <v>176</v>
      </c>
      <c r="R464">
        <f>ROUND(O464-P464,2)</f>
        <v/>
      </c>
      <c r="S464">
        <f>ROUND(O464-Q464,2)</f>
        <v/>
      </c>
      <c r="T464" s="3">
        <f>IFERROR(P464/O464,"")</f>
        <v/>
      </c>
      <c r="U464" s="3">
        <f>IFERROR(Q464/O464,"")</f>
        <v/>
      </c>
      <c r="V464" t="n">
        <v>46</v>
      </c>
      <c r="W464" t="n">
        <v>7</v>
      </c>
      <c r="X464" t="n">
        <v>7</v>
      </c>
      <c r="Y464">
        <f>ROUND(V464-W464,2)</f>
        <v/>
      </c>
      <c r="Z464">
        <f>ROUND(V464-X464,2)</f>
        <v/>
      </c>
      <c r="AA464" s="3">
        <f>IFERROR(W464/V464,"")</f>
        <v/>
      </c>
      <c r="AB464" s="3">
        <f>IFERROR(X464/V464,"")</f>
        <v/>
      </c>
      <c r="AC464" t="b">
        <v>0</v>
      </c>
      <c r="AD464" t="b">
        <v>0</v>
      </c>
      <c r="AE464" t="b">
        <v>0</v>
      </c>
      <c r="AF464" t="inlineStr">
        <is>
          <t>No</t>
        </is>
      </c>
      <c r="AI464" t="b">
        <v>0</v>
      </c>
      <c r="AJ464" t="n">
        <v>0</v>
      </c>
      <c r="AK464" t="inlineStr"/>
      <c r="AL464" t="inlineStr">
        <is>
          <t>A&amp;SE Analytics &amp; Software Engineering (Philip R.)</t>
        </is>
      </c>
      <c r="AM464" t="inlineStr">
        <is>
          <t>DA Data Architecture (Philip R.)</t>
        </is>
      </c>
      <c r="AN464" t="inlineStr">
        <is>
          <t>A&amp;SE Analytics &amp; Software Engineering (Philip R.)</t>
        </is>
      </c>
      <c r="AO464" t="inlineStr">
        <is>
          <t>bridgingIT GmbH</t>
        </is>
      </c>
      <c r="AP464" t="inlineStr">
        <is>
          <t>Mannheim</t>
        </is>
      </c>
      <c r="AQ464" t="inlineStr">
        <is>
          <t>Michael Mohrbacher</t>
        </is>
      </c>
    </row>
    <row r="465">
      <c r="A465" t="inlineStr">
        <is>
          <t>10343</t>
        </is>
      </c>
      <c r="B465" t="inlineStr">
        <is>
          <t>25133C</t>
        </is>
      </c>
      <c r="C465" t="inlineStr">
        <is>
          <t>https://app.matchical.com/Consulting/ConsultantDetail?ConsultantId=9beb4303-9520-46e3-bf8e-64aa49b1438f</t>
        </is>
      </c>
      <c r="D465" t="inlineStr">
        <is>
          <t>Philip Schimmelpfennig</t>
        </is>
      </c>
      <c r="E465" t="inlineStr">
        <is>
          <t>philip.schimmelpfennig@bridging-it.de</t>
        </is>
      </c>
      <c r="F465" s="2" t="n">
        <v>45689</v>
      </c>
      <c r="G465" s="2" t="n">
        <v>43678</v>
      </c>
      <c r="H465" t="n">
        <v>5</v>
      </c>
      <c r="I465" t="n">
        <v>0</v>
      </c>
      <c r="J465" t="n">
        <v>0</v>
      </c>
      <c r="L465" s="2" t="n">
        <v>45761</v>
      </c>
      <c r="M465" s="2" t="n">
        <v>46021</v>
      </c>
      <c r="N465" t="b">
        <v>0</v>
      </c>
      <c r="O465" t="n">
        <v>13</v>
      </c>
      <c r="P465" t="n">
        <v>9</v>
      </c>
      <c r="Q465" t="n">
        <v>9</v>
      </c>
      <c r="R465">
        <f>ROUND(O465-P465,2)</f>
        <v/>
      </c>
      <c r="S465">
        <f>ROUND(O465-Q465,2)</f>
        <v/>
      </c>
      <c r="T465" s="3">
        <f>IFERROR(P465/O465,"")</f>
        <v/>
      </c>
      <c r="U465" s="3">
        <f>IFERROR(Q465/O465,"")</f>
        <v/>
      </c>
      <c r="V465" t="n">
        <v>66</v>
      </c>
      <c r="W465" t="n">
        <v>48.97</v>
      </c>
      <c r="X465" t="n">
        <v>48.97</v>
      </c>
      <c r="Y465">
        <f>ROUND(V465-W465,2)</f>
        <v/>
      </c>
      <c r="Z465">
        <f>ROUND(V465-X465,2)</f>
        <v/>
      </c>
      <c r="AA465" s="3">
        <f>IFERROR(W465/V465,"")</f>
        <v/>
      </c>
      <c r="AB465" s="3">
        <f>IFERROR(X465/V465,"")</f>
        <v/>
      </c>
      <c r="AC465" t="b">
        <v>0</v>
      </c>
      <c r="AD465" t="b">
        <v>0</v>
      </c>
      <c r="AE465" t="b">
        <v>0</v>
      </c>
      <c r="AF465" t="inlineStr">
        <is>
          <t>No</t>
        </is>
      </c>
      <c r="AI465" t="b">
        <v>1</v>
      </c>
      <c r="AJ465" t="n">
        <v>0</v>
      </c>
      <c r="AK465" t="inlineStr">
        <is>
          <t>Daily trips to Frankfurt; Germany-wide, once per month (for up to 1 week).</t>
        </is>
      </c>
      <c r="AL465" t="inlineStr">
        <is>
          <t>ORG bIT</t>
        </is>
      </c>
      <c r="AM465" t="inlineStr">
        <is>
          <t>CS Cloud Solutions (Timm B.)</t>
        </is>
      </c>
      <c r="AN465" t="inlineStr">
        <is>
          <t>MIT Management of IT (Torsten R.)</t>
        </is>
      </c>
      <c r="AO465" t="inlineStr">
        <is>
          <t>bridgingIT GmbH</t>
        </is>
      </c>
      <c r="AP465" t="inlineStr">
        <is>
          <t>Frankfurt</t>
        </is>
      </c>
      <c r="AQ465" t="inlineStr">
        <is>
          <t>Timm Bremus</t>
        </is>
      </c>
    </row>
    <row r="466">
      <c r="A466" t="inlineStr">
        <is>
          <t>1392</t>
        </is>
      </c>
      <c r="B466" t="inlineStr">
        <is>
          <t>80E207</t>
        </is>
      </c>
      <c r="C466" t="inlineStr">
        <is>
          <t>https://app.matchical.com/Consulting/ConsultantDetail?ConsultantId=6ff8f1da-0599-4563-9819-eec9815e8d67</t>
        </is>
      </c>
      <c r="D466" t="inlineStr">
        <is>
          <t>Philip Wollfarth</t>
        </is>
      </c>
      <c r="E466" t="inlineStr">
        <is>
          <t>philip.wollfarth@bridging-it.de</t>
        </is>
      </c>
      <c r="F466" s="2" t="n">
        <v>42887</v>
      </c>
      <c r="G466" s="2" t="n">
        <v>42887</v>
      </c>
      <c r="H466" t="n">
        <v>7</v>
      </c>
      <c r="I466" t="n">
        <v>0</v>
      </c>
      <c r="J466" t="n">
        <v>1</v>
      </c>
      <c r="K466" s="2" t="n">
        <v>45322</v>
      </c>
      <c r="L466" s="2" t="n">
        <v>45536</v>
      </c>
      <c r="M466" s="2" t="n">
        <v>46022</v>
      </c>
      <c r="N466" t="b">
        <v>0</v>
      </c>
      <c r="O466" t="n">
        <v>105</v>
      </c>
      <c r="P466" t="n">
        <v>147</v>
      </c>
      <c r="Q466" t="n">
        <v>102</v>
      </c>
      <c r="R466">
        <f>ROUND(O466-P466,2)</f>
        <v/>
      </c>
      <c r="S466">
        <f>ROUND(O466-Q466,2)</f>
        <v/>
      </c>
      <c r="T466" s="3">
        <f>IFERROR(P466/O466,"")</f>
        <v/>
      </c>
      <c r="U466" s="3">
        <f>IFERROR(Q466/O466,"")</f>
        <v/>
      </c>
      <c r="V466" t="n">
        <v>0</v>
      </c>
      <c r="W466" t="n">
        <v>0</v>
      </c>
      <c r="X466" t="n">
        <v>0</v>
      </c>
      <c r="Y466">
        <f>ROUND(V466-W466,2)</f>
        <v/>
      </c>
      <c r="Z466">
        <f>ROUND(V466-X466,2)</f>
        <v/>
      </c>
      <c r="AA466" s="3">
        <f>IFERROR(W466/V466,"")</f>
        <v/>
      </c>
      <c r="AB466" s="3">
        <f>IFERROR(X466/V466,"")</f>
        <v/>
      </c>
      <c r="AC466" t="b">
        <v>0</v>
      </c>
      <c r="AD466" t="b">
        <v>0</v>
      </c>
      <c r="AE466" t="b">
        <v>0</v>
      </c>
      <c r="AF466" t="inlineStr">
        <is>
          <t>No</t>
        </is>
      </c>
      <c r="AI466" t="b">
        <v>0</v>
      </c>
      <c r="AJ466" t="n">
        <v>0</v>
      </c>
      <c r="AK466" t="inlineStr"/>
      <c r="AL466" t="inlineStr">
        <is>
          <t>A&amp;SE Analytics &amp; Software Engineering (Philip R.)</t>
        </is>
      </c>
      <c r="AM466" t="inlineStr">
        <is>
          <t>DS Data Science (Dr. Philip W.)</t>
        </is>
      </c>
      <c r="AN466" t="inlineStr">
        <is>
          <t>A&amp;DDS - Analytics &amp; Data-driven Solutions (M. Hof)</t>
        </is>
      </c>
      <c r="AO466" t="inlineStr">
        <is>
          <t>bridgingIT GmbH</t>
        </is>
      </c>
      <c r="AP466" t="inlineStr">
        <is>
          <t>Mannheim</t>
        </is>
      </c>
      <c r="AQ466" t="inlineStr">
        <is>
          <t>Michael Hof</t>
        </is>
      </c>
    </row>
    <row r="467">
      <c r="A467" t="inlineStr">
        <is>
          <t>10185</t>
        </is>
      </c>
      <c r="B467" t="inlineStr">
        <is>
          <t>BB00A1</t>
        </is>
      </c>
      <c r="C467" t="inlineStr">
        <is>
          <t>https://app.matchical.com/Consulting/ConsultantDetail?ConsultantId=9d62eab3-f743-461d-ab65-1687f2d14b59</t>
        </is>
      </c>
      <c r="D467" t="inlineStr">
        <is>
          <t>Philipp Arnold</t>
        </is>
      </c>
      <c r="E467" t="inlineStr">
        <is>
          <t>philipp.arnold@bridging-it.de</t>
        </is>
      </c>
      <c r="F467" s="2" t="n">
        <v>45292</v>
      </c>
      <c r="G467" s="2" t="n">
        <v>39022</v>
      </c>
      <c r="H467" t="n">
        <v>19</v>
      </c>
      <c r="I467" t="n">
        <v>0</v>
      </c>
      <c r="J467" t="n">
        <v>2</v>
      </c>
      <c r="K467" s="2" t="n">
        <v>45698</v>
      </c>
      <c r="L467" s="2" t="n">
        <v>45853</v>
      </c>
      <c r="M467" s="2" t="n">
        <v>46022</v>
      </c>
      <c r="N467" t="b">
        <v>0</v>
      </c>
      <c r="O467" t="n">
        <v>26</v>
      </c>
      <c r="P467" t="n">
        <v>60</v>
      </c>
      <c r="Q467" t="n">
        <v>25.79</v>
      </c>
      <c r="R467">
        <f>ROUND(O467-P467,2)</f>
        <v/>
      </c>
      <c r="S467">
        <f>ROUND(O467-Q467,2)</f>
        <v/>
      </c>
      <c r="T467" s="3">
        <f>IFERROR(P467/O467,"")</f>
        <v/>
      </c>
      <c r="U467" s="3">
        <f>IFERROR(Q467/O467,"")</f>
        <v/>
      </c>
      <c r="V467" t="n">
        <v>206</v>
      </c>
      <c r="W467" t="n">
        <v>261</v>
      </c>
      <c r="X467" t="n">
        <v>119</v>
      </c>
      <c r="Y467">
        <f>ROUND(V467-W467,2)</f>
        <v/>
      </c>
      <c r="Z467">
        <f>ROUND(V467-X467,2)</f>
        <v/>
      </c>
      <c r="AA467" s="3">
        <f>IFERROR(W467/V467,"")</f>
        <v/>
      </c>
      <c r="AB467" s="3">
        <f>IFERROR(X467/V467,"")</f>
        <v/>
      </c>
      <c r="AC467" t="b">
        <v>0</v>
      </c>
      <c r="AD467" t="b">
        <v>0</v>
      </c>
      <c r="AE467" t="b">
        <v>0</v>
      </c>
      <c r="AF467" t="inlineStr">
        <is>
          <t>Yes</t>
        </is>
      </c>
      <c r="AG467" s="2" t="n">
        <v>46113</v>
      </c>
      <c r="AI467" t="b">
        <v>1</v>
      </c>
      <c r="AJ467" t="n">
        <v>2.39</v>
      </c>
      <c r="AK467" t="inlineStr"/>
      <c r="AL467" t="inlineStr">
        <is>
          <t>IT Information Technology (Hauke G.)</t>
        </is>
      </c>
      <c r="AM467" t="inlineStr">
        <is>
          <t>CT Cloud Technology II (Marc L.)</t>
        </is>
      </c>
      <c r="AN467" t="inlineStr">
        <is>
          <t>TC Technology &amp; Cloud (Martin S.)</t>
        </is>
      </c>
      <c r="AO467" t="inlineStr">
        <is>
          <t>bridgingIT GmbH</t>
        </is>
      </c>
      <c r="AP467" t="inlineStr">
        <is>
          <t>Stuttgart</t>
        </is>
      </c>
      <c r="AQ467" t="inlineStr">
        <is>
          <t>Marc Leunig</t>
        </is>
      </c>
    </row>
    <row r="468">
      <c r="A468" t="inlineStr">
        <is>
          <t>2322</t>
        </is>
      </c>
      <c r="B468" t="inlineStr">
        <is>
          <t>C478C2</t>
        </is>
      </c>
      <c r="C468" t="inlineStr">
        <is>
          <t>https://app.matchical.com/Consulting/ConsultantDetail?ConsultantId=869dcb06-d432-4bf2-91cf-d757d43db25c</t>
        </is>
      </c>
      <c r="D468" t="inlineStr">
        <is>
          <t>Philipp Brenner</t>
        </is>
      </c>
      <c r="E468" t="inlineStr">
        <is>
          <t>philipp.brenner@bridging-it.de</t>
        </is>
      </c>
      <c r="F468" s="2" t="n">
        <v>44927</v>
      </c>
      <c r="G468" s="2" t="n">
        <v>43374</v>
      </c>
      <c r="H468" t="n">
        <v>7</v>
      </c>
      <c r="I468" t="n">
        <v>0</v>
      </c>
      <c r="J468" t="n">
        <v>0</v>
      </c>
      <c r="L468" s="2" t="n">
        <v>45298</v>
      </c>
      <c r="M468" s="2" t="n">
        <v>45899</v>
      </c>
      <c r="N468" t="b">
        <v>0</v>
      </c>
      <c r="O468" t="n">
        <v>38</v>
      </c>
      <c r="P468" t="n">
        <v>52</v>
      </c>
      <c r="Q468" t="n">
        <v>32.33</v>
      </c>
      <c r="R468">
        <f>ROUND(O468-P468,2)</f>
        <v/>
      </c>
      <c r="S468">
        <f>ROUND(O468-Q468,2)</f>
        <v/>
      </c>
      <c r="T468" s="3">
        <f>IFERROR(P468/O468,"")</f>
        <v/>
      </c>
      <c r="U468" s="3">
        <f>IFERROR(Q468/O468,"")</f>
        <v/>
      </c>
      <c r="V468" t="n">
        <v>51</v>
      </c>
      <c r="W468" t="n">
        <v>35</v>
      </c>
      <c r="X468" t="n">
        <v>32</v>
      </c>
      <c r="Y468">
        <f>ROUND(V468-W468,2)</f>
        <v/>
      </c>
      <c r="Z468">
        <f>ROUND(V468-X468,2)</f>
        <v/>
      </c>
      <c r="AA468" s="3">
        <f>IFERROR(W468/V468,"")</f>
        <v/>
      </c>
      <c r="AB468" s="3">
        <f>IFERROR(X468/V468,"")</f>
        <v/>
      </c>
      <c r="AC468" t="b">
        <v>0</v>
      </c>
      <c r="AD468" t="b">
        <v>0</v>
      </c>
      <c r="AE468" t="b">
        <v>0</v>
      </c>
      <c r="AF468" t="inlineStr">
        <is>
          <t>No</t>
        </is>
      </c>
      <c r="AI468" t="b">
        <v>1</v>
      </c>
      <c r="AJ468" t="n">
        <v>0</v>
      </c>
      <c r="AK468" t="inlineStr"/>
      <c r="AL468" t="inlineStr">
        <is>
          <t>DO Digital Organizations (Michael H.)</t>
        </is>
      </c>
      <c r="AM468" t="inlineStr">
        <is>
          <t>PM Product Management (Dana Thüring)</t>
        </is>
      </c>
      <c r="AN468" t="inlineStr">
        <is>
          <t>BE Business Engineering (Heidi Foldenauer)</t>
        </is>
      </c>
      <c r="AO468" t="inlineStr">
        <is>
          <t>bridgingIT GmbH</t>
        </is>
      </c>
      <c r="AP468" t="inlineStr">
        <is>
          <t>Stuttgart</t>
        </is>
      </c>
      <c r="AQ468" t="inlineStr">
        <is>
          <t>Dana Thüring</t>
        </is>
      </c>
    </row>
    <row r="469">
      <c r="A469" t="inlineStr">
        <is>
          <t>10236</t>
        </is>
      </c>
      <c r="B469" t="inlineStr">
        <is>
          <t>E4D0B5</t>
        </is>
      </c>
      <c r="C469" t="inlineStr">
        <is>
          <t>https://app.matchical.com/Consulting/ConsultantDetail?ConsultantId=b7237144-653d-47f0-93b7-1669dd7ff01e</t>
        </is>
      </c>
      <c r="D469" t="inlineStr">
        <is>
          <t>Philipp Sonder</t>
        </is>
      </c>
      <c r="E469" t="inlineStr">
        <is>
          <t>philipp.sonder@bridging-it.de</t>
        </is>
      </c>
      <c r="F469" s="2" t="n">
        <v>45292</v>
      </c>
      <c r="G469" s="2" t="n">
        <v>44593</v>
      </c>
      <c r="H469" t="n">
        <v>2</v>
      </c>
      <c r="I469" t="n">
        <v>0</v>
      </c>
      <c r="J469" t="n">
        <v>1</v>
      </c>
      <c r="K469" s="2" t="n">
        <v>45107</v>
      </c>
      <c r="L469" s="2" t="n">
        <v>44712</v>
      </c>
      <c r="M469" s="2" t="n">
        <v>44906</v>
      </c>
      <c r="N469" t="b">
        <v>0</v>
      </c>
      <c r="O469" t="n">
        <v>26</v>
      </c>
      <c r="P469" t="n">
        <v>25.09</v>
      </c>
      <c r="Q469" t="n">
        <v>25.09</v>
      </c>
      <c r="R469">
        <f>ROUND(O469-P469,2)</f>
        <v/>
      </c>
      <c r="S469">
        <f>ROUND(O469-Q469,2)</f>
        <v/>
      </c>
      <c r="T469" s="3">
        <f>IFERROR(P469/O469,"")</f>
        <v/>
      </c>
      <c r="U469" s="3">
        <f>IFERROR(Q469/O469,"")</f>
        <v/>
      </c>
      <c r="V469" t="n">
        <v>23</v>
      </c>
      <c r="W469" t="n">
        <v>11.91</v>
      </c>
      <c r="X469" t="n">
        <v>11.91</v>
      </c>
      <c r="Y469">
        <f>ROUND(V469-W469,2)</f>
        <v/>
      </c>
      <c r="Z469">
        <f>ROUND(V469-X469,2)</f>
        <v/>
      </c>
      <c r="AA469" s="3">
        <f>IFERROR(W469/V469,"")</f>
        <v/>
      </c>
      <c r="AB469" s="3">
        <f>IFERROR(X469/V469,"")</f>
        <v/>
      </c>
      <c r="AC469" t="b">
        <v>0</v>
      </c>
      <c r="AD469" t="b">
        <v>0</v>
      </c>
      <c r="AE469" t="b">
        <v>0</v>
      </c>
      <c r="AF469" t="inlineStr">
        <is>
          <t>No</t>
        </is>
      </c>
      <c r="AI469" t="b">
        <v>0</v>
      </c>
      <c r="AJ469" t="n">
        <v>0</v>
      </c>
      <c r="AK469" t="inlineStr"/>
      <c r="AL469" t="inlineStr">
        <is>
          <t>ES Enterprise Solutions (Gina H.)</t>
        </is>
      </c>
      <c r="AM469" t="inlineStr">
        <is>
          <t>IEJ Java II (Thomas K.)</t>
        </is>
      </c>
      <c r="AN469" t="inlineStr">
        <is>
          <t>IEJ Individualentwicklung JAVA (Dominik S.)</t>
        </is>
      </c>
      <c r="AO469" t="inlineStr">
        <is>
          <t>bridgingIT GmbH</t>
        </is>
      </c>
      <c r="AP469" t="inlineStr">
        <is>
          <t>Stuttgart</t>
        </is>
      </c>
      <c r="AQ469" t="inlineStr">
        <is>
          <t>Thomas Kopp</t>
        </is>
      </c>
    </row>
    <row r="470">
      <c r="A470" t="inlineStr">
        <is>
          <t>10177</t>
        </is>
      </c>
      <c r="B470" t="inlineStr">
        <is>
          <t>C0DE75</t>
        </is>
      </c>
      <c r="C470" t="inlineStr">
        <is>
          <t>https://app.matchical.com/Consulting/ConsultantDetail?ConsultantId=9f694af7-7fab-4957-994b-9fd65f2c9ecb</t>
        </is>
      </c>
      <c r="D470" t="inlineStr">
        <is>
          <t>Philipp Tauber</t>
        </is>
      </c>
      <c r="E470" t="inlineStr">
        <is>
          <t>philipp.tauber@bridging-it.de</t>
        </is>
      </c>
      <c r="F470" s="2" t="n">
        <v>45231</v>
      </c>
      <c r="H470" t="n">
        <v>9</v>
      </c>
      <c r="I470" t="n">
        <v>0</v>
      </c>
      <c r="J470" t="n">
        <v>0</v>
      </c>
      <c r="L470" s="2" t="n">
        <v>45732</v>
      </c>
      <c r="M470" s="2" t="n">
        <v>45848</v>
      </c>
      <c r="N470" t="b">
        <v>0</v>
      </c>
      <c r="O470" t="n">
        <v>28</v>
      </c>
      <c r="P470" t="n">
        <v>42.83</v>
      </c>
      <c r="Q470" t="n">
        <v>27.79</v>
      </c>
      <c r="R470">
        <f>ROUND(O470-P470,2)</f>
        <v/>
      </c>
      <c r="S470">
        <f>ROUND(O470-Q470,2)</f>
        <v/>
      </c>
      <c r="T470" s="3">
        <f>IFERROR(P470/O470,"")</f>
        <v/>
      </c>
      <c r="U470" s="3">
        <f>IFERROR(Q470/O470,"")</f>
        <v/>
      </c>
      <c r="V470" t="n">
        <v>1486</v>
      </c>
      <c r="W470" t="n">
        <v>232.07</v>
      </c>
      <c r="X470" t="n">
        <v>154.87</v>
      </c>
      <c r="Y470">
        <f>ROUND(V470-W470,2)</f>
        <v/>
      </c>
      <c r="Z470">
        <f>ROUND(V470-X470,2)</f>
        <v/>
      </c>
      <c r="AA470" s="3">
        <f>IFERROR(W470/V470,"")</f>
        <v/>
      </c>
      <c r="AB470" s="3">
        <f>IFERROR(X470/V470,"")</f>
        <v/>
      </c>
      <c r="AC470" t="b">
        <v>0</v>
      </c>
      <c r="AD470" t="b">
        <v>0</v>
      </c>
      <c r="AE470" t="b">
        <v>0</v>
      </c>
      <c r="AF470" t="inlineStr">
        <is>
          <t>Yes</t>
        </is>
      </c>
      <c r="AG470" s="2" t="n">
        <v>46082</v>
      </c>
      <c r="AI470" t="b">
        <v>1</v>
      </c>
      <c r="AJ470" t="n">
        <v>4.5</v>
      </c>
      <c r="AK470" t="inlineStr"/>
      <c r="AL470" t="inlineStr">
        <is>
          <t>ORG bIT Bayern</t>
        </is>
      </c>
      <c r="AM470" t="inlineStr">
        <is>
          <t>TG Transformation Guidance (Clemens L.)</t>
        </is>
      </c>
      <c r="AN470" t="inlineStr">
        <is>
          <t>BAT Business Agility &amp; Transformation (Marc S.)</t>
        </is>
      </c>
      <c r="AO470" t="inlineStr">
        <is>
          <t>bridgingIT GmbH</t>
        </is>
      </c>
      <c r="AP470" t="inlineStr">
        <is>
          <t>München</t>
        </is>
      </c>
      <c r="AQ470" t="inlineStr">
        <is>
          <t>Clemens Lindner</t>
        </is>
      </c>
    </row>
    <row r="471">
      <c r="A471" t="inlineStr">
        <is>
          <t>10229</t>
        </is>
      </c>
      <c r="B471" t="inlineStr">
        <is>
          <t>65B9E6</t>
        </is>
      </c>
      <c r="C471" t="inlineStr">
        <is>
          <t>https://app.matchical.com/Consulting/ConsultantDetail?ConsultantId=ef5e0468-511b-4ee0-a890-ac9c345c3914</t>
        </is>
      </c>
      <c r="D471" t="inlineStr">
        <is>
          <t>Qijing Yu</t>
        </is>
      </c>
      <c r="E471" t="inlineStr">
        <is>
          <t>qijing.yu@bridging-it.de</t>
        </is>
      </c>
      <c r="F471" s="2" t="n">
        <v>45261</v>
      </c>
      <c r="G471" s="2" t="n">
        <v>44805</v>
      </c>
      <c r="H471" t="n">
        <v>10</v>
      </c>
      <c r="I471" t="n">
        <v>0</v>
      </c>
      <c r="J471" t="n">
        <v>0</v>
      </c>
      <c r="L471" s="2" t="n">
        <v>45808</v>
      </c>
      <c r="M471" s="2" t="n">
        <v>45930</v>
      </c>
      <c r="N471" t="b">
        <v>0</v>
      </c>
      <c r="O471" t="n">
        <v>27</v>
      </c>
      <c r="P471" t="n">
        <v>29</v>
      </c>
      <c r="Q471" t="n">
        <v>15</v>
      </c>
      <c r="R471">
        <f>ROUND(O471-P471,2)</f>
        <v/>
      </c>
      <c r="S471">
        <f>ROUND(O471-Q471,2)</f>
        <v/>
      </c>
      <c r="T471" s="3">
        <f>IFERROR(P471/O471,"")</f>
        <v/>
      </c>
      <c r="U471" s="3">
        <f>IFERROR(Q471/O471,"")</f>
        <v/>
      </c>
      <c r="V471" t="n">
        <v>15</v>
      </c>
      <c r="W471" t="n">
        <v>16.8</v>
      </c>
      <c r="X471" t="n">
        <v>11.26</v>
      </c>
      <c r="Y471">
        <f>ROUND(V471-W471,2)</f>
        <v/>
      </c>
      <c r="Z471">
        <f>ROUND(V471-X471,2)</f>
        <v/>
      </c>
      <c r="AA471" s="3">
        <f>IFERROR(W471/V471,"")</f>
        <v/>
      </c>
      <c r="AB471" s="3">
        <f>IFERROR(X471/V471,"")</f>
        <v/>
      </c>
      <c r="AC471" t="b">
        <v>0</v>
      </c>
      <c r="AD471" t="b">
        <v>0</v>
      </c>
      <c r="AE471" t="b">
        <v>0</v>
      </c>
      <c r="AF471" t="inlineStr">
        <is>
          <t>Yes</t>
        </is>
      </c>
      <c r="AG471" s="2" t="n">
        <v>46082</v>
      </c>
      <c r="AI471" t="b">
        <v>1</v>
      </c>
      <c r="AJ471" t="n">
        <v>5</v>
      </c>
      <c r="AK471" t="inlineStr">
        <is>
          <t>07.11.25 SPIE reassignment until the end of Q1/2026 at 50%
20.02.26 Qijing would like to move to a full-time project as a Business Analyst.
23.02.26 Qijing's focus lies in requirements and process analysis</t>
        </is>
      </c>
      <c r="AL471" t="inlineStr">
        <is>
          <t>ORG bIT</t>
        </is>
      </c>
      <c r="AM471" t="inlineStr">
        <is>
          <t>PACE - Project&amp;Analysis CGN Experts (Frederik S.)</t>
        </is>
      </c>
      <c r="AN471" t="inlineStr">
        <is>
          <t>DPC - Datalytics &amp; Process Cologne (Claudia P.)</t>
        </is>
      </c>
      <c r="AO471" t="inlineStr">
        <is>
          <t>bridgingIT GmbH</t>
        </is>
      </c>
      <c r="AP471" t="inlineStr">
        <is>
          <t>Köln</t>
        </is>
      </c>
      <c r="AQ471" t="inlineStr">
        <is>
          <t>Frederik Schupp</t>
        </is>
      </c>
    </row>
    <row r="472">
      <c r="A472" t="inlineStr">
        <is>
          <t>10013</t>
        </is>
      </c>
      <c r="B472" t="inlineStr">
        <is>
          <t>DF4B48</t>
        </is>
      </c>
      <c r="C472" t="inlineStr">
        <is>
          <t>https://app.matchical.com/Consulting/ConsultantDetail?ConsultantId=71ae9a9f-ab07-42db-aebe-54df8d42acbc</t>
        </is>
      </c>
      <c r="D472" t="inlineStr">
        <is>
          <t>Raik Madla</t>
        </is>
      </c>
      <c r="E472" t="inlineStr">
        <is>
          <t>raik.madla@bridging-it.de</t>
        </is>
      </c>
      <c r="F472" s="2" t="n">
        <v>44851</v>
      </c>
      <c r="G472" s="2" t="n">
        <v>32752</v>
      </c>
      <c r="H472" t="n">
        <v>2</v>
      </c>
      <c r="I472" t="n">
        <v>0</v>
      </c>
      <c r="J472" t="n">
        <v>0</v>
      </c>
      <c r="L472" s="2" t="n">
        <v>44866</v>
      </c>
      <c r="M472" s="2" t="n">
        <v>45107</v>
      </c>
      <c r="N472" t="b">
        <v>0</v>
      </c>
      <c r="O472" t="n">
        <v>40</v>
      </c>
      <c r="P472" t="n">
        <v>8</v>
      </c>
      <c r="Q472" t="n">
        <v>8</v>
      </c>
      <c r="R472">
        <f>ROUND(O472-P472,2)</f>
        <v/>
      </c>
      <c r="S472">
        <f>ROUND(O472-Q472,2)</f>
        <v/>
      </c>
      <c r="T472" s="3">
        <f>IFERROR(P472/O472,"")</f>
        <v/>
      </c>
      <c r="U472" s="3">
        <f>IFERROR(Q472/O472,"")</f>
        <v/>
      </c>
      <c r="V472" t="n">
        <v>398</v>
      </c>
      <c r="W472" t="n">
        <v>32</v>
      </c>
      <c r="X472" t="n">
        <v>32</v>
      </c>
      <c r="Y472">
        <f>ROUND(V472-W472,2)</f>
        <v/>
      </c>
      <c r="Z472">
        <f>ROUND(V472-X472,2)</f>
        <v/>
      </c>
      <c r="AA472" s="3">
        <f>IFERROR(W472/V472,"")</f>
        <v/>
      </c>
      <c r="AB472" s="3">
        <f>IFERROR(X472/V472,"")</f>
        <v/>
      </c>
      <c r="AC472" t="b">
        <v>0</v>
      </c>
      <c r="AD472" t="b">
        <v>0</v>
      </c>
      <c r="AE472" t="b">
        <v>0</v>
      </c>
      <c r="AF472" t="inlineStr">
        <is>
          <t>No</t>
        </is>
      </c>
      <c r="AI472" t="b">
        <v>1</v>
      </c>
      <c r="AJ472" t="n">
        <v>0</v>
      </c>
      <c r="AK472" t="inlineStr"/>
      <c r="AL472" t="inlineStr">
        <is>
          <t>Sales BL</t>
        </is>
      </c>
      <c r="AM472" t="inlineStr">
        <is>
          <t>SAL Team Madla</t>
        </is>
      </c>
      <c r="AN472" t="inlineStr">
        <is>
          <t>Capability Management (Tim T.)</t>
        </is>
      </c>
      <c r="AO472" t="inlineStr">
        <is>
          <t>bridgingIT GmbH</t>
        </is>
      </c>
      <c r="AP472" t="inlineStr">
        <is>
          <t>Berlin</t>
        </is>
      </c>
      <c r="AQ472" t="inlineStr">
        <is>
          <t>Tim Thierfelder</t>
        </is>
      </c>
    </row>
    <row r="473">
      <c r="A473" t="inlineStr">
        <is>
          <t>1437</t>
        </is>
      </c>
      <c r="B473" t="inlineStr">
        <is>
          <t>65891E</t>
        </is>
      </c>
      <c r="C473" t="inlineStr">
        <is>
          <t>https://app.matchical.com/Consulting/ConsultantDetail?ConsultantId=30673220-384a-4794-8522-94fe5025f963</t>
        </is>
      </c>
      <c r="D473" t="inlineStr">
        <is>
          <t>Raina Beck</t>
        </is>
      </c>
      <c r="E473" t="inlineStr">
        <is>
          <t>raina.beck@bridging-it.de</t>
        </is>
      </c>
      <c r="F473" s="2" t="n">
        <v>43344</v>
      </c>
      <c r="G473" s="2" t="n">
        <v>42795</v>
      </c>
      <c r="H473" t="n">
        <v>12</v>
      </c>
      <c r="I473" t="n">
        <v>0</v>
      </c>
      <c r="J473" t="n">
        <v>0</v>
      </c>
      <c r="L473" s="2" t="n">
        <v>44712</v>
      </c>
      <c r="M473" s="2" t="n">
        <v>45837</v>
      </c>
      <c r="N473" t="b">
        <v>0</v>
      </c>
      <c r="O473" t="n">
        <v>90</v>
      </c>
      <c r="P473" t="n">
        <v>92</v>
      </c>
      <c r="Q473" t="n">
        <v>70</v>
      </c>
      <c r="R473">
        <f>ROUND(O473-P473,2)</f>
        <v/>
      </c>
      <c r="S473">
        <f>ROUND(O473-Q473,2)</f>
        <v/>
      </c>
      <c r="T473" s="3">
        <f>IFERROR(P473/O473,"")</f>
        <v/>
      </c>
      <c r="U473" s="3">
        <f>IFERROR(Q473/O473,"")</f>
        <v/>
      </c>
      <c r="V473" t="n">
        <v>18</v>
      </c>
      <c r="W473" t="n">
        <v>4</v>
      </c>
      <c r="X473" t="n">
        <v>4</v>
      </c>
      <c r="Y473">
        <f>ROUND(V473-W473,2)</f>
        <v/>
      </c>
      <c r="Z473">
        <f>ROUND(V473-X473,2)</f>
        <v/>
      </c>
      <c r="AA473" s="3">
        <f>IFERROR(W473/V473,"")</f>
        <v/>
      </c>
      <c r="AB473" s="3">
        <f>IFERROR(X473/V473,"")</f>
        <v/>
      </c>
      <c r="AC473" t="b">
        <v>0</v>
      </c>
      <c r="AD473" t="b">
        <v>0</v>
      </c>
      <c r="AE473" t="b">
        <v>0</v>
      </c>
      <c r="AF473" t="inlineStr">
        <is>
          <t>No</t>
        </is>
      </c>
      <c r="AG473" s="2" t="n">
        <v>46023</v>
      </c>
      <c r="AI473" t="b">
        <v>1</v>
      </c>
      <c r="AJ473" t="n">
        <v>2</v>
      </c>
      <c r="AK473" t="inlineStr"/>
      <c r="AL473" t="inlineStr">
        <is>
          <t>T&amp;A - Transformation &amp; Agility (Arne K.)</t>
        </is>
      </c>
      <c r="AM473" t="inlineStr">
        <is>
          <t>P&amp;OS - Processes &amp; Organizational Str. (Raina B.)</t>
        </is>
      </c>
      <c r="AN473" t="inlineStr">
        <is>
          <t>TB - Transforming Business (Arne K.)</t>
        </is>
      </c>
      <c r="AO473" t="inlineStr">
        <is>
          <t>bridgingIT GmbH</t>
        </is>
      </c>
      <c r="AP473" t="inlineStr">
        <is>
          <t>Mannheim</t>
        </is>
      </c>
      <c r="AQ473" t="inlineStr">
        <is>
          <t>Arne Kunstmann</t>
        </is>
      </c>
    </row>
    <row r="474">
      <c r="A474" t="inlineStr">
        <is>
          <t>10071</t>
        </is>
      </c>
      <c r="B474" t="inlineStr">
        <is>
          <t>7C8896</t>
        </is>
      </c>
      <c r="C474" t="inlineStr">
        <is>
          <t>https://app.matchical.com/Consulting/ConsultantDetail?ConsultantId=8e0d11c7-3009-4062-8c2f-d1ff956efdf1</t>
        </is>
      </c>
      <c r="D474" t="inlineStr">
        <is>
          <t>Ralf Fischer</t>
        </is>
      </c>
      <c r="E474" t="inlineStr">
        <is>
          <t>ralf.fischer@bridging-it.de</t>
        </is>
      </c>
      <c r="F474" s="2" t="n">
        <v>45017</v>
      </c>
      <c r="G474" s="2" t="n">
        <v>37135</v>
      </c>
      <c r="H474" t="n">
        <v>5</v>
      </c>
      <c r="I474" t="n">
        <v>0</v>
      </c>
      <c r="J474" t="n">
        <v>2</v>
      </c>
      <c r="K474" s="2" t="n">
        <v>45016</v>
      </c>
      <c r="L474" s="2" t="n">
        <v>45260</v>
      </c>
      <c r="M474" s="2" t="n">
        <v>45657</v>
      </c>
      <c r="N474" t="b">
        <v>0</v>
      </c>
      <c r="O474" t="n">
        <v>35</v>
      </c>
      <c r="P474" t="n">
        <v>66.97</v>
      </c>
      <c r="Q474" t="n">
        <v>34.83</v>
      </c>
      <c r="R474">
        <f>ROUND(O474-P474,2)</f>
        <v/>
      </c>
      <c r="S474">
        <f>ROUND(O474-Q474,2)</f>
        <v/>
      </c>
      <c r="T474" s="3">
        <f>IFERROR(P474/O474,"")</f>
        <v/>
      </c>
      <c r="U474" s="3">
        <f>IFERROR(Q474/O474,"")</f>
        <v/>
      </c>
      <c r="V474" t="n">
        <v>259</v>
      </c>
      <c r="W474" t="n">
        <v>0.03</v>
      </c>
      <c r="X474" t="n">
        <v>0.02</v>
      </c>
      <c r="Y474">
        <f>ROUND(V474-W474,2)</f>
        <v/>
      </c>
      <c r="Z474">
        <f>ROUND(V474-X474,2)</f>
        <v/>
      </c>
      <c r="AA474" s="3">
        <f>IFERROR(W474/V474,"")</f>
        <v/>
      </c>
      <c r="AB474" s="3">
        <f>IFERROR(X474/V474,"")</f>
        <v/>
      </c>
      <c r="AC474" t="b">
        <v>0</v>
      </c>
      <c r="AD474" t="b">
        <v>0</v>
      </c>
      <c r="AE474" t="b">
        <v>0</v>
      </c>
      <c r="AF474" t="inlineStr">
        <is>
          <t>No</t>
        </is>
      </c>
      <c r="AI474" t="b">
        <v>1</v>
      </c>
      <c r="AJ474" t="n">
        <v>0</v>
      </c>
      <c r="AK474" t="inlineStr"/>
      <c r="AL474" t="inlineStr">
        <is>
          <t>ES Enterprise Solutions (Gina H.)</t>
        </is>
      </c>
      <c r="AM474" t="inlineStr">
        <is>
          <t>DA Data &amp; AI Solutions (Ralf Fi.)</t>
        </is>
      </c>
      <c r="AN474" t="inlineStr">
        <is>
          <t>PA Platform &amp; Application Solutions (Thomas K.)</t>
        </is>
      </c>
      <c r="AO474" t="inlineStr">
        <is>
          <t>bridgingIT GmbH</t>
        </is>
      </c>
      <c r="AP474" t="inlineStr">
        <is>
          <t>Stuttgart</t>
        </is>
      </c>
      <c r="AQ474" t="inlineStr">
        <is>
          <t>Thomas Kiri</t>
        </is>
      </c>
    </row>
    <row r="475">
      <c r="A475" t="inlineStr">
        <is>
          <t>2310</t>
        </is>
      </c>
      <c r="B475" t="inlineStr">
        <is>
          <t>A6C6BC</t>
        </is>
      </c>
      <c r="C475" t="inlineStr">
        <is>
          <t>https://app.matchical.com/Consulting/ConsultantDetail?ConsultantId=cd4972b2-7cb4-4c53-9f8d-c9783b2704e6</t>
        </is>
      </c>
      <c r="D475" t="inlineStr">
        <is>
          <t>Ralf Frotscher</t>
        </is>
      </c>
      <c r="E475" t="inlineStr">
        <is>
          <t>ralf.frotscher@bridging-it.de</t>
        </is>
      </c>
      <c r="F475" s="2" t="n">
        <v>44743</v>
      </c>
      <c r="G475" s="2" t="n">
        <v>42262</v>
      </c>
      <c r="H475" t="n">
        <v>20</v>
      </c>
      <c r="I475" t="n">
        <v>0</v>
      </c>
      <c r="J475" t="n">
        <v>1</v>
      </c>
      <c r="K475" s="2" t="n">
        <v>44742</v>
      </c>
      <c r="L475" s="2" t="n">
        <v>45691</v>
      </c>
      <c r="M475" s="2" t="n">
        <v>45961</v>
      </c>
      <c r="N475" t="b">
        <v>0</v>
      </c>
      <c r="O475" t="n">
        <v>44</v>
      </c>
      <c r="P475" t="n">
        <v>155.5</v>
      </c>
      <c r="Q475" t="n">
        <v>34.86</v>
      </c>
      <c r="R475">
        <f>ROUND(O475-P475,2)</f>
        <v/>
      </c>
      <c r="S475">
        <f>ROUND(O475-Q475,2)</f>
        <v/>
      </c>
      <c r="T475" s="3">
        <f>IFERROR(P475/O475,"")</f>
        <v/>
      </c>
      <c r="U475" s="3">
        <f>IFERROR(Q475/O475,"")</f>
        <v/>
      </c>
      <c r="V475" t="n">
        <v>82</v>
      </c>
      <c r="W475" t="n">
        <v>111.98</v>
      </c>
      <c r="X475" t="n">
        <v>81.51000000000001</v>
      </c>
      <c r="Y475">
        <f>ROUND(V475-W475,2)</f>
        <v/>
      </c>
      <c r="Z475">
        <f>ROUND(V475-X475,2)</f>
        <v/>
      </c>
      <c r="AA475" s="3">
        <f>IFERROR(W475/V475,"")</f>
        <v/>
      </c>
      <c r="AB475" s="3">
        <f>IFERROR(X475/V475,"")</f>
        <v/>
      </c>
      <c r="AC475" t="b">
        <v>0</v>
      </c>
      <c r="AD475" t="b">
        <v>0</v>
      </c>
      <c r="AE475" t="b">
        <v>0</v>
      </c>
      <c r="AF475" t="inlineStr">
        <is>
          <t>No</t>
        </is>
      </c>
      <c r="AG475" s="2" t="n">
        <v>44774</v>
      </c>
      <c r="AH475" s="2" t="n">
        <v>47848</v>
      </c>
      <c r="AI475" t="b">
        <v>1</v>
      </c>
      <c r="AJ475" t="n">
        <v>0</v>
      </c>
      <c r="AK475" t="inlineStr"/>
      <c r="AL475" t="inlineStr">
        <is>
          <t>DO Digital Organizations (Michael H.)</t>
        </is>
      </c>
      <c r="AM475" t="inlineStr">
        <is>
          <t>PD Process Digitalization II (Ralf Fr.)</t>
        </is>
      </c>
      <c r="AN475" t="inlineStr">
        <is>
          <t>DP Digital Processes (Hermann L.)</t>
        </is>
      </c>
      <c r="AO475" t="inlineStr">
        <is>
          <t>bridgingIT GmbH</t>
        </is>
      </c>
      <c r="AP475" t="inlineStr">
        <is>
          <t>Stuttgart</t>
        </is>
      </c>
      <c r="AQ475" t="inlineStr">
        <is>
          <t>Hermann Löh</t>
        </is>
      </c>
    </row>
    <row r="476">
      <c r="A476" t="inlineStr">
        <is>
          <t>3039</t>
        </is>
      </c>
      <c r="B476" t="inlineStr">
        <is>
          <t>4E698D</t>
        </is>
      </c>
      <c r="C476" t="inlineStr">
        <is>
          <t>https://app.matchical.com/Consulting/ConsultantDetail?ConsultantId=96ac514e-4af3-445e-a74a-e3f3b2dafb9e</t>
        </is>
      </c>
      <c r="D476" t="inlineStr">
        <is>
          <t>Ralf Garbade</t>
        </is>
      </c>
      <c r="E476" t="inlineStr">
        <is>
          <t>ralf.garbade@bridging-it.de</t>
        </is>
      </c>
      <c r="F476" s="2" t="n">
        <v>40634</v>
      </c>
      <c r="G476" s="2" t="n">
        <v>35401</v>
      </c>
      <c r="H476" t="n">
        <v>18</v>
      </c>
      <c r="I476" t="n">
        <v>0</v>
      </c>
      <c r="J476" t="n">
        <v>1</v>
      </c>
      <c r="K476" s="2" t="n">
        <v>42827</v>
      </c>
      <c r="L476" s="2" t="n">
        <v>42156</v>
      </c>
      <c r="M476" s="2" t="n">
        <v>42794</v>
      </c>
      <c r="N476" t="b">
        <v>0</v>
      </c>
      <c r="O476" t="n">
        <v>179</v>
      </c>
      <c r="P476" t="n">
        <v>300</v>
      </c>
      <c r="Q476" t="n">
        <v>174</v>
      </c>
      <c r="R476">
        <f>ROUND(O476-P476,2)</f>
        <v/>
      </c>
      <c r="S476">
        <f>ROUND(O476-Q476,2)</f>
        <v/>
      </c>
      <c r="T476" s="3">
        <f>IFERROR(P476/O476,"")</f>
        <v/>
      </c>
      <c r="U476" s="3">
        <f>IFERROR(Q476/O476,"")</f>
        <v/>
      </c>
      <c r="V476" t="n">
        <v>172</v>
      </c>
      <c r="W476" t="n">
        <v>0</v>
      </c>
      <c r="X476" t="n">
        <v>0</v>
      </c>
      <c r="Y476">
        <f>ROUND(V476-W476,2)</f>
        <v/>
      </c>
      <c r="Z476">
        <f>ROUND(V476-X476,2)</f>
        <v/>
      </c>
      <c r="AA476" s="3">
        <f>IFERROR(W476/V476,"")</f>
        <v/>
      </c>
      <c r="AB476" s="3">
        <f>IFERROR(X476/V476,"")</f>
        <v/>
      </c>
      <c r="AC476" t="b">
        <v>0</v>
      </c>
      <c r="AD476" t="b">
        <v>0</v>
      </c>
      <c r="AE476" t="b">
        <v>0</v>
      </c>
      <c r="AF476" t="inlineStr">
        <is>
          <t>No</t>
        </is>
      </c>
      <c r="AG476" s="2" t="n">
        <v>42795</v>
      </c>
      <c r="AH476" s="2" t="n">
        <v>43100</v>
      </c>
      <c r="AI476" t="b">
        <v>0</v>
      </c>
      <c r="AJ476" t="n">
        <v>5</v>
      </c>
      <c r="AK476" t="inlineStr"/>
      <c r="AL476" t="inlineStr">
        <is>
          <t>ORG bIT</t>
        </is>
      </c>
      <c r="AM476" t="inlineStr">
        <is>
          <t>PITS Professional IT-Services (Martin R.)</t>
        </is>
      </c>
      <c r="AN476" t="inlineStr">
        <is>
          <t>MIT Management of IT (Torsten R.)</t>
        </is>
      </c>
      <c r="AO476" t="inlineStr">
        <is>
          <t>bridgingIT GmbH</t>
        </is>
      </c>
      <c r="AP476" t="inlineStr">
        <is>
          <t>Frankfurt</t>
        </is>
      </c>
      <c r="AQ476" t="inlineStr">
        <is>
          <t>Martin Redemsky</t>
        </is>
      </c>
    </row>
    <row r="477">
      <c r="A477" t="inlineStr">
        <is>
          <t>10255</t>
        </is>
      </c>
      <c r="B477" t="inlineStr">
        <is>
          <t>B61762</t>
        </is>
      </c>
      <c r="C477" t="inlineStr">
        <is>
          <t>https://app.matchical.com/Consulting/ConsultantDetail?ConsultantId=fc261c7f-c939-46c8-8c1f-a1aa7474eca8</t>
        </is>
      </c>
      <c r="D477" t="inlineStr">
        <is>
          <t>Ralf Müller</t>
        </is>
      </c>
      <c r="E477" t="inlineStr">
        <is>
          <t>ralf.mueller@bridging-it.de</t>
        </is>
      </c>
      <c r="F477" s="2" t="n">
        <v>45444</v>
      </c>
      <c r="G477" s="2" t="n">
        <v>42979</v>
      </c>
      <c r="H477" t="n">
        <v>5</v>
      </c>
      <c r="I477" t="n">
        <v>0</v>
      </c>
      <c r="J477" t="n">
        <v>1</v>
      </c>
      <c r="K477" s="2" t="n">
        <v>45705</v>
      </c>
      <c r="L477" s="2" t="n">
        <v>44295</v>
      </c>
      <c r="M477" s="2" t="n">
        <v>45411</v>
      </c>
      <c r="N477" t="b">
        <v>0</v>
      </c>
      <c r="O477" t="n">
        <v>21</v>
      </c>
      <c r="P477" t="n">
        <v>11</v>
      </c>
      <c r="Q477" t="n">
        <v>11</v>
      </c>
      <c r="R477">
        <f>ROUND(O477-P477,2)</f>
        <v/>
      </c>
      <c r="S477">
        <f>ROUND(O477-Q477,2)</f>
        <v/>
      </c>
      <c r="T477" s="3">
        <f>IFERROR(P477/O477,"")</f>
        <v/>
      </c>
      <c r="U477" s="3">
        <f>IFERROR(Q477/O477,"")</f>
        <v/>
      </c>
      <c r="V477" t="n">
        <v>81</v>
      </c>
      <c r="W477" t="n">
        <v>102.95</v>
      </c>
      <c r="X477" t="n">
        <v>67.95</v>
      </c>
      <c r="Y477">
        <f>ROUND(V477-W477,2)</f>
        <v/>
      </c>
      <c r="Z477">
        <f>ROUND(V477-X477,2)</f>
        <v/>
      </c>
      <c r="AA477" s="3">
        <f>IFERROR(W477/V477,"")</f>
        <v/>
      </c>
      <c r="AB477" s="3">
        <f>IFERROR(X477/V477,"")</f>
        <v/>
      </c>
      <c r="AC477" t="b">
        <v>0</v>
      </c>
      <c r="AD477" t="b">
        <v>0</v>
      </c>
      <c r="AE477" t="b">
        <v>0</v>
      </c>
      <c r="AF477" t="inlineStr">
        <is>
          <t>No</t>
        </is>
      </c>
      <c r="AI477" t="b">
        <v>0</v>
      </c>
      <c r="AJ477" t="n">
        <v>0</v>
      </c>
      <c r="AK477" t="inlineStr">
        <is>
          <t>Experienced Enterprise Application Lead / Project Manager for software development projects. Short-term, achievable in five days; longer-term not possible due to already committed projects (start date still unclear). Best to reach out to BM Christoph Müller.</t>
        </is>
      </c>
      <c r="AL477" t="inlineStr">
        <is>
          <t>ES Enterprise Solutions (Gina H.)</t>
        </is>
      </c>
      <c r="AM477" t="inlineStr">
        <is>
          <t>IEM .Net II (Aleksandar B.)</t>
        </is>
      </c>
      <c r="AN477" t="inlineStr">
        <is>
          <t>IEJ Individualentwicklung JAVA (Dominik S.)</t>
        </is>
      </c>
      <c r="AO477" t="inlineStr">
        <is>
          <t>bridgingIT GmbH</t>
        </is>
      </c>
      <c r="AP477" t="inlineStr">
        <is>
          <t>Stuttgart</t>
        </is>
      </c>
      <c r="AQ477" t="inlineStr">
        <is>
          <t>Aleksandar Blagojevic</t>
        </is>
      </c>
    </row>
    <row r="478">
      <c r="A478" t="inlineStr">
        <is>
          <t>2242</t>
        </is>
      </c>
      <c r="B478" t="inlineStr">
        <is>
          <t>F8F28B</t>
        </is>
      </c>
      <c r="C478" t="inlineStr">
        <is>
          <t>https://app.matchical.com/Consulting/ConsultantDetail?ConsultantId=ab2703fa-eaa1-4be5-a770-7e218711437d</t>
        </is>
      </c>
      <c r="D478" t="inlineStr">
        <is>
          <t>Ralf Weygand</t>
        </is>
      </c>
      <c r="E478" t="inlineStr">
        <is>
          <t>ralf.weygand@fastahead.com</t>
        </is>
      </c>
      <c r="F478" s="2" t="n">
        <v>43539</v>
      </c>
      <c r="G478" s="2" t="n">
        <v>31229</v>
      </c>
      <c r="H478" t="n">
        <v>5</v>
      </c>
      <c r="I478" t="n">
        <v>0</v>
      </c>
      <c r="J478" t="n">
        <v>0</v>
      </c>
      <c r="L478" s="2" t="n">
        <v>44151</v>
      </c>
      <c r="M478" s="2" t="n">
        <v>45657</v>
      </c>
      <c r="N478" t="b">
        <v>0</v>
      </c>
      <c r="O478" t="n">
        <v>83</v>
      </c>
      <c r="P478" t="n">
        <v>98.98</v>
      </c>
      <c r="Q478" t="n">
        <v>76.36</v>
      </c>
      <c r="R478">
        <f>ROUND(O478-P478,2)</f>
        <v/>
      </c>
      <c r="S478">
        <f>ROUND(O478-Q478,2)</f>
        <v/>
      </c>
      <c r="T478" s="3">
        <f>IFERROR(P478/O478,"")</f>
        <v/>
      </c>
      <c r="U478" s="3">
        <f>IFERROR(Q478/O478,"")</f>
        <v/>
      </c>
      <c r="V478" t="n">
        <v>404</v>
      </c>
      <c r="W478" t="n">
        <v>0</v>
      </c>
      <c r="X478" t="n">
        <v>0</v>
      </c>
      <c r="Y478">
        <f>ROUND(V478-W478,2)</f>
        <v/>
      </c>
      <c r="Z478">
        <f>ROUND(V478-X478,2)</f>
        <v/>
      </c>
      <c r="AA478" s="3">
        <f>IFERROR(W478/V478,"")</f>
        <v/>
      </c>
      <c r="AB478" s="3">
        <f>IFERROR(X478/V478,"")</f>
        <v/>
      </c>
      <c r="AC478" t="b">
        <v>0</v>
      </c>
      <c r="AD478" t="b">
        <v>0</v>
      </c>
      <c r="AE478" t="b">
        <v>0</v>
      </c>
      <c r="AF478" t="inlineStr">
        <is>
          <t>No</t>
        </is>
      </c>
      <c r="AI478" t="b">
        <v>1</v>
      </c>
      <c r="AJ478" t="n">
        <v>0</v>
      </c>
      <c r="AK478" t="inlineStr">
        <is>
          <t>Focus on strategy and transformation consulting (across industries), multi-project and program management, interim management (formerly CIO and CFO), business and finance consulting, leadership coaching, outsourcing and provider management consulting, change management, implementation of regulatory requirements (currently: DORA, GRC, IKS).</t>
        </is>
      </c>
      <c r="AL478" t="inlineStr">
        <is>
          <t>ORG fastahead GmbH &amp; Co. KG</t>
        </is>
      </c>
      <c r="AM478" t="inlineStr">
        <is>
          <t>Banking (R. Weygand)</t>
        </is>
      </c>
      <c r="AN478" t="inlineStr">
        <is>
          <t>fah Ralf Weygand</t>
        </is>
      </c>
      <c r="AO478" t="inlineStr">
        <is>
          <t>fastahead GmbH &amp; Co. KG</t>
        </is>
      </c>
      <c r="AP478" t="inlineStr">
        <is>
          <t>Stuttgart</t>
        </is>
      </c>
      <c r="AQ478" t="inlineStr">
        <is>
          <t>Tim Thierfelder</t>
        </is>
      </c>
    </row>
    <row r="479">
      <c r="A479" t="inlineStr">
        <is>
          <t>2068</t>
        </is>
      </c>
      <c r="B479" t="inlineStr">
        <is>
          <t>B2AE49</t>
        </is>
      </c>
      <c r="C479" t="inlineStr">
        <is>
          <t>https://app.matchical.com/Consulting/ConsultantDetail?ConsultantId=244925ff-c51a-47ed-a376-957e874583f0</t>
        </is>
      </c>
      <c r="D479" t="inlineStr">
        <is>
          <t>Ralph Buchholz</t>
        </is>
      </c>
      <c r="E479" t="inlineStr">
        <is>
          <t>ralph.buchholz@bridging-it.de</t>
        </is>
      </c>
      <c r="F479" s="2" t="n">
        <v>41395</v>
      </c>
      <c r="G479" s="2" t="n">
        <v>39814</v>
      </c>
      <c r="H479" t="n">
        <v>0</v>
      </c>
      <c r="I479" t="n">
        <v>0</v>
      </c>
      <c r="J479" t="n">
        <v>0</v>
      </c>
      <c r="N479" t="b">
        <v>0</v>
      </c>
      <c r="O479" t="n">
        <v>154</v>
      </c>
      <c r="P479" t="n">
        <v>0</v>
      </c>
      <c r="Q479" t="n">
        <v>0</v>
      </c>
      <c r="R479">
        <f>ROUND(O479-P479,2)</f>
        <v/>
      </c>
      <c r="S479">
        <f>ROUND(O479-Q479,2)</f>
        <v/>
      </c>
      <c r="T479" s="3">
        <f>IFERROR(P479/O479,"")</f>
        <v/>
      </c>
      <c r="U479" s="3">
        <f>IFERROR(Q479/O479,"")</f>
        <v/>
      </c>
      <c r="V479" t="n">
        <v>52</v>
      </c>
      <c r="W479" t="n">
        <v>0</v>
      </c>
      <c r="X479" t="n">
        <v>0</v>
      </c>
      <c r="Y479">
        <f>ROUND(V479-W479,2)</f>
        <v/>
      </c>
      <c r="Z479">
        <f>ROUND(V479-X479,2)</f>
        <v/>
      </c>
      <c r="AA479" s="3">
        <f>IFERROR(W479/V479,"")</f>
        <v/>
      </c>
      <c r="AB479" s="3">
        <f>IFERROR(X479/V479,"")</f>
        <v/>
      </c>
      <c r="AC479" t="b">
        <v>0</v>
      </c>
      <c r="AD479" t="b">
        <v>0</v>
      </c>
      <c r="AE479" t="b">
        <v>0</v>
      </c>
      <c r="AF479" t="inlineStr">
        <is>
          <t>-</t>
        </is>
      </c>
      <c r="AI479" t="b">
        <v>0</v>
      </c>
      <c r="AJ479" t="n">
        <v>0</v>
      </c>
      <c r="AK479" t="inlineStr"/>
      <c r="AL479" t="inlineStr">
        <is>
          <t>ORG bIT Bayern</t>
        </is>
      </c>
      <c r="AM479" t="inlineStr">
        <is>
          <t>LM Location Management BAY (Eli G.)</t>
        </is>
      </c>
      <c r="AN479" t="inlineStr">
        <is>
          <t>LM Lokation MUC (Elisabeth G.)</t>
        </is>
      </c>
      <c r="AO479" t="inlineStr">
        <is>
          <t>bridgingIT GmbH</t>
        </is>
      </c>
      <c r="AP479" t="inlineStr">
        <is>
          <t>Nürnberg</t>
        </is>
      </c>
      <c r="AQ479" t="inlineStr">
        <is>
          <t>Elisabeth Gerlinger</t>
        </is>
      </c>
    </row>
    <row r="480">
      <c r="A480" t="inlineStr">
        <is>
          <t>10158</t>
        </is>
      </c>
      <c r="B480" t="inlineStr">
        <is>
          <t>BD72E8</t>
        </is>
      </c>
      <c r="C480" t="inlineStr">
        <is>
          <t>https://app.matchical.com/Consulting/ConsultantDetail?ConsultantId=2bbf4814-4581-47a7-a163-a0d6db4dfd64</t>
        </is>
      </c>
      <c r="D480" t="inlineStr">
        <is>
          <t>Rami Naoum</t>
        </is>
      </c>
      <c r="E480" t="inlineStr">
        <is>
          <t>rami.naoum@fastahead.com</t>
        </is>
      </c>
      <c r="F480" s="2" t="n">
        <v>45200</v>
      </c>
      <c r="G480" s="2" t="n">
        <v>41153</v>
      </c>
      <c r="H480" t="n">
        <v>7</v>
      </c>
      <c r="I480" t="n">
        <v>0</v>
      </c>
      <c r="J480" t="n">
        <v>1</v>
      </c>
      <c r="K480" s="2" t="n">
        <v>45305</v>
      </c>
      <c r="L480" s="2" t="n">
        <v>44104</v>
      </c>
      <c r="M480" s="2" t="n">
        <v>45198</v>
      </c>
      <c r="N480" t="b">
        <v>0</v>
      </c>
      <c r="O480" t="n">
        <v>29</v>
      </c>
      <c r="P480" t="n">
        <v>24</v>
      </c>
      <c r="Q480" t="n">
        <v>24</v>
      </c>
      <c r="R480">
        <f>ROUND(O480-P480,2)</f>
        <v/>
      </c>
      <c r="S480">
        <f>ROUND(O480-Q480,2)</f>
        <v/>
      </c>
      <c r="T480" s="3">
        <f>IFERROR(P480/O480,"")</f>
        <v/>
      </c>
      <c r="U480" s="3">
        <f>IFERROR(Q480/O480,"")</f>
        <v/>
      </c>
      <c r="V480" t="n">
        <v>133</v>
      </c>
      <c r="W480" t="n">
        <v>139</v>
      </c>
      <c r="X480" t="n">
        <v>64</v>
      </c>
      <c r="Y480">
        <f>ROUND(V480-W480,2)</f>
        <v/>
      </c>
      <c r="Z480">
        <f>ROUND(V480-X480,2)</f>
        <v/>
      </c>
      <c r="AA480" s="3">
        <f>IFERROR(W480/V480,"")</f>
        <v/>
      </c>
      <c r="AB480" s="3">
        <f>IFERROR(X480/V480,"")</f>
        <v/>
      </c>
      <c r="AC480" t="b">
        <v>0</v>
      </c>
      <c r="AD480" t="b">
        <v>0</v>
      </c>
      <c r="AE480" t="b">
        <v>0</v>
      </c>
      <c r="AF480" t="inlineStr">
        <is>
          <t>No</t>
        </is>
      </c>
      <c r="AI480" t="b">
        <v>1</v>
      </c>
      <c r="AJ480" t="n">
        <v>0</v>
      </c>
      <c r="AK480" t="inlineStr"/>
      <c r="AL480" t="inlineStr">
        <is>
          <t>ORG fastahead GmbH &amp; Co. KG</t>
        </is>
      </c>
      <c r="AM480" t="inlineStr">
        <is>
          <t>Principals</t>
        </is>
      </c>
      <c r="AN480" t="inlineStr">
        <is>
          <t>fah Dr. Michaela Warsitz</t>
        </is>
      </c>
      <c r="AO480" t="inlineStr">
        <is>
          <t>fastahead GmbH &amp; Co. KG</t>
        </is>
      </c>
      <c r="AP480" t="inlineStr">
        <is>
          <t>Berlin</t>
        </is>
      </c>
      <c r="AQ480" t="inlineStr">
        <is>
          <t>Michaela Warsitz</t>
        </is>
      </c>
    </row>
    <row r="481">
      <c r="A481" t="inlineStr">
        <is>
          <t>10221</t>
        </is>
      </c>
      <c r="B481" t="inlineStr">
        <is>
          <t>2A09F8</t>
        </is>
      </c>
      <c r="C481" t="inlineStr">
        <is>
          <t>https://app.matchical.com/Consulting/ConsultantDetail?ConsultantId=a64f3ef3-ba74-43b8-b3e8-a3efdc129cbe</t>
        </is>
      </c>
      <c r="D481" t="inlineStr">
        <is>
          <t>Ramona Fremuth</t>
        </is>
      </c>
      <c r="E481" t="inlineStr">
        <is>
          <t>ramona.fremuth@bridging-it.de</t>
        </is>
      </c>
      <c r="F481" s="2" t="n">
        <v>45323</v>
      </c>
      <c r="G481" s="2" t="n">
        <v>44228</v>
      </c>
      <c r="H481" t="n">
        <v>5</v>
      </c>
      <c r="I481" t="n">
        <v>0</v>
      </c>
      <c r="J481" t="n">
        <v>1</v>
      </c>
      <c r="K481" s="2" t="n">
        <v>45443</v>
      </c>
      <c r="L481" s="2" t="n">
        <v>45351</v>
      </c>
      <c r="M481" s="2" t="n">
        <v>45395</v>
      </c>
      <c r="N481" t="b">
        <v>0</v>
      </c>
      <c r="O481" t="n">
        <v>25</v>
      </c>
      <c r="P481" t="n">
        <v>21</v>
      </c>
      <c r="Q481" t="n">
        <v>21</v>
      </c>
      <c r="R481">
        <f>ROUND(O481-P481,2)</f>
        <v/>
      </c>
      <c r="S481">
        <f>ROUND(O481-Q481,2)</f>
        <v/>
      </c>
      <c r="T481" s="3">
        <f>IFERROR(P481/O481,"")</f>
        <v/>
      </c>
      <c r="U481" s="3">
        <f>IFERROR(Q481/O481,"")</f>
        <v/>
      </c>
      <c r="V481" t="n">
        <v>36</v>
      </c>
      <c r="W481" t="n">
        <v>31</v>
      </c>
      <c r="X481" t="n">
        <v>27</v>
      </c>
      <c r="Y481">
        <f>ROUND(V481-W481,2)</f>
        <v/>
      </c>
      <c r="Z481">
        <f>ROUND(V481-X481,2)</f>
        <v/>
      </c>
      <c r="AA481" s="3">
        <f>IFERROR(W481/V481,"")</f>
        <v/>
      </c>
      <c r="AB481" s="3">
        <f>IFERROR(X481/V481,"")</f>
        <v/>
      </c>
      <c r="AC481" t="b">
        <v>0</v>
      </c>
      <c r="AD481" t="b">
        <v>0</v>
      </c>
      <c r="AE481" t="b">
        <v>0</v>
      </c>
      <c r="AF481" t="inlineStr">
        <is>
          <t>Yes</t>
        </is>
      </c>
      <c r="AG481" s="2" t="n">
        <v>46113</v>
      </c>
      <c r="AI481" t="b">
        <v>1</v>
      </c>
      <c r="AJ481" t="n">
        <v>4.55</v>
      </c>
      <c r="AK481" t="inlineStr">
        <is>
          <t>Ramona has been with us since February. She is seeking a project in the areas of business analysis, processes, or PMO. She already has two years of consulting experience in these areas and also possesses theoretical and practical SAP know-how.</t>
        </is>
      </c>
      <c r="AL481" t="inlineStr">
        <is>
          <t>ORG bIT Bayern</t>
        </is>
      </c>
      <c r="AM481" t="inlineStr">
        <is>
          <t>BAA Business Analysis &amp; Architecture (Viktor P.)</t>
        </is>
      </c>
      <c r="AN481" t="inlineStr">
        <is>
          <t>BPD Business Processes &amp; Data Engineering(Arne K.)</t>
        </is>
      </c>
      <c r="AO481" t="inlineStr">
        <is>
          <t>bridgingIT GmbH</t>
        </is>
      </c>
      <c r="AP481" t="inlineStr">
        <is>
          <t>München</t>
        </is>
      </c>
      <c r="AQ481" t="inlineStr">
        <is>
          <t>Viktor Poloczek</t>
        </is>
      </c>
    </row>
    <row r="482">
      <c r="A482" t="inlineStr">
        <is>
          <t>10205</t>
        </is>
      </c>
      <c r="B482" t="inlineStr">
        <is>
          <t>5C063C</t>
        </is>
      </c>
      <c r="C482" t="inlineStr">
        <is>
          <t>https://app.matchical.com/Consulting/ConsultantDetail?ConsultantId=d2af82cd-cced-4dd6-8f44-5bdbf1d980f6</t>
        </is>
      </c>
      <c r="D482" t="inlineStr">
        <is>
          <t>Ravneet Aneja</t>
        </is>
      </c>
      <c r="E482" t="inlineStr">
        <is>
          <t>ravneet.aneja@bridging-it.de</t>
        </is>
      </c>
      <c r="F482" s="2" t="n">
        <v>45159</v>
      </c>
      <c r="H482" t="n">
        <v>1</v>
      </c>
      <c r="I482" t="n">
        <v>0</v>
      </c>
      <c r="J482" t="n">
        <v>0</v>
      </c>
      <c r="L482" s="2" t="n">
        <v>44347</v>
      </c>
      <c r="M482" s="2" t="n">
        <v>44984</v>
      </c>
      <c r="N482" t="b">
        <v>0</v>
      </c>
      <c r="O482" t="n">
        <v>30</v>
      </c>
      <c r="P482" t="n">
        <v>0</v>
      </c>
      <c r="Q482" t="n">
        <v>0</v>
      </c>
      <c r="R482">
        <f>ROUND(O482-P482,2)</f>
        <v/>
      </c>
      <c r="S482">
        <f>ROUND(O482-Q482,2)</f>
        <v/>
      </c>
      <c r="T482" s="3">
        <f>IFERROR(P482/O482,"")</f>
        <v/>
      </c>
      <c r="U482" s="3">
        <f>IFERROR(Q482/O482,"")</f>
        <v/>
      </c>
      <c r="V482" t="n">
        <v>1484</v>
      </c>
      <c r="W482" t="n">
        <v>21</v>
      </c>
      <c r="X482" t="n">
        <v>21</v>
      </c>
      <c r="Y482">
        <f>ROUND(V482-W482,2)</f>
        <v/>
      </c>
      <c r="Z482">
        <f>ROUND(V482-X482,2)</f>
        <v/>
      </c>
      <c r="AA482" s="3">
        <f>IFERROR(W482/V482,"")</f>
        <v/>
      </c>
      <c r="AB482" s="3">
        <f>IFERROR(X482/V482,"")</f>
        <v/>
      </c>
      <c r="AC482" t="b">
        <v>0</v>
      </c>
      <c r="AD482" t="b">
        <v>0</v>
      </c>
      <c r="AE482" t="b">
        <v>0</v>
      </c>
      <c r="AF482" t="inlineStr">
        <is>
          <t>No</t>
        </is>
      </c>
      <c r="AI482" t="b">
        <v>1</v>
      </c>
      <c r="AJ482" t="n">
        <v>0</v>
      </c>
      <c r="AK482" t="inlineStr"/>
      <c r="AL482" t="inlineStr">
        <is>
          <t>Sales BL</t>
        </is>
      </c>
      <c r="AM482" t="inlineStr">
        <is>
          <t>SAL Team Rüdiger</t>
        </is>
      </c>
      <c r="AN482" t="inlineStr">
        <is>
          <t>Capability Management (Tim T.)</t>
        </is>
      </c>
      <c r="AO482" t="inlineStr">
        <is>
          <t>bridgingIT GmbH</t>
        </is>
      </c>
      <c r="AP482" t="inlineStr">
        <is>
          <t>Mannheim</t>
        </is>
      </c>
      <c r="AQ482" t="inlineStr">
        <is>
          <t>Sonja Rüdiger</t>
        </is>
      </c>
    </row>
    <row r="483">
      <c r="A483" t="inlineStr">
        <is>
          <t>6504</t>
        </is>
      </c>
      <c r="B483" t="inlineStr">
        <is>
          <t>845C78</t>
        </is>
      </c>
      <c r="C483" t="inlineStr">
        <is>
          <t>https://app.matchical.com/Consulting/ConsultantDetail?ConsultantId=153ce8d3-ba09-495a-b808-bb62f740ae45</t>
        </is>
      </c>
      <c r="D483" t="inlineStr">
        <is>
          <t>Rebekka Reichbauer</t>
        </is>
      </c>
      <c r="E483" t="inlineStr">
        <is>
          <t>rebekka.reichbauer@bridging-it.de</t>
        </is>
      </c>
      <c r="F483" s="2" t="n">
        <v>43252</v>
      </c>
      <c r="G483" s="2" t="n">
        <v>40634</v>
      </c>
      <c r="H483" t="n">
        <v>10</v>
      </c>
      <c r="I483" t="n">
        <v>0</v>
      </c>
      <c r="J483" t="n">
        <v>1</v>
      </c>
      <c r="K483" s="2" t="n">
        <v>44434</v>
      </c>
      <c r="L483" s="2" t="n">
        <v>44700</v>
      </c>
      <c r="M483" s="2" t="n">
        <v>45137</v>
      </c>
      <c r="N483" t="b">
        <v>0</v>
      </c>
      <c r="O483" t="n">
        <v>93</v>
      </c>
      <c r="P483" t="n">
        <v>170.97</v>
      </c>
      <c r="Q483" t="n">
        <v>92.81</v>
      </c>
      <c r="R483">
        <f>ROUND(O483-P483,2)</f>
        <v/>
      </c>
      <c r="S483">
        <f>ROUND(O483-Q483,2)</f>
        <v/>
      </c>
      <c r="T483" s="3">
        <f>IFERROR(P483/O483,"")</f>
        <v/>
      </c>
      <c r="U483" s="3">
        <f>IFERROR(Q483/O483,"")</f>
        <v/>
      </c>
      <c r="V483" t="n">
        <v>86</v>
      </c>
      <c r="W483" t="n">
        <v>24.03</v>
      </c>
      <c r="X483" t="n">
        <v>22.2</v>
      </c>
      <c r="Y483">
        <f>ROUND(V483-W483,2)</f>
        <v/>
      </c>
      <c r="Z483">
        <f>ROUND(V483-X483,2)</f>
        <v/>
      </c>
      <c r="AA483" s="3">
        <f>IFERROR(W483/V483,"")</f>
        <v/>
      </c>
      <c r="AB483" s="3">
        <f>IFERROR(X483/V483,"")</f>
        <v/>
      </c>
      <c r="AC483" t="b">
        <v>0</v>
      </c>
      <c r="AD483" t="b">
        <v>0</v>
      </c>
      <c r="AE483" t="b">
        <v>0</v>
      </c>
      <c r="AF483" t="inlineStr">
        <is>
          <t>No</t>
        </is>
      </c>
      <c r="AI483" t="b">
        <v>0</v>
      </c>
      <c r="AJ483" t="n">
        <v>0</v>
      </c>
      <c r="AK483" t="inlineStr">
        <is>
          <t>General availability: 70% part-time (5.5 hours per day, until 2:00 PM)</t>
        </is>
      </c>
      <c r="AL483" t="inlineStr">
        <is>
          <t>Geschäftsleitung und Support</t>
        </is>
      </c>
      <c r="AM483" t="inlineStr">
        <is>
          <t>PS - People Support (Nina B.)</t>
        </is>
      </c>
      <c r="AN483" t="inlineStr">
        <is>
          <t>COO</t>
        </is>
      </c>
      <c r="AO483" t="inlineStr">
        <is>
          <t>bridgingIT GmbH</t>
        </is>
      </c>
      <c r="AP483" t="inlineStr">
        <is>
          <t>Mannheim</t>
        </is>
      </c>
      <c r="AQ483" t="inlineStr">
        <is>
          <t>Nina Beckenbach</t>
        </is>
      </c>
    </row>
    <row r="484">
      <c r="A484" t="inlineStr">
        <is>
          <t>4066</t>
        </is>
      </c>
      <c r="B484" t="inlineStr">
        <is>
          <t>D575FC</t>
        </is>
      </c>
      <c r="C484" t="inlineStr">
        <is>
          <t>https://app.matchical.com/Consulting/ConsultantDetail?ConsultantId=4d88763c-72b5-433c-80e4-b0f8ce49150b</t>
        </is>
      </c>
      <c r="D484" t="inlineStr">
        <is>
          <t>Reinhard Pirthauer</t>
        </is>
      </c>
      <c r="E484" t="inlineStr">
        <is>
          <t>reinhard.pirthauer@bridging-it.de</t>
        </is>
      </c>
      <c r="F484" s="2" t="n">
        <v>42705</v>
      </c>
      <c r="G484" s="2" t="n">
        <v>39600</v>
      </c>
      <c r="H484" t="n">
        <v>9</v>
      </c>
      <c r="I484" t="n">
        <v>0</v>
      </c>
      <c r="J484" t="n">
        <v>1</v>
      </c>
      <c r="K484" s="2" t="n">
        <v>44837</v>
      </c>
      <c r="L484" s="2" t="n">
        <v>43921</v>
      </c>
      <c r="M484" s="2" t="n">
        <v>44741</v>
      </c>
      <c r="N484" t="b">
        <v>0</v>
      </c>
      <c r="O484" t="n">
        <v>111</v>
      </c>
      <c r="P484" t="n">
        <v>109</v>
      </c>
      <c r="Q484" t="n">
        <v>106</v>
      </c>
      <c r="R484">
        <f>ROUND(O484-P484,2)</f>
        <v/>
      </c>
      <c r="S484">
        <f>ROUND(O484-Q484,2)</f>
        <v/>
      </c>
      <c r="T484" s="3">
        <f>IFERROR(P484/O484,"")</f>
        <v/>
      </c>
      <c r="U484" s="3">
        <f>IFERROR(Q484/O484,"")</f>
        <v/>
      </c>
      <c r="V484" t="n">
        <v>102</v>
      </c>
      <c r="W484" t="n">
        <v>98</v>
      </c>
      <c r="X484" t="n">
        <v>89</v>
      </c>
      <c r="Y484">
        <f>ROUND(V484-W484,2)</f>
        <v/>
      </c>
      <c r="Z484">
        <f>ROUND(V484-X484,2)</f>
        <v/>
      </c>
      <c r="AA484" s="3">
        <f>IFERROR(W484/V484,"")</f>
        <v/>
      </c>
      <c r="AB484" s="3">
        <f>IFERROR(X484/V484,"")</f>
        <v/>
      </c>
      <c r="AC484" t="b">
        <v>0</v>
      </c>
      <c r="AD484" t="b">
        <v>0</v>
      </c>
      <c r="AE484" t="b">
        <v>0</v>
      </c>
      <c r="AF484" t="inlineStr">
        <is>
          <t>No</t>
        </is>
      </c>
      <c r="AG484" s="2" t="n">
        <v>44743</v>
      </c>
      <c r="AH484" s="2" t="n">
        <v>44926</v>
      </c>
      <c r="AI484" t="b">
        <v>1</v>
      </c>
      <c r="AJ484" t="n">
        <v>0</v>
      </c>
      <c r="AK484" t="inlineStr"/>
      <c r="AL484" t="inlineStr">
        <is>
          <t>ORG bIT Bayern</t>
        </is>
      </c>
      <c r="AM484" t="inlineStr">
        <is>
          <t>SEI Software Engineering I (Martin K.)</t>
        </is>
      </c>
      <c r="AN484" t="inlineStr">
        <is>
          <t>SEC Software Engineering &amp; Cloud (Eli G.)</t>
        </is>
      </c>
      <c r="AO484" t="inlineStr">
        <is>
          <t>bridgingIT GmbH</t>
        </is>
      </c>
      <c r="AP484" t="inlineStr">
        <is>
          <t>München</t>
        </is>
      </c>
      <c r="AQ484" t="inlineStr">
        <is>
          <t>Martin Kuck</t>
        </is>
      </c>
    </row>
    <row r="485">
      <c r="A485" t="inlineStr">
        <is>
          <t>6558</t>
        </is>
      </c>
      <c r="B485" t="inlineStr">
        <is>
          <t>CAE8FF</t>
        </is>
      </c>
      <c r="C485" t="inlineStr">
        <is>
          <t>https://app.matchical.com/Consulting/ConsultantDetail?ConsultantId=b558e9ce-0f24-4aaa-848b-9089a2aaddef</t>
        </is>
      </c>
      <c r="D485" t="inlineStr">
        <is>
          <t>Remigius Baron</t>
        </is>
      </c>
      <c r="E485" t="inlineStr">
        <is>
          <t>remigius.baron@bridging-it.de</t>
        </is>
      </c>
      <c r="F485" s="2" t="n">
        <v>43405</v>
      </c>
      <c r="G485" s="2" t="n">
        <v>41153</v>
      </c>
      <c r="H485" t="n">
        <v>24</v>
      </c>
      <c r="I485" t="n">
        <v>0</v>
      </c>
      <c r="J485" t="n">
        <v>1</v>
      </c>
      <c r="K485" s="2" t="n">
        <v>43404</v>
      </c>
      <c r="L485" s="2" t="n">
        <v>45558</v>
      </c>
      <c r="M485" s="2" t="n">
        <v>45657</v>
      </c>
      <c r="N485" t="b">
        <v>0</v>
      </c>
      <c r="O485" t="n">
        <v>88</v>
      </c>
      <c r="P485" t="n">
        <v>277.3</v>
      </c>
      <c r="Q485" t="n">
        <v>87.79000000000001</v>
      </c>
      <c r="R485">
        <f>ROUND(O485-P485,2)</f>
        <v/>
      </c>
      <c r="S485">
        <f>ROUND(O485-Q485,2)</f>
        <v/>
      </c>
      <c r="T485" s="3">
        <f>IFERROR(P485/O485,"")</f>
        <v/>
      </c>
      <c r="U485" s="3">
        <f>IFERROR(Q485/O485,"")</f>
        <v/>
      </c>
      <c r="V485" t="n">
        <v>74</v>
      </c>
      <c r="W485" t="n">
        <v>407.31</v>
      </c>
      <c r="X485" t="n">
        <v>73.98999999999999</v>
      </c>
      <c r="Y485">
        <f>ROUND(V485-W485,2)</f>
        <v/>
      </c>
      <c r="Z485">
        <f>ROUND(V485-X485,2)</f>
        <v/>
      </c>
      <c r="AA485" s="3">
        <f>IFERROR(W485/V485,"")</f>
        <v/>
      </c>
      <c r="AB485" s="3">
        <f>IFERROR(X485/V485,"")</f>
        <v/>
      </c>
      <c r="AC485" t="b">
        <v>0</v>
      </c>
      <c r="AD485" t="b">
        <v>0</v>
      </c>
      <c r="AE485" t="b">
        <v>0</v>
      </c>
      <c r="AF485" t="inlineStr">
        <is>
          <t>Yes</t>
        </is>
      </c>
      <c r="AG485" s="2" t="n">
        <v>46023</v>
      </c>
      <c r="AH485" s="2" t="n">
        <v>47573</v>
      </c>
      <c r="AI485" t="b">
        <v>0</v>
      </c>
      <c r="AJ485" t="n">
        <v>3</v>
      </c>
      <c r="AK485" t="inlineStr">
        <is>
          <t>Primarily expertise in Location Based Services (omlox) and GIS, geodata, etc.
Able to flexibly adapt to his available days, not fixed to a specific week, and may also hand off to colleagues in the team.
Speak with Christoph Müller</t>
        </is>
      </c>
      <c r="AL485" t="inlineStr">
        <is>
          <t>BusDev</t>
        </is>
      </c>
      <c r="AM485" t="inlineStr">
        <is>
          <t>Location Based Solutions</t>
        </is>
      </c>
      <c r="AN485" t="inlineStr">
        <is>
          <t>BW Expertenteams</t>
        </is>
      </c>
      <c r="AO485" t="inlineStr">
        <is>
          <t>bridgingIT GmbH</t>
        </is>
      </c>
      <c r="AP485" t="inlineStr">
        <is>
          <t>Mannheim</t>
        </is>
      </c>
      <c r="AQ485" t="inlineStr">
        <is>
          <t>Christoph Müller</t>
        </is>
      </c>
    </row>
    <row r="486">
      <c r="A486" t="inlineStr">
        <is>
          <t>8209</t>
        </is>
      </c>
      <c r="B486" t="inlineStr">
        <is>
          <t>ED9BA0</t>
        </is>
      </c>
      <c r="C486" t="inlineStr">
        <is>
          <t>https://app.matchical.com/Consulting/ConsultantDetail?ConsultantId=ac04d4b8-4530-4119-9c90-ba013d51d4d7</t>
        </is>
      </c>
      <c r="D486" t="inlineStr">
        <is>
          <t>Rene Hoyer</t>
        </is>
      </c>
      <c r="E486" t="inlineStr">
        <is>
          <t>rene.hoyer@bridging-it.de</t>
        </is>
      </c>
      <c r="F486" s="2" t="n">
        <v>42826</v>
      </c>
      <c r="G486" s="2" t="n">
        <v>40634</v>
      </c>
      <c r="H486" t="n">
        <v>29</v>
      </c>
      <c r="I486" t="n">
        <v>0</v>
      </c>
      <c r="J486" t="n">
        <v>1</v>
      </c>
      <c r="K486" s="2" t="n">
        <v>43374</v>
      </c>
      <c r="L486" s="2" t="n">
        <v>43435</v>
      </c>
      <c r="M486" s="2" t="n">
        <v>43830</v>
      </c>
      <c r="N486" t="b">
        <v>0</v>
      </c>
      <c r="O486" t="n">
        <v>107</v>
      </c>
      <c r="P486" t="n">
        <v>403.17</v>
      </c>
      <c r="Q486" t="n">
        <v>106.81</v>
      </c>
      <c r="R486">
        <f>ROUND(O486-P486,2)</f>
        <v/>
      </c>
      <c r="S486">
        <f>ROUND(O486-Q486,2)</f>
        <v/>
      </c>
      <c r="T486" s="3">
        <f>IFERROR(P486/O486,"")</f>
        <v/>
      </c>
      <c r="U486" s="3">
        <f>IFERROR(Q486/O486,"")</f>
        <v/>
      </c>
      <c r="V486" t="n">
        <v>72</v>
      </c>
      <c r="W486" t="n">
        <v>32.83</v>
      </c>
      <c r="X486" t="n">
        <v>11.68</v>
      </c>
      <c r="Y486">
        <f>ROUND(V486-W486,2)</f>
        <v/>
      </c>
      <c r="Z486">
        <f>ROUND(V486-X486,2)</f>
        <v/>
      </c>
      <c r="AA486" s="3">
        <f>IFERROR(W486/V486,"")</f>
        <v/>
      </c>
      <c r="AB486" s="3">
        <f>IFERROR(X486/V486,"")</f>
        <v/>
      </c>
      <c r="AC486" t="b">
        <v>0</v>
      </c>
      <c r="AD486" t="b">
        <v>0</v>
      </c>
      <c r="AE486" t="b">
        <v>0</v>
      </c>
      <c r="AF486" t="inlineStr">
        <is>
          <t>No</t>
        </is>
      </c>
      <c r="AI486" t="b">
        <v>1</v>
      </c>
      <c r="AJ486" t="n">
        <v>0</v>
      </c>
      <c r="AK486" t="inlineStr"/>
      <c r="AL486" t="inlineStr">
        <is>
          <t>Geschäftsleitung und Support</t>
        </is>
      </c>
      <c r="AM486" t="inlineStr">
        <is>
          <t>Interne Applikationen</t>
        </is>
      </c>
      <c r="AN486" t="inlineStr">
        <is>
          <t>Frank Wallner</t>
        </is>
      </c>
      <c r="AO486" t="inlineStr">
        <is>
          <t>bridgingIT GmbH</t>
        </is>
      </c>
      <c r="AP486" t="inlineStr">
        <is>
          <t>Magdeburg</t>
        </is>
      </c>
      <c r="AQ486" t="inlineStr">
        <is>
          <t>Sabine Sessar</t>
        </is>
      </c>
    </row>
    <row r="487">
      <c r="A487" t="inlineStr">
        <is>
          <t>2251</t>
        </is>
      </c>
      <c r="B487" t="inlineStr">
        <is>
          <t>E46AF7</t>
        </is>
      </c>
      <c r="C487" t="inlineStr">
        <is>
          <t>https://app.matchical.com/Consulting/ConsultantDetail?ConsultantId=5bf8475b-4353-4c39-8a8d-2184ef573cce</t>
        </is>
      </c>
      <c r="D487" t="inlineStr">
        <is>
          <t>René Springmeier</t>
        </is>
      </c>
      <c r="E487" t="inlineStr">
        <is>
          <t>rene.springmeier@bridging-it.de</t>
        </is>
      </c>
      <c r="F487" s="2" t="n">
        <v>43570</v>
      </c>
      <c r="G487" s="2" t="n">
        <v>40664</v>
      </c>
      <c r="H487" t="n">
        <v>10</v>
      </c>
      <c r="I487" t="n">
        <v>0</v>
      </c>
      <c r="J487" t="n">
        <v>1</v>
      </c>
      <c r="K487" s="2" t="n">
        <v>44348</v>
      </c>
      <c r="L487" s="2" t="n">
        <v>44347</v>
      </c>
      <c r="M487" s="2" t="n">
        <v>45290</v>
      </c>
      <c r="N487" t="b">
        <v>0</v>
      </c>
      <c r="O487" t="n">
        <v>82</v>
      </c>
      <c r="P487" t="n">
        <v>162.46</v>
      </c>
      <c r="Q487" t="n">
        <v>82.37</v>
      </c>
      <c r="R487">
        <f>ROUND(O487-P487,2)</f>
        <v/>
      </c>
      <c r="S487">
        <f>ROUND(O487-Q487,2)</f>
        <v/>
      </c>
      <c r="T487" s="3">
        <f>IFERROR(P487/O487,"")</f>
        <v/>
      </c>
      <c r="U487" s="3">
        <f>IFERROR(Q487/O487,"")</f>
        <v/>
      </c>
      <c r="V487" t="n">
        <v>95</v>
      </c>
      <c r="W487" t="n">
        <v>75.54000000000001</v>
      </c>
      <c r="X487" t="n">
        <v>61.59</v>
      </c>
      <c r="Y487">
        <f>ROUND(V487-W487,2)</f>
        <v/>
      </c>
      <c r="Z487">
        <f>ROUND(V487-X487,2)</f>
        <v/>
      </c>
      <c r="AA487" s="3">
        <f>IFERROR(W487/V487,"")</f>
        <v/>
      </c>
      <c r="AB487" s="3">
        <f>IFERROR(X487/V487,"")</f>
        <v/>
      </c>
      <c r="AC487" t="b">
        <v>0</v>
      </c>
      <c r="AD487" t="b">
        <v>0</v>
      </c>
      <c r="AE487" t="b">
        <v>0</v>
      </c>
      <c r="AF487" t="inlineStr">
        <is>
          <t>No</t>
        </is>
      </c>
      <c r="AI487" t="b">
        <v>1</v>
      </c>
      <c r="AJ487" t="n">
        <v>0</v>
      </c>
      <c r="AK487" t="inlineStr">
        <is>
          <t>ANÜ availability (employee leasing)
Deployment options:
* FirstSpirit - Frontend and Backend, highly deployable
* HTML(5)/CSS - Good knowledge, well-suited. In JS frameworks (Angular, React, ...), no hands-on experience yet, but willing to learn.
* Java - Solid basic knowledge but no current hands-on practice; a pairing with a Senior to facilitate the learning curve would be beneficial</t>
        </is>
      </c>
      <c r="AL487" t="inlineStr">
        <is>
          <t>ES Enterprise Solutions (Gina H.)</t>
        </is>
      </c>
      <c r="AM487" t="inlineStr">
        <is>
          <t>IEJ Java II (Thomas K.)</t>
        </is>
      </c>
      <c r="AN487" t="inlineStr">
        <is>
          <t>IEJ Individualentwicklung JAVA (Dominik S.)</t>
        </is>
      </c>
      <c r="AO487" t="inlineStr">
        <is>
          <t>bridgingIT GmbH</t>
        </is>
      </c>
      <c r="AP487" t="inlineStr">
        <is>
          <t>Stuttgart</t>
        </is>
      </c>
      <c r="AQ487" t="inlineStr">
        <is>
          <t>Thomas Kopp</t>
        </is>
      </c>
    </row>
    <row r="488">
      <c r="A488" t="inlineStr">
        <is>
          <t>10327</t>
        </is>
      </c>
      <c r="B488" t="inlineStr">
        <is>
          <t>5A506D</t>
        </is>
      </c>
      <c r="C488" t="inlineStr">
        <is>
          <t>https://app.matchical.com/Consulting/ConsultantDetail?ConsultantId=64b40fe1-94e4-44d5-8068-31cd0d9ed6d4</t>
        </is>
      </c>
      <c r="D488" t="inlineStr">
        <is>
          <t>Ricardo Vega Ayora</t>
        </is>
      </c>
      <c r="E488" t="inlineStr">
        <is>
          <t>ricardo.vega@bridging-it.de</t>
        </is>
      </c>
      <c r="F488" s="2" t="n">
        <v>45658</v>
      </c>
      <c r="G488" s="2" t="n">
        <v>42675</v>
      </c>
      <c r="H488" t="n">
        <v>8</v>
      </c>
      <c r="I488" t="n">
        <v>0</v>
      </c>
      <c r="J488" t="n">
        <v>0</v>
      </c>
      <c r="L488" s="2" t="n">
        <v>45931</v>
      </c>
      <c r="M488" s="2" t="n">
        <v>46022</v>
      </c>
      <c r="N488" t="b">
        <v>0</v>
      </c>
      <c r="O488" t="n">
        <v>14</v>
      </c>
      <c r="P488" t="n">
        <v>9</v>
      </c>
      <c r="Q488" t="n">
        <v>9</v>
      </c>
      <c r="R488">
        <f>ROUND(O488-P488,2)</f>
        <v/>
      </c>
      <c r="S488">
        <f>ROUND(O488-Q488,2)</f>
        <v/>
      </c>
      <c r="T488" s="3">
        <f>IFERROR(P488/O488,"")</f>
        <v/>
      </c>
      <c r="U488" s="3">
        <f>IFERROR(Q488/O488,"")</f>
        <v/>
      </c>
      <c r="V488" t="n">
        <v>98</v>
      </c>
      <c r="W488" t="n">
        <v>112.97</v>
      </c>
      <c r="X488" t="n">
        <v>86.97</v>
      </c>
      <c r="Y488">
        <f>ROUND(V488-W488,2)</f>
        <v/>
      </c>
      <c r="Z488">
        <f>ROUND(V488-X488,2)</f>
        <v/>
      </c>
      <c r="AA488" s="3">
        <f>IFERROR(W488/V488,"")</f>
        <v/>
      </c>
      <c r="AB488" s="3">
        <f>IFERROR(X488/V488,"")</f>
        <v/>
      </c>
      <c r="AC488" t="b">
        <v>0</v>
      </c>
      <c r="AD488" t="b">
        <v>0</v>
      </c>
      <c r="AE488" t="b">
        <v>0</v>
      </c>
      <c r="AF488" t="inlineStr">
        <is>
          <t>Yes</t>
        </is>
      </c>
      <c r="AG488" s="2" t="n">
        <v>46143</v>
      </c>
      <c r="AI488" t="b">
        <v>1</v>
      </c>
      <c r="AJ488" t="n">
        <v>5</v>
      </c>
      <c r="AK488" t="inlineStr">
        <is>
          <t>Update 19.02.2026:
Ricardo is the project manager on the MMS AI project. Since the continuation of the assignment is uncertain, he is listed as available as of 01.05.
Additionally, Ricardo also has 'Side-Projects' such as Senior Consultant Coaching and KI@Validation at BASF. These currently take up about 5% of his time.</t>
        </is>
      </c>
      <c r="AL488" t="inlineStr">
        <is>
          <t>ORG bIT</t>
        </is>
      </c>
      <c r="AM488" t="inlineStr">
        <is>
          <t>DAC - Data Analytics Cologne (Manuel N.)</t>
        </is>
      </c>
      <c r="AN488" t="inlineStr">
        <is>
          <t>DPC - Datalytics &amp; Process Cologne (Claudia P.)</t>
        </is>
      </c>
      <c r="AO488" t="inlineStr">
        <is>
          <t>bridgingIT GmbH</t>
        </is>
      </c>
      <c r="AP488" t="inlineStr">
        <is>
          <t>Köln</t>
        </is>
      </c>
      <c r="AQ488" t="inlineStr">
        <is>
          <t>Manuel Niklos</t>
        </is>
      </c>
    </row>
    <row r="489">
      <c r="A489" t="inlineStr">
        <is>
          <t>10056</t>
        </is>
      </c>
      <c r="B489" t="inlineStr">
        <is>
          <t>143B4E</t>
        </is>
      </c>
      <c r="C489" t="inlineStr">
        <is>
          <t>https://app.matchical.com/Consulting/ConsultantDetail?ConsultantId=da605599-adc3-4b6d-92cd-7f667f26a623</t>
        </is>
      </c>
      <c r="D489" t="inlineStr">
        <is>
          <t>Robert Burroughs</t>
        </is>
      </c>
      <c r="E489" t="inlineStr">
        <is>
          <t>robert.burroughs@bridging-it.de</t>
        </is>
      </c>
      <c r="F489" s="2" t="n">
        <v>44941</v>
      </c>
      <c r="G489" s="2" t="n">
        <v>37438</v>
      </c>
      <c r="H489" t="n">
        <v>12</v>
      </c>
      <c r="I489" t="n">
        <v>0</v>
      </c>
      <c r="J489" t="n">
        <v>1</v>
      </c>
      <c r="K489" s="2" t="n">
        <v>45077</v>
      </c>
      <c r="L489" s="2" t="n">
        <v>45035</v>
      </c>
      <c r="M489" s="2" t="n">
        <v>45107</v>
      </c>
      <c r="N489" t="b">
        <v>0</v>
      </c>
      <c r="O489" t="n">
        <v>37</v>
      </c>
      <c r="P489" t="n">
        <v>36</v>
      </c>
      <c r="Q489" t="n">
        <v>33</v>
      </c>
      <c r="R489">
        <f>ROUND(O489-P489,2)</f>
        <v/>
      </c>
      <c r="S489">
        <f>ROUND(O489-Q489,2)</f>
        <v/>
      </c>
      <c r="T489" s="3">
        <f>IFERROR(P489/O489,"")</f>
        <v/>
      </c>
      <c r="U489" s="3">
        <f>IFERROR(Q489/O489,"")</f>
        <v/>
      </c>
      <c r="V489" t="n">
        <v>247</v>
      </c>
      <c r="W489" t="n">
        <v>230</v>
      </c>
      <c r="X489" t="n">
        <v>119</v>
      </c>
      <c r="Y489">
        <f>ROUND(V489-W489,2)</f>
        <v/>
      </c>
      <c r="Z489">
        <f>ROUND(V489-X489,2)</f>
        <v/>
      </c>
      <c r="AA489" s="3">
        <f>IFERROR(W489/V489,"")</f>
        <v/>
      </c>
      <c r="AB489" s="3">
        <f>IFERROR(X489/V489,"")</f>
        <v/>
      </c>
      <c r="AC489" t="b">
        <v>0</v>
      </c>
      <c r="AD489" t="b">
        <v>0</v>
      </c>
      <c r="AE489" t="b">
        <v>0</v>
      </c>
      <c r="AF489" t="inlineStr">
        <is>
          <t>No</t>
        </is>
      </c>
      <c r="AI489" t="b">
        <v>1</v>
      </c>
      <c r="AJ489" t="n">
        <v>0</v>
      </c>
      <c r="AK489" t="inlineStr"/>
      <c r="AL489" t="inlineStr">
        <is>
          <t>ORG bIT Bayern</t>
        </is>
      </c>
      <c r="AM489" t="inlineStr">
        <is>
          <t>CDI Cloud DevOps &amp; IT-Architecture (Tim J.)</t>
        </is>
      </c>
      <c r="AN489" t="inlineStr">
        <is>
          <t>SEC Software Engineering &amp; Cloud (Eli G.)</t>
        </is>
      </c>
      <c r="AO489" t="inlineStr">
        <is>
          <t>bridgingIT GmbH</t>
        </is>
      </c>
      <c r="AP489" t="inlineStr">
        <is>
          <t>München</t>
        </is>
      </c>
      <c r="AQ489" t="inlineStr">
        <is>
          <t>Tim Jabke</t>
        </is>
      </c>
    </row>
    <row r="490">
      <c r="A490" t="inlineStr">
        <is>
          <t>10358</t>
        </is>
      </c>
      <c r="B490" t="inlineStr">
        <is>
          <t>345CE1</t>
        </is>
      </c>
      <c r="C490" t="inlineStr">
        <is>
          <t>https://app.matchical.com/Consulting/ConsultantDetail?ConsultantId=98af66bf-20b5-47bb-87a9-317be5748dd5</t>
        </is>
      </c>
      <c r="D490" t="inlineStr">
        <is>
          <t>Robert van de Meulenhof</t>
        </is>
      </c>
      <c r="E490" t="inlineStr">
        <is>
          <t>robert.van-de-meulenhof@bridging-it.de</t>
        </is>
      </c>
      <c r="F490" s="2" t="n">
        <v>45748</v>
      </c>
      <c r="G490" s="2" t="n">
        <v>38808</v>
      </c>
      <c r="H490" t="n">
        <v>3</v>
      </c>
      <c r="I490" t="n">
        <v>0</v>
      </c>
      <c r="J490" t="n">
        <v>0</v>
      </c>
      <c r="L490" s="2" t="n">
        <v>45689</v>
      </c>
      <c r="M490" s="2" t="n">
        <v>46022</v>
      </c>
      <c r="N490" t="b">
        <v>0</v>
      </c>
      <c r="O490" t="n">
        <v>11</v>
      </c>
      <c r="P490" t="n">
        <v>11.05</v>
      </c>
      <c r="Q490" t="n">
        <v>10.14</v>
      </c>
      <c r="R490">
        <f>ROUND(O490-P490,2)</f>
        <v/>
      </c>
      <c r="S490">
        <f>ROUND(O490-Q490,2)</f>
        <v/>
      </c>
      <c r="T490" s="3">
        <f>IFERROR(P490/O490,"")</f>
        <v/>
      </c>
      <c r="U490" s="3">
        <f>IFERROR(Q490/O490,"")</f>
        <v/>
      </c>
      <c r="V490" t="n">
        <v>228</v>
      </c>
      <c r="W490" t="n">
        <v>11.95</v>
      </c>
      <c r="X490" t="n">
        <v>11.86</v>
      </c>
      <c r="Y490">
        <f>ROUND(V490-W490,2)</f>
        <v/>
      </c>
      <c r="Z490">
        <f>ROUND(V490-X490,2)</f>
        <v/>
      </c>
      <c r="AA490" s="3">
        <f>IFERROR(W490/V490,"")</f>
        <v/>
      </c>
      <c r="AB490" s="3">
        <f>IFERROR(X490/V490,"")</f>
        <v/>
      </c>
      <c r="AC490" t="b">
        <v>0</v>
      </c>
      <c r="AD490" t="b">
        <v>0</v>
      </c>
      <c r="AE490" t="b">
        <v>0</v>
      </c>
      <c r="AF490" t="inlineStr">
        <is>
          <t>No</t>
        </is>
      </c>
      <c r="AI490" t="b">
        <v>1</v>
      </c>
      <c r="AJ490" t="n">
        <v>0</v>
      </c>
      <c r="AK490" t="inlineStr">
        <is>
          <t>Power Platform, SharePoint Expert</t>
        </is>
      </c>
      <c r="AL490" t="inlineStr">
        <is>
          <t>ES Enterprise Solutions (Gina H.)</t>
        </is>
      </c>
      <c r="AM490" t="inlineStr">
        <is>
          <t>PE Platform Engineering (Thomas K.)</t>
        </is>
      </c>
      <c r="AN490" t="inlineStr">
        <is>
          <t>PA Platform &amp; Application Solutions (Thomas K.)</t>
        </is>
      </c>
      <c r="AO490" t="inlineStr">
        <is>
          <t>bridgingIT GmbH</t>
        </is>
      </c>
      <c r="AP490" t="inlineStr">
        <is>
          <t>Stuttgart</t>
        </is>
      </c>
      <c r="AQ490" t="inlineStr">
        <is>
          <t>Thomas Kiri</t>
        </is>
      </c>
    </row>
    <row r="491">
      <c r="A491" t="inlineStr">
        <is>
          <t>10200</t>
        </is>
      </c>
      <c r="B491" t="inlineStr">
        <is>
          <t>93F427</t>
        </is>
      </c>
      <c r="C491" t="inlineStr">
        <is>
          <t>https://app.matchical.com/Consulting/ConsultantDetail?ConsultantId=14b5873e-5a4d-4158-8ce7-990fc780a729</t>
        </is>
      </c>
      <c r="D491" t="inlineStr">
        <is>
          <t>Roberto Tintis</t>
        </is>
      </c>
      <c r="E491" t="inlineStr">
        <is>
          <t>roberto.tintis@bridging-it.de</t>
        </is>
      </c>
      <c r="F491" s="2" t="n">
        <v>45200</v>
      </c>
      <c r="G491" s="2" t="n">
        <v>40391</v>
      </c>
      <c r="H491" t="n">
        <v>6</v>
      </c>
      <c r="I491" t="n">
        <v>0</v>
      </c>
      <c r="J491" t="n">
        <v>0</v>
      </c>
      <c r="L491" s="2" t="n">
        <v>45566</v>
      </c>
      <c r="M491" s="2" t="n">
        <v>45747</v>
      </c>
      <c r="N491" t="b">
        <v>0</v>
      </c>
      <c r="O491" t="n">
        <v>28</v>
      </c>
      <c r="P491" t="n">
        <v>8</v>
      </c>
      <c r="Q491" t="n">
        <v>8</v>
      </c>
      <c r="R491">
        <f>ROUND(O491-P491,2)</f>
        <v/>
      </c>
      <c r="S491">
        <f>ROUND(O491-Q491,2)</f>
        <v/>
      </c>
      <c r="T491" s="3">
        <f>IFERROR(P491/O491,"")</f>
        <v/>
      </c>
      <c r="U491" s="3">
        <f>IFERROR(Q491/O491,"")</f>
        <v/>
      </c>
      <c r="V491" t="n">
        <v>158</v>
      </c>
      <c r="W491" t="n">
        <v>69</v>
      </c>
      <c r="X491" t="n">
        <v>62</v>
      </c>
      <c r="Y491">
        <f>ROUND(V491-W491,2)</f>
        <v/>
      </c>
      <c r="Z491">
        <f>ROUND(V491-X491,2)</f>
        <v/>
      </c>
      <c r="AA491" s="3">
        <f>IFERROR(W491/V491,"")</f>
        <v/>
      </c>
      <c r="AB491" s="3">
        <f>IFERROR(X491/V491,"")</f>
        <v/>
      </c>
      <c r="AC491" t="b">
        <v>0</v>
      </c>
      <c r="AD491" t="b">
        <v>0</v>
      </c>
      <c r="AE491" t="b">
        <v>0</v>
      </c>
      <c r="AF491" t="inlineStr">
        <is>
          <t>-</t>
        </is>
      </c>
      <c r="AI491" t="b">
        <v>0</v>
      </c>
      <c r="AJ491" t="n">
        <v>0</v>
      </c>
      <c r="AK491" t="inlineStr"/>
      <c r="AL491" t="inlineStr">
        <is>
          <t>ORG bIT</t>
        </is>
      </c>
      <c r="AM491" t="inlineStr">
        <is>
          <t>AT Agile Transformation (Anna S.)</t>
        </is>
      </c>
      <c r="AN491" t="inlineStr">
        <is>
          <t>TH Transformation Hub (Ulrich W.)</t>
        </is>
      </c>
      <c r="AO491" t="inlineStr">
        <is>
          <t>bridgingIT GmbH</t>
        </is>
      </c>
      <c r="AP491" t="inlineStr">
        <is>
          <t>Frankfurt</t>
        </is>
      </c>
      <c r="AQ491" t="inlineStr">
        <is>
          <t>Anna Schnorrenberger</t>
        </is>
      </c>
    </row>
    <row r="492">
      <c r="A492" t="inlineStr">
        <is>
          <t>8672</t>
        </is>
      </c>
      <c r="B492" t="inlineStr">
        <is>
          <t>C9897B</t>
        </is>
      </c>
      <c r="C492" t="inlineStr">
        <is>
          <t>https://app.matchical.com/Consulting/ConsultantDetail?ConsultantId=3f5c25a2-38fc-40e1-a313-a8aa1fe8997a</t>
        </is>
      </c>
      <c r="D492" t="inlineStr">
        <is>
          <t>Robin Dieker</t>
        </is>
      </c>
      <c r="E492" t="inlineStr">
        <is>
          <t>robin.dieker@crafting-it.de</t>
        </is>
      </c>
      <c r="F492" s="2" t="n">
        <v>44207</v>
      </c>
      <c r="G492" s="2" t="n">
        <v>42005</v>
      </c>
      <c r="H492" t="n">
        <v>10</v>
      </c>
      <c r="I492" t="n">
        <v>0</v>
      </c>
      <c r="J492" t="n">
        <v>0</v>
      </c>
      <c r="L492" s="2" t="n">
        <v>45658</v>
      </c>
      <c r="M492" s="2" t="n">
        <v>46022</v>
      </c>
      <c r="N492" t="b">
        <v>0</v>
      </c>
      <c r="O492" t="n">
        <v>61</v>
      </c>
      <c r="P492" t="n">
        <v>117</v>
      </c>
      <c r="Q492" t="n">
        <v>56</v>
      </c>
      <c r="R492">
        <f>ROUND(O492-P492,2)</f>
        <v/>
      </c>
      <c r="S492">
        <f>ROUND(O492-Q492,2)</f>
        <v/>
      </c>
      <c r="T492" s="3">
        <f>IFERROR(P492/O492,"")</f>
        <v/>
      </c>
      <c r="U492" s="3">
        <f>IFERROR(Q492/O492,"")</f>
        <v/>
      </c>
      <c r="V492" t="n">
        <v>72</v>
      </c>
      <c r="W492" t="n">
        <v>0</v>
      </c>
      <c r="X492" t="n">
        <v>0</v>
      </c>
      <c r="Y492">
        <f>ROUND(V492-W492,2)</f>
        <v/>
      </c>
      <c r="Z492">
        <f>ROUND(V492-X492,2)</f>
        <v/>
      </c>
      <c r="AA492" s="3">
        <f>IFERROR(W492/V492,"")</f>
        <v/>
      </c>
      <c r="AB492" s="3">
        <f>IFERROR(X492/V492,"")</f>
        <v/>
      </c>
      <c r="AC492" t="b">
        <v>0</v>
      </c>
      <c r="AD492" t="b">
        <v>0</v>
      </c>
      <c r="AE492" t="b">
        <v>0</v>
      </c>
      <c r="AF492" t="inlineStr">
        <is>
          <t>No</t>
        </is>
      </c>
      <c r="AI492" t="b">
        <v>0</v>
      </c>
      <c r="AJ492" t="n">
        <v>0</v>
      </c>
      <c r="AK492" t="inlineStr"/>
      <c r="AL492" t="inlineStr">
        <is>
          <t>ORG cIT</t>
        </is>
      </c>
      <c r="AM492" t="inlineStr">
        <is>
          <t>cIT IT Services</t>
        </is>
      </c>
      <c r="AN492" t="inlineStr">
        <is>
          <t>cIT Service Delivery Magdeburg (Steffen A.)</t>
        </is>
      </c>
      <c r="AO492" t="inlineStr">
        <is>
          <t>craftingIT GmbH</t>
        </is>
      </c>
      <c r="AP492" t="inlineStr">
        <is>
          <t>Magdeburg</t>
        </is>
      </c>
      <c r="AQ492" t="inlineStr">
        <is>
          <t>Marcel Kelle</t>
        </is>
      </c>
    </row>
    <row r="493">
      <c r="A493" t="inlineStr">
        <is>
          <t>10388</t>
        </is>
      </c>
      <c r="B493" t="inlineStr">
        <is>
          <t>C04860</t>
        </is>
      </c>
      <c r="C493" t="inlineStr">
        <is>
          <t>https://app.matchical.com/Consulting/ConsultantDetail?ConsultantId=ad409db2-432e-42a0-a1a0-61e098e6aea7</t>
        </is>
      </c>
      <c r="D493" t="inlineStr">
        <is>
          <t>Robin Rapp</t>
        </is>
      </c>
      <c r="E493" t="inlineStr">
        <is>
          <t>robin.rapp@bridging-it.de</t>
        </is>
      </c>
      <c r="F493" s="2" t="n">
        <v>45962</v>
      </c>
      <c r="G493" s="2" t="n">
        <v>43739</v>
      </c>
      <c r="H493" t="n">
        <v>6</v>
      </c>
      <c r="I493" t="n">
        <v>0</v>
      </c>
      <c r="J493" t="n">
        <v>0</v>
      </c>
      <c r="L493" s="2" t="n">
        <v>45351</v>
      </c>
      <c r="M493" s="2" t="n">
        <v>45746</v>
      </c>
      <c r="N493" t="b">
        <v>0</v>
      </c>
      <c r="O493" t="n">
        <v>4</v>
      </c>
      <c r="P493" t="n">
        <v>0</v>
      </c>
      <c r="Q493" t="n">
        <v>0</v>
      </c>
      <c r="R493">
        <f>ROUND(O493-P493,2)</f>
        <v/>
      </c>
      <c r="S493">
        <f>ROUND(O493-Q493,2)</f>
        <v/>
      </c>
      <c r="T493" s="3">
        <f>IFERROR(P493/O493,"")</f>
        <v/>
      </c>
      <c r="U493" s="3">
        <f>IFERROR(Q493/O493,"")</f>
        <v/>
      </c>
      <c r="V493" t="n">
        <v>73</v>
      </c>
      <c r="W493" t="n">
        <v>92.97</v>
      </c>
      <c r="X493" t="n">
        <v>62.98</v>
      </c>
      <c r="Y493">
        <f>ROUND(V493-W493,2)</f>
        <v/>
      </c>
      <c r="Z493">
        <f>ROUND(V493-X493,2)</f>
        <v/>
      </c>
      <c r="AA493" s="3">
        <f>IFERROR(W493/V493,"")</f>
        <v/>
      </c>
      <c r="AB493" s="3">
        <f>IFERROR(X493/V493,"")</f>
        <v/>
      </c>
      <c r="AC493" t="b">
        <v>0</v>
      </c>
      <c r="AD493" t="b">
        <v>0</v>
      </c>
      <c r="AE493" t="b">
        <v>0</v>
      </c>
      <c r="AF493" t="inlineStr">
        <is>
          <t>No</t>
        </is>
      </c>
      <c r="AI493" t="b">
        <v>1</v>
      </c>
      <c r="AJ493" t="n">
        <v>0</v>
      </c>
      <c r="AK493" t="inlineStr">
        <is>
          <t>Business Analyst, Project Manager, Product Owner and Solution Architect. Experience in software development, Master Data Management, SAP, process digitization, sales, contract management and engagement management, as well as in a leadership role.</t>
        </is>
      </c>
      <c r="AL493" t="inlineStr">
        <is>
          <t>DO Digital Organizations (Michael H.)</t>
        </is>
      </c>
      <c r="AM493" t="inlineStr">
        <is>
          <t>BT Business Transform. III (Valerie L.)</t>
        </is>
      </c>
      <c r="AN493" t="inlineStr">
        <is>
          <t>BT Business Transformation (Julian D.)</t>
        </is>
      </c>
      <c r="AO493" t="inlineStr">
        <is>
          <t>bridgingIT GmbH</t>
        </is>
      </c>
      <c r="AP493" t="inlineStr">
        <is>
          <t>Stuttgart</t>
        </is>
      </c>
      <c r="AQ493" t="inlineStr">
        <is>
          <t>Valerie Lorenz</t>
        </is>
      </c>
    </row>
    <row r="494">
      <c r="A494" t="inlineStr">
        <is>
          <t>10315</t>
        </is>
      </c>
      <c r="B494" t="inlineStr">
        <is>
          <t>7ACF6C</t>
        </is>
      </c>
      <c r="C494" t="inlineStr">
        <is>
          <t>https://app.matchical.com/Consulting/ConsultantDetail?ConsultantId=771821af-a7a4-4b94-a4f7-f96a05caea52</t>
        </is>
      </c>
      <c r="D494" t="inlineStr">
        <is>
          <t>Robin Schmoldt</t>
        </is>
      </c>
      <c r="E494" t="inlineStr">
        <is>
          <t>robin.schmoldt@fastahead.com</t>
        </is>
      </c>
      <c r="F494" s="2" t="n">
        <v>45579</v>
      </c>
      <c r="G494" s="2" t="n">
        <v>42644</v>
      </c>
      <c r="H494" t="n">
        <v>10</v>
      </c>
      <c r="I494" t="n">
        <v>0</v>
      </c>
      <c r="J494" t="n">
        <v>0</v>
      </c>
      <c r="L494" s="2" t="n">
        <v>45747</v>
      </c>
      <c r="M494" s="2" t="n">
        <v>45868</v>
      </c>
      <c r="N494" t="b">
        <v>0</v>
      </c>
      <c r="O494" t="n">
        <v>16</v>
      </c>
      <c r="P494" t="n">
        <v>4</v>
      </c>
      <c r="Q494" t="n">
        <v>4</v>
      </c>
      <c r="R494">
        <f>ROUND(O494-P494,2)</f>
        <v/>
      </c>
      <c r="S494">
        <f>ROUND(O494-Q494,2)</f>
        <v/>
      </c>
      <c r="T494" s="3">
        <f>IFERROR(P494/O494,"")</f>
        <v/>
      </c>
      <c r="U494" s="3">
        <f>IFERROR(Q494/O494,"")</f>
        <v/>
      </c>
      <c r="V494" t="n">
        <v>96</v>
      </c>
      <c r="W494" t="n">
        <v>84</v>
      </c>
      <c r="X494" t="n">
        <v>59</v>
      </c>
      <c r="Y494">
        <f>ROUND(V494-W494,2)</f>
        <v/>
      </c>
      <c r="Z494">
        <f>ROUND(V494-X494,2)</f>
        <v/>
      </c>
      <c r="AA494" s="3">
        <f>IFERROR(W494/V494,"")</f>
        <v/>
      </c>
      <c r="AB494" s="3">
        <f>IFERROR(X494/V494,"")</f>
        <v/>
      </c>
      <c r="AC494" t="b">
        <v>0</v>
      </c>
      <c r="AD494" t="b">
        <v>0</v>
      </c>
      <c r="AE494" t="b">
        <v>0</v>
      </c>
      <c r="AF494" t="inlineStr">
        <is>
          <t>No</t>
        </is>
      </c>
      <c r="AI494" t="b">
        <v>1</v>
      </c>
      <c r="AJ494" t="n">
        <v>0</v>
      </c>
      <c r="AK494" t="inlineStr"/>
      <c r="AL494" t="inlineStr">
        <is>
          <t>ORG fastahead GmbH &amp; Co. KG</t>
        </is>
      </c>
      <c r="AM494" t="inlineStr">
        <is>
          <t>IT-Strategy &amp; EAM (D. Rheinwalt)</t>
        </is>
      </c>
      <c r="AN494" t="inlineStr">
        <is>
          <t>fah Daniel Rheinwalt</t>
        </is>
      </c>
      <c r="AO494" t="inlineStr">
        <is>
          <t>fastahead GmbH &amp; Co. KG</t>
        </is>
      </c>
      <c r="AP494" t="inlineStr">
        <is>
          <t>Stuttgart</t>
        </is>
      </c>
      <c r="AQ494" t="inlineStr">
        <is>
          <t>Daniel Rheinwalt</t>
        </is>
      </c>
    </row>
    <row r="495">
      <c r="A495" t="inlineStr">
        <is>
          <t>5096</t>
        </is>
      </c>
      <c r="B495" t="inlineStr">
        <is>
          <t>A31BC5</t>
        </is>
      </c>
      <c r="C495" t="inlineStr">
        <is>
          <t>https://app.matchical.com/Consulting/ConsultantDetail?ConsultantId=4788f0fa-5cc9-4313-a696-15a4f73014f6</t>
        </is>
      </c>
      <c r="D495" t="inlineStr">
        <is>
          <t>Rojen Alexander-Gregorian</t>
        </is>
      </c>
      <c r="E495" t="inlineStr">
        <is>
          <t>rojen.alexander-gregorian@bridging-it.de</t>
        </is>
      </c>
      <c r="F495" s="2" t="n">
        <v>44593</v>
      </c>
      <c r="G495" s="2" t="n">
        <v>37685</v>
      </c>
      <c r="H495" t="n">
        <v>25</v>
      </c>
      <c r="I495" t="n">
        <v>1</v>
      </c>
      <c r="J495" t="n">
        <v>1</v>
      </c>
      <c r="K495" s="2" t="n">
        <v>45351</v>
      </c>
      <c r="L495" s="2" t="n">
        <v>45838</v>
      </c>
      <c r="M495" s="2" t="n">
        <v>46022</v>
      </c>
      <c r="N495" t="b">
        <v>0</v>
      </c>
      <c r="O495" t="n">
        <v>49</v>
      </c>
      <c r="P495" t="n">
        <v>132.48</v>
      </c>
      <c r="Q495" t="n">
        <v>41.48</v>
      </c>
      <c r="R495">
        <f>ROUND(O495-P495,2)</f>
        <v/>
      </c>
      <c r="S495">
        <f>ROUND(O495-Q495,2)</f>
        <v/>
      </c>
      <c r="T495" s="3">
        <f>IFERROR(P495/O495,"")</f>
        <v/>
      </c>
      <c r="U495" s="3">
        <f>IFERROR(Q495/O495,"")</f>
        <v/>
      </c>
      <c r="V495" t="n">
        <v>227</v>
      </c>
      <c r="W495" t="n">
        <v>22</v>
      </c>
      <c r="X495" t="n">
        <v>22</v>
      </c>
      <c r="Y495">
        <f>ROUND(V495-W495,2)</f>
        <v/>
      </c>
      <c r="Z495">
        <f>ROUND(V495-X495,2)</f>
        <v/>
      </c>
      <c r="AA495" s="3">
        <f>IFERROR(W495/V495,"")</f>
        <v/>
      </c>
      <c r="AB495" s="3">
        <f>IFERROR(X495/V495,"")</f>
        <v/>
      </c>
      <c r="AC495" t="b">
        <v>0</v>
      </c>
      <c r="AD495" t="b">
        <v>0</v>
      </c>
      <c r="AE495" t="b">
        <v>0</v>
      </c>
      <c r="AF495" t="inlineStr">
        <is>
          <t>Yes</t>
        </is>
      </c>
      <c r="AG495" s="2" t="n">
        <v>46113</v>
      </c>
      <c r="AI495" t="b">
        <v>1</v>
      </c>
      <c r="AJ495" t="n">
        <v>4.55</v>
      </c>
      <c r="AK495" t="inlineStr"/>
      <c r="AL495" t="inlineStr">
        <is>
          <t>ORG bIT</t>
        </is>
      </c>
      <c r="AM495" t="inlineStr">
        <is>
          <t>DOC - Digital Organization Cologne (Diana G.)</t>
        </is>
      </c>
      <c r="AN495" t="inlineStr">
        <is>
          <t>BTC - Business Transformation Cologne (Anna S.)</t>
        </is>
      </c>
      <c r="AO495" t="inlineStr">
        <is>
          <t>bridgingIT GmbH</t>
        </is>
      </c>
      <c r="AP495" t="inlineStr">
        <is>
          <t>Köln</t>
        </is>
      </c>
      <c r="AQ495" t="inlineStr">
        <is>
          <t>Diana Gülker</t>
        </is>
      </c>
    </row>
    <row r="496">
      <c r="A496" t="inlineStr">
        <is>
          <t>1373</t>
        </is>
      </c>
      <c r="B496" t="inlineStr">
        <is>
          <t>16C310</t>
        </is>
      </c>
      <c r="C496" t="inlineStr">
        <is>
          <t>https://app.matchical.com/Consulting/ConsultantDetail?ConsultantId=74b1fd90-fcbd-45ac-8cce-37b66e106d29</t>
        </is>
      </c>
      <c r="D496" t="inlineStr">
        <is>
          <t>Roland Hagemann</t>
        </is>
      </c>
      <c r="E496" t="inlineStr">
        <is>
          <t>roland.hagemann@bridging-it.de</t>
        </is>
      </c>
      <c r="F496" s="2" t="n">
        <v>42705</v>
      </c>
      <c r="G496" s="2" t="n">
        <v>39873</v>
      </c>
      <c r="H496" t="n">
        <v>25</v>
      </c>
      <c r="I496" t="n">
        <v>0</v>
      </c>
      <c r="J496" t="n">
        <v>1</v>
      </c>
      <c r="K496" s="2" t="n">
        <v>44207</v>
      </c>
      <c r="L496" s="2" t="n">
        <v>45658</v>
      </c>
      <c r="M496" s="2" t="n">
        <v>45961</v>
      </c>
      <c r="N496" t="b">
        <v>0</v>
      </c>
      <c r="O496" t="n">
        <v>111</v>
      </c>
      <c r="P496" t="n">
        <v>190</v>
      </c>
      <c r="Q496" t="n">
        <v>110.78</v>
      </c>
      <c r="R496">
        <f>ROUND(O496-P496,2)</f>
        <v/>
      </c>
      <c r="S496">
        <f>ROUND(O496-Q496,2)</f>
        <v/>
      </c>
      <c r="T496" s="3">
        <f>IFERROR(P496/O496,"")</f>
        <v/>
      </c>
      <c r="U496" s="3">
        <f>IFERROR(Q496/O496,"")</f>
        <v/>
      </c>
      <c r="V496" t="n">
        <v>93</v>
      </c>
      <c r="W496" t="n">
        <v>63</v>
      </c>
      <c r="X496" t="n">
        <v>60</v>
      </c>
      <c r="Y496">
        <f>ROUND(V496-W496,2)</f>
        <v/>
      </c>
      <c r="Z496">
        <f>ROUND(V496-X496,2)</f>
        <v/>
      </c>
      <c r="AA496" s="3">
        <f>IFERROR(W496/V496,"")</f>
        <v/>
      </c>
      <c r="AB496" s="3">
        <f>IFERROR(X496/V496,"")</f>
        <v/>
      </c>
      <c r="AC496" t="b">
        <v>0</v>
      </c>
      <c r="AD496" t="b">
        <v>0</v>
      </c>
      <c r="AE496" t="b">
        <v>0</v>
      </c>
      <c r="AF496" t="inlineStr">
        <is>
          <t>No</t>
        </is>
      </c>
      <c r="AI496" t="b">
        <v>1</v>
      </c>
      <c r="AJ496" t="n">
        <v>0</v>
      </c>
      <c r="AK496" t="inlineStr">
        <is>
          <t>none</t>
        </is>
      </c>
      <c r="AL496" t="inlineStr">
        <is>
          <t>IT - Information Technology (Sebastian L.)</t>
        </is>
      </c>
      <c r="AM496" t="inlineStr">
        <is>
          <t>PAM Platform Architecture Management (David S.)</t>
        </is>
      </c>
      <c r="AN496" t="inlineStr">
        <is>
          <t>P&amp;DE - Platforms &amp; Digital Ecosystems (David S.)</t>
        </is>
      </c>
      <c r="AO496" t="inlineStr">
        <is>
          <t>bridgingIT GmbH</t>
        </is>
      </c>
      <c r="AP496" t="inlineStr">
        <is>
          <t>Mannheim</t>
        </is>
      </c>
      <c r="AQ496" t="inlineStr">
        <is>
          <t>David Schleweis</t>
        </is>
      </c>
    </row>
    <row r="497">
      <c r="A497" t="inlineStr">
        <is>
          <t>1026</t>
        </is>
      </c>
      <c r="B497" t="inlineStr">
        <is>
          <t>0B04AE</t>
        </is>
      </c>
      <c r="C497" t="inlineStr">
        <is>
          <t>https://app.matchical.com/Consulting/ConsultantDetail?ConsultantId=599caaeb-efc0-4c18-b174-1d95c9a8b035</t>
        </is>
      </c>
      <c r="D497" t="inlineStr">
        <is>
          <t>Roland Schöne</t>
        </is>
      </c>
      <c r="E497" t="inlineStr">
        <is>
          <t>roland.schoene@bridging-it.de</t>
        </is>
      </c>
      <c r="F497" s="2" t="n">
        <v>39569</v>
      </c>
      <c r="G497" s="2" t="n">
        <v>35704</v>
      </c>
      <c r="H497" t="n">
        <v>26</v>
      </c>
      <c r="I497" t="n">
        <v>0</v>
      </c>
      <c r="J497" t="n">
        <v>0</v>
      </c>
      <c r="L497" s="2" t="n">
        <v>43996</v>
      </c>
      <c r="M497" s="2" t="n">
        <v>45199</v>
      </c>
      <c r="N497" t="b">
        <v>0</v>
      </c>
      <c r="O497" t="n">
        <v>214</v>
      </c>
      <c r="P497" t="n">
        <v>277</v>
      </c>
      <c r="Q497" t="n">
        <v>179</v>
      </c>
      <c r="R497">
        <f>ROUND(O497-P497,2)</f>
        <v/>
      </c>
      <c r="S497">
        <f>ROUND(O497-Q497,2)</f>
        <v/>
      </c>
      <c r="T497" s="3">
        <f>IFERROR(P497/O497,"")</f>
        <v/>
      </c>
      <c r="U497" s="3">
        <f>IFERROR(Q497/O497,"")</f>
        <v/>
      </c>
      <c r="V497" t="n">
        <v>127</v>
      </c>
      <c r="W497" t="n">
        <v>130</v>
      </c>
      <c r="X497" t="n">
        <v>126.98</v>
      </c>
      <c r="Y497">
        <f>ROUND(V497-W497,2)</f>
        <v/>
      </c>
      <c r="Z497">
        <f>ROUND(V497-X497,2)</f>
        <v/>
      </c>
      <c r="AA497" s="3">
        <f>IFERROR(W497/V497,"")</f>
        <v/>
      </c>
      <c r="AB497" s="3">
        <f>IFERROR(X497/V497,"")</f>
        <v/>
      </c>
      <c r="AC497" t="b">
        <v>0</v>
      </c>
      <c r="AD497" t="b">
        <v>0</v>
      </c>
      <c r="AE497" t="b">
        <v>0</v>
      </c>
      <c r="AF497" t="inlineStr">
        <is>
          <t>No</t>
        </is>
      </c>
      <c r="AI497" t="b">
        <v>0</v>
      </c>
      <c r="AJ497" t="n">
        <v>0</v>
      </c>
      <c r="AK497" t="inlineStr"/>
      <c r="AL497" t="inlineStr">
        <is>
          <t>Sales BL</t>
        </is>
      </c>
      <c r="AM497" t="inlineStr">
        <is>
          <t>SAL Team Schöne</t>
        </is>
      </c>
      <c r="AN497" t="inlineStr">
        <is>
          <t>Capability Management (Tim T.)</t>
        </is>
      </c>
      <c r="AO497" t="inlineStr">
        <is>
          <t>bridgingIT GmbH</t>
        </is>
      </c>
      <c r="AP497" t="inlineStr">
        <is>
          <t>Mannheim</t>
        </is>
      </c>
      <c r="AQ497" t="inlineStr">
        <is>
          <t>Tim Thierfelder</t>
        </is>
      </c>
    </row>
    <row r="498">
      <c r="A498" t="inlineStr">
        <is>
          <t>9564</t>
        </is>
      </c>
      <c r="B498" t="inlineStr">
        <is>
          <t>27934A</t>
        </is>
      </c>
      <c r="C498" t="inlineStr">
        <is>
          <t>https://app.matchical.com/Consulting/ConsultantDetail?ConsultantId=01b6e090-0c01-4b1e-bc1c-881eb4a1a996</t>
        </is>
      </c>
      <c r="D498" t="inlineStr">
        <is>
          <t>Rolf Lehmann</t>
        </is>
      </c>
      <c r="E498" t="inlineStr">
        <is>
          <t>rolf.lehmann@leistungen.de</t>
        </is>
      </c>
      <c r="F498" s="2" t="n">
        <v>43374</v>
      </c>
      <c r="H498" t="n">
        <v>0</v>
      </c>
      <c r="I498" t="n">
        <v>0</v>
      </c>
      <c r="J498" t="n">
        <v>0</v>
      </c>
      <c r="N498" t="b">
        <v>1</v>
      </c>
      <c r="O498" t="n">
        <v>89</v>
      </c>
      <c r="P498" t="n">
        <v>0</v>
      </c>
      <c r="Q498" t="n">
        <v>0</v>
      </c>
      <c r="R498">
        <f>ROUND(O498-P498,2)</f>
        <v/>
      </c>
      <c r="S498">
        <f>ROUND(O498-Q498,2)</f>
        <v/>
      </c>
      <c r="T498" s="3">
        <f>IFERROR(P498/O498,"")</f>
        <v/>
      </c>
      <c r="U498" s="3">
        <f>IFERROR(Q498/O498,"")</f>
        <v/>
      </c>
      <c r="V498" t="n">
        <v>1425</v>
      </c>
      <c r="W498" t="n">
        <v>0</v>
      </c>
      <c r="X498" t="n">
        <v>0</v>
      </c>
      <c r="Y498">
        <f>ROUND(V498-W498,2)</f>
        <v/>
      </c>
      <c r="Z498">
        <f>ROUND(V498-X498,2)</f>
        <v/>
      </c>
      <c r="AA498" s="3">
        <f>IFERROR(W498/V498,"")</f>
        <v/>
      </c>
      <c r="AB498" s="3">
        <f>IFERROR(X498/V498,"")</f>
        <v/>
      </c>
      <c r="AC498" t="b">
        <v>0</v>
      </c>
      <c r="AD498" t="b">
        <v>0</v>
      </c>
      <c r="AE498" t="b">
        <v>0</v>
      </c>
      <c r="AF498" t="inlineStr">
        <is>
          <t>No</t>
        </is>
      </c>
      <c r="AI498" t="b">
        <v>1</v>
      </c>
      <c r="AJ498" t="n">
        <v>0</v>
      </c>
      <c r="AK498" t="inlineStr"/>
      <c r="AL498" t="inlineStr">
        <is>
          <t>Geschäftsleitung und Support</t>
        </is>
      </c>
      <c r="AM498" t="inlineStr">
        <is>
          <t>Support Externe Partner</t>
        </is>
      </c>
      <c r="AN498" t="inlineStr">
        <is>
          <t>Frank Wallner</t>
        </is>
      </c>
      <c r="AO498" t="inlineStr">
        <is>
          <t>bridgingIT GmbH</t>
        </is>
      </c>
      <c r="AP498" t="inlineStr">
        <is>
          <t>Mannheim</t>
        </is>
      </c>
      <c r="AQ498" t="inlineStr">
        <is>
          <t>Nina Beckenbach</t>
        </is>
      </c>
    </row>
    <row r="499">
      <c r="A499" t="inlineStr">
        <is>
          <t>2032</t>
        </is>
      </c>
      <c r="B499" t="inlineStr">
        <is>
          <t>A5AA28</t>
        </is>
      </c>
      <c r="C499" t="inlineStr">
        <is>
          <t>https://app.matchical.com/Consulting/ConsultantDetail?ConsultantId=f6e61147-754a-4eee-b9bb-e1383578c4c6</t>
        </is>
      </c>
      <c r="D499" t="inlineStr">
        <is>
          <t>Rolf Wentzel</t>
        </is>
      </c>
      <c r="E499" t="inlineStr">
        <is>
          <t>rolf.wentzel@bridging-it.de</t>
        </is>
      </c>
      <c r="F499" s="2" t="n">
        <v>40603</v>
      </c>
      <c r="G499" s="2" t="n">
        <v>31413</v>
      </c>
      <c r="H499" t="n">
        <v>29</v>
      </c>
      <c r="I499" t="n">
        <v>0</v>
      </c>
      <c r="J499" t="n">
        <v>0</v>
      </c>
      <c r="L499" s="2" t="n">
        <v>44985</v>
      </c>
      <c r="M499" s="2" t="n">
        <v>45199</v>
      </c>
      <c r="N499" t="b">
        <v>0</v>
      </c>
      <c r="O499" t="n">
        <v>180</v>
      </c>
      <c r="P499" t="n">
        <v>190</v>
      </c>
      <c r="Q499" t="n">
        <v>132</v>
      </c>
      <c r="R499">
        <f>ROUND(O499-P499,2)</f>
        <v/>
      </c>
      <c r="S499">
        <f>ROUND(O499-Q499,2)</f>
        <v/>
      </c>
      <c r="T499" s="3">
        <f>IFERROR(P499/O499,"")</f>
        <v/>
      </c>
      <c r="U499" s="3">
        <f>IFERROR(Q499/O499,"")</f>
        <v/>
      </c>
      <c r="V499" t="n">
        <v>302</v>
      </c>
      <c r="W499" t="n">
        <v>191</v>
      </c>
      <c r="X499" t="n">
        <v>191</v>
      </c>
      <c r="Y499">
        <f>ROUND(V499-W499,2)</f>
        <v/>
      </c>
      <c r="Z499">
        <f>ROUND(V499-X499,2)</f>
        <v/>
      </c>
      <c r="AA499" s="3">
        <f>IFERROR(W499/V499,"")</f>
        <v/>
      </c>
      <c r="AB499" s="3">
        <f>IFERROR(X499/V499,"")</f>
        <v/>
      </c>
      <c r="AC499" t="b">
        <v>0</v>
      </c>
      <c r="AD499" t="b">
        <v>0</v>
      </c>
      <c r="AE499" t="b">
        <v>0</v>
      </c>
      <c r="AF499" t="inlineStr">
        <is>
          <t>Yes</t>
        </is>
      </c>
      <c r="AG499" s="2" t="n">
        <v>46082</v>
      </c>
      <c r="AI499" t="b">
        <v>1</v>
      </c>
      <c r="AJ499" t="n">
        <v>3</v>
      </c>
      <c r="AK499" t="inlineStr">
        <is>
          <t>Experienced project manager (also agile), Solution Architect, and ITSM expert. Rolf stands out for consistently very positive customer feedback, high delivery quality, and experience in large corporations.</t>
        </is>
      </c>
      <c r="AL499" t="inlineStr">
        <is>
          <t>IT Information Technology (Hauke G.)</t>
        </is>
      </c>
      <c r="AM499" t="inlineStr">
        <is>
          <t>AM IT-Architecture Management (Wilfried W.)</t>
        </is>
      </c>
      <c r="AN499" t="inlineStr">
        <is>
          <t>ITM IT-Management (Jörg M.)</t>
        </is>
      </c>
      <c r="AO499" t="inlineStr">
        <is>
          <t>bridgingIT GmbH</t>
        </is>
      </c>
      <c r="AP499" t="inlineStr">
        <is>
          <t>Stuttgart</t>
        </is>
      </c>
      <c r="AQ499" t="inlineStr">
        <is>
          <t>Wilfried Wessel</t>
        </is>
      </c>
    </row>
    <row r="500">
      <c r="A500" t="inlineStr">
        <is>
          <t>10312</t>
        </is>
      </c>
      <c r="B500" t="inlineStr">
        <is>
          <t>76D1EA</t>
        </is>
      </c>
      <c r="C500" t="inlineStr">
        <is>
          <t>https://app.matchical.com/Consulting/ConsultantDetail?ConsultantId=e3d1cecc-520f-4d3a-aee4-b8ee7bddfca6</t>
        </is>
      </c>
      <c r="D500" t="inlineStr">
        <is>
          <t>Roman Adam</t>
        </is>
      </c>
      <c r="E500" t="inlineStr">
        <is>
          <t>roman.adam@bridging-it.de</t>
        </is>
      </c>
      <c r="F500" s="2" t="n">
        <v>45536</v>
      </c>
      <c r="G500" s="2" t="n">
        <v>37288</v>
      </c>
      <c r="H500" t="n">
        <v>6</v>
      </c>
      <c r="I500" t="n">
        <v>0</v>
      </c>
      <c r="J500" t="n">
        <v>0</v>
      </c>
      <c r="L500" s="2" t="n">
        <v>45543</v>
      </c>
      <c r="M500" s="2" t="n">
        <v>46022</v>
      </c>
      <c r="N500" t="b">
        <v>0</v>
      </c>
      <c r="O500" t="n">
        <v>18</v>
      </c>
      <c r="P500" t="n">
        <v>16</v>
      </c>
      <c r="Q500" t="n">
        <v>16</v>
      </c>
      <c r="R500">
        <f>ROUND(O500-P500,2)</f>
        <v/>
      </c>
      <c r="S500">
        <f>ROUND(O500-Q500,2)</f>
        <v/>
      </c>
      <c r="T500" s="3">
        <f>IFERROR(P500/O500,"")</f>
        <v/>
      </c>
      <c r="U500" s="3">
        <f>IFERROR(Q500/O500,"")</f>
        <v/>
      </c>
      <c r="V500" t="n">
        <v>271</v>
      </c>
      <c r="W500" t="n">
        <v>167</v>
      </c>
      <c r="X500" t="n">
        <v>128</v>
      </c>
      <c r="Y500">
        <f>ROUND(V500-W500,2)</f>
        <v/>
      </c>
      <c r="Z500">
        <f>ROUND(V500-X500,2)</f>
        <v/>
      </c>
      <c r="AA500" s="3">
        <f>IFERROR(W500/V500,"")</f>
        <v/>
      </c>
      <c r="AB500" s="3">
        <f>IFERROR(X500/V500,"")</f>
        <v/>
      </c>
      <c r="AC500" t="b">
        <v>0</v>
      </c>
      <c r="AD500" t="b">
        <v>0</v>
      </c>
      <c r="AE500" t="b">
        <v>0</v>
      </c>
      <c r="AF500" t="inlineStr">
        <is>
          <t>No</t>
        </is>
      </c>
      <c r="AI500" t="b">
        <v>1</v>
      </c>
      <c r="AJ500" t="n">
        <v>0</v>
      </c>
      <c r="AK500" t="inlineStr"/>
      <c r="AL500" t="inlineStr">
        <is>
          <t>ORG bIT Bayern</t>
        </is>
      </c>
      <c r="AM500" t="inlineStr">
        <is>
          <t>SEI Software Engineering I (Martin K.)</t>
        </is>
      </c>
      <c r="AN500" t="inlineStr">
        <is>
          <t>SEC Software Engineering &amp; Cloud (Eli G.)</t>
        </is>
      </c>
      <c r="AO500" t="inlineStr">
        <is>
          <t>bridgingIT GmbH</t>
        </is>
      </c>
      <c r="AP500" t="inlineStr">
        <is>
          <t>München</t>
        </is>
      </c>
      <c r="AQ500" t="inlineStr">
        <is>
          <t>Martin Kuck</t>
        </is>
      </c>
    </row>
    <row r="501">
      <c r="A501" t="inlineStr">
        <is>
          <t>7003</t>
        </is>
      </c>
      <c r="B501" t="inlineStr">
        <is>
          <t>524852</t>
        </is>
      </c>
      <c r="C501" t="inlineStr">
        <is>
          <t>https://app.matchical.com/Consulting/ConsultantDetail?ConsultantId=10fc0074-ad7d-4e8c-b5d8-0e9fca1243a1</t>
        </is>
      </c>
      <c r="D501" t="inlineStr">
        <is>
          <t>Ronnie Stendel</t>
        </is>
      </c>
      <c r="E501" t="inlineStr">
        <is>
          <t>ronnie.stendel@fastahead.com</t>
        </is>
      </c>
      <c r="F501" s="2" t="n">
        <v>42522</v>
      </c>
      <c r="G501" s="2" t="n">
        <v>39295</v>
      </c>
      <c r="H501" t="n">
        <v>8</v>
      </c>
      <c r="I501" t="n">
        <v>0</v>
      </c>
      <c r="J501" t="n">
        <v>1</v>
      </c>
      <c r="K501" s="2" t="n">
        <v>44957</v>
      </c>
      <c r="L501" s="2" t="n">
        <v>44880</v>
      </c>
      <c r="M501" s="2" t="n">
        <v>45107</v>
      </c>
      <c r="N501" t="b">
        <v>0</v>
      </c>
      <c r="O501" t="n">
        <v>117</v>
      </c>
      <c r="P501" t="n">
        <v>122.97</v>
      </c>
      <c r="Q501" t="n">
        <v>104.97</v>
      </c>
      <c r="R501">
        <f>ROUND(O501-P501,2)</f>
        <v/>
      </c>
      <c r="S501">
        <f>ROUND(O501-Q501,2)</f>
        <v/>
      </c>
      <c r="T501" s="3">
        <f>IFERROR(P501/O501,"")</f>
        <v/>
      </c>
      <c r="U501" s="3">
        <f>IFERROR(Q501/O501,"")</f>
        <v/>
      </c>
      <c r="V501" t="n">
        <v>106</v>
      </c>
      <c r="W501" t="n">
        <v>0.03</v>
      </c>
      <c r="X501" t="n">
        <v>0.03</v>
      </c>
      <c r="Y501">
        <f>ROUND(V501-W501,2)</f>
        <v/>
      </c>
      <c r="Z501">
        <f>ROUND(V501-X501,2)</f>
        <v/>
      </c>
      <c r="AA501" s="3">
        <f>IFERROR(W501/V501,"")</f>
        <v/>
      </c>
      <c r="AB501" s="3">
        <f>IFERROR(X501/V501,"")</f>
        <v/>
      </c>
      <c r="AC501" t="b">
        <v>0</v>
      </c>
      <c r="AD501" t="b">
        <v>0</v>
      </c>
      <c r="AE501" t="b">
        <v>0</v>
      </c>
      <c r="AF501" t="inlineStr">
        <is>
          <t>Yes</t>
        </is>
      </c>
      <c r="AG501" s="2" t="n">
        <v>46023</v>
      </c>
      <c r="AI501" t="b">
        <v>1</v>
      </c>
      <c r="AJ501" t="n">
        <v>5</v>
      </c>
      <c r="AK501" t="inlineStr"/>
      <c r="AL501" t="inlineStr">
        <is>
          <t>ORG fastahead GmbH &amp; Co. KG</t>
        </is>
      </c>
      <c r="AM501" t="inlineStr">
        <is>
          <t>User Experience Design</t>
        </is>
      </c>
      <c r="AN501" t="inlineStr">
        <is>
          <t>fah Tim Thierfelder</t>
        </is>
      </c>
      <c r="AO501" t="inlineStr">
        <is>
          <t>fastahead GmbH &amp; Co. KG</t>
        </is>
      </c>
      <c r="AP501" t="inlineStr">
        <is>
          <t>Berlin</t>
        </is>
      </c>
      <c r="AQ501" t="inlineStr">
        <is>
          <t>Anastasia Rettberg-Kluter</t>
        </is>
      </c>
    </row>
    <row r="502">
      <c r="A502" t="inlineStr">
        <is>
          <t>8429</t>
        </is>
      </c>
      <c r="B502" t="inlineStr">
        <is>
          <t>4B2BA8</t>
        </is>
      </c>
      <c r="C502" t="inlineStr">
        <is>
          <t>https://app.matchical.com/Consulting/ConsultantDetail?ConsultantId=75c5df43-0fbc-4ff2-a7ae-5fb22232be89</t>
        </is>
      </c>
      <c r="D502" t="inlineStr">
        <is>
          <t>Ronny Graf</t>
        </is>
      </c>
      <c r="E502" t="inlineStr">
        <is>
          <t>ronny.graf@crafting-it.de</t>
        </is>
      </c>
      <c r="F502" s="2" t="n">
        <v>43466</v>
      </c>
      <c r="G502" s="2" t="n">
        <v>39600</v>
      </c>
      <c r="H502" t="n">
        <v>22</v>
      </c>
      <c r="I502" t="n">
        <v>0</v>
      </c>
      <c r="J502" t="n">
        <v>0</v>
      </c>
      <c r="L502" s="2" t="n">
        <v>45659</v>
      </c>
      <c r="M502" s="2" t="n">
        <v>46022</v>
      </c>
      <c r="N502" t="b">
        <v>0</v>
      </c>
      <c r="O502" t="n">
        <v>86</v>
      </c>
      <c r="P502" t="n">
        <v>226.53</v>
      </c>
      <c r="Q502" t="n">
        <v>74.44</v>
      </c>
      <c r="R502">
        <f>ROUND(O502-P502,2)</f>
        <v/>
      </c>
      <c r="S502">
        <f>ROUND(O502-Q502,2)</f>
        <v/>
      </c>
      <c r="T502" s="3">
        <f>IFERROR(P502/O502,"")</f>
        <v/>
      </c>
      <c r="U502" s="3">
        <f>IFERROR(Q502/O502,"")</f>
        <v/>
      </c>
      <c r="V502" t="n">
        <v>127</v>
      </c>
      <c r="W502" t="n">
        <v>19.06</v>
      </c>
      <c r="X502" t="n">
        <v>19.06</v>
      </c>
      <c r="Y502">
        <f>ROUND(V502-W502,2)</f>
        <v/>
      </c>
      <c r="Z502">
        <f>ROUND(V502-X502,2)</f>
        <v/>
      </c>
      <c r="AA502" s="3">
        <f>IFERROR(W502/V502,"")</f>
        <v/>
      </c>
      <c r="AB502" s="3">
        <f>IFERROR(X502/V502,"")</f>
        <v/>
      </c>
      <c r="AC502" t="b">
        <v>0</v>
      </c>
      <c r="AD502" t="b">
        <v>0</v>
      </c>
      <c r="AE502" t="b">
        <v>0</v>
      </c>
      <c r="AF502" t="inlineStr">
        <is>
          <t>No</t>
        </is>
      </c>
      <c r="AI502" t="b">
        <v>1</v>
      </c>
      <c r="AJ502" t="n">
        <v>0</v>
      </c>
      <c r="AK502" t="inlineStr"/>
      <c r="AL502" t="inlineStr">
        <is>
          <t>ORG cIT 2</t>
        </is>
      </c>
      <c r="AM502" t="inlineStr">
        <is>
          <t>cIT Service Management</t>
        </is>
      </c>
      <c r="AN502" t="inlineStr">
        <is>
          <t>cIT Services allgemein (Christian K.)</t>
        </is>
      </c>
      <c r="AO502" t="inlineStr">
        <is>
          <t>craftingIT GmbH</t>
        </is>
      </c>
      <c r="AP502" t="inlineStr">
        <is>
          <t>Magdeburg</t>
        </is>
      </c>
      <c r="AQ502" t="inlineStr">
        <is>
          <t>Christopher Schweinsteiger</t>
        </is>
      </c>
    </row>
    <row r="503">
      <c r="A503" t="inlineStr">
        <is>
          <t>10078</t>
        </is>
      </c>
      <c r="B503" t="inlineStr">
        <is>
          <t>745890</t>
        </is>
      </c>
      <c r="C503" t="inlineStr">
        <is>
          <t>https://app.matchical.com/Consulting/ConsultantDetail?ConsultantId=f95a2a84-d4c4-4eaf-ab85-8ee90bc168c1</t>
        </is>
      </c>
      <c r="D503" t="inlineStr">
        <is>
          <t>Rüdiger Becker</t>
        </is>
      </c>
      <c r="E503" t="inlineStr">
        <is>
          <t>ruediger.becker@bridging-it.de</t>
        </is>
      </c>
      <c r="F503" s="2" t="n">
        <v>44986</v>
      </c>
      <c r="G503" s="2" t="n">
        <v>33878</v>
      </c>
      <c r="H503" t="n">
        <v>12</v>
      </c>
      <c r="I503" t="n">
        <v>0</v>
      </c>
      <c r="J503" t="n">
        <v>0</v>
      </c>
      <c r="L503" s="2" t="n">
        <v>45717</v>
      </c>
      <c r="M503" s="2" t="n">
        <v>46022</v>
      </c>
      <c r="N503" t="b">
        <v>0</v>
      </c>
      <c r="O503" t="n">
        <v>36</v>
      </c>
      <c r="P503" t="n">
        <v>33</v>
      </c>
      <c r="Q503" t="n">
        <v>23</v>
      </c>
      <c r="R503">
        <f>ROUND(O503-P503,2)</f>
        <v/>
      </c>
      <c r="S503">
        <f>ROUND(O503-Q503,2)</f>
        <v/>
      </c>
      <c r="T503" s="3">
        <f>IFERROR(P503/O503,"")</f>
        <v/>
      </c>
      <c r="U503" s="3">
        <f>IFERROR(Q503/O503,"")</f>
        <v/>
      </c>
      <c r="V503" t="n">
        <v>365</v>
      </c>
      <c r="W503" t="n">
        <v>153</v>
      </c>
      <c r="X503" t="n">
        <v>107</v>
      </c>
      <c r="Y503">
        <f>ROUND(V503-W503,2)</f>
        <v/>
      </c>
      <c r="Z503">
        <f>ROUND(V503-X503,2)</f>
        <v/>
      </c>
      <c r="AA503" s="3">
        <f>IFERROR(W503/V503,"")</f>
        <v/>
      </c>
      <c r="AB503" s="3">
        <f>IFERROR(X503/V503,"")</f>
        <v/>
      </c>
      <c r="AC503" t="b">
        <v>0</v>
      </c>
      <c r="AD503" t="b">
        <v>0</v>
      </c>
      <c r="AE503" t="b">
        <v>0</v>
      </c>
      <c r="AF503" t="inlineStr">
        <is>
          <t>No</t>
        </is>
      </c>
      <c r="AI503" t="b">
        <v>1</v>
      </c>
      <c r="AJ503" t="n">
        <v>0</v>
      </c>
      <c r="AK503" t="inlineStr">
        <is>
          <t>Technical Project Manager, PO, Service Manager</t>
        </is>
      </c>
      <c r="AL503" t="inlineStr">
        <is>
          <t>IT - Information Technology (Sebastian L.)</t>
        </is>
      </c>
      <c r="AM503" t="inlineStr">
        <is>
          <t>CS Collaboration Solutions (Sebastian P.)</t>
        </is>
      </c>
      <c r="AN503" t="inlineStr">
        <is>
          <t>P&amp;DE - Platforms &amp; Digital Ecosystems (David S.)</t>
        </is>
      </c>
      <c r="AO503" t="inlineStr">
        <is>
          <t>bridgingIT GmbH</t>
        </is>
      </c>
      <c r="AP503" t="inlineStr">
        <is>
          <t>Mannheim</t>
        </is>
      </c>
      <c r="AQ503" t="inlineStr">
        <is>
          <t>Sebastian Poth</t>
        </is>
      </c>
    </row>
    <row r="504">
      <c r="A504" t="inlineStr">
        <is>
          <t>10072</t>
        </is>
      </c>
      <c r="B504" t="inlineStr">
        <is>
          <t>61771A</t>
        </is>
      </c>
      <c r="C504" t="inlineStr">
        <is>
          <t>https://app.matchical.com/Consulting/ConsultantDetail?ConsultantId=46b902fe-ba5e-4774-958f-272105dbb5a2</t>
        </is>
      </c>
      <c r="D504" t="inlineStr">
        <is>
          <t>Rujuta Dandekar</t>
        </is>
      </c>
      <c r="E504" t="inlineStr">
        <is>
          <t>rujuta.dandekar@crafting-it.de</t>
        </is>
      </c>
      <c r="F504" s="2" t="n">
        <v>44941</v>
      </c>
      <c r="G504" s="2" t="n">
        <v>36192</v>
      </c>
      <c r="H504" t="n">
        <v>21</v>
      </c>
      <c r="I504" t="n">
        <v>0</v>
      </c>
      <c r="J504" t="n">
        <v>1</v>
      </c>
      <c r="K504" s="2" t="n">
        <v>45292</v>
      </c>
      <c r="L504" s="2" t="n">
        <v>45658</v>
      </c>
      <c r="M504" s="2" t="n">
        <v>46022</v>
      </c>
      <c r="N504" t="b">
        <v>0</v>
      </c>
      <c r="O504" t="n">
        <v>37</v>
      </c>
      <c r="P504" t="n">
        <v>190.46</v>
      </c>
      <c r="Q504" t="n">
        <v>18.55</v>
      </c>
      <c r="R504">
        <f>ROUND(O504-P504,2)</f>
        <v/>
      </c>
      <c r="S504">
        <f>ROUND(O504-Q504,2)</f>
        <v/>
      </c>
      <c r="T504" s="3">
        <f>IFERROR(P504/O504,"")</f>
        <v/>
      </c>
      <c r="U504" s="3">
        <f>IFERROR(Q504/O504,"")</f>
        <v/>
      </c>
      <c r="V504" t="n">
        <v>287</v>
      </c>
      <c r="W504" t="n">
        <v>0.5</v>
      </c>
      <c r="X504" t="n">
        <v>0.17</v>
      </c>
      <c r="Y504">
        <f>ROUND(V504-W504,2)</f>
        <v/>
      </c>
      <c r="Z504">
        <f>ROUND(V504-X504,2)</f>
        <v/>
      </c>
      <c r="AA504" s="3">
        <f>IFERROR(W504/V504,"")</f>
        <v/>
      </c>
      <c r="AB504" s="3">
        <f>IFERROR(X504/V504,"")</f>
        <v/>
      </c>
      <c r="AC504" t="b">
        <v>0</v>
      </c>
      <c r="AD504" t="b">
        <v>0</v>
      </c>
      <c r="AE504" t="b">
        <v>0</v>
      </c>
      <c r="AF504" t="inlineStr">
        <is>
          <t>Yes</t>
        </is>
      </c>
      <c r="AG504" s="2" t="n">
        <v>45809</v>
      </c>
      <c r="AI504" t="b">
        <v>1</v>
      </c>
      <c r="AJ504" t="n">
        <v>2</v>
      </c>
      <c r="AK504" t="inlineStr"/>
      <c r="AL504" t="inlineStr">
        <is>
          <t>ORG cIT</t>
        </is>
      </c>
      <c r="AM504" t="inlineStr">
        <is>
          <t>cIT IT Services</t>
        </is>
      </c>
      <c r="AN504" t="inlineStr">
        <is>
          <t>cIT Service Delivery Magdeburg (Steffen A.)</t>
        </is>
      </c>
      <c r="AO504" t="inlineStr">
        <is>
          <t>craftingIT GmbH</t>
        </is>
      </c>
      <c r="AP504" t="inlineStr">
        <is>
          <t>Magdeburg</t>
        </is>
      </c>
      <c r="AQ504" t="inlineStr">
        <is>
          <t>Marcel Kelle</t>
        </is>
      </c>
    </row>
    <row r="505">
      <c r="A505" t="inlineStr">
        <is>
          <t>8013</t>
        </is>
      </c>
      <c r="B505" t="inlineStr">
        <is>
          <t>D63E03</t>
        </is>
      </c>
      <c r="C505" t="inlineStr">
        <is>
          <t>https://app.matchical.com/Consulting/ConsultantDetail?ConsultantId=88887157-27a1-4cfb-9a4a-694c117da1a9</t>
        </is>
      </c>
      <c r="D505" t="inlineStr">
        <is>
          <t>Sabine Haack</t>
        </is>
      </c>
      <c r="E505" t="inlineStr">
        <is>
          <t>sabine.haack@crafting-it.de</t>
        </is>
      </c>
      <c r="F505" s="2" t="n">
        <v>41730</v>
      </c>
      <c r="G505" s="2" t="n">
        <v>40634</v>
      </c>
      <c r="H505" t="n">
        <v>6</v>
      </c>
      <c r="I505" t="n">
        <v>0</v>
      </c>
      <c r="J505" t="n">
        <v>4</v>
      </c>
      <c r="K505" s="2" t="n">
        <v>41729</v>
      </c>
      <c r="L505" s="2" t="n">
        <v>43101</v>
      </c>
      <c r="M505" s="2" t="n">
        <v>45472</v>
      </c>
      <c r="N505" t="b">
        <v>0</v>
      </c>
      <c r="O505" t="n">
        <v>143</v>
      </c>
      <c r="P505" t="n">
        <v>510.97</v>
      </c>
      <c r="Q505" t="n">
        <v>142.82</v>
      </c>
      <c r="R505">
        <f>ROUND(O505-P505,2)</f>
        <v/>
      </c>
      <c r="S505">
        <f>ROUND(O505-Q505,2)</f>
        <v/>
      </c>
      <c r="T505" s="3">
        <f>IFERROR(P505/O505,"")</f>
        <v/>
      </c>
      <c r="U505" s="3">
        <f>IFERROR(Q505/O505,"")</f>
        <v/>
      </c>
      <c r="V505" t="n">
        <v>36</v>
      </c>
      <c r="W505" t="n">
        <v>0.03</v>
      </c>
      <c r="X505" t="n">
        <v>0.01</v>
      </c>
      <c r="Y505">
        <f>ROUND(V505-W505,2)</f>
        <v/>
      </c>
      <c r="Z505">
        <f>ROUND(V505-X505,2)</f>
        <v/>
      </c>
      <c r="AA505" s="3">
        <f>IFERROR(W505/V505,"")</f>
        <v/>
      </c>
      <c r="AB505" s="3">
        <f>IFERROR(X505/V505,"")</f>
        <v/>
      </c>
      <c r="AC505" t="b">
        <v>0</v>
      </c>
      <c r="AD505" t="b">
        <v>0</v>
      </c>
      <c r="AE505" t="b">
        <v>0</v>
      </c>
      <c r="AF505" t="inlineStr">
        <is>
          <t>No</t>
        </is>
      </c>
      <c r="AI505" t="b">
        <v>1</v>
      </c>
      <c r="AJ505" t="n">
        <v>0</v>
      </c>
      <c r="AK505" t="inlineStr"/>
      <c r="AL505" t="inlineStr">
        <is>
          <t>ORG cIT 2</t>
        </is>
      </c>
      <c r="AM505" t="inlineStr">
        <is>
          <t>cIT Individualservices</t>
        </is>
      </c>
      <c r="AN505" t="inlineStr">
        <is>
          <t>LS Lokation Magdeburg (Alexander J.)</t>
        </is>
      </c>
      <c r="AO505" t="inlineStr">
        <is>
          <t>craftingIT GmbH</t>
        </is>
      </c>
      <c r="AP505" t="inlineStr">
        <is>
          <t>Magdeburg</t>
        </is>
      </c>
      <c r="AQ505" t="inlineStr">
        <is>
          <t>Alexander Jende</t>
        </is>
      </c>
    </row>
    <row r="506">
      <c r="A506" t="inlineStr">
        <is>
          <t>5080</t>
        </is>
      </c>
      <c r="B506" t="inlineStr">
        <is>
          <t>4F974D</t>
        </is>
      </c>
      <c r="C506" t="inlineStr">
        <is>
          <t>https://app.matchical.com/Consulting/ConsultantDetail?ConsultantId=770e3a2a-72c8-42a1-b535-3ae80cc6c342</t>
        </is>
      </c>
      <c r="D506" t="inlineStr">
        <is>
          <t>Sabine Mantz</t>
        </is>
      </c>
      <c r="E506" t="inlineStr">
        <is>
          <t>sabine.mantz@bridging-it.de</t>
        </is>
      </c>
      <c r="F506" s="2" t="n">
        <v>43556</v>
      </c>
      <c r="G506" s="2" t="n">
        <v>43556</v>
      </c>
      <c r="H506" t="n">
        <v>10</v>
      </c>
      <c r="I506" t="n">
        <v>0</v>
      </c>
      <c r="J506" t="n">
        <v>1</v>
      </c>
      <c r="K506" s="2" t="n">
        <v>44564</v>
      </c>
      <c r="L506" s="2" t="n">
        <v>44286</v>
      </c>
      <c r="M506" s="2" t="n">
        <v>44786</v>
      </c>
      <c r="N506" t="b">
        <v>0</v>
      </c>
      <c r="O506" t="n">
        <v>83</v>
      </c>
      <c r="P506" t="n">
        <v>124.87</v>
      </c>
      <c r="Q506" t="n">
        <v>74.92</v>
      </c>
      <c r="R506">
        <f>ROUND(O506-P506,2)</f>
        <v/>
      </c>
      <c r="S506">
        <f>ROUND(O506-Q506,2)</f>
        <v/>
      </c>
      <c r="T506" s="3">
        <f>IFERROR(P506/O506,"")</f>
        <v/>
      </c>
      <c r="U506" s="3">
        <f>IFERROR(Q506/O506,"")</f>
        <v/>
      </c>
      <c r="V506" t="n">
        <v>0</v>
      </c>
      <c r="W506" t="n">
        <v>0</v>
      </c>
      <c r="X506" t="n">
        <v>0</v>
      </c>
      <c r="Y506">
        <f>ROUND(V506-W506,2)</f>
        <v/>
      </c>
      <c r="Z506">
        <f>ROUND(V506-X506,2)</f>
        <v/>
      </c>
      <c r="AA506" s="3">
        <f>IFERROR(W506/V506,"")</f>
        <v/>
      </c>
      <c r="AB506" s="3">
        <f>IFERROR(X506/V506,"")</f>
        <v/>
      </c>
      <c r="AC506" t="b">
        <v>0</v>
      </c>
      <c r="AD506" t="b">
        <v>0</v>
      </c>
      <c r="AE506" t="b">
        <v>0</v>
      </c>
      <c r="AF506" t="inlineStr">
        <is>
          <t>Yes</t>
        </is>
      </c>
      <c r="AG506" s="2" t="n">
        <v>46082</v>
      </c>
      <c r="AI506" t="b">
        <v>1</v>
      </c>
      <c r="AJ506" t="n">
        <v>5</v>
      </c>
      <c r="AK506" t="inlineStr">
        <is>
          <t>Update December 30, 2025:
Sabine's assignment at 50Hertz expires on February 28, 2026 - She is looking for a follow-up project in the Data Platforms domain.</t>
        </is>
      </c>
      <c r="AL506" t="inlineStr">
        <is>
          <t>ORG bIT</t>
        </is>
      </c>
      <c r="AM506" t="inlineStr">
        <is>
          <t>DAC - Data Analytics Cologne (Manuel N.)</t>
        </is>
      </c>
      <c r="AN506" t="inlineStr">
        <is>
          <t>DPC - Datalytics &amp; Process Cologne (Claudia P.)</t>
        </is>
      </c>
      <c r="AO506" t="inlineStr">
        <is>
          <t>bridgingIT GmbH</t>
        </is>
      </c>
      <c r="AP506" t="inlineStr">
        <is>
          <t>Köln</t>
        </is>
      </c>
      <c r="AQ506" t="inlineStr">
        <is>
          <t>Manuel Niklos</t>
        </is>
      </c>
    </row>
    <row r="507">
      <c r="A507" t="inlineStr">
        <is>
          <t>1033</t>
        </is>
      </c>
      <c r="B507" t="inlineStr">
        <is>
          <t>C46C3A</t>
        </is>
      </c>
      <c r="C507" t="inlineStr">
        <is>
          <t>https://app.matchical.com/Consulting/ConsultantDetail?ConsultantId=7e40c8f8-55a8-4a25-a3d0-1fd22b921010</t>
        </is>
      </c>
      <c r="D507" t="inlineStr">
        <is>
          <t>Sabine Sessar</t>
        </is>
      </c>
      <c r="E507" t="inlineStr">
        <is>
          <t>sabine.sessar@bridging-it.de</t>
        </is>
      </c>
      <c r="F507" s="2" t="n">
        <v>39569</v>
      </c>
      <c r="G507" s="2" t="n">
        <v>36647</v>
      </c>
      <c r="H507" t="n">
        <v>16</v>
      </c>
      <c r="I507" t="n">
        <v>0</v>
      </c>
      <c r="J507" t="n">
        <v>0</v>
      </c>
      <c r="L507" s="2" t="n">
        <v>41913</v>
      </c>
      <c r="M507" s="2" t="n">
        <v>42735</v>
      </c>
      <c r="N507" t="b">
        <v>0</v>
      </c>
      <c r="O507" t="n">
        <v>214</v>
      </c>
      <c r="P507" t="n">
        <v>117.89</v>
      </c>
      <c r="Q507" t="n">
        <v>85.81999999999999</v>
      </c>
      <c r="R507">
        <f>ROUND(O507-P507,2)</f>
        <v/>
      </c>
      <c r="S507">
        <f>ROUND(O507-Q507,2)</f>
        <v/>
      </c>
      <c r="T507" s="3">
        <f>IFERROR(P507/O507,"")</f>
        <v/>
      </c>
      <c r="U507" s="3">
        <f>IFERROR(Q507/O507,"")</f>
        <v/>
      </c>
      <c r="V507" t="n">
        <v>96</v>
      </c>
      <c r="W507" t="n">
        <v>179.11</v>
      </c>
      <c r="X507" t="n">
        <v>91.18000000000001</v>
      </c>
      <c r="Y507">
        <f>ROUND(V507-W507,2)</f>
        <v/>
      </c>
      <c r="Z507">
        <f>ROUND(V507-X507,2)</f>
        <v/>
      </c>
      <c r="AA507" s="3">
        <f>IFERROR(W507/V507,"")</f>
        <v/>
      </c>
      <c r="AB507" s="3">
        <f>IFERROR(X507/V507,"")</f>
        <v/>
      </c>
      <c r="AC507" t="b">
        <v>0</v>
      </c>
      <c r="AD507" t="b">
        <v>0</v>
      </c>
      <c r="AE507" t="b">
        <v>0</v>
      </c>
      <c r="AF507" t="inlineStr">
        <is>
          <t>No</t>
        </is>
      </c>
      <c r="AG507" s="2" t="n">
        <v>44841</v>
      </c>
      <c r="AI507" t="b">
        <v>0</v>
      </c>
      <c r="AJ507" t="n">
        <v>0</v>
      </c>
      <c r="AK507" t="inlineStr"/>
      <c r="AL507" t="inlineStr">
        <is>
          <t>ORG bIT</t>
        </is>
      </c>
      <c r="AM507" t="inlineStr">
        <is>
          <t>Life Science Solutions FFM2 (Sabine S.)</t>
        </is>
      </c>
      <c r="AN507" t="inlineStr">
        <is>
          <t>CC Life Science Solutions (Sabine S.)</t>
        </is>
      </c>
      <c r="AO507" t="inlineStr">
        <is>
          <t>bridgingIT GmbH</t>
        </is>
      </c>
      <c r="AP507" t="inlineStr">
        <is>
          <t>Mannheim</t>
        </is>
      </c>
      <c r="AQ507" t="inlineStr">
        <is>
          <t>Gerrit Seewald</t>
        </is>
      </c>
    </row>
    <row r="508">
      <c r="A508" t="inlineStr">
        <is>
          <t>10361</t>
        </is>
      </c>
      <c r="B508" t="inlineStr">
        <is>
          <t>903EBD</t>
        </is>
      </c>
      <c r="C508" t="inlineStr">
        <is>
          <t>https://app.matchical.com/Consulting/ConsultantDetail?ConsultantId=d5402c5b-48d2-444f-8480-8bf2a3585666</t>
        </is>
      </c>
      <c r="D508" t="inlineStr">
        <is>
          <t>Sabrina Sachs</t>
        </is>
      </c>
      <c r="E508" t="inlineStr">
        <is>
          <t>sabrina.sachs@bridging-it.de</t>
        </is>
      </c>
      <c r="F508" s="2" t="n">
        <v>45962</v>
      </c>
      <c r="G508" s="2" t="n">
        <v>43221</v>
      </c>
      <c r="H508" t="n">
        <v>9</v>
      </c>
      <c r="I508" t="n">
        <v>0</v>
      </c>
      <c r="J508" t="n">
        <v>0</v>
      </c>
      <c r="L508" s="2" t="n">
        <v>45596</v>
      </c>
      <c r="M508" s="2" t="n">
        <v>45656</v>
      </c>
      <c r="N508" t="b">
        <v>0</v>
      </c>
      <c r="O508" t="n">
        <v>4</v>
      </c>
      <c r="P508" t="n">
        <v>0</v>
      </c>
      <c r="Q508" t="n">
        <v>0</v>
      </c>
      <c r="R508">
        <f>ROUND(O508-P508,2)</f>
        <v/>
      </c>
      <c r="S508">
        <f>ROUND(O508-Q508,2)</f>
        <v/>
      </c>
      <c r="T508" s="3">
        <f>IFERROR(P508/O508,"")</f>
        <v/>
      </c>
      <c r="U508" s="3">
        <f>IFERROR(Q508/O508,"")</f>
        <v/>
      </c>
      <c r="V508" t="n">
        <v>90</v>
      </c>
      <c r="W508" t="n">
        <v>159.99</v>
      </c>
      <c r="X508" t="n">
        <v>73.64</v>
      </c>
      <c r="Y508">
        <f>ROUND(V508-W508,2)</f>
        <v/>
      </c>
      <c r="Z508">
        <f>ROUND(V508-X508,2)</f>
        <v/>
      </c>
      <c r="AA508" s="3">
        <f>IFERROR(W508/V508,"")</f>
        <v/>
      </c>
      <c r="AB508" s="3">
        <f>IFERROR(X508/V508,"")</f>
        <v/>
      </c>
      <c r="AC508" t="b">
        <v>0</v>
      </c>
      <c r="AD508" t="b">
        <v>0</v>
      </c>
      <c r="AE508" t="b">
        <v>0</v>
      </c>
      <c r="AF508" t="inlineStr">
        <is>
          <t>No</t>
        </is>
      </c>
      <c r="AI508" t="b">
        <v>1</v>
      </c>
      <c r="AJ508" t="n">
        <v>0</v>
      </c>
      <c r="AK508" t="inlineStr">
        <is>
          <t>[SPIE] LLM &amp; Python Development for AI Prototypes (Mohammad Fatemi)
[Roche] Realization of AI use cases with Tanja Schmidt (Christian Wolf)</t>
        </is>
      </c>
      <c r="AL508" t="inlineStr">
        <is>
          <t>A&amp;SE Analytics &amp; Software Engineering (Philip R.)</t>
        </is>
      </c>
      <c r="AM508" t="inlineStr">
        <is>
          <t>AI Artificial Intelligence (Philip R.)</t>
        </is>
      </c>
      <c r="AN508" t="inlineStr">
        <is>
          <t>A&amp;SE Analytics &amp; Software Engineering (Philip R.)</t>
        </is>
      </c>
      <c r="AO508" t="inlineStr">
        <is>
          <t>bridgingIT GmbH</t>
        </is>
      </c>
      <c r="AP508" t="inlineStr">
        <is>
          <t>Mannheim</t>
        </is>
      </c>
      <c r="AQ508" t="inlineStr">
        <is>
          <t>Philip Rausch</t>
        </is>
      </c>
    </row>
    <row r="509">
      <c r="A509" t="inlineStr">
        <is>
          <t>4132</t>
        </is>
      </c>
      <c r="B509" t="inlineStr">
        <is>
          <t>410A59</t>
        </is>
      </c>
      <c r="C509" t="inlineStr">
        <is>
          <t>https://app.matchical.com/Consulting/ConsultantDetail?ConsultantId=65f27548-fa74-473a-86e0-a5450ed41ddb</t>
        </is>
      </c>
      <c r="D509" t="inlineStr">
        <is>
          <t>Said Oukacha</t>
        </is>
      </c>
      <c r="E509" t="inlineStr">
        <is>
          <t>said.oukacha@bridging-it.de</t>
        </is>
      </c>
      <c r="F509" s="2" t="n">
        <v>44409</v>
      </c>
      <c r="G509" s="2" t="n">
        <v>43647</v>
      </c>
      <c r="H509" t="n">
        <v>9</v>
      </c>
      <c r="I509" t="n">
        <v>1</v>
      </c>
      <c r="J509" t="n">
        <v>0</v>
      </c>
      <c r="L509" s="2" t="n">
        <v>45777</v>
      </c>
      <c r="M509" s="2" t="n">
        <v>46022</v>
      </c>
      <c r="N509" t="b">
        <v>0</v>
      </c>
      <c r="O509" t="n">
        <v>55</v>
      </c>
      <c r="P509" t="n">
        <v>48.98</v>
      </c>
      <c r="Q509" t="n">
        <v>48.98</v>
      </c>
      <c r="R509">
        <f>ROUND(O509-P509,2)</f>
        <v/>
      </c>
      <c r="S509">
        <f>ROUND(O509-Q509,2)</f>
        <v/>
      </c>
      <c r="T509" s="3">
        <f>IFERROR(P509/O509,"")</f>
        <v/>
      </c>
      <c r="U509" s="3">
        <f>IFERROR(Q509/O509,"")</f>
        <v/>
      </c>
      <c r="V509" t="n">
        <v>25</v>
      </c>
      <c r="W509" t="n">
        <v>23.02</v>
      </c>
      <c r="X509" t="n">
        <v>23.02</v>
      </c>
      <c r="Y509">
        <f>ROUND(V509-W509,2)</f>
        <v/>
      </c>
      <c r="Z509">
        <f>ROUND(V509-X509,2)</f>
        <v/>
      </c>
      <c r="AA509" s="3">
        <f>IFERROR(W509/V509,"")</f>
        <v/>
      </c>
      <c r="AB509" s="3">
        <f>IFERROR(X509/V509,"")</f>
        <v/>
      </c>
      <c r="AC509" t="b">
        <v>0</v>
      </c>
      <c r="AD509" t="b">
        <v>0</v>
      </c>
      <c r="AE509" t="b">
        <v>0</v>
      </c>
      <c r="AF509" t="inlineStr">
        <is>
          <t>Yes</t>
        </is>
      </c>
      <c r="AG509" s="2" t="n">
        <v>46204</v>
      </c>
      <c r="AI509" t="b">
        <v>1</v>
      </c>
      <c r="AJ509" t="n">
        <v>5</v>
      </c>
      <c r="AK509" t="inlineStr"/>
      <c r="AL509" t="inlineStr">
        <is>
          <t>ORG bIT Bayern</t>
        </is>
      </c>
      <c r="AM509" t="inlineStr">
        <is>
          <t>SEI Software Engineering I (Martin K.)</t>
        </is>
      </c>
      <c r="AN509" t="inlineStr">
        <is>
          <t>SEC Software Engineering &amp; Cloud (Eli G.)</t>
        </is>
      </c>
      <c r="AO509" t="inlineStr">
        <is>
          <t>bridgingIT GmbH</t>
        </is>
      </c>
      <c r="AP509" t="inlineStr">
        <is>
          <t>München</t>
        </is>
      </c>
      <c r="AQ509" t="inlineStr">
        <is>
          <t>Martin Kuck</t>
        </is>
      </c>
    </row>
    <row r="510">
      <c r="A510" t="inlineStr">
        <is>
          <t>2073</t>
        </is>
      </c>
      <c r="B510" t="inlineStr">
        <is>
          <t>F8AEDF</t>
        </is>
      </c>
      <c r="C510" t="inlineStr">
        <is>
          <t>https://app.matchical.com/Consulting/ConsultantDetail?ConsultantId=f35e5cd1-fc9e-4dd8-9c21-a612374e29ad</t>
        </is>
      </c>
      <c r="D510" t="inlineStr">
        <is>
          <t>Sandro Osswald</t>
        </is>
      </c>
      <c r="E510" t="inlineStr">
        <is>
          <t>sandro.osswald@bridging-it.de</t>
        </is>
      </c>
      <c r="F510" s="2" t="n">
        <v>41365</v>
      </c>
      <c r="G510" s="2" t="n">
        <v>40452</v>
      </c>
      <c r="H510" t="n">
        <v>75</v>
      </c>
      <c r="I510" t="n">
        <v>0</v>
      </c>
      <c r="J510" t="n">
        <v>5</v>
      </c>
      <c r="K510" s="2" t="n">
        <v>43496</v>
      </c>
      <c r="L510" s="2" t="n">
        <v>45778</v>
      </c>
      <c r="M510" s="2" t="n">
        <v>45869</v>
      </c>
      <c r="N510" t="b">
        <v>0</v>
      </c>
      <c r="O510" t="n">
        <v>155</v>
      </c>
      <c r="P510" t="n">
        <v>386</v>
      </c>
      <c r="Q510" t="n">
        <v>154.81</v>
      </c>
      <c r="R510">
        <f>ROUND(O510-P510,2)</f>
        <v/>
      </c>
      <c r="S510">
        <f>ROUND(O510-Q510,2)</f>
        <v/>
      </c>
      <c r="T510" s="3">
        <f>IFERROR(P510/O510,"")</f>
        <v/>
      </c>
      <c r="U510" s="3">
        <f>IFERROR(Q510/O510,"")</f>
        <v/>
      </c>
      <c r="V510" t="n">
        <v>30</v>
      </c>
      <c r="W510" t="n">
        <v>30.06</v>
      </c>
      <c r="X510" t="n">
        <v>30</v>
      </c>
      <c r="Y510">
        <f>ROUND(V510-W510,2)</f>
        <v/>
      </c>
      <c r="Z510">
        <f>ROUND(V510-X510,2)</f>
        <v/>
      </c>
      <c r="AA510" s="3">
        <f>IFERROR(W510/V510,"")</f>
        <v/>
      </c>
      <c r="AB510" s="3">
        <f>IFERROR(X510/V510,"")</f>
        <v/>
      </c>
      <c r="AC510" t="b">
        <v>0</v>
      </c>
      <c r="AD510" t="b">
        <v>0</v>
      </c>
      <c r="AE510" t="b">
        <v>0</v>
      </c>
      <c r="AF510" t="inlineStr">
        <is>
          <t>No</t>
        </is>
      </c>
      <c r="AI510" t="b">
        <v>0</v>
      </c>
      <c r="AJ510" t="n">
        <v>4</v>
      </c>
      <c r="AK510" t="inlineStr">
        <is>
          <t>Use cases:
* FirstSpirit - frontend and backend, highly suitable
* Java - well suited, here a tandem with René Springmeier to broaden knowledge in this area would be feasible and desirable</t>
        </is>
      </c>
      <c r="AL510" t="inlineStr">
        <is>
          <t>ES Enterprise Solutions (Gina H.)</t>
        </is>
      </c>
      <c r="AM510" t="inlineStr">
        <is>
          <t>CC Content &amp; Collaboration (Frank G.)</t>
        </is>
      </c>
      <c r="AN510" t="inlineStr">
        <is>
          <t>PA Platform &amp; Application Solutions (Thomas K.)</t>
        </is>
      </c>
      <c r="AO510" t="inlineStr">
        <is>
          <t>bridgingIT GmbH</t>
        </is>
      </c>
      <c r="AP510" t="inlineStr">
        <is>
          <t>Stuttgart</t>
        </is>
      </c>
      <c r="AQ510" t="inlineStr">
        <is>
          <t>Frank Gärtner</t>
        </is>
      </c>
    </row>
    <row r="511">
      <c r="A511" t="inlineStr">
        <is>
          <t>10154</t>
        </is>
      </c>
      <c r="B511" t="inlineStr">
        <is>
          <t>C248C8</t>
        </is>
      </c>
      <c r="C511" t="inlineStr">
        <is>
          <t>https://app.matchical.com/Consulting/ConsultantDetail?ConsultantId=ffa56699-f169-48f3-8145-45ddbbd67088</t>
        </is>
      </c>
      <c r="D511" t="inlineStr">
        <is>
          <t>Sara Dunkel</t>
        </is>
      </c>
      <c r="E511" t="inlineStr">
        <is>
          <t>sara.dunkel@bridging-it.de</t>
        </is>
      </c>
      <c r="F511" s="2" t="n">
        <v>45124</v>
      </c>
      <c r="G511" s="2" t="n">
        <v>45108</v>
      </c>
      <c r="H511" t="n">
        <v>1</v>
      </c>
      <c r="I511" t="n">
        <v>0</v>
      </c>
      <c r="J511" t="n">
        <v>1</v>
      </c>
      <c r="K511" s="2" t="n">
        <v>45592</v>
      </c>
      <c r="N511" t="b">
        <v>0</v>
      </c>
      <c r="O511" t="n">
        <v>31</v>
      </c>
      <c r="P511" t="n">
        <v>15</v>
      </c>
      <c r="Q511" t="n">
        <v>15</v>
      </c>
      <c r="R511">
        <f>ROUND(O511-P511,2)</f>
        <v/>
      </c>
      <c r="S511">
        <f>ROUND(O511-Q511,2)</f>
        <v/>
      </c>
      <c r="T511" s="3">
        <f>IFERROR(P511/O511,"")</f>
        <v/>
      </c>
      <c r="U511" s="3">
        <f>IFERROR(Q511/O511,"")</f>
        <v/>
      </c>
      <c r="V511" t="n">
        <v>1</v>
      </c>
      <c r="W511" t="n">
        <v>0</v>
      </c>
      <c r="X511" t="n">
        <v>0</v>
      </c>
      <c r="Y511">
        <f>ROUND(V511-W511,2)</f>
        <v/>
      </c>
      <c r="Z511">
        <f>ROUND(V511-X511,2)</f>
        <v/>
      </c>
      <c r="AA511" s="3">
        <f>IFERROR(W511/V511,"")</f>
        <v/>
      </c>
      <c r="AB511" s="3">
        <f>IFERROR(X511/V511,"")</f>
        <v/>
      </c>
      <c r="AC511" t="b">
        <v>0</v>
      </c>
      <c r="AD511" t="b">
        <v>0</v>
      </c>
      <c r="AE511" t="b">
        <v>0</v>
      </c>
      <c r="AF511" t="inlineStr">
        <is>
          <t>No</t>
        </is>
      </c>
      <c r="AI511" t="b">
        <v>1</v>
      </c>
      <c r="AJ511" t="n">
        <v>0</v>
      </c>
      <c r="AK511" t="inlineStr"/>
      <c r="AL511" t="inlineStr">
        <is>
          <t>A&amp;SE Analytics &amp; Software Engineering (Philip R.)</t>
        </is>
      </c>
      <c r="AM511" t="inlineStr">
        <is>
          <t>FA Fullstack Astronauts (Jochen K.)</t>
        </is>
      </c>
      <c r="AN511" t="inlineStr">
        <is>
          <t>FUN Fullstack Ninjas (Stefan Z.)</t>
        </is>
      </c>
      <c r="AO511" t="inlineStr">
        <is>
          <t>bridgingIT GmbH</t>
        </is>
      </c>
      <c r="AP511" t="inlineStr">
        <is>
          <t>Mannheim</t>
        </is>
      </c>
      <c r="AQ511" t="inlineStr">
        <is>
          <t>Jochen Kraushaar</t>
        </is>
      </c>
    </row>
    <row r="512">
      <c r="A512" t="inlineStr">
        <is>
          <t>10122</t>
        </is>
      </c>
      <c r="B512" t="inlineStr">
        <is>
          <t>3C80F3</t>
        </is>
      </c>
      <c r="C512" t="inlineStr">
        <is>
          <t>https://app.matchical.com/Consulting/ConsultantDetail?ConsultantId=83c3679a-bb81-44ea-847d-b1de7c36003e</t>
        </is>
      </c>
      <c r="D512" t="inlineStr">
        <is>
          <t>Sarah Prinz</t>
        </is>
      </c>
      <c r="E512" t="inlineStr">
        <is>
          <t>sarah.prinz@bridging-it.de</t>
        </is>
      </c>
      <c r="F512" s="2" t="n">
        <v>45170</v>
      </c>
      <c r="G512" s="2" t="n">
        <v>45170</v>
      </c>
      <c r="H512" t="n">
        <v>5</v>
      </c>
      <c r="I512" t="n">
        <v>0</v>
      </c>
      <c r="J512" t="n">
        <v>0</v>
      </c>
      <c r="L512" s="2" t="n">
        <v>45474</v>
      </c>
      <c r="M512" s="2" t="n">
        <v>46021</v>
      </c>
      <c r="N512" t="b">
        <v>0</v>
      </c>
      <c r="O512" t="n">
        <v>30</v>
      </c>
      <c r="P512" t="n">
        <v>30</v>
      </c>
      <c r="Q512" t="n">
        <v>27</v>
      </c>
      <c r="R512">
        <f>ROUND(O512-P512,2)</f>
        <v/>
      </c>
      <c r="S512">
        <f>ROUND(O512-Q512,2)</f>
        <v/>
      </c>
      <c r="T512" s="3">
        <f>IFERROR(P512/O512,"")</f>
        <v/>
      </c>
      <c r="U512" s="3">
        <f>IFERROR(Q512/O512,"")</f>
        <v/>
      </c>
      <c r="V512" t="n">
        <v>0</v>
      </c>
      <c r="W512" t="n">
        <v>0</v>
      </c>
      <c r="X512" t="n">
        <v>0</v>
      </c>
      <c r="Y512">
        <f>ROUND(V512-W512,2)</f>
        <v/>
      </c>
      <c r="Z512">
        <f>ROUND(V512-X512,2)</f>
        <v/>
      </c>
      <c r="AA512" s="3">
        <f>IFERROR(W512/V512,"")</f>
        <v/>
      </c>
      <c r="AB512" s="3">
        <f>IFERROR(X512/V512,"")</f>
        <v/>
      </c>
      <c r="AC512" t="b">
        <v>0</v>
      </c>
      <c r="AD512" t="b">
        <v>0</v>
      </c>
      <c r="AE512" t="b">
        <v>0</v>
      </c>
      <c r="AF512" t="inlineStr">
        <is>
          <t>No</t>
        </is>
      </c>
      <c r="AG512" s="2" t="n">
        <v>46204</v>
      </c>
      <c r="AI512" t="b">
        <v>1</v>
      </c>
      <c r="AJ512" t="n">
        <v>5</v>
      </c>
      <c r="AK512" t="inlineStr"/>
      <c r="AL512" t="inlineStr">
        <is>
          <t>ORG bIT</t>
        </is>
      </c>
      <c r="AM512" t="inlineStr">
        <is>
          <t>A&amp;PM Agility &amp; Project Management (Lutz K.)</t>
        </is>
      </c>
      <c r="AN512" t="inlineStr">
        <is>
          <t>TH Transformation Hub BLN (Ulrich W.)</t>
        </is>
      </c>
      <c r="AO512" t="inlineStr">
        <is>
          <t>bridgingIT GmbH</t>
        </is>
      </c>
      <c r="AP512" t="inlineStr">
        <is>
          <t>Berlin</t>
        </is>
      </c>
      <c r="AQ512" t="inlineStr">
        <is>
          <t>Lutz Kempf</t>
        </is>
      </c>
    </row>
    <row r="513">
      <c r="A513" t="inlineStr">
        <is>
          <t>10448</t>
        </is>
      </c>
      <c r="B513" t="inlineStr">
        <is>
          <t>B8E54A</t>
        </is>
      </c>
      <c r="C513" t="inlineStr">
        <is>
          <t>https://app.matchical.com/Consulting/ConsultantDetail?ConsultantId=b9ffe6bd-4736-4013-9fee-57436e9909c7</t>
        </is>
      </c>
      <c r="D513" t="inlineStr">
        <is>
          <t>Sarah Weigel</t>
        </is>
      </c>
      <c r="E513" t="inlineStr">
        <is>
          <t>sarah.weigel@bridging-it.de</t>
        </is>
      </c>
      <c r="F513" s="2" t="n">
        <v>46054</v>
      </c>
      <c r="G513" s="2" t="n">
        <v>39479</v>
      </c>
      <c r="H513" t="n">
        <v>7</v>
      </c>
      <c r="I513" t="n">
        <v>0</v>
      </c>
      <c r="J513" t="n">
        <v>0</v>
      </c>
      <c r="L513" s="2" t="n">
        <v>45412</v>
      </c>
      <c r="M513" s="2" t="n">
        <v>46052</v>
      </c>
      <c r="N513" t="b">
        <v>0</v>
      </c>
      <c r="O513" t="n">
        <v>1</v>
      </c>
      <c r="P513" t="n">
        <v>0</v>
      </c>
      <c r="Q513" t="n">
        <v>0</v>
      </c>
      <c r="R513">
        <f>ROUND(O513-P513,2)</f>
        <v/>
      </c>
      <c r="S513">
        <f>ROUND(O513-Q513,2)</f>
        <v/>
      </c>
      <c r="T513" s="3">
        <f>IFERROR(P513/O513,"")</f>
        <v/>
      </c>
      <c r="U513" s="3">
        <f>IFERROR(Q513/O513,"")</f>
        <v/>
      </c>
      <c r="V513" t="n">
        <v>216</v>
      </c>
      <c r="W513" t="n">
        <v>93</v>
      </c>
      <c r="X513" t="n">
        <v>49</v>
      </c>
      <c r="Y513">
        <f>ROUND(V513-W513,2)</f>
        <v/>
      </c>
      <c r="Z513">
        <f>ROUND(V513-X513,2)</f>
        <v/>
      </c>
      <c r="AA513" s="3">
        <f>IFERROR(W513/V513,"")</f>
        <v/>
      </c>
      <c r="AB513" s="3">
        <f>IFERROR(X513/V513,"")</f>
        <v/>
      </c>
      <c r="AC513" t="b">
        <v>0</v>
      </c>
      <c r="AD513" t="b">
        <v>0</v>
      </c>
      <c r="AE513" t="b">
        <v>0</v>
      </c>
      <c r="AF513" t="inlineStr">
        <is>
          <t>Yes</t>
        </is>
      </c>
      <c r="AG513" s="2" t="n">
        <v>46054</v>
      </c>
      <c r="AI513" t="b">
        <v>1</v>
      </c>
      <c r="AJ513" t="n">
        <v>5</v>
      </c>
      <c r="AK513" t="inlineStr">
        <is>
          <t>Note on willingness to travel: conditional or limited willingness to travel, preferably 100% remote. Please contact me in advance or consult with me if on-site work (even if only partial) is required at the client’s site.</t>
        </is>
      </c>
      <c r="AL513" t="inlineStr">
        <is>
          <t>IT - Information Technology (HH)</t>
        </is>
      </c>
      <c r="AM513" t="inlineStr">
        <is>
          <t>IPM - IT PM (Peter T.)</t>
        </is>
      </c>
      <c r="AN513" t="inlineStr">
        <is>
          <t>MWT HH (Udo P.)</t>
        </is>
      </c>
      <c r="AO513" t="inlineStr">
        <is>
          <t>bridgingIT GmbH</t>
        </is>
      </c>
      <c r="AP513" t="inlineStr">
        <is>
          <t>Hamburg</t>
        </is>
      </c>
      <c r="AQ513" t="inlineStr">
        <is>
          <t>Peter Triftshäuser</t>
        </is>
      </c>
    </row>
    <row r="514">
      <c r="A514" t="inlineStr">
        <is>
          <t>5102</t>
        </is>
      </c>
      <c r="B514" t="inlineStr">
        <is>
          <t>F55A48</t>
        </is>
      </c>
      <c r="C514" t="inlineStr">
        <is>
          <t>https://app.matchical.com/Consulting/ConsultantDetail?ConsultantId=de61ff6d-afe9-40bc-b6a8-e6d708eaaf3c</t>
        </is>
      </c>
      <c r="D514" t="inlineStr">
        <is>
          <t>Sascha Beerhenke</t>
        </is>
      </c>
      <c r="E514" t="inlineStr">
        <is>
          <t>sascha.beerhenke@bridging-it.de</t>
        </is>
      </c>
      <c r="F514" s="2" t="n">
        <v>44835</v>
      </c>
      <c r="G514" s="2" t="n">
        <v>43586</v>
      </c>
      <c r="H514" t="n">
        <v>5</v>
      </c>
      <c r="I514" t="n">
        <v>0</v>
      </c>
      <c r="J514" t="n">
        <v>0</v>
      </c>
      <c r="L514" s="2" t="n">
        <v>44985</v>
      </c>
      <c r="M514" s="2" t="n">
        <v>45290</v>
      </c>
      <c r="N514" t="b">
        <v>0</v>
      </c>
      <c r="O514" t="n">
        <v>41</v>
      </c>
      <c r="P514" t="n">
        <v>51.9</v>
      </c>
      <c r="Q514" t="n">
        <v>39.9</v>
      </c>
      <c r="R514">
        <f>ROUND(O514-P514,2)</f>
        <v/>
      </c>
      <c r="S514">
        <f>ROUND(O514-Q514,2)</f>
        <v/>
      </c>
      <c r="T514" s="3">
        <f>IFERROR(P514/O514,"")</f>
        <v/>
      </c>
      <c r="U514" s="3">
        <f>IFERROR(Q514/O514,"")</f>
        <v/>
      </c>
      <c r="V514" t="n">
        <v>41</v>
      </c>
      <c r="W514" t="n">
        <v>18</v>
      </c>
      <c r="X514" t="n">
        <v>18</v>
      </c>
      <c r="Y514">
        <f>ROUND(V514-W514,2)</f>
        <v/>
      </c>
      <c r="Z514">
        <f>ROUND(V514-X514,2)</f>
        <v/>
      </c>
      <c r="AA514" s="3">
        <f>IFERROR(W514/V514,"")</f>
        <v/>
      </c>
      <c r="AB514" s="3">
        <f>IFERROR(X514/V514,"")</f>
        <v/>
      </c>
      <c r="AC514" t="b">
        <v>0</v>
      </c>
      <c r="AD514" t="b">
        <v>0</v>
      </c>
      <c r="AE514" t="b">
        <v>0</v>
      </c>
      <c r="AF514" t="inlineStr">
        <is>
          <t>Yes</t>
        </is>
      </c>
      <c r="AG514" s="2" t="n">
        <v>46113</v>
      </c>
      <c r="AI514" t="b">
        <v>1</v>
      </c>
      <c r="AJ514" t="n">
        <v>4</v>
      </c>
      <c r="AK514" t="inlineStr">
        <is>
          <t>Roche until the end of March 2026. After that, no new project yet.
Project from April 2026 is required. Idea: Fresenius Medical Care and Roche (Labeling).</t>
        </is>
      </c>
      <c r="AL514" t="inlineStr">
        <is>
          <t>ORG bIT</t>
        </is>
      </c>
      <c r="AM514" t="inlineStr">
        <is>
          <t>LSC - Life Science Cologne (Sascha B.)</t>
        </is>
      </c>
      <c r="AN514" t="inlineStr">
        <is>
          <t>CC Life Science Solutions (Sabine S.)</t>
        </is>
      </c>
      <c r="AO514" t="inlineStr">
        <is>
          <t>bridgingIT GmbH</t>
        </is>
      </c>
      <c r="AP514" t="inlineStr">
        <is>
          <t>Köln</t>
        </is>
      </c>
      <c r="AQ514" t="inlineStr">
        <is>
          <t>Sabine Sessar</t>
        </is>
      </c>
    </row>
    <row r="515">
      <c r="A515" t="inlineStr">
        <is>
          <t>2104</t>
        </is>
      </c>
      <c r="B515" t="inlineStr">
        <is>
          <t>524CD1</t>
        </is>
      </c>
      <c r="C515" t="inlineStr">
        <is>
          <t>https://app.matchical.com/Consulting/ConsultantDetail?ConsultantId=36eb821b-a890-4bdf-bdac-f4efb47a63b2</t>
        </is>
      </c>
      <c r="D515" t="inlineStr">
        <is>
          <t>Sascha Lehmann</t>
        </is>
      </c>
      <c r="E515" t="inlineStr">
        <is>
          <t>sascha.lehmann@bridging-it.de</t>
        </is>
      </c>
      <c r="F515" s="2" t="n">
        <v>41944</v>
      </c>
      <c r="G515" s="2" t="n">
        <v>39661</v>
      </c>
      <c r="H515" t="n">
        <v>21</v>
      </c>
      <c r="I515" t="n">
        <v>0</v>
      </c>
      <c r="J515" t="n">
        <v>1</v>
      </c>
      <c r="K515" s="2" t="n">
        <v>44362</v>
      </c>
      <c r="L515" s="2" t="n">
        <v>44561</v>
      </c>
      <c r="M515" s="2" t="n">
        <v>44925</v>
      </c>
      <c r="N515" t="b">
        <v>0</v>
      </c>
      <c r="O515" t="n">
        <v>136</v>
      </c>
      <c r="P515" t="n">
        <v>244.79</v>
      </c>
      <c r="Q515" t="n">
        <v>135.79</v>
      </c>
      <c r="R515">
        <f>ROUND(O515-P515,2)</f>
        <v/>
      </c>
      <c r="S515">
        <f>ROUND(O515-Q515,2)</f>
        <v/>
      </c>
      <c r="T515" s="3">
        <f>IFERROR(P515/O515,"")</f>
        <v/>
      </c>
      <c r="U515" s="3">
        <f>IFERROR(Q515/O515,"")</f>
        <v/>
      </c>
      <c r="V515" t="n">
        <v>75</v>
      </c>
      <c r="W515" t="n">
        <v>73.03</v>
      </c>
      <c r="X515" t="n">
        <v>72.08</v>
      </c>
      <c r="Y515">
        <f>ROUND(V515-W515,2)</f>
        <v/>
      </c>
      <c r="Z515">
        <f>ROUND(V515-X515,2)</f>
        <v/>
      </c>
      <c r="AA515" s="3">
        <f>IFERROR(W515/V515,"")</f>
        <v/>
      </c>
      <c r="AB515" s="3">
        <f>IFERROR(X515/V515,"")</f>
        <v/>
      </c>
      <c r="AC515" t="b">
        <v>0</v>
      </c>
      <c r="AD515" t="b">
        <v>0</v>
      </c>
      <c r="AE515" t="b">
        <v>0</v>
      </c>
      <c r="AF515" t="inlineStr">
        <is>
          <t>No</t>
        </is>
      </c>
      <c r="AI515" t="b">
        <v>0</v>
      </c>
      <c r="AJ515" t="n">
        <v>4</v>
      </c>
      <c r="AK515" t="inlineStr">
        <is>
          <t>Key skills:
* .NET software development (Back-end)
* Angular software development (Front-end)
* Azure
* Microsoft IoT (Windows IoT Core, sensors)</t>
        </is>
      </c>
      <c r="AL515" t="inlineStr">
        <is>
          <t>ES Enterprise Solutions (Gina H.)</t>
        </is>
      </c>
      <c r="AM515" t="inlineStr">
        <is>
          <t>IEM .Net I (Christoph M.)</t>
        </is>
      </c>
      <c r="AN515" t="inlineStr">
        <is>
          <t>IEJ Individualentwicklung JAVA (Dominik S.)</t>
        </is>
      </c>
      <c r="AO515" t="inlineStr">
        <is>
          <t>bridgingIT GmbH</t>
        </is>
      </c>
      <c r="AP515" t="inlineStr">
        <is>
          <t>Stuttgart</t>
        </is>
      </c>
      <c r="AQ515" t="inlineStr">
        <is>
          <t>Christoph Müller</t>
        </is>
      </c>
    </row>
    <row r="516">
      <c r="A516" t="inlineStr">
        <is>
          <t>1506</t>
        </is>
      </c>
      <c r="B516" t="inlineStr">
        <is>
          <t>D75BC4</t>
        </is>
      </c>
      <c r="C516" t="inlineStr">
        <is>
          <t>https://app.matchical.com/Consulting/ConsultantDetail?ConsultantId=9c3b481d-6bfb-4146-9ce3-bf75879f3c85</t>
        </is>
      </c>
      <c r="D516" t="inlineStr">
        <is>
          <t>Sascha Wacker</t>
        </is>
      </c>
      <c r="E516" t="inlineStr">
        <is>
          <t>sascha.wacker@bridging-it.de</t>
        </is>
      </c>
      <c r="F516" s="2" t="n">
        <v>44652</v>
      </c>
      <c r="G516" s="2" t="n">
        <v>39143</v>
      </c>
      <c r="H516" t="n">
        <v>14</v>
      </c>
      <c r="I516" t="n">
        <v>0</v>
      </c>
      <c r="J516" t="n">
        <v>3</v>
      </c>
      <c r="K516" s="2" t="n">
        <v>44255</v>
      </c>
      <c r="L516" s="2" t="n">
        <v>45688</v>
      </c>
      <c r="M516" s="2" t="n">
        <v>45777</v>
      </c>
      <c r="N516" t="b">
        <v>0</v>
      </c>
      <c r="O516" t="n">
        <v>47</v>
      </c>
      <c r="P516" t="n">
        <v>135.92</v>
      </c>
      <c r="Q516" t="n">
        <v>46.82</v>
      </c>
      <c r="R516">
        <f>ROUND(O516-P516,2)</f>
        <v/>
      </c>
      <c r="S516">
        <f>ROUND(O516-Q516,2)</f>
        <v/>
      </c>
      <c r="T516" s="3">
        <f>IFERROR(P516/O516,"")</f>
        <v/>
      </c>
      <c r="U516" s="3">
        <f>IFERROR(Q516/O516,"")</f>
        <v/>
      </c>
      <c r="V516" t="n">
        <v>181</v>
      </c>
      <c r="W516" t="n">
        <v>138.08</v>
      </c>
      <c r="X516" t="n">
        <v>66.95</v>
      </c>
      <c r="Y516">
        <f>ROUND(V516-W516,2)</f>
        <v/>
      </c>
      <c r="Z516">
        <f>ROUND(V516-X516,2)</f>
        <v/>
      </c>
      <c r="AA516" s="3">
        <f>IFERROR(W516/V516,"")</f>
        <v/>
      </c>
      <c r="AB516" s="3">
        <f>IFERROR(X516/V516,"")</f>
        <v/>
      </c>
      <c r="AC516" t="b">
        <v>0</v>
      </c>
      <c r="AD516" t="b">
        <v>0</v>
      </c>
      <c r="AE516" t="b">
        <v>0</v>
      </c>
      <c r="AF516" t="inlineStr">
        <is>
          <t>No</t>
        </is>
      </c>
      <c r="AI516" t="b">
        <v>1</v>
      </c>
      <c r="AJ516" t="n">
        <v>0</v>
      </c>
      <c r="AK516" t="inlineStr"/>
      <c r="AL516" t="inlineStr">
        <is>
          <t>T&amp;A - Transformation &amp; Agility (Arne K.)</t>
        </is>
      </c>
      <c r="AM516" t="inlineStr">
        <is>
          <t>HPMI - Hybrid Project Mgmt &amp; Innovat. (Sascha W.)</t>
        </is>
      </c>
      <c r="AN516" t="inlineStr">
        <is>
          <t>A&amp;PM Agility &amp; Project Management (Jan H.)</t>
        </is>
      </c>
      <c r="AO516" t="inlineStr">
        <is>
          <t>bridgingIT GmbH</t>
        </is>
      </c>
      <c r="AP516" t="inlineStr">
        <is>
          <t>Mannheim</t>
        </is>
      </c>
      <c r="AQ516" t="inlineStr">
        <is>
          <t>Jan Heinemann</t>
        </is>
      </c>
    </row>
    <row r="517">
      <c r="A517" t="inlineStr">
        <is>
          <t>1508</t>
        </is>
      </c>
      <c r="B517" t="inlineStr">
        <is>
          <t>ED21F1</t>
        </is>
      </c>
      <c r="C517" t="inlineStr">
        <is>
          <t>https://app.matchical.com/Consulting/ConsultantDetail?ConsultantId=33c1f07f-a77f-4661-8033-f12788701a8b</t>
        </is>
      </c>
      <c r="D517" t="inlineStr">
        <is>
          <t>Sascha Wolter</t>
        </is>
      </c>
      <c r="E517" t="inlineStr">
        <is>
          <t>sascha.wolter@bridging-it.de</t>
        </is>
      </c>
      <c r="F517" s="2" t="n">
        <v>44713</v>
      </c>
      <c r="G517" s="2" t="n">
        <v>38231</v>
      </c>
      <c r="H517" t="n">
        <v>7</v>
      </c>
      <c r="I517" t="n">
        <v>0</v>
      </c>
      <c r="J517" t="n">
        <v>1</v>
      </c>
      <c r="K517" s="2" t="n">
        <v>44748</v>
      </c>
      <c r="L517" s="2" t="n">
        <v>45658</v>
      </c>
      <c r="M517" s="2" t="n">
        <v>46022</v>
      </c>
      <c r="N517" t="b">
        <v>0</v>
      </c>
      <c r="O517" t="n">
        <v>45</v>
      </c>
      <c r="P517" t="n">
        <v>91.98</v>
      </c>
      <c r="Q517" t="n">
        <v>44.81</v>
      </c>
      <c r="R517">
        <f>ROUND(O517-P517,2)</f>
        <v/>
      </c>
      <c r="S517">
        <f>ROUND(O517-Q517,2)</f>
        <v/>
      </c>
      <c r="T517" s="3">
        <f>IFERROR(P517/O517,"")</f>
        <v/>
      </c>
      <c r="U517" s="3">
        <f>IFERROR(Q517/O517,"")</f>
        <v/>
      </c>
      <c r="V517" t="n">
        <v>213</v>
      </c>
      <c r="W517" t="n">
        <v>24.02</v>
      </c>
      <c r="X517" t="n">
        <v>15.4</v>
      </c>
      <c r="Y517">
        <f>ROUND(V517-W517,2)</f>
        <v/>
      </c>
      <c r="Z517">
        <f>ROUND(V517-X517,2)</f>
        <v/>
      </c>
      <c r="AA517" s="3">
        <f>IFERROR(W517/V517,"")</f>
        <v/>
      </c>
      <c r="AB517" s="3">
        <f>IFERROR(X517/V517,"")</f>
        <v/>
      </c>
      <c r="AC517" t="b">
        <v>0</v>
      </c>
      <c r="AD517" t="b">
        <v>0</v>
      </c>
      <c r="AE517" t="b">
        <v>0</v>
      </c>
      <c r="AF517" t="inlineStr">
        <is>
          <t>No</t>
        </is>
      </c>
      <c r="AI517" t="b">
        <v>1</v>
      </c>
      <c r="AJ517" t="n">
        <v>0</v>
      </c>
      <c r="AK517" t="inlineStr">
        <is>
          <t>IT architecture, cloud, infrastructure</t>
        </is>
      </c>
      <c r="AL517" t="inlineStr">
        <is>
          <t>IT - Information Technology (Sebastian L.)</t>
        </is>
      </c>
      <c r="AM517" t="inlineStr">
        <is>
          <t>PAM Platform Architecture Management (David S.)</t>
        </is>
      </c>
      <c r="AN517" t="inlineStr">
        <is>
          <t>P&amp;DE - Platforms &amp; Digital Ecosystems (David S.)</t>
        </is>
      </c>
      <c r="AO517" t="inlineStr">
        <is>
          <t>bridgingIT GmbH</t>
        </is>
      </c>
      <c r="AP517" t="inlineStr">
        <is>
          <t>Mannheim</t>
        </is>
      </c>
      <c r="AQ517" t="inlineStr">
        <is>
          <t>David Schleweis</t>
        </is>
      </c>
    </row>
    <row r="518">
      <c r="A518" t="inlineStr">
        <is>
          <t>10456</t>
        </is>
      </c>
      <c r="B518" t="inlineStr">
        <is>
          <t>914BEC</t>
        </is>
      </c>
      <c r="C518" t="inlineStr">
        <is>
          <t>https://app.matchical.com/Consulting/ConsultantDetail?ConsultantId=69bd3930-c43e-4529-adec-d551e69f6bf4</t>
        </is>
      </c>
      <c r="D518" t="inlineStr">
        <is>
          <t>Sebastian Beyer</t>
        </is>
      </c>
      <c r="E518" t="inlineStr">
        <is>
          <t>sebastian.beyer@bridging-it.de</t>
        </is>
      </c>
      <c r="F518" s="2" t="n">
        <v>46082</v>
      </c>
      <c r="H518" t="n">
        <v>4</v>
      </c>
      <c r="I518" t="n">
        <v>0</v>
      </c>
      <c r="J518" t="n">
        <v>0</v>
      </c>
      <c r="L518" s="2" t="n">
        <v>44592</v>
      </c>
      <c r="M518" s="2" t="n">
        <v>45290</v>
      </c>
      <c r="N518" t="b">
        <v>1</v>
      </c>
      <c r="O518" t="n">
        <v>0</v>
      </c>
      <c r="P518" t="n">
        <v>0</v>
      </c>
      <c r="Q518" t="n">
        <v>0</v>
      </c>
      <c r="R518">
        <f>ROUND(O518-P518,2)</f>
        <v/>
      </c>
      <c r="S518">
        <f>ROUND(O518-Q518,2)</f>
        <v/>
      </c>
      <c r="T518" s="3">
        <f>IFERROR(P518/O518,"")</f>
        <v/>
      </c>
      <c r="U518" s="3">
        <f>IFERROR(Q518/O518,"")</f>
        <v/>
      </c>
      <c r="V518" t="n">
        <v>1514</v>
      </c>
      <c r="W518" t="n">
        <v>100.9</v>
      </c>
      <c r="X518" t="n">
        <v>77.92</v>
      </c>
      <c r="Y518">
        <f>ROUND(V518-W518,2)</f>
        <v/>
      </c>
      <c r="Z518">
        <f>ROUND(V518-X518,2)</f>
        <v/>
      </c>
      <c r="AA518" s="3">
        <f>IFERROR(W518/V518,"")</f>
        <v/>
      </c>
      <c r="AB518" s="3">
        <f>IFERROR(X518/V518,"")</f>
        <v/>
      </c>
      <c r="AC518" t="b">
        <v>0</v>
      </c>
      <c r="AD518" t="b">
        <v>0</v>
      </c>
      <c r="AE518" t="b">
        <v>0</v>
      </c>
      <c r="AF518" t="inlineStr">
        <is>
          <t>Yes</t>
        </is>
      </c>
      <c r="AG518" s="2" t="n">
        <v>46082</v>
      </c>
      <c r="AI518" t="b">
        <v>1</v>
      </c>
      <c r="AJ518" t="n">
        <v>5</v>
      </c>
      <c r="AK518" t="inlineStr"/>
      <c r="AL518" t="inlineStr">
        <is>
          <t>IT - Information Technology (HH)</t>
        </is>
      </c>
      <c r="AM518" t="inlineStr">
        <is>
          <t>CSI - Cybersecurity &amp; IAM (Dean M.)</t>
        </is>
      </c>
      <c r="AN518" t="inlineStr">
        <is>
          <t>ITC HH (Nicole F.)</t>
        </is>
      </c>
      <c r="AO518" t="inlineStr">
        <is>
          <t>bridgingIT GmbH</t>
        </is>
      </c>
      <c r="AP518" t="inlineStr">
        <is>
          <t>Hamburg</t>
        </is>
      </c>
      <c r="AQ518" t="inlineStr">
        <is>
          <t>Dean Herzog-Meijer</t>
        </is>
      </c>
    </row>
    <row r="519">
      <c r="A519" t="inlineStr">
        <is>
          <t>3126</t>
        </is>
      </c>
      <c r="B519" t="inlineStr">
        <is>
          <t>295C0A</t>
        </is>
      </c>
      <c r="C519" t="inlineStr">
        <is>
          <t>https://app.matchical.com/Consulting/ConsultantDetail?ConsultantId=8c20a133-f904-4ca4-83d6-3caddc84515a</t>
        </is>
      </c>
      <c r="D519" t="inlineStr">
        <is>
          <t>Sebastian Fischer</t>
        </is>
      </c>
      <c r="E519" t="inlineStr">
        <is>
          <t>sebastian.fischer@bridging-it.de</t>
        </is>
      </c>
      <c r="F519" s="2" t="n">
        <v>42675</v>
      </c>
      <c r="G519" s="2" t="n">
        <v>42675</v>
      </c>
      <c r="H519" t="n">
        <v>12</v>
      </c>
      <c r="I519" t="n">
        <v>0</v>
      </c>
      <c r="J519" t="n">
        <v>2</v>
      </c>
      <c r="K519" s="2" t="n">
        <v>43082</v>
      </c>
      <c r="L519" s="2" t="n">
        <v>44763</v>
      </c>
      <c r="M519" s="2" t="n">
        <v>44900</v>
      </c>
      <c r="N519" t="b">
        <v>0</v>
      </c>
      <c r="O519" t="n">
        <v>112</v>
      </c>
      <c r="P519" t="n">
        <v>214</v>
      </c>
      <c r="Q519" t="n">
        <v>111</v>
      </c>
      <c r="R519">
        <f>ROUND(O519-P519,2)</f>
        <v/>
      </c>
      <c r="S519">
        <f>ROUND(O519-Q519,2)</f>
        <v/>
      </c>
      <c r="T519" s="3">
        <f>IFERROR(P519/O519,"")</f>
        <v/>
      </c>
      <c r="U519" s="3">
        <f>IFERROR(Q519/O519,"")</f>
        <v/>
      </c>
      <c r="V519" t="n">
        <v>0</v>
      </c>
      <c r="W519" t="n">
        <v>0</v>
      </c>
      <c r="X519" t="n">
        <v>0</v>
      </c>
      <c r="Y519">
        <f>ROUND(V519-W519,2)</f>
        <v/>
      </c>
      <c r="Z519">
        <f>ROUND(V519-X519,2)</f>
        <v/>
      </c>
      <c r="AA519" s="3">
        <f>IFERROR(W519/V519,"")</f>
        <v/>
      </c>
      <c r="AB519" s="3">
        <f>IFERROR(X519/V519,"")</f>
        <v/>
      </c>
      <c r="AC519" t="b">
        <v>0</v>
      </c>
      <c r="AD519" t="b">
        <v>0</v>
      </c>
      <c r="AE519" t="b">
        <v>0</v>
      </c>
      <c r="AF519" t="inlineStr">
        <is>
          <t>No</t>
        </is>
      </c>
      <c r="AI519" t="b">
        <v>0</v>
      </c>
      <c r="AJ519" t="n">
        <v>0</v>
      </c>
      <c r="AK519" t="inlineStr"/>
      <c r="AL519" t="inlineStr">
        <is>
          <t>ORG bIT</t>
        </is>
      </c>
      <c r="AM519" t="inlineStr">
        <is>
          <t>SE Software Engineering Frankfurt (Sebastian F.)</t>
        </is>
      </c>
      <c r="AN519" t="inlineStr">
        <is>
          <t>ES Enterprise Solutions (Dominik H.)</t>
        </is>
      </c>
      <c r="AO519" t="inlineStr">
        <is>
          <t>bridgingIT GmbH</t>
        </is>
      </c>
      <c r="AP519" t="inlineStr">
        <is>
          <t>Frankfurt</t>
        </is>
      </c>
      <c r="AQ519" t="inlineStr">
        <is>
          <t>Dominik Hanft</t>
        </is>
      </c>
    </row>
    <row r="520">
      <c r="A520" t="inlineStr">
        <is>
          <t>1257</t>
        </is>
      </c>
      <c r="B520" t="inlineStr">
        <is>
          <t>176EE0</t>
        </is>
      </c>
      <c r="C520" t="inlineStr">
        <is>
          <t>https://app.matchical.com/Consulting/ConsultantDetail?ConsultantId=1f0a2d9b-bd3d-41fe-8cec-61353c7114c5</t>
        </is>
      </c>
      <c r="D520" t="inlineStr">
        <is>
          <t>Sebastian Lenhard</t>
        </is>
      </c>
      <c r="E520" t="inlineStr">
        <is>
          <t>sebastian.lenhard@bridging-it.de</t>
        </is>
      </c>
      <c r="F520" s="2" t="n">
        <v>41640</v>
      </c>
      <c r="G520" s="2" t="n">
        <v>38353</v>
      </c>
      <c r="H520" t="n">
        <v>18</v>
      </c>
      <c r="I520" t="n">
        <v>0</v>
      </c>
      <c r="J520" t="n">
        <v>0</v>
      </c>
      <c r="L520" s="2" t="n">
        <v>44561</v>
      </c>
      <c r="M520" s="2" t="n">
        <v>45473</v>
      </c>
      <c r="N520" t="b">
        <v>0</v>
      </c>
      <c r="O520" t="n">
        <v>146</v>
      </c>
      <c r="P520" t="n">
        <v>185.37</v>
      </c>
      <c r="Q520" t="n">
        <v>119.34</v>
      </c>
      <c r="R520">
        <f>ROUND(O520-P520,2)</f>
        <v/>
      </c>
      <c r="S520">
        <f>ROUND(O520-Q520,2)</f>
        <v/>
      </c>
      <c r="T520" s="3">
        <f>IFERROR(P520/O520,"")</f>
        <v/>
      </c>
      <c r="U520" s="3">
        <f>IFERROR(Q520/O520,"")</f>
        <v/>
      </c>
      <c r="V520" t="n">
        <v>108</v>
      </c>
      <c r="W520" t="n">
        <v>65.63</v>
      </c>
      <c r="X520" t="n">
        <v>50.66</v>
      </c>
      <c r="Y520">
        <f>ROUND(V520-W520,2)</f>
        <v/>
      </c>
      <c r="Z520">
        <f>ROUND(V520-X520,2)</f>
        <v/>
      </c>
      <c r="AA520" s="3">
        <f>IFERROR(W520/V520,"")</f>
        <v/>
      </c>
      <c r="AB520" s="3">
        <f>IFERROR(X520/V520,"")</f>
        <v/>
      </c>
      <c r="AC520" t="b">
        <v>0</v>
      </c>
      <c r="AD520" t="b">
        <v>0</v>
      </c>
      <c r="AE520" t="b">
        <v>0</v>
      </c>
      <c r="AF520" t="inlineStr">
        <is>
          <t>No</t>
        </is>
      </c>
      <c r="AI520" t="b">
        <v>0</v>
      </c>
      <c r="AJ520" t="n">
        <v>0</v>
      </c>
      <c r="AK520" t="inlineStr">
        <is>
          <t>SWS will decide on Tuesday, May 18, when it should start.</t>
        </is>
      </c>
      <c r="AL520" t="inlineStr">
        <is>
          <t>IT - Information Technology (Sebastian L.)</t>
        </is>
      </c>
      <c r="AM520" t="inlineStr">
        <is>
          <t>ITT IT Transition &amp; Transformation (Michael M.)</t>
        </is>
      </c>
      <c r="AN520" t="inlineStr">
        <is>
          <t>IT Information Technology (Sebastian L.)</t>
        </is>
      </c>
      <c r="AO520" t="inlineStr">
        <is>
          <t>bridgingIT GmbH</t>
        </is>
      </c>
      <c r="AP520" t="inlineStr">
        <is>
          <t>Mannheim</t>
        </is>
      </c>
      <c r="AQ520" t="inlineStr">
        <is>
          <t>Michael Mohrbacher</t>
        </is>
      </c>
    </row>
    <row r="521">
      <c r="A521" t="inlineStr">
        <is>
          <t>1302</t>
        </is>
      </c>
      <c r="B521" t="inlineStr">
        <is>
          <t>E8732A</t>
        </is>
      </c>
      <c r="C521" t="inlineStr">
        <is>
          <t>https://app.matchical.com/Consulting/ConsultantDetail?ConsultantId=f71bb7b7-c230-46d3-9be6-5a68f79f5c62</t>
        </is>
      </c>
      <c r="D521" t="inlineStr">
        <is>
          <t>Sebastian Poth</t>
        </is>
      </c>
      <c r="E521" t="inlineStr">
        <is>
          <t>sebastian.poth@bridging-it.de</t>
        </is>
      </c>
      <c r="F521" s="2" t="n">
        <v>42240</v>
      </c>
      <c r="G521" s="2" t="n">
        <v>42240</v>
      </c>
      <c r="H521" t="n">
        <v>22</v>
      </c>
      <c r="I521" t="n">
        <v>0</v>
      </c>
      <c r="J521" t="n">
        <v>6</v>
      </c>
      <c r="K521" s="2" t="n">
        <v>44743</v>
      </c>
      <c r="L521" s="2" t="n">
        <v>45688</v>
      </c>
      <c r="M521" s="2" t="n">
        <v>46021</v>
      </c>
      <c r="N521" t="b">
        <v>0</v>
      </c>
      <c r="O521" t="n">
        <v>126</v>
      </c>
      <c r="P521" t="n">
        <v>310</v>
      </c>
      <c r="Q521" t="n">
        <v>90</v>
      </c>
      <c r="R521">
        <f>ROUND(O521-P521,2)</f>
        <v/>
      </c>
      <c r="S521">
        <f>ROUND(O521-Q521,2)</f>
        <v/>
      </c>
      <c r="T521" s="3">
        <f>IFERROR(P521/O521,"")</f>
        <v/>
      </c>
      <c r="U521" s="3">
        <f>IFERROR(Q521/O521,"")</f>
        <v/>
      </c>
      <c r="V521" t="n">
        <v>0</v>
      </c>
      <c r="W521" t="n">
        <v>0</v>
      </c>
      <c r="X521" t="n">
        <v>0</v>
      </c>
      <c r="Y521">
        <f>ROUND(V521-W521,2)</f>
        <v/>
      </c>
      <c r="Z521">
        <f>ROUND(V521-X521,2)</f>
        <v/>
      </c>
      <c r="AA521" s="3">
        <f>IFERROR(W521/V521,"")</f>
        <v/>
      </c>
      <c r="AB521" s="3">
        <f>IFERROR(X521/V521,"")</f>
        <v/>
      </c>
      <c r="AC521" t="b">
        <v>0</v>
      </c>
      <c r="AD521" t="b">
        <v>0</v>
      </c>
      <c r="AE521" t="b">
        <v>0</v>
      </c>
      <c r="AF521" t="inlineStr">
        <is>
          <t>No</t>
        </is>
      </c>
      <c r="AI521" t="b">
        <v>0</v>
      </c>
      <c r="AJ521" t="n">
        <v>0</v>
      </c>
      <c r="AK521" t="inlineStr">
        <is>
          <t>- Leads: Tennet TSO, Aurubis, Emil Frey, Komm.ONE</t>
        </is>
      </c>
      <c r="AL521" t="inlineStr">
        <is>
          <t>IT - Information Technology (Sebastian L.)</t>
        </is>
      </c>
      <c r="AM521" t="inlineStr">
        <is>
          <t>CS Collaboration Solutions (Sebastian P.)</t>
        </is>
      </c>
      <c r="AN521" t="inlineStr">
        <is>
          <t>P&amp;DE - Platforms &amp; Digital Ecosystems (David S.)</t>
        </is>
      </c>
      <c r="AO521" t="inlineStr">
        <is>
          <t>bridgingIT GmbH</t>
        </is>
      </c>
      <c r="AP521" t="inlineStr">
        <is>
          <t>Mannheim</t>
        </is>
      </c>
      <c r="AQ521" t="inlineStr">
        <is>
          <t>David Schleweis</t>
        </is>
      </c>
    </row>
    <row r="522">
      <c r="A522" t="inlineStr">
        <is>
          <t>10155</t>
        </is>
      </c>
      <c r="B522" t="inlineStr">
        <is>
          <t>9DC2FD</t>
        </is>
      </c>
      <c r="C522" t="inlineStr">
        <is>
          <t>https://app.matchical.com/Consulting/ConsultantDetail?ConsultantId=28043547-1638-48bb-9754-b8aa025d5ff1</t>
        </is>
      </c>
      <c r="D522" t="inlineStr">
        <is>
          <t>Sebastian Schrey</t>
        </is>
      </c>
      <c r="E522" t="inlineStr">
        <is>
          <t>sebastian.schrey@bridging-it.de</t>
        </is>
      </c>
      <c r="F522" s="2" t="n">
        <v>45108</v>
      </c>
      <c r="G522" s="2" t="n">
        <v>41061</v>
      </c>
      <c r="H522" t="n">
        <v>4</v>
      </c>
      <c r="I522" t="n">
        <v>0</v>
      </c>
      <c r="J522" t="n">
        <v>0</v>
      </c>
      <c r="L522" s="2" t="n">
        <v>44620</v>
      </c>
      <c r="M522" s="2" t="n">
        <v>44894</v>
      </c>
      <c r="N522" t="b">
        <v>0</v>
      </c>
      <c r="O522" t="n">
        <v>32</v>
      </c>
      <c r="P522" t="n">
        <v>0</v>
      </c>
      <c r="Q522" t="n">
        <v>0</v>
      </c>
      <c r="R522">
        <f>ROUND(O522-P522,2)</f>
        <v/>
      </c>
      <c r="S522">
        <f>ROUND(O522-Q522,2)</f>
        <v/>
      </c>
      <c r="T522" s="3">
        <f>IFERROR(P522/O522,"")</f>
        <v/>
      </c>
      <c r="U522" s="3">
        <f>IFERROR(Q522/O522,"")</f>
        <v/>
      </c>
      <c r="V522" t="n">
        <v>133</v>
      </c>
      <c r="W522" t="n">
        <v>20</v>
      </c>
      <c r="X522" t="n">
        <v>20</v>
      </c>
      <c r="Y522">
        <f>ROUND(V522-W522,2)</f>
        <v/>
      </c>
      <c r="Z522">
        <f>ROUND(V522-X522,2)</f>
        <v/>
      </c>
      <c r="AA522" s="3">
        <f>IFERROR(W522/V522,"")</f>
        <v/>
      </c>
      <c r="AB522" s="3">
        <f>IFERROR(X522/V522,"")</f>
        <v/>
      </c>
      <c r="AC522" t="b">
        <v>0</v>
      </c>
      <c r="AD522" t="b">
        <v>0</v>
      </c>
      <c r="AE522" t="b">
        <v>0</v>
      </c>
      <c r="AF522" t="inlineStr">
        <is>
          <t>No</t>
        </is>
      </c>
      <c r="AI522" t="b">
        <v>1</v>
      </c>
      <c r="AJ522" t="n">
        <v>0</v>
      </c>
      <c r="AK522" t="inlineStr"/>
      <c r="AL522" t="inlineStr">
        <is>
          <t>ORG bIT</t>
        </is>
      </c>
      <c r="AM522" t="inlineStr">
        <is>
          <t>SEC - Software Engineering Cologne (Michael S.)</t>
        </is>
      </c>
      <c r="AN522" t="inlineStr">
        <is>
          <t>ITMC - IT-Management Cologne (Dominik H.)</t>
        </is>
      </c>
      <c r="AO522" t="inlineStr">
        <is>
          <t>bridgingIT GmbH</t>
        </is>
      </c>
      <c r="AP522" t="inlineStr">
        <is>
          <t>Köln</t>
        </is>
      </c>
      <c r="AQ522" t="inlineStr">
        <is>
          <t>Michael Stephan</t>
        </is>
      </c>
    </row>
    <row r="523">
      <c r="A523" t="inlineStr">
        <is>
          <t>6529</t>
        </is>
      </c>
      <c r="B523" t="inlineStr">
        <is>
          <t>462303</t>
        </is>
      </c>
      <c r="C523" t="inlineStr">
        <is>
          <t>https://app.matchical.com/Consulting/ConsultantDetail?ConsultantId=7b4de4bd-3e1e-4422-b419-d4c738851c3a</t>
        </is>
      </c>
      <c r="D523" t="inlineStr">
        <is>
          <t>Sebastian Vetter</t>
        </is>
      </c>
      <c r="E523" t="inlineStr">
        <is>
          <t>sebastian.vetter@bridging-it.de</t>
        </is>
      </c>
      <c r="F523" s="2" t="n">
        <v>43252</v>
      </c>
      <c r="G523" s="2" t="n">
        <v>42156</v>
      </c>
      <c r="H523" t="n">
        <v>16</v>
      </c>
      <c r="I523" t="n">
        <v>0</v>
      </c>
      <c r="J523" t="n">
        <v>4</v>
      </c>
      <c r="K523" s="2" t="n">
        <v>44227</v>
      </c>
      <c r="L523" s="2" t="n">
        <v>45839</v>
      </c>
      <c r="M523" s="2" t="n">
        <v>46022</v>
      </c>
      <c r="N523" t="b">
        <v>0</v>
      </c>
      <c r="O523" t="n">
        <v>93</v>
      </c>
      <c r="P523" t="n">
        <v>323.38</v>
      </c>
      <c r="Q523" t="n">
        <v>92.81</v>
      </c>
      <c r="R523">
        <f>ROUND(O523-P523,2)</f>
        <v/>
      </c>
      <c r="S523">
        <f>ROUND(O523-Q523,2)</f>
        <v/>
      </c>
      <c r="T523" s="3">
        <f>IFERROR(P523/O523,"")</f>
        <v/>
      </c>
      <c r="U523" s="3">
        <f>IFERROR(Q523/O523,"")</f>
        <v/>
      </c>
      <c r="V523" t="n">
        <v>36</v>
      </c>
      <c r="W523" t="n">
        <v>32.62</v>
      </c>
      <c r="X523" t="n">
        <v>12.86</v>
      </c>
      <c r="Y523">
        <f>ROUND(V523-W523,2)</f>
        <v/>
      </c>
      <c r="Z523">
        <f>ROUND(V523-X523,2)</f>
        <v/>
      </c>
      <c r="AA523" s="3">
        <f>IFERROR(W523/V523,"")</f>
        <v/>
      </c>
      <c r="AB523" s="3">
        <f>IFERROR(X523/V523,"")</f>
        <v/>
      </c>
      <c r="AC523" t="b">
        <v>0</v>
      </c>
      <c r="AD523" t="b">
        <v>0</v>
      </c>
      <c r="AE523" t="b">
        <v>0</v>
      </c>
      <c r="AF523" t="inlineStr">
        <is>
          <t>Yes</t>
        </is>
      </c>
      <c r="AG523" s="2" t="n">
        <v>46078</v>
      </c>
      <c r="AI523" t="b">
        <v>0</v>
      </c>
      <c r="AJ523" t="n">
        <v>3</v>
      </c>
      <c r="AK523" t="inlineStr">
        <is>
          <t>In addition to Python and Java skills, I also have knowledge of Location Based Solutions (omlox).
Approximately 30% available, with several short-term leads in the LBS space.
Contact Christoph Müller</t>
        </is>
      </c>
      <c r="AL523" t="inlineStr">
        <is>
          <t>BusDev</t>
        </is>
      </c>
      <c r="AM523" t="inlineStr">
        <is>
          <t>Location Based Solutions</t>
        </is>
      </c>
      <c r="AN523" t="inlineStr">
        <is>
          <t>BW Expertenteams</t>
        </is>
      </c>
      <c r="AO523" t="inlineStr">
        <is>
          <t>bridgingIT GmbH</t>
        </is>
      </c>
      <c r="AP523" t="inlineStr">
        <is>
          <t>Mannheim</t>
        </is>
      </c>
      <c r="AQ523" t="inlineStr">
        <is>
          <t>Christoph Müller</t>
        </is>
      </c>
    </row>
    <row r="524">
      <c r="A524" t="inlineStr">
        <is>
          <t>3091</t>
        </is>
      </c>
      <c r="B524" t="inlineStr">
        <is>
          <t>FE35C6</t>
        </is>
      </c>
      <c r="C524" t="inlineStr">
        <is>
          <t>https://app.matchical.com/Consulting/ConsultantDetail?ConsultantId=75843a5c-c714-4e1e-baea-52eb22a3f82b</t>
        </is>
      </c>
      <c r="D524" t="inlineStr">
        <is>
          <t>Sebastian Withelm</t>
        </is>
      </c>
      <c r="E524" t="inlineStr">
        <is>
          <t>sebastian.withelm@bridging-it.de</t>
        </is>
      </c>
      <c r="F524" s="2" t="n">
        <v>42156</v>
      </c>
      <c r="G524" s="2" t="n">
        <v>41395</v>
      </c>
      <c r="H524" t="n">
        <v>11</v>
      </c>
      <c r="I524" t="n">
        <v>0</v>
      </c>
      <c r="J524" t="n">
        <v>0</v>
      </c>
      <c r="L524" s="2" t="n">
        <v>44423</v>
      </c>
      <c r="M524" s="2" t="n">
        <v>45988</v>
      </c>
      <c r="N524" t="b">
        <v>0</v>
      </c>
      <c r="O524" t="n">
        <v>129</v>
      </c>
      <c r="P524" t="n">
        <v>186</v>
      </c>
      <c r="Q524" t="n">
        <v>116</v>
      </c>
      <c r="R524">
        <f>ROUND(O524-P524,2)</f>
        <v/>
      </c>
      <c r="S524">
        <f>ROUND(O524-Q524,2)</f>
        <v/>
      </c>
      <c r="T524" s="3">
        <f>IFERROR(P524/O524,"")</f>
        <v/>
      </c>
      <c r="U524" s="3">
        <f>IFERROR(Q524/O524,"")</f>
        <v/>
      </c>
      <c r="V524" t="n">
        <v>25</v>
      </c>
      <c r="W524" t="n">
        <v>0</v>
      </c>
      <c r="X524" t="n">
        <v>0</v>
      </c>
      <c r="Y524">
        <f>ROUND(V524-W524,2)</f>
        <v/>
      </c>
      <c r="Z524">
        <f>ROUND(V524-X524,2)</f>
        <v/>
      </c>
      <c r="AA524" s="3">
        <f>IFERROR(W524/V524,"")</f>
        <v/>
      </c>
      <c r="AB524" s="3">
        <f>IFERROR(X524/V524,"")</f>
        <v/>
      </c>
      <c r="AC524" t="b">
        <v>0</v>
      </c>
      <c r="AD524" t="b">
        <v>0</v>
      </c>
      <c r="AE524" t="b">
        <v>0</v>
      </c>
      <c r="AF524" t="inlineStr">
        <is>
          <t>Yes</t>
        </is>
      </c>
      <c r="AG524" s="2" t="n">
        <v>45992</v>
      </c>
      <c r="AI524" t="b">
        <v>1</v>
      </c>
      <c r="AJ524" t="n">
        <v>4</v>
      </c>
      <c r="AK524" t="inlineStr"/>
      <c r="AL524" t="inlineStr">
        <is>
          <t>ORG bIT Bayern</t>
        </is>
      </c>
      <c r="AM524" t="inlineStr">
        <is>
          <t>Business Agility &amp; Transformation - Management</t>
        </is>
      </c>
      <c r="AN524" t="inlineStr">
        <is>
          <t>BAT Business Agility &amp; Transformation (Marc S.)</t>
        </is>
      </c>
      <c r="AO524" t="inlineStr">
        <is>
          <t>bridgingIT GmbH</t>
        </is>
      </c>
      <c r="AP524" t="inlineStr">
        <is>
          <t>München</t>
        </is>
      </c>
      <c r="AQ524" t="inlineStr">
        <is>
          <t>Marc Schmitt</t>
        </is>
      </c>
    </row>
    <row r="525">
      <c r="A525" t="inlineStr">
        <is>
          <t>3260</t>
        </is>
      </c>
      <c r="B525" t="inlineStr">
        <is>
          <t>D1E659</t>
        </is>
      </c>
      <c r="C525" t="inlineStr">
        <is>
          <t>https://app.matchical.com/Consulting/ConsultantDetail?ConsultantId=372e1eb5-ff23-4eaf-9608-e18d1e2e368c</t>
        </is>
      </c>
      <c r="D525" t="inlineStr">
        <is>
          <t>Sefer Vural</t>
        </is>
      </c>
      <c r="E525" t="inlineStr">
        <is>
          <t>sefer.vural@bridging-it.de</t>
        </is>
      </c>
      <c r="F525" s="2" t="n">
        <v>44805</v>
      </c>
      <c r="G525" s="2" t="n">
        <v>41792</v>
      </c>
      <c r="H525" t="n">
        <v>0</v>
      </c>
      <c r="I525" t="n">
        <v>0</v>
      </c>
      <c r="J525" t="n">
        <v>0</v>
      </c>
      <c r="N525" t="b">
        <v>0</v>
      </c>
      <c r="O525" t="n">
        <v>42</v>
      </c>
      <c r="P525" t="n">
        <v>0</v>
      </c>
      <c r="Q525" t="n">
        <v>0</v>
      </c>
      <c r="R525">
        <f>ROUND(O525-P525,2)</f>
        <v/>
      </c>
      <c r="S525">
        <f>ROUND(O525-Q525,2)</f>
        <v/>
      </c>
      <c r="T525" s="3">
        <f>IFERROR(P525/O525,"")</f>
        <v/>
      </c>
      <c r="U525" s="3">
        <f>IFERROR(Q525/O525,"")</f>
        <v/>
      </c>
      <c r="V525" t="n">
        <v>99</v>
      </c>
      <c r="W525" t="n">
        <v>0</v>
      </c>
      <c r="X525" t="n">
        <v>0</v>
      </c>
      <c r="Y525">
        <f>ROUND(V525-W525,2)</f>
        <v/>
      </c>
      <c r="Z525">
        <f>ROUND(V525-X525,2)</f>
        <v/>
      </c>
      <c r="AA525" s="3">
        <f>IFERROR(W525/V525,"")</f>
        <v/>
      </c>
      <c r="AB525" s="3">
        <f>IFERROR(X525/V525,"")</f>
        <v/>
      </c>
      <c r="AC525" t="b">
        <v>0</v>
      </c>
      <c r="AD525" t="b">
        <v>0</v>
      </c>
      <c r="AE525" t="b">
        <v>0</v>
      </c>
      <c r="AF525" t="inlineStr">
        <is>
          <t>No</t>
        </is>
      </c>
      <c r="AI525" t="b">
        <v>1</v>
      </c>
      <c r="AJ525" t="n">
        <v>0</v>
      </c>
      <c r="AK525" t="inlineStr"/>
      <c r="AL525" t="inlineStr">
        <is>
          <t>Sales BL</t>
        </is>
      </c>
      <c r="AM525" t="inlineStr">
        <is>
          <t>Tim Thierfelder</t>
        </is>
      </c>
      <c r="AN525" t="inlineStr">
        <is>
          <t>Capability Management (Tim T.)</t>
        </is>
      </c>
      <c r="AO525" t="inlineStr">
        <is>
          <t>bridgingIT GmbH</t>
        </is>
      </c>
      <c r="AP525" t="inlineStr">
        <is>
          <t>Frankfurt</t>
        </is>
      </c>
      <c r="AQ525" t="inlineStr">
        <is>
          <t>Tim Thierfelder</t>
        </is>
      </c>
    </row>
    <row r="526">
      <c r="A526" t="inlineStr">
        <is>
          <t>3036</t>
        </is>
      </c>
      <c r="B526" t="inlineStr">
        <is>
          <t>E362FE</t>
        </is>
      </c>
      <c r="C526" t="inlineStr">
        <is>
          <t>https://app.matchical.com/Consulting/ConsultantDetail?ConsultantId=2d7aac8f-68d3-4679-944f-402d66a0add5</t>
        </is>
      </c>
      <c r="D526" t="inlineStr">
        <is>
          <t>Selina Haritz</t>
        </is>
      </c>
      <c r="E526" t="inlineStr">
        <is>
          <t>selina.haritz@bridging-it.de</t>
        </is>
      </c>
      <c r="F526" s="2" t="n">
        <v>40422</v>
      </c>
      <c r="G526" s="2" t="n">
        <v>37622</v>
      </c>
      <c r="H526" t="n">
        <v>22</v>
      </c>
      <c r="I526" t="n">
        <v>0</v>
      </c>
      <c r="J526" t="n">
        <v>2</v>
      </c>
      <c r="K526" s="2" t="n">
        <v>44439</v>
      </c>
      <c r="L526" s="2" t="n">
        <v>45092</v>
      </c>
      <c r="M526" s="2" t="n">
        <v>45638</v>
      </c>
      <c r="N526" t="b">
        <v>0</v>
      </c>
      <c r="O526" t="n">
        <v>186</v>
      </c>
      <c r="P526" t="n">
        <v>248</v>
      </c>
      <c r="Q526" t="n">
        <v>174</v>
      </c>
      <c r="R526">
        <f>ROUND(O526-P526,2)</f>
        <v/>
      </c>
      <c r="S526">
        <f>ROUND(O526-Q526,2)</f>
        <v/>
      </c>
      <c r="T526" s="3">
        <f>IFERROR(P526/O526,"")</f>
        <v/>
      </c>
      <c r="U526" s="3">
        <f>IFERROR(Q526/O526,"")</f>
        <v/>
      </c>
      <c r="V526" t="n">
        <v>92</v>
      </c>
      <c r="W526" t="n">
        <v>0</v>
      </c>
      <c r="X526" t="n">
        <v>0</v>
      </c>
      <c r="Y526">
        <f>ROUND(V526-W526,2)</f>
        <v/>
      </c>
      <c r="Z526">
        <f>ROUND(V526-X526,2)</f>
        <v/>
      </c>
      <c r="AA526" s="3">
        <f>IFERROR(W526/V526,"")</f>
        <v/>
      </c>
      <c r="AB526" s="3">
        <f>IFERROR(X526/V526,"")</f>
        <v/>
      </c>
      <c r="AC526" t="b">
        <v>0</v>
      </c>
      <c r="AD526" t="b">
        <v>0</v>
      </c>
      <c r="AE526" t="b">
        <v>0</v>
      </c>
      <c r="AF526" t="inlineStr">
        <is>
          <t>No</t>
        </is>
      </c>
      <c r="AI526" t="b">
        <v>1</v>
      </c>
      <c r="AJ526" t="n">
        <v>0</v>
      </c>
      <c r="AK526" t="inlineStr"/>
      <c r="AL526" t="inlineStr">
        <is>
          <t>ORG bIT</t>
        </is>
      </c>
      <c r="AM526" t="inlineStr">
        <is>
          <t>PS Project Services (Ulrich W.)</t>
        </is>
      </c>
      <c r="AN526" t="inlineStr">
        <is>
          <t>TH Transformation Hub (Ulrich W.)</t>
        </is>
      </c>
      <c r="AO526" t="inlineStr">
        <is>
          <t>bridgingIT GmbH</t>
        </is>
      </c>
      <c r="AP526" t="inlineStr">
        <is>
          <t>Frankfurt</t>
        </is>
      </c>
      <c r="AQ526" t="inlineStr">
        <is>
          <t>Ulrich Waltinger</t>
        </is>
      </c>
    </row>
    <row r="527">
      <c r="A527" t="inlineStr">
        <is>
          <t>10322</t>
        </is>
      </c>
      <c r="B527" t="inlineStr">
        <is>
          <t>573300</t>
        </is>
      </c>
      <c r="C527" t="inlineStr">
        <is>
          <t>https://app.matchical.com/Consulting/ConsultantDetail?ConsultantId=a906dc57-d8bc-4126-ad99-4aeaab9f6046</t>
        </is>
      </c>
      <c r="D527" t="inlineStr">
        <is>
          <t>Selina Wallner</t>
        </is>
      </c>
      <c r="E527" t="inlineStr">
        <is>
          <t>selina.wallner@bridging-it.de</t>
        </is>
      </c>
      <c r="F527" s="2" t="n">
        <v>45566</v>
      </c>
      <c r="G527" s="2" t="n">
        <v>44409</v>
      </c>
      <c r="H527" t="n">
        <v>5</v>
      </c>
      <c r="I527" t="n">
        <v>0</v>
      </c>
      <c r="J527" t="n">
        <v>2</v>
      </c>
      <c r="K527" s="2" t="n">
        <v>45869</v>
      </c>
      <c r="L527" s="2" t="n">
        <v>45689</v>
      </c>
      <c r="M527" s="2" t="n">
        <v>45869</v>
      </c>
      <c r="N527" t="b">
        <v>0</v>
      </c>
      <c r="O527" t="n">
        <v>17</v>
      </c>
      <c r="P527" t="n">
        <v>21</v>
      </c>
      <c r="Q527" t="n">
        <v>15</v>
      </c>
      <c r="R527">
        <f>ROUND(O527-P527,2)</f>
        <v/>
      </c>
      <c r="S527">
        <f>ROUND(O527-Q527,2)</f>
        <v/>
      </c>
      <c r="T527" s="3">
        <f>IFERROR(P527/O527,"")</f>
        <v/>
      </c>
      <c r="U527" s="3">
        <f>IFERROR(Q527/O527,"")</f>
        <v/>
      </c>
      <c r="V527" t="n">
        <v>38</v>
      </c>
      <c r="W527" t="n">
        <v>31</v>
      </c>
      <c r="X527" t="n">
        <v>31</v>
      </c>
      <c r="Y527">
        <f>ROUND(V527-W527,2)</f>
        <v/>
      </c>
      <c r="Z527">
        <f>ROUND(V527-X527,2)</f>
        <v/>
      </c>
      <c r="AA527" s="3">
        <f>IFERROR(W527/V527,"")</f>
        <v/>
      </c>
      <c r="AB527" s="3">
        <f>IFERROR(X527/V527,"")</f>
        <v/>
      </c>
      <c r="AC527" t="b">
        <v>0</v>
      </c>
      <c r="AD527" t="b">
        <v>0</v>
      </c>
      <c r="AE527" t="b">
        <v>0</v>
      </c>
      <c r="AF527" t="inlineStr">
        <is>
          <t>Yes</t>
        </is>
      </c>
      <c r="AG527" s="2" t="n">
        <v>46113</v>
      </c>
      <c r="AI527" t="b">
        <v>1</v>
      </c>
      <c r="AJ527" t="n">
        <v>1.14</v>
      </c>
      <c r="AK527" t="inlineStr"/>
      <c r="AL527" t="inlineStr">
        <is>
          <t>IT Information Technology (Hauke G.)</t>
        </is>
      </c>
      <c r="AM527" t="inlineStr">
        <is>
          <t>ITT IT-Transformation (Carmen D.)</t>
        </is>
      </c>
      <c r="AN527" t="inlineStr">
        <is>
          <t>ITM IT-Management (Jörg M.)</t>
        </is>
      </c>
      <c r="AO527" t="inlineStr">
        <is>
          <t>bridgingIT GmbH</t>
        </is>
      </c>
      <c r="AP527" t="inlineStr">
        <is>
          <t>Stuttgart</t>
        </is>
      </c>
      <c r="AQ527" t="inlineStr">
        <is>
          <t>Carmen Deubelbeiss</t>
        </is>
      </c>
    </row>
    <row r="528">
      <c r="A528" t="inlineStr">
        <is>
          <t>10095</t>
        </is>
      </c>
      <c r="B528" t="inlineStr">
        <is>
          <t>3DB7F3</t>
        </is>
      </c>
      <c r="C528" t="inlineStr">
        <is>
          <t>https://app.matchical.com/Consulting/ConsultantDetail?ConsultantId=6b8358b5-ee33-403d-b89f-a9022d13ba0c</t>
        </is>
      </c>
      <c r="D528" t="inlineStr">
        <is>
          <t>Selma Behremovic</t>
        </is>
      </c>
      <c r="E528" t="inlineStr">
        <is>
          <t>selma.behremovic@bridging-it.de</t>
        </is>
      </c>
      <c r="F528" s="2" t="n">
        <v>44972</v>
      </c>
      <c r="G528" s="2" t="n">
        <v>44676</v>
      </c>
      <c r="H528" t="n">
        <v>3</v>
      </c>
      <c r="I528" t="n">
        <v>0</v>
      </c>
      <c r="J528" t="n">
        <v>0</v>
      </c>
      <c r="L528" s="2" t="n">
        <v>45778</v>
      </c>
      <c r="M528" s="2" t="n">
        <v>46022</v>
      </c>
      <c r="N528" t="b">
        <v>0</v>
      </c>
      <c r="O528" t="n">
        <v>36</v>
      </c>
      <c r="P528" t="n">
        <v>41</v>
      </c>
      <c r="Q528" t="n">
        <v>34</v>
      </c>
      <c r="R528">
        <f>ROUND(O528-P528,2)</f>
        <v/>
      </c>
      <c r="S528">
        <f>ROUND(O528-Q528,2)</f>
        <v/>
      </c>
      <c r="T528" s="3">
        <f>IFERROR(P528/O528,"")</f>
        <v/>
      </c>
      <c r="U528" s="3">
        <f>IFERROR(Q528/O528,"")</f>
        <v/>
      </c>
      <c r="V528" t="n">
        <v>10</v>
      </c>
      <c r="W528" t="n">
        <v>3.96</v>
      </c>
      <c r="X528" t="n">
        <v>3.96</v>
      </c>
      <c r="Y528">
        <f>ROUND(V528-W528,2)</f>
        <v/>
      </c>
      <c r="Z528">
        <f>ROUND(V528-X528,2)</f>
        <v/>
      </c>
      <c r="AA528" s="3">
        <f>IFERROR(W528/V528,"")</f>
        <v/>
      </c>
      <c r="AB528" s="3">
        <f>IFERROR(X528/V528,"")</f>
        <v/>
      </c>
      <c r="AC528" t="b">
        <v>0</v>
      </c>
      <c r="AD528" t="b">
        <v>0</v>
      </c>
      <c r="AE528" t="b">
        <v>0</v>
      </c>
      <c r="AF528" t="inlineStr">
        <is>
          <t>No</t>
        </is>
      </c>
      <c r="AI528" t="b">
        <v>1</v>
      </c>
      <c r="AJ528" t="n">
        <v>0</v>
      </c>
      <c r="AK528" t="inlineStr"/>
      <c r="AL528" t="inlineStr">
        <is>
          <t>ORG bIT</t>
        </is>
      </c>
      <c r="AM528" t="inlineStr">
        <is>
          <t>QE Quality Engineering (Boris B.)</t>
        </is>
      </c>
      <c r="AN528" t="inlineStr">
        <is>
          <t>TH Transformation Hub (Ulrich W.)</t>
        </is>
      </c>
      <c r="AO528" t="inlineStr">
        <is>
          <t>bridgingIT GmbH</t>
        </is>
      </c>
      <c r="AP528" t="inlineStr">
        <is>
          <t>Frankfurt</t>
        </is>
      </c>
      <c r="AQ528" t="inlineStr">
        <is>
          <t>Boris Bergner</t>
        </is>
      </c>
    </row>
    <row r="529">
      <c r="A529" t="inlineStr">
        <is>
          <t>10159</t>
        </is>
      </c>
      <c r="B529" t="inlineStr">
        <is>
          <t>DDAD77</t>
        </is>
      </c>
      <c r="C529" t="inlineStr">
        <is>
          <t>https://app.matchical.com/Consulting/ConsultantDetail?ConsultantId=ea36a3c5-4dbd-4124-bd33-722ef86a57fc</t>
        </is>
      </c>
      <c r="D529" t="inlineStr">
        <is>
          <t>Semia Belhadj</t>
        </is>
      </c>
      <c r="E529" t="inlineStr">
        <is>
          <t>semia.belhadj@bridging-it.de</t>
        </is>
      </c>
      <c r="F529" s="2" t="n">
        <v>45200</v>
      </c>
      <c r="G529" s="2" t="n">
        <v>41334</v>
      </c>
      <c r="H529" t="n">
        <v>5</v>
      </c>
      <c r="I529" t="n">
        <v>0</v>
      </c>
      <c r="J529" t="n">
        <v>1</v>
      </c>
      <c r="K529" s="2" t="n">
        <v>45383</v>
      </c>
      <c r="L529" s="2" t="n">
        <v>45230</v>
      </c>
      <c r="M529" s="2" t="n">
        <v>45382</v>
      </c>
      <c r="N529" t="b">
        <v>0</v>
      </c>
      <c r="O529" t="n">
        <v>29</v>
      </c>
      <c r="P529" t="n">
        <v>27</v>
      </c>
      <c r="Q529" t="n">
        <v>27</v>
      </c>
      <c r="R529">
        <f>ROUND(O529-P529,2)</f>
        <v/>
      </c>
      <c r="S529">
        <f>ROUND(O529-Q529,2)</f>
        <v/>
      </c>
      <c r="T529" s="3">
        <f>IFERROR(P529/O529,"")</f>
        <v/>
      </c>
      <c r="U529" s="3">
        <f>IFERROR(Q529/O529,"")</f>
        <v/>
      </c>
      <c r="V529" t="n">
        <v>127</v>
      </c>
      <c r="W529" t="n">
        <v>68</v>
      </c>
      <c r="X529" t="n">
        <v>49</v>
      </c>
      <c r="Y529">
        <f>ROUND(V529-W529,2)</f>
        <v/>
      </c>
      <c r="Z529">
        <f>ROUND(V529-X529,2)</f>
        <v/>
      </c>
      <c r="AA529" s="3">
        <f>IFERROR(W529/V529,"")</f>
        <v/>
      </c>
      <c r="AB529" s="3">
        <f>IFERROR(X529/V529,"")</f>
        <v/>
      </c>
      <c r="AC529" t="b">
        <v>0</v>
      </c>
      <c r="AD529" t="b">
        <v>0</v>
      </c>
      <c r="AE529" t="b">
        <v>0</v>
      </c>
      <c r="AF529" t="inlineStr">
        <is>
          <t>No</t>
        </is>
      </c>
      <c r="AI529" t="b">
        <v>1</v>
      </c>
      <c r="AJ529" t="n">
        <v>0</v>
      </c>
      <c r="AK529" t="inlineStr">
        <is>
          <t>SAFe Coach or RTE</t>
        </is>
      </c>
      <c r="AL529" t="inlineStr">
        <is>
          <t>ORG bIT</t>
        </is>
      </c>
      <c r="AM529" t="inlineStr">
        <is>
          <t>DOC - Digital Organization Cologne (Diana G.)</t>
        </is>
      </c>
      <c r="AN529" t="inlineStr">
        <is>
          <t>BTC - Business Transformation Cologne (Anna S.)</t>
        </is>
      </c>
      <c r="AO529" t="inlineStr">
        <is>
          <t>bridgingIT GmbH</t>
        </is>
      </c>
      <c r="AP529" t="inlineStr">
        <is>
          <t>Köln</t>
        </is>
      </c>
      <c r="AQ529" t="inlineStr">
        <is>
          <t>Diana Gülker</t>
        </is>
      </c>
    </row>
    <row r="530">
      <c r="A530" t="inlineStr">
        <is>
          <t>10466</t>
        </is>
      </c>
      <c r="B530" t="inlineStr">
        <is>
          <t>A241E3</t>
        </is>
      </c>
      <c r="C530" t="inlineStr">
        <is>
          <t>https://app.matchical.com/Consulting/ConsultantDetail?ConsultantId=07dc49e2-ca94-44bc-82db-e20dc37c0a03</t>
        </is>
      </c>
      <c r="D530" t="inlineStr">
        <is>
          <t>Serkan Kayman</t>
        </is>
      </c>
      <c r="E530" t="inlineStr">
        <is>
          <t>serkan.kayman@bridging-it.de</t>
        </is>
      </c>
      <c r="F530" s="2" t="n">
        <v>46082</v>
      </c>
      <c r="H530" t="n">
        <v>4</v>
      </c>
      <c r="I530" t="n">
        <v>0</v>
      </c>
      <c r="J530" t="n">
        <v>0</v>
      </c>
      <c r="L530" s="2" t="n">
        <v>45808</v>
      </c>
      <c r="M530" s="2" t="n">
        <v>45990</v>
      </c>
      <c r="N530" t="b">
        <v>0</v>
      </c>
      <c r="O530" t="n">
        <v>0</v>
      </c>
      <c r="P530" t="n">
        <v>0</v>
      </c>
      <c r="Q530" t="n">
        <v>0</v>
      </c>
      <c r="R530">
        <f>ROUND(O530-P530,2)</f>
        <v/>
      </c>
      <c r="S530">
        <f>ROUND(O530-Q530,2)</f>
        <v/>
      </c>
      <c r="T530" s="3">
        <f>IFERROR(P530/O530,"")</f>
        <v/>
      </c>
      <c r="U530" s="3">
        <f>IFERROR(Q530/O530,"")</f>
        <v/>
      </c>
      <c r="V530" t="n">
        <v>1514</v>
      </c>
      <c r="W530" t="n">
        <v>49</v>
      </c>
      <c r="X530" t="n">
        <v>39</v>
      </c>
      <c r="Y530">
        <f>ROUND(V530-W530,2)</f>
        <v/>
      </c>
      <c r="Z530">
        <f>ROUND(V530-X530,2)</f>
        <v/>
      </c>
      <c r="AA530" s="3">
        <f>IFERROR(W530/V530,"")</f>
        <v/>
      </c>
      <c r="AB530" s="3">
        <f>IFERROR(X530/V530,"")</f>
        <v/>
      </c>
      <c r="AC530" t="b">
        <v>0</v>
      </c>
      <c r="AD530" t="b">
        <v>0</v>
      </c>
      <c r="AE530" t="b">
        <v>0</v>
      </c>
      <c r="AF530" t="inlineStr">
        <is>
          <t>Yes</t>
        </is>
      </c>
      <c r="AG530" s="2" t="n">
        <v>46082</v>
      </c>
      <c r="AI530" t="b">
        <v>1</v>
      </c>
      <c r="AJ530" t="n">
        <v>5</v>
      </c>
      <c r="AK530" t="inlineStr"/>
      <c r="AL530" t="inlineStr">
        <is>
          <t>IT - Information Technology (HH)</t>
        </is>
      </c>
      <c r="AM530" t="inlineStr">
        <is>
          <t>TM - Transition Management (Christoph W.)</t>
        </is>
      </c>
      <c r="AN530" t="inlineStr">
        <is>
          <t>MWT HH (Udo P.)</t>
        </is>
      </c>
      <c r="AO530" t="inlineStr">
        <is>
          <t>bridgingIT GmbH</t>
        </is>
      </c>
      <c r="AP530" t="inlineStr">
        <is>
          <t>Hamburg</t>
        </is>
      </c>
      <c r="AQ530" t="inlineStr">
        <is>
          <t>Christoph Wudtke</t>
        </is>
      </c>
    </row>
    <row r="531">
      <c r="A531" t="inlineStr">
        <is>
          <t>10458</t>
        </is>
      </c>
      <c r="B531" t="inlineStr">
        <is>
          <t>1BC993</t>
        </is>
      </c>
      <c r="C531" t="inlineStr">
        <is>
          <t>https://app.matchical.com/Consulting/ConsultantDetail?ConsultantId=e884f8a2-623f-4cd7-b1ce-3d7ac3d6b2b7</t>
        </is>
      </c>
      <c r="D531" t="inlineStr">
        <is>
          <t>Severin Beeger</t>
        </is>
      </c>
      <c r="E531" t="inlineStr">
        <is>
          <t>severin.beeger@bridging-it.de</t>
        </is>
      </c>
      <c r="F531" s="2" t="n">
        <v>46082</v>
      </c>
      <c r="H531" t="n">
        <v>2</v>
      </c>
      <c r="I531" t="n">
        <v>0</v>
      </c>
      <c r="J531" t="n">
        <v>0</v>
      </c>
      <c r="N531" t="b">
        <v>0</v>
      </c>
      <c r="O531" t="n">
        <v>0</v>
      </c>
      <c r="P531" t="n">
        <v>0</v>
      </c>
      <c r="Q531" t="n">
        <v>0</v>
      </c>
      <c r="R531">
        <f>ROUND(O531-P531,2)</f>
        <v/>
      </c>
      <c r="S531">
        <f>ROUND(O531-Q531,2)</f>
        <v/>
      </c>
      <c r="T531" s="3">
        <f>IFERROR(P531/O531,"")</f>
        <v/>
      </c>
      <c r="U531" s="3">
        <f>IFERROR(Q531/O531,"")</f>
        <v/>
      </c>
      <c r="V531" t="n">
        <v>1514</v>
      </c>
      <c r="W531" t="n">
        <v>27.8</v>
      </c>
      <c r="X531" t="n">
        <v>14.89</v>
      </c>
      <c r="Y531">
        <f>ROUND(V531-W531,2)</f>
        <v/>
      </c>
      <c r="Z531">
        <f>ROUND(V531-X531,2)</f>
        <v/>
      </c>
      <c r="AA531" s="3">
        <f>IFERROR(W531/V531,"")</f>
        <v/>
      </c>
      <c r="AB531" s="3">
        <f>IFERROR(X531/V531,"")</f>
        <v/>
      </c>
      <c r="AC531" t="b">
        <v>0</v>
      </c>
      <c r="AD531" t="b">
        <v>0</v>
      </c>
      <c r="AE531" t="b">
        <v>0</v>
      </c>
      <c r="AF531" t="inlineStr">
        <is>
          <t>Yes</t>
        </is>
      </c>
      <c r="AG531" s="2" t="n">
        <v>46082</v>
      </c>
      <c r="AI531" t="b">
        <v>1</v>
      </c>
      <c r="AJ531" t="n">
        <v>5</v>
      </c>
      <c r="AK531" t="inlineStr"/>
      <c r="AL531" t="inlineStr">
        <is>
          <t>IT - Information Technology (HH)</t>
        </is>
      </c>
      <c r="AM531" t="inlineStr">
        <is>
          <t>TM - Transition Management (Christoph W.)</t>
        </is>
      </c>
      <c r="AN531" t="inlineStr">
        <is>
          <t>MWT HH (Udo P.)</t>
        </is>
      </c>
      <c r="AO531" t="inlineStr">
        <is>
          <t>bridgingIT GmbH</t>
        </is>
      </c>
      <c r="AP531" t="inlineStr">
        <is>
          <t>Hamburg</t>
        </is>
      </c>
      <c r="AQ531" t="inlineStr">
        <is>
          <t>Christoph Wudtke</t>
        </is>
      </c>
    </row>
    <row r="532">
      <c r="A532" t="inlineStr">
        <is>
          <t>5098</t>
        </is>
      </c>
      <c r="B532" t="inlineStr">
        <is>
          <t>13322C</t>
        </is>
      </c>
      <c r="C532" t="inlineStr">
        <is>
          <t>https://app.matchical.com/Consulting/ConsultantDetail?ConsultantId=7939891f-7c39-4bb9-a705-314dd7412938</t>
        </is>
      </c>
      <c r="D532" t="inlineStr">
        <is>
          <t>Severin Etzbach</t>
        </is>
      </c>
      <c r="E532" t="inlineStr">
        <is>
          <t>severin.etzbach@bridging-it.de</t>
        </is>
      </c>
      <c r="F532" s="2" t="n">
        <v>44652</v>
      </c>
      <c r="G532" s="2" t="n">
        <v>43739</v>
      </c>
      <c r="H532" t="n">
        <v>9</v>
      </c>
      <c r="I532" t="n">
        <v>0</v>
      </c>
      <c r="J532" t="n">
        <v>0</v>
      </c>
      <c r="L532" s="2" t="n">
        <v>45839</v>
      </c>
      <c r="M532" s="2" t="n">
        <v>46022</v>
      </c>
      <c r="N532" t="b">
        <v>0</v>
      </c>
      <c r="O532" t="n">
        <v>47</v>
      </c>
      <c r="P532" t="n">
        <v>66</v>
      </c>
      <c r="Q532" t="n">
        <v>42</v>
      </c>
      <c r="R532">
        <f>ROUND(O532-P532,2)</f>
        <v/>
      </c>
      <c r="S532">
        <f>ROUND(O532-Q532,2)</f>
        <v/>
      </c>
      <c r="T532" s="3">
        <f>IFERROR(P532/O532,"")</f>
        <v/>
      </c>
      <c r="U532" s="3">
        <f>IFERROR(Q532/O532,"")</f>
        <v/>
      </c>
      <c r="V532" t="n">
        <v>30</v>
      </c>
      <c r="W532" t="n">
        <v>24</v>
      </c>
      <c r="X532" t="n">
        <v>24</v>
      </c>
      <c r="Y532">
        <f>ROUND(V532-W532,2)</f>
        <v/>
      </c>
      <c r="Z532">
        <f>ROUND(V532-X532,2)</f>
        <v/>
      </c>
      <c r="AA532" s="3">
        <f>IFERROR(W532/V532,"")</f>
        <v/>
      </c>
      <c r="AB532" s="3">
        <f>IFERROR(X532/V532,"")</f>
        <v/>
      </c>
      <c r="AC532" t="b">
        <v>0</v>
      </c>
      <c r="AD532" t="b">
        <v>0</v>
      </c>
      <c r="AE532" t="b">
        <v>0</v>
      </c>
      <c r="AF532" t="inlineStr">
        <is>
          <t>No</t>
        </is>
      </c>
      <c r="AI532" t="b">
        <v>1</v>
      </c>
      <c r="AJ532" t="n">
        <v>0</v>
      </c>
      <c r="AK532" t="inlineStr">
        <is>
          <t>Parallel project with fluctuating workload
From February 1st, 4 days available</t>
        </is>
      </c>
      <c r="AL532" t="inlineStr">
        <is>
          <t>ORG bIT</t>
        </is>
      </c>
      <c r="AM532" t="inlineStr">
        <is>
          <t>AMC - Agility Masters Cologne (Severin E.)</t>
        </is>
      </c>
      <c r="AN532" t="inlineStr">
        <is>
          <t>BTC - Business Transformation Cologne (Anna S.)</t>
        </is>
      </c>
      <c r="AO532" t="inlineStr">
        <is>
          <t>bridgingIT GmbH</t>
        </is>
      </c>
      <c r="AP532" t="inlineStr">
        <is>
          <t>Köln</t>
        </is>
      </c>
      <c r="AQ532" t="inlineStr">
        <is>
          <t>Anna Schnorrenberger</t>
        </is>
      </c>
    </row>
    <row r="533">
      <c r="A533" t="inlineStr">
        <is>
          <t>10191</t>
        </is>
      </c>
      <c r="B533" t="inlineStr">
        <is>
          <t>964B87</t>
        </is>
      </c>
      <c r="C533" t="inlineStr">
        <is>
          <t>https://app.matchical.com/Consulting/ConsultantDetail?ConsultantId=aae5ab24-b5e2-4daf-acca-c68f9efdfd56</t>
        </is>
      </c>
      <c r="D533" t="inlineStr">
        <is>
          <t>Shiyar Dadako</t>
        </is>
      </c>
      <c r="E533" t="inlineStr">
        <is>
          <t>shiyar.dadako@bridging-it.de</t>
        </is>
      </c>
      <c r="F533" s="2" t="n">
        <v>45184</v>
      </c>
      <c r="G533" s="2" t="n">
        <v>45184</v>
      </c>
      <c r="H533" t="n">
        <v>4</v>
      </c>
      <c r="I533" t="n">
        <v>0</v>
      </c>
      <c r="J533" t="n">
        <v>2</v>
      </c>
      <c r="K533" s="2" t="n">
        <v>45365</v>
      </c>
      <c r="L533" s="2" t="n">
        <v>45688</v>
      </c>
      <c r="M533" s="2" t="n">
        <v>45930</v>
      </c>
      <c r="N533" t="b">
        <v>0</v>
      </c>
      <c r="O533" t="n">
        <v>29</v>
      </c>
      <c r="P533" t="n">
        <v>43</v>
      </c>
      <c r="Q533" t="n">
        <v>23</v>
      </c>
      <c r="R533">
        <f>ROUND(O533-P533,2)</f>
        <v/>
      </c>
      <c r="S533">
        <f>ROUND(O533-Q533,2)</f>
        <v/>
      </c>
      <c r="T533" s="3">
        <f>IFERROR(P533/O533,"")</f>
        <v/>
      </c>
      <c r="U533" s="3">
        <f>IFERROR(Q533/O533,"")</f>
        <v/>
      </c>
      <c r="V533" t="n">
        <v>0</v>
      </c>
      <c r="W533" t="n">
        <v>0</v>
      </c>
      <c r="X533" t="n">
        <v>0</v>
      </c>
      <c r="Y533">
        <f>ROUND(V533-W533,2)</f>
        <v/>
      </c>
      <c r="Z533">
        <f>ROUND(V533-X533,2)</f>
        <v/>
      </c>
      <c r="AA533" s="3">
        <f>IFERROR(W533/V533,"")</f>
        <v/>
      </c>
      <c r="AB533" s="3">
        <f>IFERROR(X533/V533,"")</f>
        <v/>
      </c>
      <c r="AC533" t="b">
        <v>0</v>
      </c>
      <c r="AD533" t="b">
        <v>0</v>
      </c>
      <c r="AE533" t="b">
        <v>0</v>
      </c>
      <c r="AF533" t="inlineStr">
        <is>
          <t>No</t>
        </is>
      </c>
      <c r="AI533" t="b">
        <v>1</v>
      </c>
      <c r="AJ533" t="n">
        <v>0</v>
      </c>
      <c r="AK533" t="inlineStr"/>
      <c r="AL533" t="inlineStr">
        <is>
          <t>ORG bIT</t>
        </is>
      </c>
      <c r="AM533" t="inlineStr">
        <is>
          <t>SEC - Software Engineering Cologne (Michael S.)</t>
        </is>
      </c>
      <c r="AN533" t="inlineStr">
        <is>
          <t>ITMC - IT-Management Cologne (Dominik H.)</t>
        </is>
      </c>
      <c r="AO533" t="inlineStr">
        <is>
          <t>bridgingIT GmbH</t>
        </is>
      </c>
      <c r="AP533" t="inlineStr">
        <is>
          <t>Köln</t>
        </is>
      </c>
      <c r="AQ533" t="inlineStr">
        <is>
          <t>Michael Stephan</t>
        </is>
      </c>
    </row>
    <row r="534">
      <c r="A534" t="inlineStr">
        <is>
          <t>2291</t>
        </is>
      </c>
      <c r="B534" t="inlineStr">
        <is>
          <t>DC650A</t>
        </is>
      </c>
      <c r="C534" t="inlineStr">
        <is>
          <t>https://app.matchical.com/Consulting/ConsultantDetail?ConsultantId=2cca9779-005b-451d-9224-05dbd0fd671f</t>
        </is>
      </c>
      <c r="D534" t="inlineStr">
        <is>
          <t>Silke Graf-Tsouli</t>
        </is>
      </c>
      <c r="E534" t="inlineStr">
        <is>
          <t>silke.graf-tsouli@bridging-it.de</t>
        </is>
      </c>
      <c r="F534" s="2" t="n">
        <v>44652</v>
      </c>
      <c r="G534" s="2" t="n">
        <v>34943</v>
      </c>
      <c r="H534" t="n">
        <v>10</v>
      </c>
      <c r="I534" t="n">
        <v>0</v>
      </c>
      <c r="J534" t="n">
        <v>0</v>
      </c>
      <c r="L534" s="2" t="n">
        <v>45299</v>
      </c>
      <c r="M534" s="2" t="n">
        <v>45929</v>
      </c>
      <c r="N534" t="b">
        <v>0</v>
      </c>
      <c r="O534" t="n">
        <v>47</v>
      </c>
      <c r="P534" t="n">
        <v>65.84</v>
      </c>
      <c r="Q534" t="n">
        <v>46.82</v>
      </c>
      <c r="R534">
        <f>ROUND(O534-P534,2)</f>
        <v/>
      </c>
      <c r="S534">
        <f>ROUND(O534-Q534,2)</f>
        <v/>
      </c>
      <c r="T534" s="3">
        <f>IFERROR(P534/O534,"")</f>
        <v/>
      </c>
      <c r="U534" s="3">
        <f>IFERROR(Q534/O534,"")</f>
        <v/>
      </c>
      <c r="V534" t="n">
        <v>319</v>
      </c>
      <c r="W534" t="n">
        <v>166</v>
      </c>
      <c r="X534" t="n">
        <v>64</v>
      </c>
      <c r="Y534">
        <f>ROUND(V534-W534,2)</f>
        <v/>
      </c>
      <c r="Z534">
        <f>ROUND(V534-X534,2)</f>
        <v/>
      </c>
      <c r="AA534" s="3">
        <f>IFERROR(W534/V534,"")</f>
        <v/>
      </c>
      <c r="AB534" s="3">
        <f>IFERROR(X534/V534,"")</f>
        <v/>
      </c>
      <c r="AC534" t="b">
        <v>0</v>
      </c>
      <c r="AD534" t="b">
        <v>0</v>
      </c>
      <c r="AE534" t="b">
        <v>0</v>
      </c>
      <c r="AF534" t="inlineStr">
        <is>
          <t>No</t>
        </is>
      </c>
      <c r="AI534" t="b">
        <v>0</v>
      </c>
      <c r="AJ534" t="n">
        <v>0</v>
      </c>
      <c r="AK534" t="inlineStr">
        <is>
          <t>Silke is leaving us on 28 February 2026, unfortunately.</t>
        </is>
      </c>
      <c r="AL534" t="inlineStr">
        <is>
          <t>DO Digital Organizations (Michael H.)</t>
        </is>
      </c>
      <c r="AM534" t="inlineStr">
        <is>
          <t>AO Agile Organizations (Andreas G.)</t>
        </is>
      </c>
      <c r="AN534" t="inlineStr">
        <is>
          <t>BT Business Transformation (Julian D.)</t>
        </is>
      </c>
      <c r="AO534" t="inlineStr">
        <is>
          <t>bridgingIT GmbH</t>
        </is>
      </c>
      <c r="AP534" t="inlineStr">
        <is>
          <t>Stuttgart</t>
        </is>
      </c>
      <c r="AQ534" t="inlineStr">
        <is>
          <t>Andreas Glasa</t>
        </is>
      </c>
    </row>
    <row r="535">
      <c r="A535" t="inlineStr">
        <is>
          <t>2302</t>
        </is>
      </c>
      <c r="B535" t="inlineStr">
        <is>
          <t>D9F62C</t>
        </is>
      </c>
      <c r="C535" t="inlineStr">
        <is>
          <t>https://app.matchical.com/Consulting/ConsultantDetail?ConsultantId=349c1165-378a-46df-b1d5-249ed6060437</t>
        </is>
      </c>
      <c r="D535" t="inlineStr">
        <is>
          <t>Silvia Evangelista</t>
        </is>
      </c>
      <c r="E535" t="inlineStr">
        <is>
          <t>silvia.evangelista@bridging-it.de</t>
        </is>
      </c>
      <c r="F535" s="2" t="n">
        <v>44652</v>
      </c>
      <c r="G535" s="2" t="n">
        <v>41821</v>
      </c>
      <c r="H535" t="n">
        <v>9</v>
      </c>
      <c r="I535" t="n">
        <v>0</v>
      </c>
      <c r="J535" t="n">
        <v>1</v>
      </c>
      <c r="K535" s="2" t="n">
        <v>43799</v>
      </c>
      <c r="L535" s="2" t="n">
        <v>45260</v>
      </c>
      <c r="M535" s="2" t="n">
        <v>45503</v>
      </c>
      <c r="N535" t="b">
        <v>0</v>
      </c>
      <c r="O535" t="n">
        <v>47</v>
      </c>
      <c r="P535" t="n">
        <v>80.16</v>
      </c>
      <c r="Q535" t="n">
        <v>46.82</v>
      </c>
      <c r="R535">
        <f>ROUND(O535-P535,2)</f>
        <v/>
      </c>
      <c r="S535">
        <f>ROUND(O535-Q535,2)</f>
        <v/>
      </c>
      <c r="T535" s="3">
        <f>IFERROR(P535/O535,"")</f>
        <v/>
      </c>
      <c r="U535" s="3">
        <f>IFERROR(Q535/O535,"")</f>
        <v/>
      </c>
      <c r="V535" t="n">
        <v>93</v>
      </c>
      <c r="W535" t="n">
        <v>78.70999999999999</v>
      </c>
      <c r="X535" t="n">
        <v>64.28</v>
      </c>
      <c r="Y535">
        <f>ROUND(V535-W535,2)</f>
        <v/>
      </c>
      <c r="Z535">
        <f>ROUND(V535-X535,2)</f>
        <v/>
      </c>
      <c r="AA535" s="3">
        <f>IFERROR(W535/V535,"")</f>
        <v/>
      </c>
      <c r="AB535" s="3">
        <f>IFERROR(X535/V535,"")</f>
        <v/>
      </c>
      <c r="AC535" t="b">
        <v>0</v>
      </c>
      <c r="AD535" t="b">
        <v>0</v>
      </c>
      <c r="AE535" t="b">
        <v>0</v>
      </c>
      <c r="AF535" t="inlineStr">
        <is>
          <t>No</t>
        </is>
      </c>
      <c r="AI535" t="b">
        <v>1</v>
      </c>
      <c r="AJ535" t="n">
        <v>0</v>
      </c>
      <c r="AK535" t="inlineStr">
        <is>
          <t>Available from 1.3. 5 days per week. Possible roles: Product Manager, Product Owner, Business Analyst</t>
        </is>
      </c>
      <c r="AL535" t="inlineStr">
        <is>
          <t>DO Digital Organizations (Michael H.)</t>
        </is>
      </c>
      <c r="AM535" t="inlineStr">
        <is>
          <t>PM Product Management (Dana Thüring)</t>
        </is>
      </c>
      <c r="AN535" t="inlineStr">
        <is>
          <t>BE Business Engineering (Heidi Foldenauer)</t>
        </is>
      </c>
      <c r="AO535" t="inlineStr">
        <is>
          <t>bridgingIT GmbH</t>
        </is>
      </c>
      <c r="AP535" t="inlineStr">
        <is>
          <t>Stuttgart</t>
        </is>
      </c>
      <c r="AQ535" t="inlineStr">
        <is>
          <t>Dana Thüring</t>
        </is>
      </c>
    </row>
    <row r="536">
      <c r="A536" t="inlineStr">
        <is>
          <t>3061</t>
        </is>
      </c>
      <c r="B536" t="inlineStr">
        <is>
          <t>E63390</t>
        </is>
      </c>
      <c r="C536" t="inlineStr">
        <is>
          <t>https://app.matchical.com/Consulting/ConsultantDetail?ConsultantId=768c5689-773c-4ddc-983f-55ceab5db944</t>
        </is>
      </c>
      <c r="D536" t="inlineStr">
        <is>
          <t>Simon Dillmann</t>
        </is>
      </c>
      <c r="E536" t="inlineStr">
        <is>
          <t>simon.dillmann@bridging-it.de</t>
        </is>
      </c>
      <c r="F536" s="2" t="n">
        <v>41183</v>
      </c>
      <c r="G536" s="2" t="n">
        <v>41183</v>
      </c>
      <c r="H536" t="n">
        <v>17</v>
      </c>
      <c r="I536" t="n">
        <v>0</v>
      </c>
      <c r="J536" t="n">
        <v>1</v>
      </c>
      <c r="K536" s="2" t="n">
        <v>43830</v>
      </c>
      <c r="L536" s="2" t="n">
        <v>45292</v>
      </c>
      <c r="M536" s="2" t="n">
        <v>46022</v>
      </c>
      <c r="N536" t="b">
        <v>0</v>
      </c>
      <c r="O536" t="n">
        <v>161</v>
      </c>
      <c r="P536" t="n">
        <v>339</v>
      </c>
      <c r="Q536" t="n">
        <v>160.79</v>
      </c>
      <c r="R536">
        <f>ROUND(O536-P536,2)</f>
        <v/>
      </c>
      <c r="S536">
        <f>ROUND(O536-Q536,2)</f>
        <v/>
      </c>
      <c r="T536" s="3">
        <f>IFERROR(P536/O536,"")</f>
        <v/>
      </c>
      <c r="U536" s="3">
        <f>IFERROR(Q536/O536,"")</f>
        <v/>
      </c>
      <c r="V536" t="n">
        <v>0</v>
      </c>
      <c r="W536" t="n">
        <v>0</v>
      </c>
      <c r="X536" t="n">
        <v>0</v>
      </c>
      <c r="Y536">
        <f>ROUND(V536-W536,2)</f>
        <v/>
      </c>
      <c r="Z536">
        <f>ROUND(V536-X536,2)</f>
        <v/>
      </c>
      <c r="AA536" s="3">
        <f>IFERROR(W536/V536,"")</f>
        <v/>
      </c>
      <c r="AB536" s="3">
        <f>IFERROR(X536/V536,"")</f>
        <v/>
      </c>
      <c r="AC536" t="b">
        <v>0</v>
      </c>
      <c r="AD536" t="b">
        <v>0</v>
      </c>
      <c r="AE536" t="b">
        <v>0</v>
      </c>
      <c r="AF536" t="inlineStr">
        <is>
          <t>No</t>
        </is>
      </c>
      <c r="AI536" t="b">
        <v>0</v>
      </c>
      <c r="AJ536" t="n">
        <v>0</v>
      </c>
      <c r="AK536" t="inlineStr"/>
      <c r="AL536" t="inlineStr">
        <is>
          <t>Geschäftsleitung und Support</t>
        </is>
      </c>
      <c r="AM536" t="inlineStr">
        <is>
          <t>CxO</t>
        </is>
      </c>
      <c r="AN536" t="inlineStr">
        <is>
          <t>CEO</t>
        </is>
      </c>
      <c r="AO536" t="inlineStr">
        <is>
          <t>bridgingIT GmbH</t>
        </is>
      </c>
      <c r="AP536" t="inlineStr">
        <is>
          <t>Frankfurt</t>
        </is>
      </c>
      <c r="AQ536" t="inlineStr">
        <is>
          <t>Frank Wallner</t>
        </is>
      </c>
    </row>
    <row r="537">
      <c r="A537" t="inlineStr">
        <is>
          <t>1510</t>
        </is>
      </c>
      <c r="B537" t="inlineStr">
        <is>
          <t>735926</t>
        </is>
      </c>
      <c r="C537" t="inlineStr">
        <is>
          <t>https://app.matchical.com/Consulting/ConsultantDetail?ConsultantId=a2521845-9e63-4a11-b21f-15238164d645</t>
        </is>
      </c>
      <c r="D537" t="inlineStr">
        <is>
          <t>Simon Naber</t>
        </is>
      </c>
      <c r="E537" t="inlineStr">
        <is>
          <t>simon.naber@bridging-it.de</t>
        </is>
      </c>
      <c r="F537" s="2" t="n">
        <v>44805</v>
      </c>
      <c r="G537" s="2" t="n">
        <v>43191</v>
      </c>
      <c r="H537" t="n">
        <v>3</v>
      </c>
      <c r="I537" t="n">
        <v>0</v>
      </c>
      <c r="J537" t="n">
        <v>0</v>
      </c>
      <c r="L537" s="2" t="n">
        <v>44865</v>
      </c>
      <c r="M537" s="2" t="n">
        <v>45656</v>
      </c>
      <c r="N537" t="b">
        <v>0</v>
      </c>
      <c r="O537" t="n">
        <v>42</v>
      </c>
      <c r="P537" t="n">
        <v>26</v>
      </c>
      <c r="Q537" t="n">
        <v>26</v>
      </c>
      <c r="R537">
        <f>ROUND(O537-P537,2)</f>
        <v/>
      </c>
      <c r="S537">
        <f>ROUND(O537-Q537,2)</f>
        <v/>
      </c>
      <c r="T537" s="3">
        <f>IFERROR(P537/O537,"")</f>
        <v/>
      </c>
      <c r="U537" s="3">
        <f>IFERROR(Q537/O537,"")</f>
        <v/>
      </c>
      <c r="V537" t="n">
        <v>53</v>
      </c>
      <c r="W537" t="n">
        <v>22</v>
      </c>
      <c r="X537" t="n">
        <v>22</v>
      </c>
      <c r="Y537">
        <f>ROUND(V537-W537,2)</f>
        <v/>
      </c>
      <c r="Z537">
        <f>ROUND(V537-X537,2)</f>
        <v/>
      </c>
      <c r="AA537" s="3">
        <f>IFERROR(W537/V537,"")</f>
        <v/>
      </c>
      <c r="AB537" s="3">
        <f>IFERROR(X537/V537,"")</f>
        <v/>
      </c>
      <c r="AC537" t="b">
        <v>0</v>
      </c>
      <c r="AD537" t="b">
        <v>0</v>
      </c>
      <c r="AE537" t="b">
        <v>0</v>
      </c>
      <c r="AF537" t="inlineStr">
        <is>
          <t>No</t>
        </is>
      </c>
      <c r="AI537" t="b">
        <v>0</v>
      </c>
      <c r="AJ537" t="n">
        <v>0</v>
      </c>
      <c r="AK537" t="inlineStr"/>
      <c r="AL537" t="inlineStr">
        <is>
          <t>IT - Information Technology (Sebastian L.)</t>
        </is>
      </c>
      <c r="AM537" t="inlineStr">
        <is>
          <t>ESM Enterprise Service Management (Christian Wo.)</t>
        </is>
      </c>
      <c r="AN537" t="inlineStr">
        <is>
          <t>C&amp;DO - Cloud &amp; DevOps (Sebastian L.)</t>
        </is>
      </c>
      <c r="AO537" t="inlineStr">
        <is>
          <t>bridgingIT GmbH</t>
        </is>
      </c>
      <c r="AP537" t="inlineStr">
        <is>
          <t>Mannheim</t>
        </is>
      </c>
      <c r="AQ537" t="inlineStr">
        <is>
          <t>Christian Wolf</t>
        </is>
      </c>
    </row>
    <row r="538">
      <c r="A538" t="inlineStr">
        <is>
          <t>4131</t>
        </is>
      </c>
      <c r="B538" t="inlineStr">
        <is>
          <t>6BB5F5</t>
        </is>
      </c>
      <c r="C538" t="inlineStr">
        <is>
          <t>https://app.matchical.com/Consulting/ConsultantDetail?ConsultantId=f4ca77da-28d0-4968-a1e2-00659ad63001</t>
        </is>
      </c>
      <c r="D538" t="inlineStr">
        <is>
          <t>Simon Sipple</t>
        </is>
      </c>
      <c r="E538" t="inlineStr">
        <is>
          <t>simon.sipple@bridging-it.de</t>
        </is>
      </c>
      <c r="F538" s="2" t="n">
        <v>44362</v>
      </c>
      <c r="G538" s="2" t="n">
        <v>42036</v>
      </c>
      <c r="H538" t="n">
        <v>12</v>
      </c>
      <c r="I538" t="n">
        <v>0</v>
      </c>
      <c r="J538" t="n">
        <v>1</v>
      </c>
      <c r="K538" s="2" t="n">
        <v>44592</v>
      </c>
      <c r="L538" s="2" t="n">
        <v>45352</v>
      </c>
      <c r="M538" s="2" t="n">
        <v>45565</v>
      </c>
      <c r="N538" t="b">
        <v>0</v>
      </c>
      <c r="O538" t="n">
        <v>56</v>
      </c>
      <c r="P538" t="n">
        <v>68</v>
      </c>
      <c r="Q538" t="n">
        <v>53</v>
      </c>
      <c r="R538">
        <f>ROUND(O538-P538,2)</f>
        <v/>
      </c>
      <c r="S538">
        <f>ROUND(O538-Q538,2)</f>
        <v/>
      </c>
      <c r="T538" s="3">
        <f>IFERROR(P538/O538,"")</f>
        <v/>
      </c>
      <c r="U538" s="3">
        <f>IFERROR(Q538/O538,"")</f>
        <v/>
      </c>
      <c r="V538" t="n">
        <v>76</v>
      </c>
      <c r="W538" t="n">
        <v>149</v>
      </c>
      <c r="X538" t="n">
        <v>76.42</v>
      </c>
      <c r="Y538">
        <f>ROUND(V538-W538,2)</f>
        <v/>
      </c>
      <c r="Z538">
        <f>ROUND(V538-X538,2)</f>
        <v/>
      </c>
      <c r="AA538" s="3">
        <f>IFERROR(W538/V538,"")</f>
        <v/>
      </c>
      <c r="AB538" s="3">
        <f>IFERROR(X538/V538,"")</f>
        <v/>
      </c>
      <c r="AC538" t="b">
        <v>0</v>
      </c>
      <c r="AD538" t="b">
        <v>0</v>
      </c>
      <c r="AE538" t="b">
        <v>0</v>
      </c>
      <c r="AF538" t="inlineStr">
        <is>
          <t>No</t>
        </is>
      </c>
      <c r="AI538" t="b">
        <v>1</v>
      </c>
      <c r="AJ538" t="n">
        <v>0</v>
      </c>
      <c r="AK538" t="inlineStr"/>
      <c r="AL538" t="inlineStr">
        <is>
          <t>ORG bIT Bayern</t>
        </is>
      </c>
      <c r="AM538" t="inlineStr">
        <is>
          <t>Agile Innovation - AIN (Simon S.)</t>
        </is>
      </c>
      <c r="AN538" t="inlineStr">
        <is>
          <t>BAT Business Agility &amp; Transformation (Marc S.)</t>
        </is>
      </c>
      <c r="AO538" t="inlineStr">
        <is>
          <t>bridgingIT GmbH</t>
        </is>
      </c>
      <c r="AP538" t="inlineStr">
        <is>
          <t>München</t>
        </is>
      </c>
      <c r="AQ538" t="inlineStr">
        <is>
          <t>Marc Schmitt</t>
        </is>
      </c>
    </row>
    <row r="539">
      <c r="A539" t="inlineStr">
        <is>
          <t>10043</t>
        </is>
      </c>
      <c r="B539" t="inlineStr">
        <is>
          <t>33620A</t>
        </is>
      </c>
      <c r="C539" t="inlineStr">
        <is>
          <t>https://app.matchical.com/Consulting/ConsultantDetail?ConsultantId=a4b8818e-0cf9-4842-b367-592f9da8adf0</t>
        </is>
      </c>
      <c r="D539" t="inlineStr">
        <is>
          <t>Sinja Rathje</t>
        </is>
      </c>
      <c r="E539" t="inlineStr">
        <is>
          <t>sinja.rathje@bridging-it.de</t>
        </is>
      </c>
      <c r="F539" s="2" t="n">
        <v>44927</v>
      </c>
      <c r="G539" s="2" t="n">
        <v>41518</v>
      </c>
      <c r="H539" t="n">
        <v>6</v>
      </c>
      <c r="I539" t="n">
        <v>0</v>
      </c>
      <c r="J539" t="n">
        <v>1</v>
      </c>
      <c r="K539" s="2" t="n">
        <v>45291</v>
      </c>
      <c r="L539" s="2" t="n">
        <v>45535</v>
      </c>
      <c r="M539" s="2" t="n">
        <v>45837</v>
      </c>
      <c r="N539" t="b">
        <v>0</v>
      </c>
      <c r="O539" t="n">
        <v>38</v>
      </c>
      <c r="P539" t="n">
        <v>52</v>
      </c>
      <c r="Q539" t="n">
        <v>36</v>
      </c>
      <c r="R539">
        <f>ROUND(O539-P539,2)</f>
        <v/>
      </c>
      <c r="S539">
        <f>ROUND(O539-Q539,2)</f>
        <v/>
      </c>
      <c r="T539" s="3">
        <f>IFERROR(P539/O539,"")</f>
        <v/>
      </c>
      <c r="U539" s="3">
        <f>IFERROR(Q539/O539,"")</f>
        <v/>
      </c>
      <c r="V539" t="n">
        <v>112</v>
      </c>
      <c r="W539" t="n">
        <v>58.97</v>
      </c>
      <c r="X539" t="n">
        <v>52.97</v>
      </c>
      <c r="Y539">
        <f>ROUND(V539-W539,2)</f>
        <v/>
      </c>
      <c r="Z539">
        <f>ROUND(V539-X539,2)</f>
        <v/>
      </c>
      <c r="AA539" s="3">
        <f>IFERROR(W539/V539,"")</f>
        <v/>
      </c>
      <c r="AB539" s="3">
        <f>IFERROR(X539/V539,"")</f>
        <v/>
      </c>
      <c r="AC539" t="b">
        <v>0</v>
      </c>
      <c r="AD539" t="b">
        <v>0</v>
      </c>
      <c r="AE539" t="b">
        <v>0</v>
      </c>
      <c r="AF539" t="inlineStr">
        <is>
          <t>Yes</t>
        </is>
      </c>
      <c r="AG539" s="2" t="n">
        <v>46101</v>
      </c>
      <c r="AI539" t="b">
        <v>1</v>
      </c>
      <c r="AJ539" t="n">
        <v>5</v>
      </c>
      <c r="AK539" t="inlineStr">
        <is>
          <t>Sinja is seeking a project as an Agile Coach, Scrum Master, or RTE (SAFe). She enjoys supporting multiple teams and brings experience in the automotive and energy sectors.</t>
        </is>
      </c>
      <c r="AL539" t="inlineStr">
        <is>
          <t>ORG bIT</t>
        </is>
      </c>
      <c r="AM539" t="inlineStr">
        <is>
          <t>SHH Standort Hamburg (Claudia P.)</t>
        </is>
      </c>
      <c r="AN539" t="inlineStr">
        <is>
          <t>SHH Standort Hamburg (Claudia P)</t>
        </is>
      </c>
      <c r="AO539" t="inlineStr">
        <is>
          <t>bridgingIT GmbH</t>
        </is>
      </c>
      <c r="AP539" t="inlineStr">
        <is>
          <t>Hamburg</t>
        </is>
      </c>
      <c r="AQ539" t="inlineStr">
        <is>
          <t>Claudia Peters</t>
        </is>
      </c>
    </row>
    <row r="540">
      <c r="A540" t="inlineStr">
        <is>
          <t>10162</t>
        </is>
      </c>
      <c r="B540" t="inlineStr">
        <is>
          <t>C6DE1A</t>
        </is>
      </c>
      <c r="C540" t="inlineStr">
        <is>
          <t>https://app.matchical.com/Consulting/ConsultantDetail?ConsultantId=e3b9293d-4599-4aaf-8bf0-94816a504384</t>
        </is>
      </c>
      <c r="D540" t="inlineStr">
        <is>
          <t>Songsik Shin</t>
        </is>
      </c>
      <c r="E540" t="inlineStr">
        <is>
          <t>songsik.shin@bridging-it.de</t>
        </is>
      </c>
      <c r="F540" s="2" t="n">
        <v>45139</v>
      </c>
      <c r="G540" s="2" t="n">
        <v>45139</v>
      </c>
      <c r="H540" t="n">
        <v>4</v>
      </c>
      <c r="I540" t="n">
        <v>0</v>
      </c>
      <c r="J540" t="n">
        <v>0</v>
      </c>
      <c r="L540" s="2" t="n">
        <v>45474</v>
      </c>
      <c r="M540" s="2" t="n">
        <v>45897</v>
      </c>
      <c r="N540" t="b">
        <v>0</v>
      </c>
      <c r="O540" t="n">
        <v>31</v>
      </c>
      <c r="P540" t="n">
        <v>19</v>
      </c>
      <c r="Q540" t="n">
        <v>19</v>
      </c>
      <c r="R540">
        <f>ROUND(O540-P540,2)</f>
        <v/>
      </c>
      <c r="S540">
        <f>ROUND(O540-Q540,2)</f>
        <v/>
      </c>
      <c r="T540" s="3">
        <f>IFERROR(P540/O540,"")</f>
        <v/>
      </c>
      <c r="U540" s="3">
        <f>IFERROR(Q540/O540,"")</f>
        <v/>
      </c>
      <c r="V540" t="n">
        <v>0</v>
      </c>
      <c r="W540" t="n">
        <v>0</v>
      </c>
      <c r="X540" t="n">
        <v>0</v>
      </c>
      <c r="Y540">
        <f>ROUND(V540-W540,2)</f>
        <v/>
      </c>
      <c r="Z540">
        <f>ROUND(V540-X540,2)</f>
        <v/>
      </c>
      <c r="AA540" s="3">
        <f>IFERROR(W540/V540,"")</f>
        <v/>
      </c>
      <c r="AB540" s="3">
        <f>IFERROR(X540/V540,"")</f>
        <v/>
      </c>
      <c r="AC540" t="b">
        <v>0</v>
      </c>
      <c r="AD540" t="b">
        <v>0</v>
      </c>
      <c r="AE540" t="b">
        <v>0</v>
      </c>
      <c r="AF540" t="inlineStr">
        <is>
          <t>Yes</t>
        </is>
      </c>
      <c r="AG540" s="2" t="n">
        <v>46143</v>
      </c>
      <c r="AI540" t="b">
        <v>1</v>
      </c>
      <c r="AJ540" t="n">
        <v>5</v>
      </c>
      <c r="AK540" t="inlineStr"/>
      <c r="AL540" t="inlineStr">
        <is>
          <t>ORG bIT Bayern</t>
        </is>
      </c>
      <c r="AM540" t="inlineStr">
        <is>
          <t>DSA Data Solutions &amp; AI (Philip R.)</t>
        </is>
      </c>
      <c r="AN540" t="inlineStr">
        <is>
          <t>BPD Business Processes &amp; Data Engineering(Arne K.)</t>
        </is>
      </c>
      <c r="AO540" t="inlineStr">
        <is>
          <t>bridgingIT GmbH</t>
        </is>
      </c>
      <c r="AP540" t="inlineStr">
        <is>
          <t>München</t>
        </is>
      </c>
      <c r="AQ540" t="inlineStr">
        <is>
          <t>Philip Rausch</t>
        </is>
      </c>
    </row>
    <row r="541">
      <c r="A541" t="inlineStr">
        <is>
          <t>2178</t>
        </is>
      </c>
      <c r="B541" t="inlineStr">
        <is>
          <t>089D1A</t>
        </is>
      </c>
      <c r="C541" t="inlineStr">
        <is>
          <t>https://app.matchical.com/Consulting/ConsultantDetail?ConsultantId=3b5c1488-90d6-450f-b681-cfc9cb9c505a</t>
        </is>
      </c>
      <c r="D541" t="inlineStr">
        <is>
          <t>Sonja Bürkle</t>
        </is>
      </c>
      <c r="E541" t="inlineStr">
        <is>
          <t>sonja.buerkle@bridging-it.de</t>
        </is>
      </c>
      <c r="F541" s="2" t="n">
        <v>42961</v>
      </c>
      <c r="G541" s="2" t="n">
        <v>42961</v>
      </c>
      <c r="H541" t="n">
        <v>8</v>
      </c>
      <c r="I541" t="n">
        <v>0</v>
      </c>
      <c r="J541" t="n">
        <v>0</v>
      </c>
      <c r="L541" s="2" t="n">
        <v>45091</v>
      </c>
      <c r="M541" s="2" t="n">
        <v>45595</v>
      </c>
      <c r="N541" t="b">
        <v>0</v>
      </c>
      <c r="O541" t="n">
        <v>102</v>
      </c>
      <c r="P541" t="n">
        <v>68</v>
      </c>
      <c r="Q541" t="n">
        <v>66</v>
      </c>
      <c r="R541">
        <f>ROUND(O541-P541,2)</f>
        <v/>
      </c>
      <c r="S541">
        <f>ROUND(O541-Q541,2)</f>
        <v/>
      </c>
      <c r="T541" s="3">
        <f>IFERROR(P541/O541,"")</f>
        <v/>
      </c>
      <c r="U541" s="3">
        <f>IFERROR(Q541/O541,"")</f>
        <v/>
      </c>
      <c r="V541" t="n">
        <v>0</v>
      </c>
      <c r="W541" t="n">
        <v>0</v>
      </c>
      <c r="X541" t="n">
        <v>0</v>
      </c>
      <c r="Y541">
        <f>ROUND(V541-W541,2)</f>
        <v/>
      </c>
      <c r="Z541">
        <f>ROUND(V541-X541,2)</f>
        <v/>
      </c>
      <c r="AA541" s="3">
        <f>IFERROR(W541/V541,"")</f>
        <v/>
      </c>
      <c r="AB541" s="3">
        <f>IFERROR(X541/V541,"")</f>
        <v/>
      </c>
      <c r="AC541" t="b">
        <v>0</v>
      </c>
      <c r="AD541" t="b">
        <v>0</v>
      </c>
      <c r="AE541" t="b">
        <v>0</v>
      </c>
      <c r="AF541" t="inlineStr">
        <is>
          <t>No</t>
        </is>
      </c>
      <c r="AI541" t="b">
        <v>1</v>
      </c>
      <c r="AJ541" t="n">
        <v>0</v>
      </c>
      <c r="AK541" t="inlineStr">
        <is>
          <t>IT service manager, Product Owner, project management, sustainability management / Sustainability (ESG sustainability reporting, EU Taxonomy and decarbonization pathway), processes, Key User, Change management</t>
        </is>
      </c>
      <c r="AL541" t="inlineStr">
        <is>
          <t>IT Information Technology (Hauke G.)</t>
        </is>
      </c>
      <c r="AM541" t="inlineStr">
        <is>
          <t>PO IT-Processes &amp; Organization (Sonja B.)</t>
        </is>
      </c>
      <c r="AN541" t="inlineStr">
        <is>
          <t>ITM IT-Management (Jörg M.)</t>
        </is>
      </c>
      <c r="AO541" t="inlineStr">
        <is>
          <t>bridgingIT GmbH</t>
        </is>
      </c>
      <c r="AP541" t="inlineStr">
        <is>
          <t>Stuttgart</t>
        </is>
      </c>
      <c r="AQ541" t="inlineStr">
        <is>
          <t>Jörg Merz</t>
        </is>
      </c>
    </row>
    <row r="542">
      <c r="A542" t="inlineStr">
        <is>
          <t>10272</t>
        </is>
      </c>
      <c r="B542" t="inlineStr">
        <is>
          <t>043133</t>
        </is>
      </c>
      <c r="C542" t="inlineStr">
        <is>
          <t>https://app.matchical.com/Consulting/ConsultantDetail?ConsultantId=29daa32d-5bd4-47f7-acff-7de0916aeabd</t>
        </is>
      </c>
      <c r="D542" t="inlineStr">
        <is>
          <t>Soufian El Hamli</t>
        </is>
      </c>
      <c r="E542" t="inlineStr">
        <is>
          <t>soufian.elhamli@bridging-it.de</t>
        </is>
      </c>
      <c r="F542" s="2" t="n">
        <v>45352</v>
      </c>
      <c r="G542" s="2" t="n">
        <v>43101</v>
      </c>
      <c r="H542" t="n">
        <v>4</v>
      </c>
      <c r="I542" t="n">
        <v>0</v>
      </c>
      <c r="J542" t="n">
        <v>0</v>
      </c>
      <c r="L542" s="2" t="n">
        <v>45382</v>
      </c>
      <c r="M542" s="2" t="n">
        <v>46021</v>
      </c>
      <c r="N542" t="b">
        <v>0</v>
      </c>
      <c r="O542" t="n">
        <v>24</v>
      </c>
      <c r="P542" t="n">
        <v>21</v>
      </c>
      <c r="Q542" t="n">
        <v>21</v>
      </c>
      <c r="R542">
        <f>ROUND(O542-P542,2)</f>
        <v/>
      </c>
      <c r="S542">
        <f>ROUND(O542-Q542,2)</f>
        <v/>
      </c>
      <c r="T542" s="3">
        <f>IFERROR(P542/O542,"")</f>
        <v/>
      </c>
      <c r="U542" s="3">
        <f>IFERROR(Q542/O542,"")</f>
        <v/>
      </c>
      <c r="V542" t="n">
        <v>74</v>
      </c>
      <c r="W542" t="n">
        <v>21</v>
      </c>
      <c r="X542" t="n">
        <v>21</v>
      </c>
      <c r="Y542">
        <f>ROUND(V542-W542,2)</f>
        <v/>
      </c>
      <c r="Z542">
        <f>ROUND(V542-X542,2)</f>
        <v/>
      </c>
      <c r="AA542" s="3">
        <f>IFERROR(W542/V542,"")</f>
        <v/>
      </c>
      <c r="AB542" s="3">
        <f>IFERROR(X542/V542,"")</f>
        <v/>
      </c>
      <c r="AC542" t="b">
        <v>0</v>
      </c>
      <c r="AD542" t="b">
        <v>0</v>
      </c>
      <c r="AE542" t="b">
        <v>0</v>
      </c>
      <c r="AF542" t="inlineStr">
        <is>
          <t>No</t>
        </is>
      </c>
      <c r="AI542" t="b">
        <v>1</v>
      </c>
      <c r="AJ542" t="n">
        <v>0</v>
      </c>
      <c r="AK542" t="inlineStr"/>
      <c r="AL542" t="inlineStr">
        <is>
          <t>ORG bIT</t>
        </is>
      </c>
      <c r="AM542" t="inlineStr">
        <is>
          <t>BAPO - BA and Product Ownership (Edgar K.)</t>
        </is>
      </c>
      <c r="AN542" t="inlineStr">
        <is>
          <t>ABC Analysing Business &amp; Collaboration (Edgar K.)</t>
        </is>
      </c>
      <c r="AO542" t="inlineStr">
        <is>
          <t>bridgingIT GmbH</t>
        </is>
      </c>
      <c r="AP542" t="inlineStr">
        <is>
          <t>Frankfurt</t>
        </is>
      </c>
      <c r="AQ542" t="inlineStr">
        <is>
          <t>Edgar Kauz</t>
        </is>
      </c>
    </row>
    <row r="543">
      <c r="A543" t="inlineStr">
        <is>
          <t>2128</t>
        </is>
      </c>
      <c r="B543" t="inlineStr">
        <is>
          <t>AD5B26</t>
        </is>
      </c>
      <c r="C543" t="inlineStr">
        <is>
          <t>https://app.matchical.com/Consulting/ConsultantDetail?ConsultantId=86d8b64c-6abd-4d26-9117-61f1779adf64</t>
        </is>
      </c>
      <c r="D543" t="inlineStr">
        <is>
          <t>Stefan Dümmler</t>
        </is>
      </c>
      <c r="E543" t="inlineStr">
        <is>
          <t>stefan.duemmler@bridging-it.de</t>
        </is>
      </c>
      <c r="F543" s="2" t="n">
        <v>42370</v>
      </c>
      <c r="G543" s="2" t="n">
        <v>32143</v>
      </c>
      <c r="H543" t="n">
        <v>18</v>
      </c>
      <c r="I543" t="n">
        <v>0</v>
      </c>
      <c r="J543" t="n">
        <v>0</v>
      </c>
      <c r="L543" s="2" t="n">
        <v>45292</v>
      </c>
      <c r="M543" s="2" t="n">
        <v>45382</v>
      </c>
      <c r="N543" t="b">
        <v>0</v>
      </c>
      <c r="O543" t="n">
        <v>122</v>
      </c>
      <c r="P543" t="n">
        <v>100.02</v>
      </c>
      <c r="Q543" t="n">
        <v>73.41</v>
      </c>
      <c r="R543">
        <f>ROUND(O543-P543,2)</f>
        <v/>
      </c>
      <c r="S543">
        <f>ROUND(O543-Q543,2)</f>
        <v/>
      </c>
      <c r="T543" s="3">
        <f>IFERROR(P543/O543,"")</f>
        <v/>
      </c>
      <c r="U543" s="3">
        <f>IFERROR(Q543/O543,"")</f>
        <v/>
      </c>
      <c r="V543" t="n">
        <v>336</v>
      </c>
      <c r="W543" t="n">
        <v>202.98</v>
      </c>
      <c r="X543" t="n">
        <v>148.59</v>
      </c>
      <c r="Y543">
        <f>ROUND(V543-W543,2)</f>
        <v/>
      </c>
      <c r="Z543">
        <f>ROUND(V543-X543,2)</f>
        <v/>
      </c>
      <c r="AA543" s="3">
        <f>IFERROR(W543/V543,"")</f>
        <v/>
      </c>
      <c r="AB543" s="3">
        <f>IFERROR(X543/V543,"")</f>
        <v/>
      </c>
      <c r="AC543" t="b">
        <v>0</v>
      </c>
      <c r="AD543" t="b">
        <v>0</v>
      </c>
      <c r="AE543" t="b">
        <v>0</v>
      </c>
      <c r="AF543" t="inlineStr">
        <is>
          <t>No</t>
        </is>
      </c>
      <c r="AI543" t="b">
        <v>1</v>
      </c>
      <c r="AJ543" t="n">
        <v>0</v>
      </c>
      <c r="AK543" t="inlineStr">
        <is>
          <t>Stefan is an expert in IT service management and has many years of experience in the energy, pharmaceutical, retail, and automotive industries. He has a strong understanding of information security and infrastructure and can operate confidently in these areas. He is reliable and responsible.</t>
        </is>
      </c>
      <c r="AL543" t="inlineStr">
        <is>
          <t>IT Information Technology (Hauke G.)</t>
        </is>
      </c>
      <c r="AM543" t="inlineStr">
        <is>
          <t>ITS IT Security (Erhan N.)</t>
        </is>
      </c>
      <c r="AN543" t="inlineStr">
        <is>
          <t>GRC IT-GRC (Erhan N.)</t>
        </is>
      </c>
      <c r="AO543" t="inlineStr">
        <is>
          <t>bridgingIT GmbH</t>
        </is>
      </c>
      <c r="AP543" t="inlineStr">
        <is>
          <t>Stuttgart</t>
        </is>
      </c>
      <c r="AQ543" t="inlineStr">
        <is>
          <t>Erhan Nurdogan</t>
        </is>
      </c>
    </row>
    <row r="544">
      <c r="A544" t="inlineStr">
        <is>
          <t>10400</t>
        </is>
      </c>
      <c r="B544" t="inlineStr">
        <is>
          <t>45B372</t>
        </is>
      </c>
      <c r="C544" t="inlineStr">
        <is>
          <t>https://app.matchical.com/Consulting/ConsultantDetail?ConsultantId=62ac2751-9b7e-431b-b0f4-db79bb799c79</t>
        </is>
      </c>
      <c r="D544" t="inlineStr">
        <is>
          <t>Stefan Haupt</t>
        </is>
      </c>
      <c r="E544" t="inlineStr">
        <is>
          <t>stefan.haupt@bridging-it.de</t>
        </is>
      </c>
      <c r="F544" s="2" t="n">
        <v>45962</v>
      </c>
      <c r="G544" s="2" t="n">
        <v>35977</v>
      </c>
      <c r="H544" t="n">
        <v>6</v>
      </c>
      <c r="I544" t="n">
        <v>0</v>
      </c>
      <c r="J544" t="n">
        <v>0</v>
      </c>
      <c r="L544" s="2" t="n">
        <v>45657</v>
      </c>
      <c r="M544" s="2" t="n">
        <v>45960</v>
      </c>
      <c r="N544" t="b">
        <v>0</v>
      </c>
      <c r="O544" t="n">
        <v>4</v>
      </c>
      <c r="P544" t="n">
        <v>0</v>
      </c>
      <c r="Q544" t="n">
        <v>0</v>
      </c>
      <c r="R544">
        <f>ROUND(O544-P544,2)</f>
        <v/>
      </c>
      <c r="S544">
        <f>ROUND(O544-Q544,2)</f>
        <v/>
      </c>
      <c r="T544" s="3">
        <f>IFERROR(P544/O544,"")</f>
        <v/>
      </c>
      <c r="U544" s="3">
        <f>IFERROR(Q544/O544,"")</f>
        <v/>
      </c>
      <c r="V544" t="n">
        <v>328</v>
      </c>
      <c r="W544" t="n">
        <v>117</v>
      </c>
      <c r="X544" t="n">
        <v>117</v>
      </c>
      <c r="Y544">
        <f>ROUND(V544-W544,2)</f>
        <v/>
      </c>
      <c r="Z544">
        <f>ROUND(V544-X544,2)</f>
        <v/>
      </c>
      <c r="AA544" s="3">
        <f>IFERROR(W544/V544,"")</f>
        <v/>
      </c>
      <c r="AB544" s="3">
        <f>IFERROR(X544/V544,"")</f>
        <v/>
      </c>
      <c r="AC544" t="b">
        <v>0</v>
      </c>
      <c r="AD544" t="b">
        <v>0</v>
      </c>
      <c r="AE544" t="b">
        <v>0</v>
      </c>
      <c r="AF544" t="inlineStr">
        <is>
          <t>Yes</t>
        </is>
      </c>
      <c r="AG544" s="2" t="n">
        <v>46054</v>
      </c>
      <c r="AI544" t="b">
        <v>1</v>
      </c>
      <c r="AJ544" t="n">
        <v>1</v>
      </c>
      <c r="AK544" t="inlineStr"/>
      <c r="AL544" t="inlineStr">
        <is>
          <t>ORG bIT Bayern</t>
        </is>
      </c>
      <c r="AM544" t="inlineStr">
        <is>
          <t>TG Transformation Guidance (Clemens L.)</t>
        </is>
      </c>
      <c r="AN544" t="inlineStr">
        <is>
          <t>BAT Business Agility &amp; Transformation (Marc S.)</t>
        </is>
      </c>
      <c r="AO544" t="inlineStr">
        <is>
          <t>bridgingIT GmbH</t>
        </is>
      </c>
      <c r="AP544" t="inlineStr">
        <is>
          <t>München</t>
        </is>
      </c>
      <c r="AQ544" t="inlineStr">
        <is>
          <t>Clemens Lindner</t>
        </is>
      </c>
    </row>
    <row r="545">
      <c r="A545" t="inlineStr">
        <is>
          <t>10271</t>
        </is>
      </c>
      <c r="B545" t="inlineStr">
        <is>
          <t>10AFD1</t>
        </is>
      </c>
      <c r="C545" t="inlineStr">
        <is>
          <t>https://app.matchical.com/Consulting/ConsultantDetail?ConsultantId=ddd5ba76-1278-4d2a-91e4-4eacfa7aba74</t>
        </is>
      </c>
      <c r="D545" t="inlineStr">
        <is>
          <t>Stefan Heise</t>
        </is>
      </c>
      <c r="E545" t="inlineStr">
        <is>
          <t>stefan.heise@crafting-it.de</t>
        </is>
      </c>
      <c r="F545" s="2" t="n">
        <v>45352</v>
      </c>
      <c r="G545" s="2" t="n">
        <v>41487</v>
      </c>
      <c r="H545" t="n">
        <v>7</v>
      </c>
      <c r="I545" t="n">
        <v>0</v>
      </c>
      <c r="J545" t="n">
        <v>0</v>
      </c>
      <c r="L545" s="2" t="n">
        <v>45658</v>
      </c>
      <c r="M545" s="2" t="n">
        <v>46022</v>
      </c>
      <c r="N545" t="b">
        <v>0</v>
      </c>
      <c r="O545" t="n">
        <v>24</v>
      </c>
      <c r="P545" t="n">
        <v>91.81</v>
      </c>
      <c r="Q545" t="n">
        <v>23.82</v>
      </c>
      <c r="R545">
        <f>ROUND(O545-P545,2)</f>
        <v/>
      </c>
      <c r="S545">
        <f>ROUND(O545-Q545,2)</f>
        <v/>
      </c>
      <c r="T545" s="3">
        <f>IFERROR(P545/O545,"")</f>
        <v/>
      </c>
      <c r="U545" s="3">
        <f>IFERROR(Q545/O545,"")</f>
        <v/>
      </c>
      <c r="V545" t="n">
        <v>127</v>
      </c>
      <c r="W545" t="n">
        <v>0</v>
      </c>
      <c r="X545" t="n">
        <v>0</v>
      </c>
      <c r="Y545">
        <f>ROUND(V545-W545,2)</f>
        <v/>
      </c>
      <c r="Z545">
        <f>ROUND(V545-X545,2)</f>
        <v/>
      </c>
      <c r="AA545" s="3">
        <f>IFERROR(W545/V545,"")</f>
        <v/>
      </c>
      <c r="AB545" s="3">
        <f>IFERROR(X545/V545,"")</f>
        <v/>
      </c>
      <c r="AC545" t="b">
        <v>0</v>
      </c>
      <c r="AD545" t="b">
        <v>0</v>
      </c>
      <c r="AE545" t="b">
        <v>0</v>
      </c>
      <c r="AF545" t="inlineStr">
        <is>
          <t>Yes</t>
        </is>
      </c>
      <c r="AG545" s="2" t="n">
        <v>45809</v>
      </c>
      <c r="AI545" t="b">
        <v>1</v>
      </c>
      <c r="AJ545" t="n">
        <v>2</v>
      </c>
      <c r="AK545" t="inlineStr"/>
      <c r="AL545" t="inlineStr">
        <is>
          <t>ORG cIT</t>
        </is>
      </c>
      <c r="AM545" t="inlineStr">
        <is>
          <t>cIT IT Services</t>
        </is>
      </c>
      <c r="AN545" t="inlineStr">
        <is>
          <t>cIT Service Delivery Magdeburg (Steffen A.)</t>
        </is>
      </c>
      <c r="AO545" t="inlineStr">
        <is>
          <t>craftingIT GmbH</t>
        </is>
      </c>
      <c r="AP545" t="inlineStr">
        <is>
          <t>Magdeburg</t>
        </is>
      </c>
      <c r="AQ545" t="inlineStr">
        <is>
          <t>Marcel Kelle</t>
        </is>
      </c>
    </row>
    <row r="546">
      <c r="A546" t="inlineStr">
        <is>
          <t>10091</t>
        </is>
      </c>
      <c r="B546" t="inlineStr">
        <is>
          <t>1DB8D8</t>
        </is>
      </c>
      <c r="C546" t="inlineStr">
        <is>
          <t>https://app.matchical.com/Consulting/ConsultantDetail?ConsultantId=62ada9f3-ef9a-436c-abca-beaeeabd3d96</t>
        </is>
      </c>
      <c r="D546" t="inlineStr">
        <is>
          <t>Stefan Kaden</t>
        </is>
      </c>
      <c r="E546" t="inlineStr">
        <is>
          <t>stefan.kaden@bridging-it.de</t>
        </is>
      </c>
      <c r="F546" s="2" t="n">
        <v>44972</v>
      </c>
      <c r="G546" s="2" t="n">
        <v>42795</v>
      </c>
      <c r="H546" t="n">
        <v>5</v>
      </c>
      <c r="I546" t="n">
        <v>0</v>
      </c>
      <c r="J546" t="n">
        <v>2</v>
      </c>
      <c r="K546" s="2" t="n">
        <v>44971</v>
      </c>
      <c r="L546" s="2" t="n">
        <v>44971</v>
      </c>
      <c r="M546" s="2" t="n">
        <v>45106</v>
      </c>
      <c r="N546" t="b">
        <v>0</v>
      </c>
      <c r="O546" t="n">
        <v>36</v>
      </c>
      <c r="P546" t="n">
        <v>55.94</v>
      </c>
      <c r="Q546" t="n">
        <v>35.96</v>
      </c>
      <c r="R546">
        <f>ROUND(O546-P546,2)</f>
        <v/>
      </c>
      <c r="S546">
        <f>ROUND(O546-Q546,2)</f>
        <v/>
      </c>
      <c r="T546" s="3">
        <f>IFERROR(P546/O546,"")</f>
        <v/>
      </c>
      <c r="U546" s="3">
        <f>IFERROR(Q546/O546,"")</f>
        <v/>
      </c>
      <c r="V546" t="n">
        <v>72</v>
      </c>
      <c r="W546" t="n">
        <v>18.06</v>
      </c>
      <c r="X546" t="n">
        <v>18.04</v>
      </c>
      <c r="Y546">
        <f>ROUND(V546-W546,2)</f>
        <v/>
      </c>
      <c r="Z546">
        <f>ROUND(V546-X546,2)</f>
        <v/>
      </c>
      <c r="AA546" s="3">
        <f>IFERROR(W546/V546,"")</f>
        <v/>
      </c>
      <c r="AB546" s="3">
        <f>IFERROR(X546/V546,"")</f>
        <v/>
      </c>
      <c r="AC546" t="b">
        <v>0</v>
      </c>
      <c r="AD546" t="b">
        <v>0</v>
      </c>
      <c r="AE546" t="b">
        <v>0</v>
      </c>
      <c r="AF546" t="inlineStr">
        <is>
          <t>No</t>
        </is>
      </c>
      <c r="AI546" t="b">
        <v>1</v>
      </c>
      <c r="AJ546" t="n">
        <v>0</v>
      </c>
      <c r="AK546" t="inlineStr">
        <is>
          <t>Lead at EnBW</t>
        </is>
      </c>
      <c r="AL546" t="inlineStr">
        <is>
          <t>IT Information Technology (Hauke G.)</t>
        </is>
      </c>
      <c r="AM546" t="inlineStr">
        <is>
          <t>CT Cloud Technology I (Martin S.)</t>
        </is>
      </c>
      <c r="AN546" t="inlineStr">
        <is>
          <t>TC Technology &amp; Cloud (Martin S.)</t>
        </is>
      </c>
      <c r="AO546" t="inlineStr">
        <is>
          <t>bridgingIT GmbH</t>
        </is>
      </c>
      <c r="AP546" t="inlineStr">
        <is>
          <t>Stuttgart</t>
        </is>
      </c>
      <c r="AQ546" t="inlineStr">
        <is>
          <t>Martin Spörl</t>
        </is>
      </c>
    </row>
    <row r="547">
      <c r="A547" t="inlineStr">
        <is>
          <t>10372</t>
        </is>
      </c>
      <c r="B547" t="inlineStr">
        <is>
          <t>43FB57</t>
        </is>
      </c>
      <c r="C547" t="inlineStr">
        <is>
          <t>https://app.matchical.com/Consulting/ConsultantDetail?ConsultantId=2709ae2d-e193-49b8-bbe8-733fe611a5e7</t>
        </is>
      </c>
      <c r="D547" t="inlineStr">
        <is>
          <t>Stefan Kountouris</t>
        </is>
      </c>
      <c r="E547" t="inlineStr">
        <is>
          <t>stefan.kountouris@bridging-it.de</t>
        </is>
      </c>
      <c r="F547" s="2" t="n">
        <v>45839</v>
      </c>
      <c r="G547" s="2" t="n">
        <v>39722</v>
      </c>
      <c r="H547" t="n">
        <v>6</v>
      </c>
      <c r="I547" t="n">
        <v>0</v>
      </c>
      <c r="J547" t="n">
        <v>0</v>
      </c>
      <c r="L547" s="2" t="n">
        <v>44469</v>
      </c>
      <c r="M547" s="2" t="n">
        <v>45837</v>
      </c>
      <c r="N547" t="b">
        <v>0</v>
      </c>
      <c r="O547" t="n">
        <v>8</v>
      </c>
      <c r="P547" t="n">
        <v>0</v>
      </c>
      <c r="Q547" t="n">
        <v>0</v>
      </c>
      <c r="R547">
        <f>ROUND(O547-P547,2)</f>
        <v/>
      </c>
      <c r="S547">
        <f>ROUND(O547-Q547,2)</f>
        <v/>
      </c>
      <c r="T547" s="3">
        <f>IFERROR(P547/O547,"")</f>
        <v/>
      </c>
      <c r="U547" s="3">
        <f>IFERROR(Q547/O547,"")</f>
        <v/>
      </c>
      <c r="V547" t="n">
        <v>201</v>
      </c>
      <c r="W547" t="n">
        <v>356.91</v>
      </c>
      <c r="X547" t="n">
        <v>200.97</v>
      </c>
      <c r="Y547">
        <f>ROUND(V547-W547,2)</f>
        <v/>
      </c>
      <c r="Z547">
        <f>ROUND(V547-X547,2)</f>
        <v/>
      </c>
      <c r="AA547" s="3">
        <f>IFERROR(W547/V547,"")</f>
        <v/>
      </c>
      <c r="AB547" s="3">
        <f>IFERROR(X547/V547,"")</f>
        <v/>
      </c>
      <c r="AC547" t="b">
        <v>0</v>
      </c>
      <c r="AD547" t="b">
        <v>0</v>
      </c>
      <c r="AE547" t="b">
        <v>0</v>
      </c>
      <c r="AF547" t="inlineStr">
        <is>
          <t>Yes</t>
        </is>
      </c>
      <c r="AG547" s="2" t="n">
        <v>46235</v>
      </c>
      <c r="AI547" t="b">
        <v>1</v>
      </c>
      <c r="AJ547" t="n">
        <v>2</v>
      </c>
      <c r="AK547" t="inlineStr">
        <is>
          <t>Focus areas: data protection, information security, and compliance. Long-standing experience in the financial sector.</t>
        </is>
      </c>
      <c r="AL547" t="inlineStr">
        <is>
          <t>IT Information Technology (Hauke G.)</t>
        </is>
      </c>
      <c r="AM547" t="inlineStr">
        <is>
          <t>CIS Compliance &amp; Information Security (David T.)</t>
        </is>
      </c>
      <c r="AN547" t="inlineStr">
        <is>
          <t>GRC IT-GRC (Erhan N.)</t>
        </is>
      </c>
      <c r="AO547" t="inlineStr">
        <is>
          <t>bridgingIT GmbH</t>
        </is>
      </c>
      <c r="AP547" t="inlineStr">
        <is>
          <t>Stuttgart</t>
        </is>
      </c>
      <c r="AQ547" t="inlineStr">
        <is>
          <t>David Turan</t>
        </is>
      </c>
    </row>
    <row r="548">
      <c r="A548" t="inlineStr">
        <is>
          <t>4130</t>
        </is>
      </c>
      <c r="B548" t="inlineStr">
        <is>
          <t>7C5CB3</t>
        </is>
      </c>
      <c r="C548" t="inlineStr">
        <is>
          <t>https://app.matchical.com/Consulting/ConsultantDetail?ConsultantId=521ca270-298b-480d-95fc-5e131f854200</t>
        </is>
      </c>
      <c r="D548" t="inlineStr">
        <is>
          <t>Stefan Satzger</t>
        </is>
      </c>
      <c r="E548" t="inlineStr">
        <is>
          <t>stefan.satzger@bridging-it.de</t>
        </is>
      </c>
      <c r="F548" s="2" t="n">
        <v>44228</v>
      </c>
      <c r="G548" s="2" t="n">
        <v>43191</v>
      </c>
      <c r="H548" t="n">
        <v>13</v>
      </c>
      <c r="I548" t="n">
        <v>0</v>
      </c>
      <c r="J548" t="n">
        <v>1</v>
      </c>
      <c r="K548" s="2" t="n">
        <v>43159</v>
      </c>
      <c r="L548" s="2" t="n">
        <v>45453</v>
      </c>
      <c r="M548" s="2" t="n">
        <v>45846</v>
      </c>
      <c r="N548" t="b">
        <v>0</v>
      </c>
      <c r="O548" t="n">
        <v>61</v>
      </c>
      <c r="P548" t="n">
        <v>138.12</v>
      </c>
      <c r="Q548" t="n">
        <v>60.75</v>
      </c>
      <c r="R548">
        <f>ROUND(O548-P548,2)</f>
        <v/>
      </c>
      <c r="S548">
        <f>ROUND(O548-Q548,2)</f>
        <v/>
      </c>
      <c r="T548" s="3">
        <f>IFERROR(P548/O548,"")</f>
        <v/>
      </c>
      <c r="U548" s="3">
        <f>IFERROR(Q548/O548,"")</f>
        <v/>
      </c>
      <c r="V548" t="n">
        <v>34</v>
      </c>
      <c r="W548" t="n">
        <v>57.79</v>
      </c>
      <c r="X548" t="n">
        <v>32.38</v>
      </c>
      <c r="Y548">
        <f>ROUND(V548-W548,2)</f>
        <v/>
      </c>
      <c r="Z548">
        <f>ROUND(V548-X548,2)</f>
        <v/>
      </c>
      <c r="AA548" s="3">
        <f>IFERROR(W548/V548,"")</f>
        <v/>
      </c>
      <c r="AB548" s="3">
        <f>IFERROR(X548/V548,"")</f>
        <v/>
      </c>
      <c r="AC548" t="b">
        <v>0</v>
      </c>
      <c r="AD548" t="b">
        <v>0</v>
      </c>
      <c r="AE548" t="b">
        <v>0</v>
      </c>
      <c r="AF548" t="inlineStr">
        <is>
          <t>Yes</t>
        </is>
      </c>
      <c r="AG548" s="2" t="n">
        <v>46081</v>
      </c>
      <c r="AI548" t="b">
        <v>0</v>
      </c>
      <c r="AJ548" t="n">
        <v>5</v>
      </c>
      <c r="AK548" t="inlineStr"/>
      <c r="AL548" t="inlineStr">
        <is>
          <t>ORG bIT Bayern</t>
        </is>
      </c>
      <c r="AM548" t="inlineStr">
        <is>
          <t>Business Transformation (BT) (Stefan S.)</t>
        </is>
      </c>
      <c r="AN548" t="inlineStr">
        <is>
          <t>BAT Business Agility &amp; Transformation (Marc S.)</t>
        </is>
      </c>
      <c r="AO548" t="inlineStr">
        <is>
          <t>bridgingIT GmbH</t>
        </is>
      </c>
      <c r="AP548" t="inlineStr">
        <is>
          <t>München</t>
        </is>
      </c>
      <c r="AQ548" t="inlineStr">
        <is>
          <t>Marc Schmitt</t>
        </is>
      </c>
    </row>
    <row r="549">
      <c r="A549" t="inlineStr">
        <is>
          <t>10469</t>
        </is>
      </c>
      <c r="B549" t="inlineStr">
        <is>
          <t>A29A29</t>
        </is>
      </c>
      <c r="C549" t="inlineStr">
        <is>
          <t>https://app.matchical.com/Consulting/ConsultantDetail?ConsultantId=f8957236-c785-46e2-9c81-1e4246acbe76</t>
        </is>
      </c>
      <c r="D549" t="inlineStr">
        <is>
          <t>Stefan Schlosser</t>
        </is>
      </c>
      <c r="E549" t="inlineStr">
        <is>
          <t>stefan.schlosser@bridging-it.de</t>
        </is>
      </c>
      <c r="F549" s="2" t="n">
        <v>46054</v>
      </c>
      <c r="G549" s="2" t="n">
        <v>42522</v>
      </c>
      <c r="H549" t="n">
        <v>4</v>
      </c>
      <c r="I549" t="n">
        <v>0</v>
      </c>
      <c r="J549" t="n">
        <v>1</v>
      </c>
      <c r="K549" s="2" t="n">
        <v>45565</v>
      </c>
      <c r="L549" s="2" t="n">
        <v>44804</v>
      </c>
      <c r="M549" s="2" t="n">
        <v>46052</v>
      </c>
      <c r="N549" t="b">
        <v>0</v>
      </c>
      <c r="O549" t="n">
        <v>1</v>
      </c>
      <c r="P549" t="n">
        <v>0.76</v>
      </c>
      <c r="Q549" t="n">
        <v>0.4</v>
      </c>
      <c r="R549">
        <f>ROUND(O549-P549,2)</f>
        <v/>
      </c>
      <c r="S549">
        <f>ROUND(O549-Q549,2)</f>
        <v/>
      </c>
      <c r="T549" s="3">
        <f>IFERROR(P549/O549,"")</f>
        <v/>
      </c>
      <c r="U549" s="3">
        <f>IFERROR(Q549/O549,"")</f>
        <v/>
      </c>
      <c r="V549" t="n">
        <v>116</v>
      </c>
      <c r="W549" t="n">
        <v>91.23999999999999</v>
      </c>
      <c r="X549" t="n">
        <v>75.59999999999999</v>
      </c>
      <c r="Y549">
        <f>ROUND(V549-W549,2)</f>
        <v/>
      </c>
      <c r="Z549">
        <f>ROUND(V549-X549,2)</f>
        <v/>
      </c>
      <c r="AA549" s="3">
        <f>IFERROR(W549/V549,"")</f>
        <v/>
      </c>
      <c r="AB549" s="3">
        <f>IFERROR(X549/V549,"")</f>
        <v/>
      </c>
      <c r="AC549" t="b">
        <v>0</v>
      </c>
      <c r="AD549" t="b">
        <v>0</v>
      </c>
      <c r="AE549" t="b">
        <v>0</v>
      </c>
      <c r="AF549" t="inlineStr">
        <is>
          <t>Yes</t>
        </is>
      </c>
      <c r="AG549" s="2" t="n">
        <v>46054</v>
      </c>
      <c r="AI549" t="b">
        <v>1</v>
      </c>
      <c r="AJ549" t="n">
        <v>5</v>
      </c>
      <c r="AK549" t="inlineStr">
        <is>
          <t>2 years of experience in IT consulting (PMO/PM) with a focus on audit and regulatory compliance. Lecturer for Business Information Systems, focusing on prompting, traditional and agile project management. 3 years of experience in leading photovoltaic projects (from bid to commissioning). Extensive theoretical and practical knowledge in project management and business analysis.</t>
        </is>
      </c>
      <c r="AL549" t="inlineStr">
        <is>
          <t>T&amp;A - Transformation &amp; Agility (Arne K.)</t>
        </is>
      </c>
      <c r="AM549" t="inlineStr">
        <is>
          <t>E2E PM – Project &amp; Process Mgt. (Jennifer B.)</t>
        </is>
      </c>
      <c r="AN549" t="inlineStr">
        <is>
          <t>TBC - Transforming Business Concepts (Bastian T.)</t>
        </is>
      </c>
      <c r="AO549" t="inlineStr">
        <is>
          <t>bridgingIT GmbH</t>
        </is>
      </c>
      <c r="AP549" t="inlineStr">
        <is>
          <t>Mannheim</t>
        </is>
      </c>
      <c r="AQ549" t="inlineStr">
        <is>
          <t>Jennifer Bürgel</t>
        </is>
      </c>
    </row>
    <row r="550">
      <c r="A550" t="inlineStr">
        <is>
          <t>1067</t>
        </is>
      </c>
      <c r="B550" t="inlineStr">
        <is>
          <t>2743F4</t>
        </is>
      </c>
      <c r="C550" t="inlineStr">
        <is>
          <t>https://app.matchical.com/Consulting/ConsultantDetail?ConsultantId=66402f90-dc51-468c-9806-7a3dd37be635</t>
        </is>
      </c>
      <c r="D550" t="inlineStr">
        <is>
          <t>Stefan Schmidt</t>
        </is>
      </c>
      <c r="E550" t="inlineStr">
        <is>
          <t>stefan.schmidt@bridging-it.de</t>
        </is>
      </c>
      <c r="F550" s="2" t="n">
        <v>39569</v>
      </c>
      <c r="G550" s="2" t="n">
        <v>34973</v>
      </c>
      <c r="H550" t="n">
        <v>26</v>
      </c>
      <c r="I550" t="n">
        <v>0</v>
      </c>
      <c r="J550" t="n">
        <v>1</v>
      </c>
      <c r="K550" s="2" t="n">
        <v>45873</v>
      </c>
      <c r="L550" s="2" t="n">
        <v>45337</v>
      </c>
      <c r="M550" s="2" t="n">
        <v>45730</v>
      </c>
      <c r="N550" t="b">
        <v>0</v>
      </c>
      <c r="O550" t="n">
        <v>214</v>
      </c>
      <c r="P550" t="n">
        <v>398</v>
      </c>
      <c r="Q550" t="n">
        <v>200</v>
      </c>
      <c r="R550">
        <f>ROUND(O550-P550,2)</f>
        <v/>
      </c>
      <c r="S550">
        <f>ROUND(O550-Q550,2)</f>
        <v/>
      </c>
      <c r="T550" s="3">
        <f>IFERROR(P550/O550,"")</f>
        <v/>
      </c>
      <c r="U550" s="3">
        <f>IFERROR(Q550/O550,"")</f>
        <v/>
      </c>
      <c r="V550" t="n">
        <v>151</v>
      </c>
      <c r="W550" t="n">
        <v>0</v>
      </c>
      <c r="X550" t="n">
        <v>0</v>
      </c>
      <c r="Y550">
        <f>ROUND(V550-W550,2)</f>
        <v/>
      </c>
      <c r="Z550">
        <f>ROUND(V550-X550,2)</f>
        <v/>
      </c>
      <c r="AA550" s="3">
        <f>IFERROR(W550/V550,"")</f>
        <v/>
      </c>
      <c r="AB550" s="3">
        <f>IFERROR(X550/V550,"")</f>
        <v/>
      </c>
      <c r="AC550" t="b">
        <v>0</v>
      </c>
      <c r="AD550" t="b">
        <v>0</v>
      </c>
      <c r="AE550" t="b">
        <v>0</v>
      </c>
      <c r="AF550" t="inlineStr">
        <is>
          <t>No</t>
        </is>
      </c>
      <c r="AI550" t="b">
        <v>1</v>
      </c>
      <c r="AJ550" t="n">
        <v>0</v>
      </c>
      <c r="AK550" t="inlineStr">
        <is>
          <t>Key skills: IT operations, solution management, IT security</t>
        </is>
      </c>
      <c r="AL550" t="inlineStr">
        <is>
          <t>IT - Information Technology (Sebastian L.)</t>
        </is>
      </c>
      <c r="AM550" t="inlineStr">
        <is>
          <t>PAM Platform Architecture Management (David S.)</t>
        </is>
      </c>
      <c r="AN550" t="inlineStr">
        <is>
          <t>P&amp;DE - Platforms &amp; Digital Ecosystems (David S.)</t>
        </is>
      </c>
      <c r="AO550" t="inlineStr">
        <is>
          <t>bridgingIT GmbH</t>
        </is>
      </c>
      <c r="AP550" t="inlineStr">
        <is>
          <t>Mannheim</t>
        </is>
      </c>
      <c r="AQ550" t="inlineStr">
        <is>
          <t>David Schleweis</t>
        </is>
      </c>
    </row>
    <row r="551">
      <c r="A551" t="inlineStr">
        <is>
          <t>1117</t>
        </is>
      </c>
      <c r="B551" t="inlineStr">
        <is>
          <t>7F471B</t>
        </is>
      </c>
      <c r="C551" t="inlineStr">
        <is>
          <t>https://app.matchical.com/Consulting/ConsultantDetail?ConsultantId=55ddf1a6-3d56-4b2f-ae8a-a74e321a838f</t>
        </is>
      </c>
      <c r="D551" t="inlineStr">
        <is>
          <t>Stefan Zilch</t>
        </is>
      </c>
      <c r="E551" t="inlineStr">
        <is>
          <t>stefan.zilch@bridging-it.de</t>
        </is>
      </c>
      <c r="F551" s="2" t="n">
        <v>40179</v>
      </c>
      <c r="G551" s="2" t="n">
        <v>39356</v>
      </c>
      <c r="H551" t="n">
        <v>11</v>
      </c>
      <c r="I551" t="n">
        <v>0</v>
      </c>
      <c r="J551" t="n">
        <v>1</v>
      </c>
      <c r="K551" s="2" t="n">
        <v>45657</v>
      </c>
      <c r="L551" s="2" t="n">
        <v>45198</v>
      </c>
      <c r="M551" s="2" t="n">
        <v>45657</v>
      </c>
      <c r="N551" t="b">
        <v>0</v>
      </c>
      <c r="O551" t="n">
        <v>194</v>
      </c>
      <c r="P551" t="n">
        <v>251</v>
      </c>
      <c r="Q551" t="n">
        <v>185</v>
      </c>
      <c r="R551">
        <f>ROUND(O551-P551,2)</f>
        <v/>
      </c>
      <c r="S551">
        <f>ROUND(O551-Q551,2)</f>
        <v/>
      </c>
      <c r="T551" s="3">
        <f>IFERROR(P551/O551,"")</f>
        <v/>
      </c>
      <c r="U551" s="3">
        <f>IFERROR(Q551/O551,"")</f>
        <v/>
      </c>
      <c r="V551" t="n">
        <v>27</v>
      </c>
      <c r="W551" t="n">
        <v>0</v>
      </c>
      <c r="X551" t="n">
        <v>0</v>
      </c>
      <c r="Y551">
        <f>ROUND(V551-W551,2)</f>
        <v/>
      </c>
      <c r="Z551">
        <f>ROUND(V551-X551,2)</f>
        <v/>
      </c>
      <c r="AA551" s="3">
        <f>IFERROR(W551/V551,"")</f>
        <v/>
      </c>
      <c r="AB551" s="3">
        <f>IFERROR(X551/V551,"")</f>
        <v/>
      </c>
      <c r="AC551" t="b">
        <v>0</v>
      </c>
      <c r="AD551" t="b">
        <v>0</v>
      </c>
      <c r="AE551" t="b">
        <v>0</v>
      </c>
      <c r="AF551" t="inlineStr">
        <is>
          <t>No</t>
        </is>
      </c>
      <c r="AI551" t="b">
        <v>0</v>
      </c>
      <c r="AJ551" t="n">
        <v>0</v>
      </c>
      <c r="AK551" t="inlineStr">
        <is>
          <t>Multiplier, Working Manager, Team Leader,
Technology Junkee: Spring Boot, Java, Kotlin / Angular, React, TypeScript / Kubernetes, Docker, CI/CD and much more. No interest in single assignments without bundling! Preference: Bundle with Therese v. Wulffen</t>
        </is>
      </c>
      <c r="AL551" t="inlineStr">
        <is>
          <t>A&amp;SE Analytics &amp; Software Engineering (Philip R.)</t>
        </is>
      </c>
      <c r="AM551" t="inlineStr">
        <is>
          <t>FR Fullstack Rockstars (Stefan Z.)</t>
        </is>
      </c>
      <c r="AN551" t="inlineStr">
        <is>
          <t>FUN Fullstack Ninjas (Stefan Z.)</t>
        </is>
      </c>
      <c r="AO551" t="inlineStr">
        <is>
          <t>bridgingIT GmbH</t>
        </is>
      </c>
      <c r="AP551" t="inlineStr">
        <is>
          <t>Mannheim</t>
        </is>
      </c>
      <c r="AQ551" t="inlineStr">
        <is>
          <t>Philip Rausch</t>
        </is>
      </c>
    </row>
    <row r="552">
      <c r="A552" t="inlineStr">
        <is>
          <t>10210</t>
        </is>
      </c>
      <c r="B552" t="inlineStr">
        <is>
          <t>419429</t>
        </is>
      </c>
      <c r="C552" t="inlineStr">
        <is>
          <t>https://app.matchical.com/Consulting/ConsultantDetail?ConsultantId=c8ea4688-27bd-4569-a89f-a1a7fde66c65</t>
        </is>
      </c>
      <c r="D552" t="inlineStr">
        <is>
          <t>Stefanie Buchert</t>
        </is>
      </c>
      <c r="E552" t="inlineStr">
        <is>
          <t>stefanie.buchert@bridging-it.de</t>
        </is>
      </c>
      <c r="F552" s="2" t="n">
        <v>45200</v>
      </c>
      <c r="G552" s="2" t="n">
        <v>37226</v>
      </c>
      <c r="H552" t="n">
        <v>7</v>
      </c>
      <c r="I552" t="n">
        <v>0</v>
      </c>
      <c r="J552" t="n">
        <v>2</v>
      </c>
      <c r="K552" s="2" t="n">
        <v>45690</v>
      </c>
      <c r="L552" s="2" t="n">
        <v>45634</v>
      </c>
      <c r="M552" s="2" t="n">
        <v>45806</v>
      </c>
      <c r="N552" t="b">
        <v>0</v>
      </c>
      <c r="O552" t="n">
        <v>29</v>
      </c>
      <c r="P552" t="n">
        <v>38</v>
      </c>
      <c r="Q552" t="n">
        <v>28</v>
      </c>
      <c r="R552">
        <f>ROUND(O552-P552,2)</f>
        <v/>
      </c>
      <c r="S552">
        <f>ROUND(O552-Q552,2)</f>
        <v/>
      </c>
      <c r="T552" s="3">
        <f>IFERROR(P552/O552,"")</f>
        <v/>
      </c>
      <c r="U552" s="3">
        <f>IFERROR(Q552/O552,"")</f>
        <v/>
      </c>
      <c r="V552" t="n">
        <v>262</v>
      </c>
      <c r="W552" t="n">
        <v>68</v>
      </c>
      <c r="X552" t="n">
        <v>68</v>
      </c>
      <c r="Y552">
        <f>ROUND(V552-W552,2)</f>
        <v/>
      </c>
      <c r="Z552">
        <f>ROUND(V552-X552,2)</f>
        <v/>
      </c>
      <c r="AA552" s="3">
        <f>IFERROR(W552/V552,"")</f>
        <v/>
      </c>
      <c r="AB552" s="3">
        <f>IFERROR(X552/V552,"")</f>
        <v/>
      </c>
      <c r="AC552" t="b">
        <v>0</v>
      </c>
      <c r="AD552" t="b">
        <v>0</v>
      </c>
      <c r="AE552" t="b">
        <v>0</v>
      </c>
      <c r="AF552" t="inlineStr">
        <is>
          <t>No</t>
        </is>
      </c>
      <c r="AI552" t="b">
        <v>1</v>
      </c>
      <c r="AJ552" t="n">
        <v>0</v>
      </c>
      <c r="AK552" t="inlineStr"/>
      <c r="AL552" t="inlineStr">
        <is>
          <t>ORG bIT</t>
        </is>
      </c>
      <c r="AM552" t="inlineStr">
        <is>
          <t>AT Agile Transformation (Anna S.)</t>
        </is>
      </c>
      <c r="AN552" t="inlineStr">
        <is>
          <t>TH Transformation Hub (Ulrich W.)</t>
        </is>
      </c>
      <c r="AO552" t="inlineStr">
        <is>
          <t>bridgingIT GmbH</t>
        </is>
      </c>
      <c r="AP552" t="inlineStr">
        <is>
          <t>Frankfurt</t>
        </is>
      </c>
      <c r="AQ552" t="inlineStr">
        <is>
          <t>Anna Schnorrenberger</t>
        </is>
      </c>
    </row>
    <row r="553">
      <c r="A553" t="inlineStr">
        <is>
          <t>10137</t>
        </is>
      </c>
      <c r="B553" t="inlineStr">
        <is>
          <t>578E9D</t>
        </is>
      </c>
      <c r="C553" t="inlineStr">
        <is>
          <t>https://app.matchical.com/Consulting/ConsultantDetail?ConsultantId=65e48c46-c20d-46d3-95a4-46315adfde14</t>
        </is>
      </c>
      <c r="D553" t="inlineStr">
        <is>
          <t>Steffen Adam</t>
        </is>
      </c>
      <c r="E553" t="inlineStr">
        <is>
          <t>steffen.adam@crafting-it.de</t>
        </is>
      </c>
      <c r="F553" s="2" t="n">
        <v>45108</v>
      </c>
      <c r="G553" s="2" t="n">
        <v>36404</v>
      </c>
      <c r="H553" t="n">
        <v>0</v>
      </c>
      <c r="I553" t="n">
        <v>0</v>
      </c>
      <c r="J553" t="n">
        <v>0</v>
      </c>
      <c r="N553" t="b">
        <v>0</v>
      </c>
      <c r="O553" t="n">
        <v>32</v>
      </c>
      <c r="P553" t="n">
        <v>0</v>
      </c>
      <c r="Q553" t="n">
        <v>0</v>
      </c>
      <c r="R553">
        <f>ROUND(O553-P553,2)</f>
        <v/>
      </c>
      <c r="S553">
        <f>ROUND(O553-Q553,2)</f>
        <v/>
      </c>
      <c r="T553" s="3">
        <f>IFERROR(P553/O553,"")</f>
        <v/>
      </c>
      <c r="U553" s="3">
        <f>IFERROR(Q553/O553,"")</f>
        <v/>
      </c>
      <c r="V553" t="n">
        <v>286</v>
      </c>
      <c r="W553" t="n">
        <v>0</v>
      </c>
      <c r="X553" t="n">
        <v>0</v>
      </c>
      <c r="Y553">
        <f>ROUND(V553-W553,2)</f>
        <v/>
      </c>
      <c r="Z553">
        <f>ROUND(V553-X553,2)</f>
        <v/>
      </c>
      <c r="AA553" s="3">
        <f>IFERROR(W553/V553,"")</f>
        <v/>
      </c>
      <c r="AB553" s="3">
        <f>IFERROR(X553/V553,"")</f>
        <v/>
      </c>
      <c r="AC553" t="b">
        <v>0</v>
      </c>
      <c r="AD553" t="b">
        <v>0</v>
      </c>
      <c r="AE553" t="b">
        <v>0</v>
      </c>
      <c r="AF553" t="inlineStr">
        <is>
          <t>No</t>
        </is>
      </c>
      <c r="AI553" t="b">
        <v>1</v>
      </c>
      <c r="AJ553" t="n">
        <v>0</v>
      </c>
      <c r="AK553" t="inlineStr"/>
      <c r="AL553" t="inlineStr">
        <is>
          <t>ORG cIT</t>
        </is>
      </c>
      <c r="AM553" t="inlineStr">
        <is>
          <t>cIT Service Delivery</t>
        </is>
      </c>
      <c r="AN553" t="inlineStr">
        <is>
          <t>cIT Service Delivery Karlsruhe</t>
        </is>
      </c>
      <c r="AO553" t="inlineStr">
        <is>
          <t>craftingIT GmbH</t>
        </is>
      </c>
      <c r="AP553" t="inlineStr">
        <is>
          <t>Magdeburg</t>
        </is>
      </c>
      <c r="AQ553" t="inlineStr">
        <is>
          <t>Reiner Schlosser</t>
        </is>
      </c>
    </row>
    <row r="554">
      <c r="A554" t="inlineStr">
        <is>
          <t>3014</t>
        </is>
      </c>
      <c r="B554" t="inlineStr">
        <is>
          <t>C0A2DC</t>
        </is>
      </c>
      <c r="C554" t="inlineStr">
        <is>
          <t>https://app.matchical.com/Consulting/ConsultantDetail?ConsultantId=d6e582e0-b7ae-4b34-9de2-dea06c35a997</t>
        </is>
      </c>
      <c r="D554" t="inlineStr">
        <is>
          <t>Steffen Flick</t>
        </is>
      </c>
      <c r="E554" t="inlineStr">
        <is>
          <t>steffen.flick@bridging-it.de</t>
        </is>
      </c>
      <c r="F554" s="2" t="n">
        <v>39722</v>
      </c>
      <c r="G554" s="2" t="n">
        <v>37622</v>
      </c>
      <c r="H554" t="n">
        <v>31</v>
      </c>
      <c r="I554" t="n">
        <v>0</v>
      </c>
      <c r="J554" t="n">
        <v>0</v>
      </c>
      <c r="L554" s="2" t="n">
        <v>44730</v>
      </c>
      <c r="M554" s="2" t="n">
        <v>45372</v>
      </c>
      <c r="N554" t="b">
        <v>0</v>
      </c>
      <c r="O554" t="n">
        <v>209</v>
      </c>
      <c r="P554" t="n">
        <v>211.9</v>
      </c>
      <c r="Q554" t="n">
        <v>163.9</v>
      </c>
      <c r="R554">
        <f>ROUND(O554-P554,2)</f>
        <v/>
      </c>
      <c r="S554">
        <f>ROUND(O554-Q554,2)</f>
        <v/>
      </c>
      <c r="T554" s="3">
        <f>IFERROR(P554/O554,"")</f>
        <v/>
      </c>
      <c r="U554" s="3">
        <f>IFERROR(Q554/O554,"")</f>
        <v/>
      </c>
      <c r="V554" t="n">
        <v>69</v>
      </c>
      <c r="W554" t="n">
        <v>22.1</v>
      </c>
      <c r="X554" t="n">
        <v>22.1</v>
      </c>
      <c r="Y554">
        <f>ROUND(V554-W554,2)</f>
        <v/>
      </c>
      <c r="Z554">
        <f>ROUND(V554-X554,2)</f>
        <v/>
      </c>
      <c r="AA554" s="3">
        <f>IFERROR(W554/V554,"")</f>
        <v/>
      </c>
      <c r="AB554" s="3">
        <f>IFERROR(X554/V554,"")</f>
        <v/>
      </c>
      <c r="AC554" t="b">
        <v>0</v>
      </c>
      <c r="AD554" t="b">
        <v>0</v>
      </c>
      <c r="AE554" t="b">
        <v>0</v>
      </c>
      <c r="AF554" t="inlineStr">
        <is>
          <t>No</t>
        </is>
      </c>
      <c r="AI554" t="b">
        <v>1</v>
      </c>
      <c r="AJ554" t="n">
        <v>5</v>
      </c>
      <c r="AK554" t="inlineStr">
        <is>
          <t>SharePoint architecture and development PAM at DB Systel, on September 20, 2017, Gerrit Seewald, 90 % (verbal commitment)
SharePoint consulting PwC, from October 1, 2017, Peter Müller, 20%</t>
        </is>
      </c>
      <c r="AL554" t="inlineStr">
        <is>
          <t>ORG bIT</t>
        </is>
      </c>
      <c r="AM554" t="inlineStr">
        <is>
          <t>SE Software Engineering Frankfurt (Steffen F.)</t>
        </is>
      </c>
      <c r="AN554" t="inlineStr">
        <is>
          <t>ES Enterprise Solutions (Dominik H.)</t>
        </is>
      </c>
      <c r="AO554" t="inlineStr">
        <is>
          <t>bridgingIT GmbH</t>
        </is>
      </c>
      <c r="AP554" t="inlineStr">
        <is>
          <t>Frankfurt</t>
        </is>
      </c>
      <c r="AQ554" t="inlineStr">
        <is>
          <t>Dominik Hanft</t>
        </is>
      </c>
    </row>
    <row r="555">
      <c r="A555" t="inlineStr">
        <is>
          <t>8390</t>
        </is>
      </c>
      <c r="B555" t="inlineStr">
        <is>
          <t>B13EE4</t>
        </is>
      </c>
      <c r="C555" t="inlineStr">
        <is>
          <t>https://app.matchical.com/Consulting/ConsultantDetail?ConsultantId=7642c498-fa51-4f89-ba7b-e9c3d960c61c</t>
        </is>
      </c>
      <c r="D555" t="inlineStr">
        <is>
          <t>Steffen Wrenzycki</t>
        </is>
      </c>
      <c r="E555" t="inlineStr">
        <is>
          <t>steffen.wrenzycki@crafting-it.de</t>
        </is>
      </c>
      <c r="F555" s="2" t="n">
        <v>43374</v>
      </c>
      <c r="G555" s="2" t="n">
        <v>37257</v>
      </c>
      <c r="H555" t="n">
        <v>5</v>
      </c>
      <c r="I555" t="n">
        <v>0</v>
      </c>
      <c r="J555" t="n">
        <v>2</v>
      </c>
      <c r="K555" s="2" t="n">
        <v>43466</v>
      </c>
      <c r="L555" s="2" t="n">
        <v>45292</v>
      </c>
      <c r="M555" s="2" t="n">
        <v>45657</v>
      </c>
      <c r="N555" t="b">
        <v>0</v>
      </c>
      <c r="O555" t="n">
        <v>89</v>
      </c>
      <c r="P555" t="n">
        <v>187</v>
      </c>
      <c r="Q555" t="n">
        <v>84</v>
      </c>
      <c r="R555">
        <f>ROUND(O555-P555,2)</f>
        <v/>
      </c>
      <c r="S555">
        <f>ROUND(O555-Q555,2)</f>
        <v/>
      </c>
      <c r="T555" s="3">
        <f>IFERROR(P555/O555,"")</f>
        <v/>
      </c>
      <c r="U555" s="3">
        <f>IFERROR(Q555/O555,"")</f>
        <v/>
      </c>
      <c r="V555" t="n">
        <v>201</v>
      </c>
      <c r="W555" t="n">
        <v>0</v>
      </c>
      <c r="X555" t="n">
        <v>0</v>
      </c>
      <c r="Y555">
        <f>ROUND(V555-W555,2)</f>
        <v/>
      </c>
      <c r="Z555">
        <f>ROUND(V555-X555,2)</f>
        <v/>
      </c>
      <c r="AA555" s="3">
        <f>IFERROR(W555/V555,"")</f>
        <v/>
      </c>
      <c r="AB555" s="3">
        <f>IFERROR(X555/V555,"")</f>
        <v/>
      </c>
      <c r="AC555" t="b">
        <v>0</v>
      </c>
      <c r="AD555" t="b">
        <v>0</v>
      </c>
      <c r="AE555" t="b">
        <v>0</v>
      </c>
      <c r="AF555" t="inlineStr">
        <is>
          <t>Yes</t>
        </is>
      </c>
      <c r="AG555" s="2" t="n">
        <v>45809</v>
      </c>
      <c r="AI555" t="b">
        <v>0</v>
      </c>
      <c r="AJ555" t="n">
        <v>1.5</v>
      </c>
      <c r="AK555" t="inlineStr"/>
      <c r="AL555" t="inlineStr">
        <is>
          <t>ORG cIT</t>
        </is>
      </c>
      <c r="AM555" t="inlineStr">
        <is>
          <t>cIT AMS / GIS Services (Michael B.)</t>
        </is>
      </c>
      <c r="AN555" t="inlineStr">
        <is>
          <t>cIT Service Delivery Magdeburg (Steffen A.)</t>
        </is>
      </c>
      <c r="AO555" t="inlineStr">
        <is>
          <t>craftingIT GmbH</t>
        </is>
      </c>
      <c r="AP555" t="inlineStr">
        <is>
          <t>Magdeburg</t>
        </is>
      </c>
      <c r="AQ555" t="inlineStr">
        <is>
          <t>Michael Buchter</t>
        </is>
      </c>
    </row>
    <row r="556">
      <c r="A556" t="inlineStr">
        <is>
          <t>10444</t>
        </is>
      </c>
      <c r="B556" t="inlineStr">
        <is>
          <t>8FFB3E</t>
        </is>
      </c>
      <c r="C556" t="inlineStr">
        <is>
          <t>https://app.matchical.com/Consulting/ConsultantDetail?ConsultantId=d1eab395-a2c5-4c85-b32b-99273e3c81d1</t>
        </is>
      </c>
      <c r="D556" t="inlineStr">
        <is>
          <t>Stephan Kramer</t>
        </is>
      </c>
      <c r="E556" t="inlineStr">
        <is>
          <t>stephan.kramer@bridging-it.de</t>
        </is>
      </c>
      <c r="F556" s="2" t="n">
        <v>46054</v>
      </c>
      <c r="G556" s="2" t="n">
        <v>34516</v>
      </c>
      <c r="H556" t="n">
        <v>1</v>
      </c>
      <c r="I556" t="n">
        <v>0</v>
      </c>
      <c r="J556" t="n">
        <v>0</v>
      </c>
      <c r="L556" s="2" t="n">
        <v>44316</v>
      </c>
      <c r="M556" s="2" t="n">
        <v>46047</v>
      </c>
      <c r="N556" t="b">
        <v>0</v>
      </c>
      <c r="O556" t="n">
        <v>1</v>
      </c>
      <c r="P556" t="n">
        <v>0</v>
      </c>
      <c r="Q556" t="n">
        <v>0</v>
      </c>
      <c r="R556">
        <f>ROUND(O556-P556,2)</f>
        <v/>
      </c>
      <c r="S556">
        <f>ROUND(O556-Q556,2)</f>
        <v/>
      </c>
      <c r="T556" s="3">
        <f>IFERROR(P556/O556,"")</f>
        <v/>
      </c>
      <c r="U556" s="3">
        <f>IFERROR(Q556/O556,"")</f>
        <v/>
      </c>
      <c r="V556" t="n">
        <v>379</v>
      </c>
      <c r="W556" t="n">
        <v>57</v>
      </c>
      <c r="X556" t="n">
        <v>57</v>
      </c>
      <c r="Y556">
        <f>ROUND(V556-W556,2)</f>
        <v/>
      </c>
      <c r="Z556">
        <f>ROUND(V556-X556,2)</f>
        <v/>
      </c>
      <c r="AA556" s="3">
        <f>IFERROR(W556/V556,"")</f>
        <v/>
      </c>
      <c r="AB556" s="3">
        <f>IFERROR(X556/V556,"")</f>
        <v/>
      </c>
      <c r="AC556" t="b">
        <v>0</v>
      </c>
      <c r="AD556" t="b">
        <v>0</v>
      </c>
      <c r="AE556" t="b">
        <v>0</v>
      </c>
      <c r="AF556" t="inlineStr">
        <is>
          <t>Yes</t>
        </is>
      </c>
      <c r="AG556" s="2" t="n">
        <v>46054</v>
      </c>
      <c r="AI556" t="b">
        <v>1</v>
      </c>
      <c r="AJ556" t="n">
        <v>5</v>
      </c>
      <c r="AK556" t="inlineStr"/>
      <c r="AL556" t="inlineStr">
        <is>
          <t>IT - Information Technology (HH)</t>
        </is>
      </c>
      <c r="AM556" t="inlineStr">
        <is>
          <t>MW - Modern Workplace (Ulrich S.)</t>
        </is>
      </c>
      <c r="AN556" t="inlineStr">
        <is>
          <t>MWT HH (Udo P.)</t>
        </is>
      </c>
      <c r="AO556" t="inlineStr">
        <is>
          <t>bridgingIT GmbH</t>
        </is>
      </c>
      <c r="AP556" t="inlineStr">
        <is>
          <t>Hamburg</t>
        </is>
      </c>
      <c r="AQ556" t="inlineStr">
        <is>
          <t>Ulrich Schack</t>
        </is>
      </c>
    </row>
    <row r="557">
      <c r="A557" t="inlineStr">
        <is>
          <t>5079</t>
        </is>
      </c>
      <c r="B557" t="inlineStr">
        <is>
          <t>D344C4</t>
        </is>
      </c>
      <c r="C557" t="inlineStr">
        <is>
          <t>https://app.matchical.com/Consulting/ConsultantDetail?ConsultantId=6ccbdd81-ecd2-4fed-ae41-899e9ccdf856</t>
        </is>
      </c>
      <c r="D557" t="inlineStr">
        <is>
          <t>Stephan Lange</t>
        </is>
      </c>
      <c r="E557" t="inlineStr">
        <is>
          <t>stephan.lange@bridging-it.de</t>
        </is>
      </c>
      <c r="F557" s="2" t="n">
        <v>43556</v>
      </c>
      <c r="G557" s="2" t="n">
        <v>36161</v>
      </c>
      <c r="H557" t="n">
        <v>32</v>
      </c>
      <c r="I557" t="n">
        <v>0</v>
      </c>
      <c r="J557" t="n">
        <v>3</v>
      </c>
      <c r="K557" s="2" t="n">
        <v>44804</v>
      </c>
      <c r="L557" s="2" t="n">
        <v>45292</v>
      </c>
      <c r="M557" s="2" t="n">
        <v>45596</v>
      </c>
      <c r="N557" t="b">
        <v>0</v>
      </c>
      <c r="O557" t="n">
        <v>83</v>
      </c>
      <c r="P557" t="n">
        <v>209.04</v>
      </c>
      <c r="Q557" t="n">
        <v>82.83</v>
      </c>
      <c r="R557">
        <f>ROUND(O557-P557,2)</f>
        <v/>
      </c>
      <c r="S557">
        <f>ROUND(O557-Q557,2)</f>
        <v/>
      </c>
      <c r="T557" s="3">
        <f>IFERROR(P557/O557,"")</f>
        <v/>
      </c>
      <c r="U557" s="3">
        <f>IFERROR(Q557/O557,"")</f>
        <v/>
      </c>
      <c r="V557" t="n">
        <v>243</v>
      </c>
      <c r="W557" t="n">
        <v>231.96</v>
      </c>
      <c r="X557" t="n">
        <v>135.99</v>
      </c>
      <c r="Y557">
        <f>ROUND(V557-W557,2)</f>
        <v/>
      </c>
      <c r="Z557">
        <f>ROUND(V557-X557,2)</f>
        <v/>
      </c>
      <c r="AA557" s="3">
        <f>IFERROR(W557/V557,"")</f>
        <v/>
      </c>
      <c r="AB557" s="3">
        <f>IFERROR(X557/V557,"")</f>
        <v/>
      </c>
      <c r="AC557" t="b">
        <v>0</v>
      </c>
      <c r="AD557" t="b">
        <v>0</v>
      </c>
      <c r="AE557" t="b">
        <v>0</v>
      </c>
      <c r="AF557" t="inlineStr">
        <is>
          <t>Yes</t>
        </is>
      </c>
      <c r="AG557" s="2" t="n">
        <v>46235</v>
      </c>
      <c r="AI557" t="b">
        <v>1</v>
      </c>
      <c r="AJ557" t="n">
        <v>2.05</v>
      </c>
      <c r="AK557" t="inlineStr">
        <is>
          <t>(02.07.25) It is likely that Stephan's utilization will exceed 60% from August 1. The probability is high that from August 1 he will be 100% utilized at Merck and/or IDW. Please note.</t>
        </is>
      </c>
      <c r="AL557" t="inlineStr">
        <is>
          <t>DO Digital Organizations (Michael H.)</t>
        </is>
      </c>
      <c r="AM557" t="inlineStr">
        <is>
          <t>PD Process Digitalization (Hermann L.)</t>
        </is>
      </c>
      <c r="AN557" t="inlineStr">
        <is>
          <t>DP Digital Processes (Hermann L.)</t>
        </is>
      </c>
      <c r="AO557" t="inlineStr">
        <is>
          <t>bridgingIT GmbH</t>
        </is>
      </c>
      <c r="AP557" t="inlineStr">
        <is>
          <t>Stuttgart</t>
        </is>
      </c>
      <c r="AQ557" t="inlineStr">
        <is>
          <t>Hermann Löh</t>
        </is>
      </c>
    </row>
    <row r="558">
      <c r="A558" t="inlineStr">
        <is>
          <t>10433</t>
        </is>
      </c>
      <c r="B558" t="inlineStr">
        <is>
          <t>189B0B</t>
        </is>
      </c>
      <c r="C558" t="inlineStr">
        <is>
          <t>https://app.matchical.com/Consulting/ConsultantDetail?ConsultantId=8ea1fd9c-0f77-40a9-972a-190cfb755b3b</t>
        </is>
      </c>
      <c r="D558" t="inlineStr">
        <is>
          <t>Stephan Quast</t>
        </is>
      </c>
      <c r="E558" t="inlineStr">
        <is>
          <t>stephan.quast@bridging-it.de</t>
        </is>
      </c>
      <c r="F558" s="2" t="n">
        <v>46054</v>
      </c>
      <c r="G558" s="2" t="n">
        <v>36707</v>
      </c>
      <c r="H558" t="n">
        <v>2</v>
      </c>
      <c r="I558" t="n">
        <v>0</v>
      </c>
      <c r="J558" t="n">
        <v>1</v>
      </c>
      <c r="K558" s="2" t="n">
        <v>46024</v>
      </c>
      <c r="N558" t="b">
        <v>0</v>
      </c>
      <c r="O558" t="n">
        <v>1</v>
      </c>
      <c r="P558" t="n">
        <v>1.21</v>
      </c>
      <c r="Q558" t="n">
        <v>-0.04</v>
      </c>
      <c r="R558">
        <f>ROUND(O558-P558,2)</f>
        <v/>
      </c>
      <c r="S558">
        <f>ROUND(O558-Q558,2)</f>
        <v/>
      </c>
      <c r="T558" s="3">
        <f>IFERROR(P558/O558,"")</f>
        <v/>
      </c>
      <c r="U558" s="3">
        <f>IFERROR(Q558/O558,"")</f>
        <v/>
      </c>
      <c r="V558" t="n">
        <v>307</v>
      </c>
      <c r="W558" t="n">
        <v>0.57</v>
      </c>
      <c r="X558" t="n">
        <v>-0.57</v>
      </c>
      <c r="Y558">
        <f>ROUND(V558-W558,2)</f>
        <v/>
      </c>
      <c r="Z558">
        <f>ROUND(V558-X558,2)</f>
        <v/>
      </c>
      <c r="AA558" s="3">
        <f>IFERROR(W558/V558,"")</f>
        <v/>
      </c>
      <c r="AB558" s="3">
        <f>IFERROR(X558/V558,"")</f>
        <v/>
      </c>
      <c r="AC558" t="b">
        <v>0</v>
      </c>
      <c r="AD558" t="b">
        <v>0</v>
      </c>
      <c r="AE558" t="b">
        <v>0</v>
      </c>
      <c r="AF558" t="inlineStr">
        <is>
          <t>Yes</t>
        </is>
      </c>
      <c r="AG558" s="2" t="n">
        <v>46054</v>
      </c>
      <c r="AI558" t="b">
        <v>1</v>
      </c>
      <c r="AJ558" t="n">
        <v>5</v>
      </c>
      <c r="AK558" t="inlineStr"/>
      <c r="AL558" t="inlineStr">
        <is>
          <t>IT - Information Technology (HH)</t>
        </is>
      </c>
      <c r="AM558" t="inlineStr">
        <is>
          <t>MW - Modern Workplace (Ulrich S.)</t>
        </is>
      </c>
      <c r="AN558" t="inlineStr">
        <is>
          <t>MWT HH (Udo P.)</t>
        </is>
      </c>
      <c r="AO558" t="inlineStr">
        <is>
          <t>bridgingIT GmbH</t>
        </is>
      </c>
      <c r="AP558" t="inlineStr">
        <is>
          <t>Hamburg</t>
        </is>
      </c>
      <c r="AQ558" t="inlineStr">
        <is>
          <t>Ulrich Schack</t>
        </is>
      </c>
    </row>
    <row r="559">
      <c r="A559" t="inlineStr">
        <is>
          <t>1393</t>
        </is>
      </c>
      <c r="B559" t="inlineStr">
        <is>
          <t>ED1439</t>
        </is>
      </c>
      <c r="C559" t="inlineStr">
        <is>
          <t>https://app.matchical.com/Consulting/ConsultantDetail?ConsultantId=9cc2897d-bcc4-44d7-8dc4-0c67956a7ec4</t>
        </is>
      </c>
      <c r="D559" t="inlineStr">
        <is>
          <t>Stephen Hube</t>
        </is>
      </c>
      <c r="E559" t="inlineStr">
        <is>
          <t>stephen.hube@bridging-it.de</t>
        </is>
      </c>
      <c r="F559" s="2" t="n">
        <v>42917</v>
      </c>
      <c r="G559" s="2" t="n">
        <v>42887</v>
      </c>
      <c r="H559" t="n">
        <v>3</v>
      </c>
      <c r="I559" t="n">
        <v>0</v>
      </c>
      <c r="J559" t="n">
        <v>1</v>
      </c>
      <c r="K559" s="2" t="n">
        <v>45657</v>
      </c>
      <c r="L559" s="2" t="n">
        <v>45198</v>
      </c>
      <c r="M559" s="2" t="n">
        <v>45656</v>
      </c>
      <c r="N559" t="b">
        <v>0</v>
      </c>
      <c r="O559" t="n">
        <v>104</v>
      </c>
      <c r="P559" t="n">
        <v>102.97</v>
      </c>
      <c r="Q559" t="n">
        <v>102.97</v>
      </c>
      <c r="R559">
        <f>ROUND(O559-P559,2)</f>
        <v/>
      </c>
      <c r="S559">
        <f>ROUND(O559-Q559,2)</f>
        <v/>
      </c>
      <c r="T559" s="3">
        <f>IFERROR(P559/O559,"")</f>
        <v/>
      </c>
      <c r="U559" s="3">
        <f>IFERROR(Q559/O559,"")</f>
        <v/>
      </c>
      <c r="V559" t="n">
        <v>1</v>
      </c>
      <c r="W559" t="n">
        <v>0.03</v>
      </c>
      <c r="X559" t="n">
        <v>0.03</v>
      </c>
      <c r="Y559">
        <f>ROUND(V559-W559,2)</f>
        <v/>
      </c>
      <c r="Z559">
        <f>ROUND(V559-X559,2)</f>
        <v/>
      </c>
      <c r="AA559" s="3">
        <f>IFERROR(W559/V559,"")</f>
        <v/>
      </c>
      <c r="AB559" s="3">
        <f>IFERROR(X559/V559,"")</f>
        <v/>
      </c>
      <c r="AC559" t="b">
        <v>0</v>
      </c>
      <c r="AD559" t="b">
        <v>0</v>
      </c>
      <c r="AE559" t="b">
        <v>0</v>
      </c>
      <c r="AF559" t="inlineStr">
        <is>
          <t>No</t>
        </is>
      </c>
      <c r="AI559" t="b">
        <v>0</v>
      </c>
      <c r="AJ559" t="n">
        <v>0</v>
      </c>
      <c r="AK559" t="inlineStr">
        <is>
          <t>Solid consultant on the path to Senior. Full-stack experience in Spring Boot / Java / Kotlin / Angular / React / TypeScript / Kubernetes / Docker / CI/CD</t>
        </is>
      </c>
      <c r="AL559" t="inlineStr">
        <is>
          <t>A&amp;SE Analytics &amp; Software Engineering (Philip R.)</t>
        </is>
      </c>
      <c r="AM559" t="inlineStr">
        <is>
          <t>FA Fullstack Astronauts (Jochen K.)</t>
        </is>
      </c>
      <c r="AN559" t="inlineStr">
        <is>
          <t>FUN Fullstack Ninjas (Stefan Z.)</t>
        </is>
      </c>
      <c r="AO559" t="inlineStr">
        <is>
          <t>bridgingIT GmbH</t>
        </is>
      </c>
      <c r="AP559" t="inlineStr">
        <is>
          <t>Mannheim</t>
        </is>
      </c>
      <c r="AQ559" t="inlineStr">
        <is>
          <t>Jochen Kraushaar</t>
        </is>
      </c>
    </row>
    <row r="560">
      <c r="A560" t="inlineStr">
        <is>
          <t>1011</t>
        </is>
      </c>
      <c r="B560" t="inlineStr">
        <is>
          <t>1121E9</t>
        </is>
      </c>
      <c r="C560" t="inlineStr">
        <is>
          <t>https://app.matchical.com/Consulting/ConsultantDetail?ConsultantId=5c7c1efb-5523-42d3-b53a-790bc3ef8a9d</t>
        </is>
      </c>
      <c r="D560" t="inlineStr">
        <is>
          <t>Steve Gerstner</t>
        </is>
      </c>
      <c r="E560" t="inlineStr">
        <is>
          <t>steve.gerstner@bridging-it.de</t>
        </is>
      </c>
      <c r="F560" s="2" t="n">
        <v>39508</v>
      </c>
      <c r="G560" s="2" t="n">
        <v>37622</v>
      </c>
      <c r="H560" t="n">
        <v>25</v>
      </c>
      <c r="I560" t="n">
        <v>0</v>
      </c>
      <c r="J560" t="n">
        <v>4</v>
      </c>
      <c r="K560" s="2" t="n">
        <v>39448</v>
      </c>
      <c r="L560" s="2" t="n">
        <v>44896</v>
      </c>
      <c r="M560" s="2" t="n">
        <v>45107</v>
      </c>
      <c r="N560" t="b">
        <v>0</v>
      </c>
      <c r="O560" t="n">
        <v>216</v>
      </c>
      <c r="P560" t="n">
        <v>856.05</v>
      </c>
      <c r="Q560" t="n">
        <v>215.82</v>
      </c>
      <c r="R560">
        <f>ROUND(O560-P560,2)</f>
        <v/>
      </c>
      <c r="S560">
        <f>ROUND(O560-Q560,2)</f>
        <v/>
      </c>
      <c r="T560" s="3">
        <f>IFERROR(P560/O560,"")</f>
        <v/>
      </c>
      <c r="U560" s="3">
        <f>IFERROR(Q560/O560,"")</f>
        <v/>
      </c>
      <c r="V560" t="n">
        <v>62</v>
      </c>
      <c r="W560" t="n">
        <v>7.95</v>
      </c>
      <c r="X560" t="n">
        <v>5.21</v>
      </c>
      <c r="Y560">
        <f>ROUND(V560-W560,2)</f>
        <v/>
      </c>
      <c r="Z560">
        <f>ROUND(V560-X560,2)</f>
        <v/>
      </c>
      <c r="AA560" s="3">
        <f>IFERROR(W560/V560,"")</f>
        <v/>
      </c>
      <c r="AB560" s="3">
        <f>IFERROR(X560/V560,"")</f>
        <v/>
      </c>
      <c r="AC560" t="b">
        <v>0</v>
      </c>
      <c r="AD560" t="b">
        <v>0</v>
      </c>
      <c r="AE560" t="b">
        <v>0</v>
      </c>
      <c r="AF560" t="inlineStr">
        <is>
          <t>No</t>
        </is>
      </c>
      <c r="AI560" t="b">
        <v>1</v>
      </c>
      <c r="AJ560" t="n">
        <v>0</v>
      </c>
      <c r="AK560" t="inlineStr"/>
      <c r="AL560" t="inlineStr">
        <is>
          <t>IT - Information Technology (Sebastian L.)</t>
        </is>
      </c>
      <c r="AM560" t="inlineStr">
        <is>
          <t>DOE DevOps Enablement (Florian W.)</t>
        </is>
      </c>
      <c r="AN560" t="inlineStr">
        <is>
          <t>C&amp;DO - Cloud &amp; DevOps (Sebastian L.)</t>
        </is>
      </c>
      <c r="AO560" t="inlineStr">
        <is>
          <t>bridgingIT GmbH</t>
        </is>
      </c>
      <c r="AP560" t="inlineStr">
        <is>
          <t>Mannheim</t>
        </is>
      </c>
      <c r="AQ560" t="inlineStr">
        <is>
          <t>Florian Wendel</t>
        </is>
      </c>
    </row>
    <row r="561">
      <c r="A561" t="inlineStr">
        <is>
          <t>10309</t>
        </is>
      </c>
      <c r="B561" t="inlineStr">
        <is>
          <t>BE1D8E</t>
        </is>
      </c>
      <c r="C561" t="inlineStr">
        <is>
          <t>https://app.matchical.com/Consulting/ConsultantDetail?ConsultantId=4ab269b4-2d94-4cda-a30e-51d33be2251d</t>
        </is>
      </c>
      <c r="D561" t="inlineStr">
        <is>
          <t>Stina Böhmig</t>
        </is>
      </c>
      <c r="E561" t="inlineStr">
        <is>
          <t>stina.boehmig@bridging-it.de</t>
        </is>
      </c>
      <c r="F561" s="2" t="n">
        <v>45505</v>
      </c>
      <c r="G561" s="2" t="n">
        <v>44593</v>
      </c>
      <c r="H561" t="n">
        <v>4</v>
      </c>
      <c r="I561" t="n">
        <v>0</v>
      </c>
      <c r="J561" t="n">
        <v>1</v>
      </c>
      <c r="K561" s="2" t="n">
        <v>45658</v>
      </c>
      <c r="L561" s="2" t="n">
        <v>45396</v>
      </c>
      <c r="M561" s="2" t="n">
        <v>45656</v>
      </c>
      <c r="N561" t="b">
        <v>0</v>
      </c>
      <c r="O561" t="n">
        <v>19</v>
      </c>
      <c r="P561" t="n">
        <v>18.23</v>
      </c>
      <c r="Q561" t="n">
        <v>18.23</v>
      </c>
      <c r="R561">
        <f>ROUND(O561-P561,2)</f>
        <v/>
      </c>
      <c r="S561">
        <f>ROUND(O561-Q561,2)</f>
        <v/>
      </c>
      <c r="T561" s="3">
        <f>IFERROR(P561/O561,"")</f>
        <v/>
      </c>
      <c r="U561" s="3">
        <f>IFERROR(Q561/O561,"")</f>
        <v/>
      </c>
      <c r="V561" t="n">
        <v>30</v>
      </c>
      <c r="W561" t="n">
        <v>24.74</v>
      </c>
      <c r="X561" t="n">
        <v>24.74</v>
      </c>
      <c r="Y561">
        <f>ROUND(V561-W561,2)</f>
        <v/>
      </c>
      <c r="Z561">
        <f>ROUND(V561-X561,2)</f>
        <v/>
      </c>
      <c r="AA561" s="3">
        <f>IFERROR(W561/V561,"")</f>
        <v/>
      </c>
      <c r="AB561" s="3">
        <f>IFERROR(X561/V561,"")</f>
        <v/>
      </c>
      <c r="AC561" t="b">
        <v>0</v>
      </c>
      <c r="AD561" t="b">
        <v>0</v>
      </c>
      <c r="AE561" t="b">
        <v>0</v>
      </c>
      <c r="AF561" t="inlineStr">
        <is>
          <t>No</t>
        </is>
      </c>
      <c r="AI561" t="b">
        <v>1</v>
      </c>
      <c r="AJ561" t="n">
        <v>0</v>
      </c>
      <c r="AK561" t="inlineStr"/>
      <c r="AL561" t="inlineStr">
        <is>
          <t>ORG bIT</t>
        </is>
      </c>
      <c r="AM561" t="inlineStr">
        <is>
          <t>SE Software Engineering Frankfurt (Timm B.)</t>
        </is>
      </c>
      <c r="AN561" t="inlineStr">
        <is>
          <t>ES Enterprise Solutions (Dominik H.)</t>
        </is>
      </c>
      <c r="AO561" t="inlineStr">
        <is>
          <t>bridgingIT GmbH</t>
        </is>
      </c>
      <c r="AP561" t="inlineStr">
        <is>
          <t>Frankfurt</t>
        </is>
      </c>
      <c r="AQ561" t="inlineStr">
        <is>
          <t>Timm Bremus</t>
        </is>
      </c>
    </row>
    <row r="562">
      <c r="A562" t="inlineStr">
        <is>
          <t>3151</t>
        </is>
      </c>
      <c r="B562" t="inlineStr">
        <is>
          <t>C33A34</t>
        </is>
      </c>
      <c r="C562" t="inlineStr">
        <is>
          <t>https://app.matchical.com/Consulting/ConsultantDetail?ConsultantId=5e232d4a-24f9-40a6-8501-d196d172a877</t>
        </is>
      </c>
      <c r="D562" t="inlineStr">
        <is>
          <t>Styrmir Grünheit</t>
        </is>
      </c>
      <c r="E562" t="inlineStr">
        <is>
          <t>styrmir.gruenheit@bridging-it.de</t>
        </is>
      </c>
      <c r="F562" s="2" t="n">
        <v>43221</v>
      </c>
      <c r="G562" s="2" t="n">
        <v>36557</v>
      </c>
      <c r="H562" t="n">
        <v>17</v>
      </c>
      <c r="I562" t="n">
        <v>0</v>
      </c>
      <c r="J562" t="n">
        <v>3</v>
      </c>
      <c r="K562" s="2" t="n">
        <v>43344</v>
      </c>
      <c r="L562" s="2" t="n">
        <v>44928</v>
      </c>
      <c r="M562" s="2" t="n">
        <v>45077</v>
      </c>
      <c r="N562" t="b">
        <v>0</v>
      </c>
      <c r="O562" t="n">
        <v>94</v>
      </c>
      <c r="P562" t="n">
        <v>282.97</v>
      </c>
      <c r="Q562" t="n">
        <v>93.83</v>
      </c>
      <c r="R562">
        <f>ROUND(O562-P562,2)</f>
        <v/>
      </c>
      <c r="S562">
        <f>ROUND(O562-Q562,2)</f>
        <v/>
      </c>
      <c r="T562" s="3">
        <f>IFERROR(P562/O562,"")</f>
        <v/>
      </c>
      <c r="U562" s="3">
        <f>IFERROR(Q562/O562,"")</f>
        <v/>
      </c>
      <c r="V562" t="n">
        <v>219</v>
      </c>
      <c r="W562" t="n">
        <v>86.03</v>
      </c>
      <c r="X562" t="n">
        <v>75.03</v>
      </c>
      <c r="Y562">
        <f>ROUND(V562-W562,2)</f>
        <v/>
      </c>
      <c r="Z562">
        <f>ROUND(V562-X562,2)</f>
        <v/>
      </c>
      <c r="AA562" s="3">
        <f>IFERROR(W562/V562,"")</f>
        <v/>
      </c>
      <c r="AB562" s="3">
        <f>IFERROR(X562/V562,"")</f>
        <v/>
      </c>
      <c r="AC562" t="b">
        <v>0</v>
      </c>
      <c r="AD562" t="b">
        <v>0</v>
      </c>
      <c r="AE562" t="b">
        <v>0</v>
      </c>
      <c r="AF562" t="inlineStr">
        <is>
          <t>No</t>
        </is>
      </c>
      <c r="AI562" t="b">
        <v>0</v>
      </c>
      <c r="AJ562" t="n">
        <v>0</v>
      </c>
      <c r="AK562" t="inlineStr"/>
      <c r="AL562" t="inlineStr">
        <is>
          <t>ORG bIT</t>
        </is>
      </c>
      <c r="AM562" t="inlineStr">
        <is>
          <t>SE Software Engineering Frankfurt (Dominik H.)</t>
        </is>
      </c>
      <c r="AN562" t="inlineStr">
        <is>
          <t>ES Enterprise Solutions (Dominik H.)</t>
        </is>
      </c>
      <c r="AO562" t="inlineStr">
        <is>
          <t>bridgingIT GmbH</t>
        </is>
      </c>
      <c r="AP562" t="inlineStr">
        <is>
          <t>Frankfurt</t>
        </is>
      </c>
      <c r="AQ562" t="inlineStr">
        <is>
          <t>Dominik Hanft</t>
        </is>
      </c>
    </row>
    <row r="563">
      <c r="A563" t="inlineStr">
        <is>
          <t>6514</t>
        </is>
      </c>
      <c r="B563" t="inlineStr">
        <is>
          <t>AD0EE1</t>
        </is>
      </c>
      <c r="C563" t="inlineStr">
        <is>
          <t>https://app.matchical.com/Consulting/ConsultantDetail?ConsultantId=2d839544-a693-4eba-8c30-dd26dfad9f68</t>
        </is>
      </c>
      <c r="D563" t="inlineStr">
        <is>
          <t>Susanne Kirch</t>
        </is>
      </c>
      <c r="E563" t="inlineStr">
        <is>
          <t>susanne.kirch@fastahead.com</t>
        </is>
      </c>
      <c r="F563" s="2" t="n">
        <v>43252</v>
      </c>
      <c r="G563" s="2" t="n">
        <v>39174</v>
      </c>
      <c r="H563" t="n">
        <v>17</v>
      </c>
      <c r="I563" t="n">
        <v>0</v>
      </c>
      <c r="J563" t="n">
        <v>0</v>
      </c>
      <c r="L563" s="2" t="n">
        <v>45200</v>
      </c>
      <c r="M563" s="2" t="n">
        <v>45657</v>
      </c>
      <c r="N563" t="b">
        <v>0</v>
      </c>
      <c r="O563" t="n">
        <v>93</v>
      </c>
      <c r="P563" t="n">
        <v>186</v>
      </c>
      <c r="Q563" t="n">
        <v>75</v>
      </c>
      <c r="R563">
        <f>ROUND(O563-P563,2)</f>
        <v/>
      </c>
      <c r="S563">
        <f>ROUND(O563-Q563,2)</f>
        <v/>
      </c>
      <c r="T563" s="3">
        <f>IFERROR(P563/O563,"")</f>
        <v/>
      </c>
      <c r="U563" s="3">
        <f>IFERROR(Q563/O563,"")</f>
        <v/>
      </c>
      <c r="V563" t="n">
        <v>134</v>
      </c>
      <c r="W563" t="n">
        <v>0</v>
      </c>
      <c r="X563" t="n">
        <v>0</v>
      </c>
      <c r="Y563">
        <f>ROUND(V563-W563,2)</f>
        <v/>
      </c>
      <c r="Z563">
        <f>ROUND(V563-X563,2)</f>
        <v/>
      </c>
      <c r="AA563" s="3">
        <f>IFERROR(W563/V563,"")</f>
        <v/>
      </c>
      <c r="AB563" s="3">
        <f>IFERROR(X563/V563,"")</f>
        <v/>
      </c>
      <c r="AC563" t="b">
        <v>0</v>
      </c>
      <c r="AD563" t="b">
        <v>0</v>
      </c>
      <c r="AE563" t="b">
        <v>0</v>
      </c>
      <c r="AF563" t="inlineStr">
        <is>
          <t>Yes</t>
        </is>
      </c>
      <c r="AG563" s="2" t="n">
        <v>46143</v>
      </c>
      <c r="AI563" t="b">
        <v>0</v>
      </c>
      <c r="AJ563" t="n">
        <v>0.91</v>
      </c>
      <c r="AK563" t="inlineStr"/>
      <c r="AL563" t="inlineStr">
        <is>
          <t>ORG fastahead GmbH &amp; Co. KG</t>
        </is>
      </c>
      <c r="AM563" t="inlineStr">
        <is>
          <t>User Experience Design</t>
        </is>
      </c>
      <c r="AN563" t="inlineStr">
        <is>
          <t>fah Tim Thierfelder</t>
        </is>
      </c>
      <c r="AO563" t="inlineStr">
        <is>
          <t>fastahead GmbH &amp; Co. KG</t>
        </is>
      </c>
      <c r="AP563" t="inlineStr">
        <is>
          <t>Mannheim</t>
        </is>
      </c>
      <c r="AQ563" t="inlineStr">
        <is>
          <t>Anastasia Rettberg-Kluter</t>
        </is>
      </c>
    </row>
    <row r="564">
      <c r="A564" t="inlineStr">
        <is>
          <t>3041</t>
        </is>
      </c>
      <c r="B564" t="inlineStr">
        <is>
          <t>DDC3D1</t>
        </is>
      </c>
      <c r="C564" t="inlineStr">
        <is>
          <t>https://app.matchical.com/Consulting/ConsultantDetail?ConsultantId=399cc400-1844-47c3-91c5-e02c042973fa</t>
        </is>
      </c>
      <c r="D564" t="inlineStr">
        <is>
          <t>Sven Winnecke</t>
        </is>
      </c>
      <c r="E564" t="inlineStr">
        <is>
          <t>sven.winnecke@bridging-it.de</t>
        </is>
      </c>
      <c r="F564" s="2" t="n">
        <v>40634</v>
      </c>
      <c r="G564" s="2" t="n">
        <v>35065</v>
      </c>
      <c r="H564" t="n">
        <v>35</v>
      </c>
      <c r="I564" t="n">
        <v>0</v>
      </c>
      <c r="J564" t="n">
        <v>3</v>
      </c>
      <c r="K564" s="2" t="n">
        <v>43100</v>
      </c>
      <c r="L564" s="2" t="n">
        <v>42522</v>
      </c>
      <c r="M564" s="2" t="n">
        <v>43189</v>
      </c>
      <c r="N564" t="b">
        <v>0</v>
      </c>
      <c r="O564" t="n">
        <v>179</v>
      </c>
      <c r="P564" t="n">
        <v>345.98</v>
      </c>
      <c r="Q564" t="n">
        <v>178.83</v>
      </c>
      <c r="R564">
        <f>ROUND(O564-P564,2)</f>
        <v/>
      </c>
      <c r="S564">
        <f>ROUND(O564-Q564,2)</f>
        <v/>
      </c>
      <c r="T564" s="3">
        <f>IFERROR(P564/O564,"")</f>
        <v/>
      </c>
      <c r="U564" s="3">
        <f>IFERROR(Q564/O564,"")</f>
        <v/>
      </c>
      <c r="V564" t="n">
        <v>183</v>
      </c>
      <c r="W564" t="n">
        <v>687.02</v>
      </c>
      <c r="X564" t="n">
        <v>157.6</v>
      </c>
      <c r="Y564">
        <f>ROUND(V564-W564,2)</f>
        <v/>
      </c>
      <c r="Z564">
        <f>ROUND(V564-X564,2)</f>
        <v/>
      </c>
      <c r="AA564" s="3">
        <f>IFERROR(W564/V564,"")</f>
        <v/>
      </c>
      <c r="AB564" s="3">
        <f>IFERROR(X564/V564,"")</f>
        <v/>
      </c>
      <c r="AC564" t="b">
        <v>0</v>
      </c>
      <c r="AD564" t="b">
        <v>0</v>
      </c>
      <c r="AE564" t="b">
        <v>0</v>
      </c>
      <c r="AF564" t="inlineStr">
        <is>
          <t>No</t>
        </is>
      </c>
      <c r="AI564" t="b">
        <v>1</v>
      </c>
      <c r="AJ564" t="n">
        <v>0</v>
      </c>
      <c r="AK564" t="inlineStr"/>
      <c r="AL564" t="inlineStr">
        <is>
          <t>ORG bIT</t>
        </is>
      </c>
      <c r="AM564" t="inlineStr">
        <is>
          <t>PITS Professional IT-Services (Martin R.)</t>
        </is>
      </c>
      <c r="AN564" t="inlineStr">
        <is>
          <t>MIT Management of IT (Torsten R.)</t>
        </is>
      </c>
      <c r="AO564" t="inlineStr">
        <is>
          <t>bridgingIT GmbH</t>
        </is>
      </c>
      <c r="AP564" t="inlineStr">
        <is>
          <t>Frankfurt</t>
        </is>
      </c>
      <c r="AQ564" t="inlineStr">
        <is>
          <t>Martin Redemsky</t>
        </is>
      </c>
    </row>
    <row r="565">
      <c r="A565" t="inlineStr">
        <is>
          <t>8236</t>
        </is>
      </c>
      <c r="B565" t="inlineStr">
        <is>
          <t>666949</t>
        </is>
      </c>
      <c r="C565" t="inlineStr">
        <is>
          <t>https://app.matchical.com/Consulting/ConsultantDetail?ConsultantId=f94c7283-f056-4566-abc4-2a18fad083d1</t>
        </is>
      </c>
      <c r="D565" t="inlineStr">
        <is>
          <t>Svetlana Krawtschenko</t>
        </is>
      </c>
      <c r="E565" t="inlineStr">
        <is>
          <t>svetlana.krawtschenko@crafting-it.de</t>
        </is>
      </c>
      <c r="F565" s="2" t="n">
        <v>42826</v>
      </c>
      <c r="G565" s="2" t="n">
        <v>42826</v>
      </c>
      <c r="H565" t="n">
        <v>8</v>
      </c>
      <c r="I565" t="n">
        <v>0</v>
      </c>
      <c r="J565" t="n">
        <v>4</v>
      </c>
      <c r="K565" s="2" t="n">
        <v>42825</v>
      </c>
      <c r="L565" s="2" t="n">
        <v>43101</v>
      </c>
      <c r="M565" s="2" t="n">
        <v>45472</v>
      </c>
      <c r="N565" t="b">
        <v>0</v>
      </c>
      <c r="O565" t="n">
        <v>107</v>
      </c>
      <c r="P565" t="n">
        <v>578.23</v>
      </c>
      <c r="Q565" t="n">
        <v>106.81</v>
      </c>
      <c r="R565">
        <f>ROUND(O565-P565,2)</f>
        <v/>
      </c>
      <c r="S565">
        <f>ROUND(O565-Q565,2)</f>
        <v/>
      </c>
      <c r="T565" s="3">
        <f>IFERROR(P565/O565,"")</f>
        <v/>
      </c>
      <c r="U565" s="3">
        <f>IFERROR(Q565/O565,"")</f>
        <v/>
      </c>
      <c r="V565" t="n">
        <v>0</v>
      </c>
      <c r="W565" t="n">
        <v>0</v>
      </c>
      <c r="X565" t="n">
        <v>0</v>
      </c>
      <c r="Y565">
        <f>ROUND(V565-W565,2)</f>
        <v/>
      </c>
      <c r="Z565">
        <f>ROUND(V565-X565,2)</f>
        <v/>
      </c>
      <c r="AA565" s="3">
        <f>IFERROR(W565/V565,"")</f>
        <v/>
      </c>
      <c r="AB565" s="3">
        <f>IFERROR(X565/V565,"")</f>
        <v/>
      </c>
      <c r="AC565" t="b">
        <v>0</v>
      </c>
      <c r="AD565" t="b">
        <v>0</v>
      </c>
      <c r="AE565" t="b">
        <v>0</v>
      </c>
      <c r="AF565" t="inlineStr">
        <is>
          <t>No</t>
        </is>
      </c>
      <c r="AI565" t="b">
        <v>1</v>
      </c>
      <c r="AJ565" t="n">
        <v>0</v>
      </c>
      <c r="AK565" t="inlineStr"/>
      <c r="AL565" t="inlineStr">
        <is>
          <t>ORG cIT 2</t>
        </is>
      </c>
      <c r="AM565" t="inlineStr">
        <is>
          <t>cIT Individualservices</t>
        </is>
      </c>
      <c r="AN565" t="inlineStr">
        <is>
          <t>LS Lokation Magdeburg (Alexander J.)</t>
        </is>
      </c>
      <c r="AO565" t="inlineStr">
        <is>
          <t>craftingIT GmbH</t>
        </is>
      </c>
      <c r="AP565" t="inlineStr">
        <is>
          <t>Magdeburg</t>
        </is>
      </c>
      <c r="AQ565" t="inlineStr">
        <is>
          <t>Alexander Jende</t>
        </is>
      </c>
    </row>
    <row r="566">
      <c r="A566" t="inlineStr">
        <is>
          <t>10260</t>
        </is>
      </c>
      <c r="B566" t="inlineStr">
        <is>
          <t>BD5F47</t>
        </is>
      </c>
      <c r="C566" t="inlineStr">
        <is>
          <t>https://app.matchical.com/Consulting/ConsultantDetail?ConsultantId=e1317486-acbd-420c-b359-751fdd3b6532</t>
        </is>
      </c>
      <c r="D566" t="inlineStr">
        <is>
          <t>Tanja Dill</t>
        </is>
      </c>
      <c r="E566" t="inlineStr">
        <is>
          <t>tanja.dill@crafting-it.de</t>
        </is>
      </c>
      <c r="F566" s="2" t="n">
        <v>45352</v>
      </c>
      <c r="G566" s="2" t="n">
        <v>43192</v>
      </c>
      <c r="H566" t="n">
        <v>11</v>
      </c>
      <c r="I566" t="n">
        <v>0</v>
      </c>
      <c r="J566" t="n">
        <v>2</v>
      </c>
      <c r="K566" s="2" t="n">
        <v>45292</v>
      </c>
      <c r="L566" s="2" t="n">
        <v>45566</v>
      </c>
      <c r="M566" s="2" t="n">
        <v>46021</v>
      </c>
      <c r="N566" t="b">
        <v>0</v>
      </c>
      <c r="O566" t="n">
        <v>24</v>
      </c>
      <c r="P566" t="n">
        <v>88.09</v>
      </c>
      <c r="Q566" t="n">
        <v>23.82</v>
      </c>
      <c r="R566">
        <f>ROUND(O566-P566,2)</f>
        <v/>
      </c>
      <c r="S566">
        <f>ROUND(O566-Q566,2)</f>
        <v/>
      </c>
      <c r="T566" s="3">
        <f>IFERROR(P566/O566,"")</f>
        <v/>
      </c>
      <c r="U566" s="3">
        <f>IFERROR(Q566/O566,"")</f>
        <v/>
      </c>
      <c r="V566" t="n">
        <v>71</v>
      </c>
      <c r="W566" t="n">
        <v>101.85</v>
      </c>
      <c r="X566" t="n">
        <v>70.97</v>
      </c>
      <c r="Y566">
        <f>ROUND(V566-W566,2)</f>
        <v/>
      </c>
      <c r="Z566">
        <f>ROUND(V566-X566,2)</f>
        <v/>
      </c>
      <c r="AA566" s="3">
        <f>IFERROR(W566/V566,"")</f>
        <v/>
      </c>
      <c r="AB566" s="3">
        <f>IFERROR(X566/V566,"")</f>
        <v/>
      </c>
      <c r="AC566" t="b">
        <v>0</v>
      </c>
      <c r="AD566" t="b">
        <v>0</v>
      </c>
      <c r="AE566" t="b">
        <v>0</v>
      </c>
      <c r="AF566" t="inlineStr">
        <is>
          <t>No</t>
        </is>
      </c>
      <c r="AI566" t="b">
        <v>1</v>
      </c>
      <c r="AJ566" t="n">
        <v>0</v>
      </c>
      <c r="AK566" t="inlineStr"/>
      <c r="AL566" t="inlineStr">
        <is>
          <t>ORG cIT 2</t>
        </is>
      </c>
      <c r="AM566" t="inlineStr">
        <is>
          <t>cIT Service Management</t>
        </is>
      </c>
      <c r="AN566" t="inlineStr">
        <is>
          <t>cIT Services allgemein (Christian K.)</t>
        </is>
      </c>
      <c r="AO566" t="inlineStr">
        <is>
          <t>craftingIT GmbH</t>
        </is>
      </c>
      <c r="AP566" t="inlineStr">
        <is>
          <t>Magdeburg</t>
        </is>
      </c>
      <c r="AQ566" t="inlineStr">
        <is>
          <t>Christopher Schweinsteiger</t>
        </is>
      </c>
    </row>
    <row r="567">
      <c r="A567" t="inlineStr">
        <is>
          <t>10440</t>
        </is>
      </c>
      <c r="B567" t="inlineStr">
        <is>
          <t>B4305C</t>
        </is>
      </c>
      <c r="C567" t="inlineStr">
        <is>
          <t>https://app.matchical.com/Consulting/ConsultantDetail?ConsultantId=b3dea68a-4c57-4bc3-91f3-33cc7c3af8d2</t>
        </is>
      </c>
      <c r="D567" t="inlineStr">
        <is>
          <t>Tatiana Nadymova</t>
        </is>
      </c>
      <c r="E567" t="inlineStr">
        <is>
          <t>tatiana.nadymova@bridging-it.de</t>
        </is>
      </c>
      <c r="F567" s="2" t="n">
        <v>46054</v>
      </c>
      <c r="G567" s="2" t="n">
        <v>41671</v>
      </c>
      <c r="H567" t="n">
        <v>2</v>
      </c>
      <c r="I567" t="n">
        <v>0</v>
      </c>
      <c r="J567" t="n">
        <v>0</v>
      </c>
      <c r="L567" s="2" t="n">
        <v>44620</v>
      </c>
      <c r="M567" s="2" t="n">
        <v>46021</v>
      </c>
      <c r="N567" t="b">
        <v>1</v>
      </c>
      <c r="O567" t="n">
        <v>1</v>
      </c>
      <c r="P567" t="n">
        <v>0</v>
      </c>
      <c r="Q567" t="n">
        <v>0</v>
      </c>
      <c r="R567">
        <f>ROUND(O567-P567,2)</f>
        <v/>
      </c>
      <c r="S567">
        <f>ROUND(O567-Q567,2)</f>
        <v/>
      </c>
      <c r="T567" s="3">
        <f>IFERROR(P567/O567,"")</f>
        <v/>
      </c>
      <c r="U567" s="3">
        <f>IFERROR(Q567/O567,"")</f>
        <v/>
      </c>
      <c r="V567" t="n">
        <v>144</v>
      </c>
      <c r="W567" t="n">
        <v>82</v>
      </c>
      <c r="X567" t="n">
        <v>82</v>
      </c>
      <c r="Y567">
        <f>ROUND(V567-W567,2)</f>
        <v/>
      </c>
      <c r="Z567">
        <f>ROUND(V567-X567,2)</f>
        <v/>
      </c>
      <c r="AA567" s="3">
        <f>IFERROR(W567/V567,"")</f>
        <v/>
      </c>
      <c r="AB567" s="3">
        <f>IFERROR(X567/V567,"")</f>
        <v/>
      </c>
      <c r="AC567" t="b">
        <v>0</v>
      </c>
      <c r="AD567" t="b">
        <v>0</v>
      </c>
      <c r="AE567" t="b">
        <v>0</v>
      </c>
      <c r="AF567" t="inlineStr">
        <is>
          <t>Yes</t>
        </is>
      </c>
      <c r="AG567" s="2" t="n">
        <v>46054</v>
      </c>
      <c r="AI567" t="b">
        <v>1</v>
      </c>
      <c r="AJ567" t="n">
        <v>5</v>
      </c>
      <c r="AK567" t="inlineStr">
        <is>
          <t>Lead Fullstack Developer</t>
        </is>
      </c>
      <c r="AL567" t="inlineStr">
        <is>
          <t>IT - Information Technology (HH)</t>
        </is>
      </c>
      <c r="AM567" t="inlineStr">
        <is>
          <t>CRM I - Platform Solutions &amp; CRM (Fortunato D. D.)</t>
        </is>
      </c>
      <c r="AN567" t="inlineStr">
        <is>
          <t>BAA HH (Torben H.)</t>
        </is>
      </c>
      <c r="AO567" t="inlineStr">
        <is>
          <t>bridgingIT GmbH</t>
        </is>
      </c>
      <c r="AP567" t="inlineStr">
        <is>
          <t>Hamburg</t>
        </is>
      </c>
      <c r="AQ567" t="inlineStr">
        <is>
          <t>Fortunato Di Donato</t>
        </is>
      </c>
    </row>
    <row r="568">
      <c r="A568" t="inlineStr">
        <is>
          <t>1292</t>
        </is>
      </c>
      <c r="B568" t="inlineStr">
        <is>
          <t>6BC5E3</t>
        </is>
      </c>
      <c r="C568" t="inlineStr">
        <is>
          <t>https://app.matchical.com/Consulting/ConsultantDetail?ConsultantId=7f6f8716-cafe-4aff-92bc-260fb4d64c05</t>
        </is>
      </c>
      <c r="D568" t="inlineStr">
        <is>
          <t>Tatjana König</t>
        </is>
      </c>
      <c r="E568" t="inlineStr">
        <is>
          <t>tatjana.koenig@bridging-it.de</t>
        </is>
      </c>
      <c r="F568" s="2" t="n">
        <v>42186</v>
      </c>
      <c r="G568" s="2" t="n">
        <v>37742</v>
      </c>
      <c r="H568" t="n">
        <v>20</v>
      </c>
      <c r="I568" t="n">
        <v>0</v>
      </c>
      <c r="J568" t="n">
        <v>1</v>
      </c>
      <c r="K568" s="2" t="n">
        <v>45688</v>
      </c>
      <c r="L568" s="2" t="n">
        <v>45060</v>
      </c>
      <c r="M568" s="2" t="n">
        <v>45599</v>
      </c>
      <c r="N568" t="b">
        <v>0</v>
      </c>
      <c r="O568" t="n">
        <v>128</v>
      </c>
      <c r="P568" t="n">
        <v>148</v>
      </c>
      <c r="Q568" t="n">
        <v>81</v>
      </c>
      <c r="R568">
        <f>ROUND(O568-P568,2)</f>
        <v/>
      </c>
      <c r="S568">
        <f>ROUND(O568-Q568,2)</f>
        <v/>
      </c>
      <c r="T568" s="3">
        <f>IFERROR(P568/O568,"")</f>
        <v/>
      </c>
      <c r="U568" s="3">
        <f>IFERROR(Q568/O568,"")</f>
        <v/>
      </c>
      <c r="V568" t="n">
        <v>146</v>
      </c>
      <c r="W568" t="n">
        <v>135</v>
      </c>
      <c r="X568" t="n">
        <v>87</v>
      </c>
      <c r="Y568">
        <f>ROUND(V568-W568,2)</f>
        <v/>
      </c>
      <c r="Z568">
        <f>ROUND(V568-X568,2)</f>
        <v/>
      </c>
      <c r="AA568" s="3">
        <f>IFERROR(W568/V568,"")</f>
        <v/>
      </c>
      <c r="AB568" s="3">
        <f>IFERROR(X568/V568,"")</f>
        <v/>
      </c>
      <c r="AC568" t="b">
        <v>0</v>
      </c>
      <c r="AD568" t="b">
        <v>0</v>
      </c>
      <c r="AE568" t="b">
        <v>0</v>
      </c>
      <c r="AF568" t="inlineStr">
        <is>
          <t>Yes</t>
        </is>
      </c>
      <c r="AG568" s="2" t="n">
        <v>46113</v>
      </c>
      <c r="AI568" t="b">
        <v>1</v>
      </c>
      <c r="AJ568" t="n">
        <v>4</v>
      </c>
      <c r="AK568" t="inlineStr">
        <is>
          <t>At Link Digital, the withdrawal of 50Hertz from the overall program in mid-December has put the topic of test management on shaky ground. The account expects Tatjana to leave the project in April. Tatjana is highly experienced in the field of test and quality management, but also in (partial) project management, in the PMO, or in business analysis.</t>
        </is>
      </c>
      <c r="AL568" t="inlineStr">
        <is>
          <t>T&amp;A - Transformation &amp; Agility (Arne K.)</t>
        </is>
      </c>
      <c r="AM568" t="inlineStr">
        <is>
          <t>HPMI - Hybrid Project Mgmt &amp; Innovat. (Sascha W.)</t>
        </is>
      </c>
      <c r="AN568" t="inlineStr">
        <is>
          <t>A&amp;PM Agility &amp; Project Management (Jan H.)</t>
        </is>
      </c>
      <c r="AO568" t="inlineStr">
        <is>
          <t>bridgingIT GmbH</t>
        </is>
      </c>
      <c r="AP568" t="inlineStr">
        <is>
          <t>Mannheim</t>
        </is>
      </c>
      <c r="AQ568" t="inlineStr">
        <is>
          <t>Sascha Wacker</t>
        </is>
      </c>
    </row>
    <row r="569">
      <c r="A569" t="inlineStr">
        <is>
          <t>10471</t>
        </is>
      </c>
      <c r="B569" t="inlineStr">
        <is>
          <t>5165FA</t>
        </is>
      </c>
      <c r="C569" t="inlineStr">
        <is>
          <t>https://app.matchical.com/Consulting/ConsultantDetail?ConsultantId=d99bb071-d193-42b1-b2c5-ec7946762303</t>
        </is>
      </c>
      <c r="D569" t="inlineStr">
        <is>
          <t>Taylan Celebioglu</t>
        </is>
      </c>
      <c r="E569" t="inlineStr">
        <is>
          <t>taylan.celebioglu@bridging-it.de</t>
        </is>
      </c>
      <c r="F569" s="2" t="n">
        <v>46082</v>
      </c>
      <c r="H569" t="n">
        <v>4</v>
      </c>
      <c r="I569" t="n">
        <v>0</v>
      </c>
      <c r="J569" t="n">
        <v>0</v>
      </c>
      <c r="L569" s="2" t="n">
        <v>44469</v>
      </c>
      <c r="M569" s="2" t="n">
        <v>45715</v>
      </c>
      <c r="N569" t="b">
        <v>0</v>
      </c>
      <c r="O569" t="n">
        <v>0</v>
      </c>
      <c r="P569" t="n">
        <v>0</v>
      </c>
      <c r="Q569" t="n">
        <v>0</v>
      </c>
      <c r="R569">
        <f>ROUND(O569-P569,2)</f>
        <v/>
      </c>
      <c r="S569">
        <f>ROUND(O569-Q569,2)</f>
        <v/>
      </c>
      <c r="T569" s="3">
        <f>IFERROR(P569/O569,"")</f>
        <v/>
      </c>
      <c r="U569" s="3">
        <f>IFERROR(Q569/O569,"")</f>
        <v/>
      </c>
      <c r="V569" t="n">
        <v>1514</v>
      </c>
      <c r="W569" t="n">
        <v>101</v>
      </c>
      <c r="X569" t="n">
        <v>99</v>
      </c>
      <c r="Y569">
        <f>ROUND(V569-W569,2)</f>
        <v/>
      </c>
      <c r="Z569">
        <f>ROUND(V569-X569,2)</f>
        <v/>
      </c>
      <c r="AA569" s="3">
        <f>IFERROR(W569/V569,"")</f>
        <v/>
      </c>
      <c r="AB569" s="3">
        <f>IFERROR(X569/V569,"")</f>
        <v/>
      </c>
      <c r="AC569" t="b">
        <v>0</v>
      </c>
      <c r="AD569" t="b">
        <v>0</v>
      </c>
      <c r="AE569" t="b">
        <v>0</v>
      </c>
      <c r="AF569" t="inlineStr">
        <is>
          <t>Yes</t>
        </is>
      </c>
      <c r="AG569" s="2" t="n">
        <v>46082</v>
      </c>
      <c r="AI569" t="b">
        <v>1</v>
      </c>
      <c r="AJ569" t="n">
        <v>5</v>
      </c>
      <c r="AK569" t="inlineStr"/>
      <c r="AL569" t="inlineStr">
        <is>
          <t>IT - Information Technology (HH)</t>
        </is>
      </c>
      <c r="AM569" t="inlineStr">
        <is>
          <t>CRM I - Platform Solutions &amp; CRM (Fortunato D. D.)</t>
        </is>
      </c>
      <c r="AN569" t="inlineStr">
        <is>
          <t>BAA HH (Torben H.)</t>
        </is>
      </c>
      <c r="AO569" t="inlineStr">
        <is>
          <t>bridgingIT GmbH</t>
        </is>
      </c>
      <c r="AP569" t="inlineStr">
        <is>
          <t>Hamburg</t>
        </is>
      </c>
      <c r="AQ569" t="inlineStr">
        <is>
          <t>Fortunato Di Donato</t>
        </is>
      </c>
    </row>
    <row r="570">
      <c r="A570" t="inlineStr">
        <is>
          <t>10397</t>
        </is>
      </c>
      <c r="B570" t="inlineStr">
        <is>
          <t>0D3AC7</t>
        </is>
      </c>
      <c r="C570" t="inlineStr">
        <is>
          <t>https://app.matchical.com/Consulting/ConsultantDetail?ConsultantId=44f2c2ba-4af3-4f77-8419-42744715cf62</t>
        </is>
      </c>
      <c r="D570" t="inlineStr">
        <is>
          <t>Theresa Hintermayr</t>
        </is>
      </c>
      <c r="E570" t="inlineStr">
        <is>
          <t>theresa.hintermayr@bridging-it.de</t>
        </is>
      </c>
      <c r="F570" s="2" t="n">
        <v>45992</v>
      </c>
      <c r="G570" s="2" t="n">
        <v>44013</v>
      </c>
      <c r="H570" t="n">
        <v>4</v>
      </c>
      <c r="I570" t="n">
        <v>0</v>
      </c>
      <c r="J570" t="n">
        <v>0</v>
      </c>
      <c r="L570" s="2" t="n">
        <v>45747</v>
      </c>
      <c r="M570" s="2" t="n">
        <v>45990</v>
      </c>
      <c r="N570" t="b">
        <v>0</v>
      </c>
      <c r="O570" t="n">
        <v>3</v>
      </c>
      <c r="P570" t="n">
        <v>0.77</v>
      </c>
      <c r="Q570" t="n">
        <v>0.77</v>
      </c>
      <c r="R570">
        <f>ROUND(O570-P570,2)</f>
        <v/>
      </c>
      <c r="S570">
        <f>ROUND(O570-Q570,2)</f>
        <v/>
      </c>
      <c r="T570" s="3">
        <f>IFERROR(P570/O570,"")</f>
        <v/>
      </c>
      <c r="U570" s="3">
        <f>IFERROR(Q570/O570,"")</f>
        <v/>
      </c>
      <c r="V570" t="n">
        <v>65</v>
      </c>
      <c r="W570" t="n">
        <v>57</v>
      </c>
      <c r="X570" t="n">
        <v>56</v>
      </c>
      <c r="Y570">
        <f>ROUND(V570-W570,2)</f>
        <v/>
      </c>
      <c r="Z570">
        <f>ROUND(V570-X570,2)</f>
        <v/>
      </c>
      <c r="AA570" s="3">
        <f>IFERROR(W570/V570,"")</f>
        <v/>
      </c>
      <c r="AB570" s="3">
        <f>IFERROR(X570/V570,"")</f>
        <v/>
      </c>
      <c r="AC570" t="b">
        <v>0</v>
      </c>
      <c r="AD570" t="b">
        <v>0</v>
      </c>
      <c r="AE570" t="b">
        <v>0</v>
      </c>
      <c r="AF570" t="inlineStr">
        <is>
          <t>No</t>
        </is>
      </c>
      <c r="AI570" t="b">
        <v>1</v>
      </c>
      <c r="AJ570" t="n">
        <v>0</v>
      </c>
      <c r="AK570" t="inlineStr"/>
      <c r="AL570" t="inlineStr">
        <is>
          <t>ORG bIT Bayern</t>
        </is>
      </c>
      <c r="AM570" t="inlineStr">
        <is>
          <t>BAA Business Analysis &amp; Architecture (Viktor P.)</t>
        </is>
      </c>
      <c r="AN570" t="inlineStr">
        <is>
          <t>BPD Business Processes &amp; Data Engineering(Arne K.)</t>
        </is>
      </c>
      <c r="AO570" t="inlineStr">
        <is>
          <t>bridgingIT GmbH</t>
        </is>
      </c>
      <c r="AP570" t="inlineStr">
        <is>
          <t>München</t>
        </is>
      </c>
      <c r="AQ570" t="inlineStr">
        <is>
          <t>Viktor Poloczek</t>
        </is>
      </c>
    </row>
    <row r="571">
      <c r="A571" t="inlineStr">
        <is>
          <t>10254</t>
        </is>
      </c>
      <c r="B571" t="inlineStr">
        <is>
          <t>DE8D33</t>
        </is>
      </c>
      <c r="C571" t="inlineStr">
        <is>
          <t>https://app.matchical.com/Consulting/ConsultantDetail?ConsultantId=ac525561-5fb2-4a36-b602-e1cf4251cdf3</t>
        </is>
      </c>
      <c r="D571" t="inlineStr">
        <is>
          <t>Therese von Wulffen</t>
        </is>
      </c>
      <c r="E571" t="inlineStr">
        <is>
          <t>therese.von.wulffen@bridging-it.de</t>
        </is>
      </c>
      <c r="F571" s="2" t="n">
        <v>45323</v>
      </c>
      <c r="G571" s="2" t="n">
        <v>45323</v>
      </c>
      <c r="H571" t="n">
        <v>4</v>
      </c>
      <c r="I571" t="n">
        <v>0</v>
      </c>
      <c r="J571" t="n">
        <v>0</v>
      </c>
      <c r="L571" s="2" t="n">
        <v>45658</v>
      </c>
      <c r="M571" s="2" t="n">
        <v>46022</v>
      </c>
      <c r="N571" t="b">
        <v>0</v>
      </c>
      <c r="O571" t="n">
        <v>25</v>
      </c>
      <c r="P571" t="n">
        <v>35.86</v>
      </c>
      <c r="Q571" t="n">
        <v>24.77</v>
      </c>
      <c r="R571">
        <f>ROUND(O571-P571,2)</f>
        <v/>
      </c>
      <c r="S571">
        <f>ROUND(O571-Q571,2)</f>
        <v/>
      </c>
      <c r="T571" s="3">
        <f>IFERROR(P571/O571,"")</f>
        <v/>
      </c>
      <c r="U571" s="3">
        <f>IFERROR(Q571/O571,"")</f>
        <v/>
      </c>
      <c r="V571" t="n">
        <v>0</v>
      </c>
      <c r="W571" t="n">
        <v>0</v>
      </c>
      <c r="X571" t="n">
        <v>0</v>
      </c>
      <c r="Y571">
        <f>ROUND(V571-W571,2)</f>
        <v/>
      </c>
      <c r="Z571">
        <f>ROUND(V571-X571,2)</f>
        <v/>
      </c>
      <c r="AA571" s="3">
        <f>IFERROR(W571/V571,"")</f>
        <v/>
      </c>
      <c r="AB571" s="3">
        <f>IFERROR(X571/V571,"")</f>
        <v/>
      </c>
      <c r="AC571" t="b">
        <v>0</v>
      </c>
      <c r="AD571" t="b">
        <v>0</v>
      </c>
      <c r="AE571" t="b">
        <v>0</v>
      </c>
      <c r="AF571" t="inlineStr">
        <is>
          <t>Yes</t>
        </is>
      </c>
      <c r="AG571" s="2" t="n">
        <v>46113</v>
      </c>
      <c r="AI571" t="b">
        <v>1</v>
      </c>
      <c r="AJ571" t="n">
        <v>5</v>
      </c>
      <c r="AK571" t="inlineStr">
        <is>
          <t>Very good junior developer who will start consultant coaching in 2026. Experience in Spring Boot / Java / Kotlin / React / TypeScript.</t>
        </is>
      </c>
      <c r="AL571" t="inlineStr">
        <is>
          <t>A&amp;SE Analytics &amp; Software Engineering (Philip R.)</t>
        </is>
      </c>
      <c r="AM571" t="inlineStr">
        <is>
          <t>FA Fullstack Astronauts (Jochen K.)</t>
        </is>
      </c>
      <c r="AN571" t="inlineStr">
        <is>
          <t>FUN Fullstack Ninjas (Stefan Z.)</t>
        </is>
      </c>
      <c r="AO571" t="inlineStr">
        <is>
          <t>bridgingIT GmbH</t>
        </is>
      </c>
      <c r="AP571" t="inlineStr">
        <is>
          <t>Mannheim</t>
        </is>
      </c>
      <c r="AQ571" t="inlineStr">
        <is>
          <t>Jochen Kraushaar</t>
        </is>
      </c>
    </row>
    <row r="572">
      <c r="A572" t="inlineStr">
        <is>
          <t>4060</t>
        </is>
      </c>
      <c r="B572" t="inlineStr">
        <is>
          <t>A99DDD</t>
        </is>
      </c>
      <c r="C572" t="inlineStr">
        <is>
          <t>https://app.matchical.com/Consulting/ConsultantDetail?ConsultantId=a3901c28-4335-4436-b57e-e4b7615280b7</t>
        </is>
      </c>
      <c r="D572" t="inlineStr">
        <is>
          <t>Thomas Arand</t>
        </is>
      </c>
      <c r="E572" t="inlineStr">
        <is>
          <t>thomas.arand@bridging-it.de</t>
        </is>
      </c>
      <c r="F572" s="2" t="n">
        <v>42597</v>
      </c>
      <c r="G572" s="2" t="n">
        <v>33725</v>
      </c>
      <c r="H572" t="n">
        <v>14</v>
      </c>
      <c r="I572" t="n">
        <v>0</v>
      </c>
      <c r="J572" t="n">
        <v>1</v>
      </c>
      <c r="K572" s="2" t="n">
        <v>45291</v>
      </c>
      <c r="L572" s="2" t="n">
        <v>45748</v>
      </c>
      <c r="M572" s="2" t="n">
        <v>46021</v>
      </c>
      <c r="N572" t="b">
        <v>0</v>
      </c>
      <c r="O572" t="n">
        <v>114</v>
      </c>
      <c r="P572" t="n">
        <v>160</v>
      </c>
      <c r="Q572" t="n">
        <v>109</v>
      </c>
      <c r="R572">
        <f>ROUND(O572-P572,2)</f>
        <v/>
      </c>
      <c r="S572">
        <f>ROUND(O572-Q572,2)</f>
        <v/>
      </c>
      <c r="T572" s="3">
        <f>IFERROR(P572/O572,"")</f>
        <v/>
      </c>
      <c r="U572" s="3">
        <f>IFERROR(Q572/O572,"")</f>
        <v/>
      </c>
      <c r="V572" t="n">
        <v>291</v>
      </c>
      <c r="W572" t="n">
        <v>295</v>
      </c>
      <c r="X572" t="n">
        <v>290</v>
      </c>
      <c r="Y572">
        <f>ROUND(V572-W572,2)</f>
        <v/>
      </c>
      <c r="Z572">
        <f>ROUND(V572-X572,2)</f>
        <v/>
      </c>
      <c r="AA572" s="3">
        <f>IFERROR(W572/V572,"")</f>
        <v/>
      </c>
      <c r="AB572" s="3">
        <f>IFERROR(X572/V572,"")</f>
        <v/>
      </c>
      <c r="AC572" t="b">
        <v>0</v>
      </c>
      <c r="AD572" t="b">
        <v>0</v>
      </c>
      <c r="AE572" t="b">
        <v>0</v>
      </c>
      <c r="AF572" t="inlineStr">
        <is>
          <t>Yes</t>
        </is>
      </c>
      <c r="AG572" s="2" t="n">
        <v>46023</v>
      </c>
      <c r="AI572" t="b">
        <v>0</v>
      </c>
      <c r="AJ572" t="n">
        <v>5</v>
      </c>
      <c r="AK572" t="inlineStr"/>
      <c r="AL572" t="inlineStr">
        <is>
          <t>ORG bIT Bayern</t>
        </is>
      </c>
      <c r="AM572" t="inlineStr">
        <is>
          <t>SEI Software Engineering I (Martin K.)</t>
        </is>
      </c>
      <c r="AN572" t="inlineStr">
        <is>
          <t>SEC Software Engineering &amp; Cloud (Eli G.)</t>
        </is>
      </c>
      <c r="AO572" t="inlineStr">
        <is>
          <t>bridgingIT GmbH</t>
        </is>
      </c>
      <c r="AP572" t="inlineStr">
        <is>
          <t>München</t>
        </is>
      </c>
      <c r="AQ572" t="inlineStr">
        <is>
          <t>Martin Kuck</t>
        </is>
      </c>
    </row>
    <row r="573">
      <c r="A573" t="inlineStr">
        <is>
          <t>1093</t>
        </is>
      </c>
      <c r="B573" t="inlineStr">
        <is>
          <t>723922</t>
        </is>
      </c>
      <c r="C573" t="inlineStr">
        <is>
          <t>https://app.matchical.com/Consulting/ConsultantDetail?ConsultantId=eb5e1c06-4d0e-4bab-9d34-f251791aa1fe</t>
        </is>
      </c>
      <c r="D573" t="inlineStr">
        <is>
          <t>Thomas Arens</t>
        </is>
      </c>
      <c r="E573" t="inlineStr">
        <is>
          <t>thomas.arens@bridging-it.de</t>
        </is>
      </c>
      <c r="F573" s="2" t="n">
        <v>39753</v>
      </c>
      <c r="G573" s="2" t="n">
        <v>36526</v>
      </c>
      <c r="H573" t="n">
        <v>15</v>
      </c>
      <c r="I573" t="n">
        <v>0</v>
      </c>
      <c r="J573" t="n">
        <v>0</v>
      </c>
      <c r="L573" s="2" t="n">
        <v>43831</v>
      </c>
      <c r="M573" s="2" t="n">
        <v>45290</v>
      </c>
      <c r="N573" t="b">
        <v>0</v>
      </c>
      <c r="O573" t="n">
        <v>208</v>
      </c>
      <c r="P573" t="n">
        <v>188</v>
      </c>
      <c r="Q573" t="n">
        <v>116</v>
      </c>
      <c r="R573">
        <f>ROUND(O573-P573,2)</f>
        <v/>
      </c>
      <c r="S573">
        <f>ROUND(O573-Q573,2)</f>
        <v/>
      </c>
      <c r="T573" s="3">
        <f>IFERROR(P573/O573,"")</f>
        <v/>
      </c>
      <c r="U573" s="3">
        <f>IFERROR(Q573/O573,"")</f>
        <v/>
      </c>
      <c r="V573" t="n">
        <v>106</v>
      </c>
      <c r="W573" t="n">
        <v>0</v>
      </c>
      <c r="X573" t="n">
        <v>0</v>
      </c>
      <c r="Y573">
        <f>ROUND(V573-W573,2)</f>
        <v/>
      </c>
      <c r="Z573">
        <f>ROUND(V573-X573,2)</f>
        <v/>
      </c>
      <c r="AA573" s="3">
        <f>IFERROR(W573/V573,"")</f>
        <v/>
      </c>
      <c r="AB573" s="3">
        <f>IFERROR(X573/V573,"")</f>
        <v/>
      </c>
      <c r="AC573" t="b">
        <v>0</v>
      </c>
      <c r="AD573" t="b">
        <v>0</v>
      </c>
      <c r="AE573" t="b">
        <v>0</v>
      </c>
      <c r="AF573" t="inlineStr">
        <is>
          <t>No</t>
        </is>
      </c>
      <c r="AI573" t="b">
        <v>0</v>
      </c>
      <c r="AJ573" t="n">
        <v>0</v>
      </c>
      <c r="AK573" t="inlineStr"/>
      <c r="AL573" t="inlineStr">
        <is>
          <t>Geschäftsleitung und Support</t>
        </is>
      </c>
      <c r="AM573" t="inlineStr">
        <is>
          <t>Thomas Arens</t>
        </is>
      </c>
      <c r="AN573" t="inlineStr">
        <is>
          <t>Frank Wallner</t>
        </is>
      </c>
      <c r="AO573" t="inlineStr">
        <is>
          <t>bridgingIT GmbH</t>
        </is>
      </c>
      <c r="AP573" t="inlineStr">
        <is>
          <t>Mannheim</t>
        </is>
      </c>
      <c r="AQ573" t="inlineStr">
        <is>
          <t>Frank Wallner</t>
        </is>
      </c>
    </row>
    <row r="574">
      <c r="A574" t="inlineStr">
        <is>
          <t>8834</t>
        </is>
      </c>
      <c r="B574" t="inlineStr">
        <is>
          <t>86CD11</t>
        </is>
      </c>
      <c r="C574" t="inlineStr">
        <is>
          <t>https://app.matchical.com/Consulting/ConsultantDetail?ConsultantId=494617d9-1281-45fa-97e1-0138faadf737</t>
        </is>
      </c>
      <c r="D574" t="inlineStr">
        <is>
          <t>Thomas Hutter</t>
        </is>
      </c>
      <c r="E574" t="inlineStr">
        <is>
          <t>thomas.hutter@bridging-it.de</t>
        </is>
      </c>
      <c r="F574" s="2" t="n">
        <v>44835</v>
      </c>
      <c r="G574" s="2" t="n">
        <v>35309</v>
      </c>
      <c r="H574" t="n">
        <v>10</v>
      </c>
      <c r="I574" t="n">
        <v>0</v>
      </c>
      <c r="J574" t="n">
        <v>1</v>
      </c>
      <c r="K574" s="2" t="n">
        <v>45351</v>
      </c>
      <c r="L574" s="2" t="n">
        <v>45852</v>
      </c>
      <c r="M574" s="2" t="n">
        <v>46022</v>
      </c>
      <c r="N574" t="b">
        <v>0</v>
      </c>
      <c r="O574" t="n">
        <v>41</v>
      </c>
      <c r="P574" t="n">
        <v>52.78</v>
      </c>
      <c r="Q574" t="n">
        <v>34.89</v>
      </c>
      <c r="R574">
        <f>ROUND(O574-P574,2)</f>
        <v/>
      </c>
      <c r="S574">
        <f>ROUND(O574-Q574,2)</f>
        <v/>
      </c>
      <c r="T574" s="3">
        <f>IFERROR(P574/O574,"")</f>
        <v/>
      </c>
      <c r="U574" s="3">
        <f>IFERROR(Q574/O574,"")</f>
        <v/>
      </c>
      <c r="V574" t="n">
        <v>313</v>
      </c>
      <c r="W574" t="n">
        <v>64</v>
      </c>
      <c r="X574" t="n">
        <v>53</v>
      </c>
      <c r="Y574">
        <f>ROUND(V574-W574,2)</f>
        <v/>
      </c>
      <c r="Z574">
        <f>ROUND(V574-X574,2)</f>
        <v/>
      </c>
      <c r="AA574" s="3">
        <f>IFERROR(W574/V574,"")</f>
        <v/>
      </c>
      <c r="AB574" s="3">
        <f>IFERROR(X574/V574,"")</f>
        <v/>
      </c>
      <c r="AC574" t="b">
        <v>0</v>
      </c>
      <c r="AD574" t="b">
        <v>0</v>
      </c>
      <c r="AE574" t="b">
        <v>0</v>
      </c>
      <c r="AF574" t="inlineStr">
        <is>
          <t>No</t>
        </is>
      </c>
      <c r="AI574" t="b">
        <v>1</v>
      </c>
      <c r="AJ574" t="n">
        <v>0</v>
      </c>
      <c r="AK574" t="inlineStr"/>
      <c r="AL574" t="inlineStr">
        <is>
          <t>ORG bIT</t>
        </is>
      </c>
      <c r="AM574" t="inlineStr">
        <is>
          <t>A&amp;PM Agility &amp; Project Management (Lutz K.)</t>
        </is>
      </c>
      <c r="AN574" t="inlineStr">
        <is>
          <t>TH Transformation Hub BLN (Ulrich W.)</t>
        </is>
      </c>
      <c r="AO574" t="inlineStr">
        <is>
          <t>bridgingIT GmbH</t>
        </is>
      </c>
      <c r="AP574" t="inlineStr">
        <is>
          <t>Berlin</t>
        </is>
      </c>
      <c r="AQ574" t="inlineStr">
        <is>
          <t>Lutz Kempf</t>
        </is>
      </c>
    </row>
    <row r="575">
      <c r="A575" t="inlineStr">
        <is>
          <t>2024</t>
        </is>
      </c>
      <c r="B575" t="inlineStr">
        <is>
          <t>578F13</t>
        </is>
      </c>
      <c r="C575" t="inlineStr">
        <is>
          <t>https://app.matchical.com/Consulting/ConsultantDetail?ConsultantId=d79f568d-de30-45c8-b800-1b0fe8c929ee</t>
        </is>
      </c>
      <c r="D575" t="inlineStr">
        <is>
          <t>Thomas Kiri</t>
        </is>
      </c>
      <c r="E575" t="inlineStr">
        <is>
          <t>thomas.kiri@bridging-it.de</t>
        </is>
      </c>
      <c r="F575" s="2" t="n">
        <v>40513</v>
      </c>
      <c r="G575" s="2" t="n">
        <v>33909</v>
      </c>
      <c r="H575" t="n">
        <v>36</v>
      </c>
      <c r="I575" t="n">
        <v>0</v>
      </c>
      <c r="J575" t="n">
        <v>0</v>
      </c>
      <c r="L575" s="2" t="n">
        <v>45261</v>
      </c>
      <c r="M575" s="2" t="n">
        <v>45443</v>
      </c>
      <c r="N575" t="b">
        <v>0</v>
      </c>
      <c r="O575" t="n">
        <v>183</v>
      </c>
      <c r="P575" t="n">
        <v>269.22</v>
      </c>
      <c r="Q575" t="n">
        <v>159.58</v>
      </c>
      <c r="R575">
        <f>ROUND(O575-P575,2)</f>
        <v/>
      </c>
      <c r="S575">
        <f>ROUND(O575-Q575,2)</f>
        <v/>
      </c>
      <c r="T575" s="3">
        <f>IFERROR(P575/O575,"")</f>
        <v/>
      </c>
      <c r="U575" s="3">
        <f>IFERROR(Q575/O575,"")</f>
        <v/>
      </c>
      <c r="V575" t="n">
        <v>217</v>
      </c>
      <c r="W575" t="n">
        <v>249.78</v>
      </c>
      <c r="X575" t="n">
        <v>158.42</v>
      </c>
      <c r="Y575">
        <f>ROUND(V575-W575,2)</f>
        <v/>
      </c>
      <c r="Z575">
        <f>ROUND(V575-X575,2)</f>
        <v/>
      </c>
      <c r="AA575" s="3">
        <f>IFERROR(W575/V575,"")</f>
        <v/>
      </c>
      <c r="AB575" s="3">
        <f>IFERROR(X575/V575,"")</f>
        <v/>
      </c>
      <c r="AC575" t="b">
        <v>0</v>
      </c>
      <c r="AD575" t="b">
        <v>0</v>
      </c>
      <c r="AE575" t="b">
        <v>0</v>
      </c>
      <c r="AF575" t="inlineStr">
        <is>
          <t>No</t>
        </is>
      </c>
      <c r="AI575" t="b">
        <v>0</v>
      </c>
      <c r="AJ575" t="n">
        <v>0</v>
      </c>
      <c r="AK575" t="inlineStr"/>
      <c r="AL575" t="inlineStr">
        <is>
          <t>ES Enterprise Solutions (Gina H.)</t>
        </is>
      </c>
      <c r="AM575" t="inlineStr">
        <is>
          <t>PE Platform Engineering (Thomas K.)</t>
        </is>
      </c>
      <c r="AN575" t="inlineStr">
        <is>
          <t>PA Platform &amp; Application Solutions (Thomas K.)</t>
        </is>
      </c>
      <c r="AO575" t="inlineStr">
        <is>
          <t>bridgingIT GmbH</t>
        </is>
      </c>
      <c r="AP575" t="inlineStr">
        <is>
          <t>Stuttgart</t>
        </is>
      </c>
      <c r="AQ575" t="inlineStr">
        <is>
          <t>Gina Hallerberg</t>
        </is>
      </c>
    </row>
    <row r="576">
      <c r="A576" t="inlineStr">
        <is>
          <t>2041</t>
        </is>
      </c>
      <c r="B576" t="inlineStr">
        <is>
          <t>DEB8D9</t>
        </is>
      </c>
      <c r="C576" t="inlineStr">
        <is>
          <t>https://app.matchical.com/Consulting/ConsultantDetail?ConsultantId=63a55560-728e-46b3-be5b-499310ad2353</t>
        </is>
      </c>
      <c r="D576" t="inlineStr">
        <is>
          <t>Thomas Kopp</t>
        </is>
      </c>
      <c r="E576" t="inlineStr">
        <is>
          <t>thomas.kopp@bridging-it.de</t>
        </is>
      </c>
      <c r="F576" s="2" t="n">
        <v>41000</v>
      </c>
      <c r="G576" s="2" t="n">
        <v>38899</v>
      </c>
      <c r="H576" t="n">
        <v>18</v>
      </c>
      <c r="I576" t="n">
        <v>0</v>
      </c>
      <c r="J576" t="n">
        <v>1</v>
      </c>
      <c r="K576" s="2" t="n">
        <v>45107</v>
      </c>
      <c r="L576" s="2" t="n">
        <v>44866</v>
      </c>
      <c r="M576" s="2" t="n">
        <v>45656</v>
      </c>
      <c r="N576" t="b">
        <v>0</v>
      </c>
      <c r="O576" t="n">
        <v>167</v>
      </c>
      <c r="P576" t="n">
        <v>223</v>
      </c>
      <c r="Q576" t="n">
        <v>162</v>
      </c>
      <c r="R576">
        <f>ROUND(O576-P576,2)</f>
        <v/>
      </c>
      <c r="S576">
        <f>ROUND(O576-Q576,2)</f>
        <v/>
      </c>
      <c r="T576" s="3">
        <f>IFERROR(P576/O576,"")</f>
        <v/>
      </c>
      <c r="U576" s="3">
        <f>IFERROR(Q576/O576,"")</f>
        <v/>
      </c>
      <c r="V576" t="n">
        <v>69</v>
      </c>
      <c r="W576" t="n">
        <v>78</v>
      </c>
      <c r="X576" t="n">
        <v>66</v>
      </c>
      <c r="Y576">
        <f>ROUND(V576-W576,2)</f>
        <v/>
      </c>
      <c r="Z576">
        <f>ROUND(V576-X576,2)</f>
        <v/>
      </c>
      <c r="AA576" s="3">
        <f>IFERROR(W576/V576,"")</f>
        <v/>
      </c>
      <c r="AB576" s="3">
        <f>IFERROR(X576/V576,"")</f>
        <v/>
      </c>
      <c r="AC576" t="b">
        <v>0</v>
      </c>
      <c r="AD576" t="b">
        <v>0</v>
      </c>
      <c r="AE576" t="b">
        <v>0</v>
      </c>
      <c r="AF576" t="inlineStr">
        <is>
          <t>No</t>
        </is>
      </c>
      <c r="AI576" t="b">
        <v>0</v>
      </c>
      <c r="AJ576" t="n">
        <v>0</v>
      </c>
      <c r="AK576" t="inlineStr"/>
      <c r="AL576" t="inlineStr">
        <is>
          <t>ES Enterprise Solutions (Gina H.)</t>
        </is>
      </c>
      <c r="AM576" t="inlineStr">
        <is>
          <t>IEJ Java II (Thomas K.)</t>
        </is>
      </c>
      <c r="AN576" t="inlineStr">
        <is>
          <t>IEJ Individualentwicklung JAVA (Dominik S.)</t>
        </is>
      </c>
      <c r="AO576" t="inlineStr">
        <is>
          <t>bridgingIT GmbH</t>
        </is>
      </c>
      <c r="AP576" t="inlineStr">
        <is>
          <t>Stuttgart</t>
        </is>
      </c>
      <c r="AQ576" t="inlineStr">
        <is>
          <t>Dominik Schadow</t>
        </is>
      </c>
    </row>
    <row r="577">
      <c r="A577" t="inlineStr">
        <is>
          <t>9588</t>
        </is>
      </c>
      <c r="B577" t="inlineStr">
        <is>
          <t>492CFD</t>
        </is>
      </c>
      <c r="C577" t="inlineStr">
        <is>
          <t>https://app.matchical.com/Consulting/ConsultantDetail?ConsultantId=5bb95c95-18af-41c8-b7a9-7db108c57de3</t>
        </is>
      </c>
      <c r="D577" t="inlineStr">
        <is>
          <t>Thomas Reimann bL</t>
        </is>
      </c>
      <c r="E577" t="inlineStr">
        <is>
          <t>Thomas.Reimann@leistungen.de</t>
        </is>
      </c>
      <c r="F577" s="2" t="n">
        <v>43405</v>
      </c>
      <c r="H577" t="n">
        <v>0</v>
      </c>
      <c r="I577" t="n">
        <v>0</v>
      </c>
      <c r="J577" t="n">
        <v>0</v>
      </c>
      <c r="N577" t="b">
        <v>1</v>
      </c>
      <c r="O577" t="n">
        <v>88</v>
      </c>
      <c r="P577" t="n">
        <v>0</v>
      </c>
      <c r="Q577" t="n">
        <v>0</v>
      </c>
      <c r="R577">
        <f>ROUND(O577-P577,2)</f>
        <v/>
      </c>
      <c r="S577">
        <f>ROUND(O577-Q577,2)</f>
        <v/>
      </c>
      <c r="T577" s="3">
        <f>IFERROR(P577/O577,"")</f>
        <v/>
      </c>
      <c r="U577" s="3">
        <f>IFERROR(Q577/O577,"")</f>
        <v/>
      </c>
      <c r="V577" t="n">
        <v>1426</v>
      </c>
      <c r="W577" t="n">
        <v>0</v>
      </c>
      <c r="X577" t="n">
        <v>0</v>
      </c>
      <c r="Y577">
        <f>ROUND(V577-W577,2)</f>
        <v/>
      </c>
      <c r="Z577">
        <f>ROUND(V577-X577,2)</f>
        <v/>
      </c>
      <c r="AA577" s="3">
        <f>IFERROR(W577/V577,"")</f>
        <v/>
      </c>
      <c r="AB577" s="3">
        <f>IFERROR(X577/V577,"")</f>
        <v/>
      </c>
      <c r="AC577" t="b">
        <v>0</v>
      </c>
      <c r="AD577" t="b">
        <v>0</v>
      </c>
      <c r="AE577" t="b">
        <v>0</v>
      </c>
      <c r="AF577" t="inlineStr">
        <is>
          <t>No</t>
        </is>
      </c>
      <c r="AI577" t="b">
        <v>1</v>
      </c>
      <c r="AJ577" t="n">
        <v>0</v>
      </c>
      <c r="AK577" t="inlineStr"/>
      <c r="AL577" t="inlineStr">
        <is>
          <t>Geschäftsleitung und Support</t>
        </is>
      </c>
      <c r="AM577" t="inlineStr">
        <is>
          <t>Support Externe Partner</t>
        </is>
      </c>
      <c r="AN577" t="inlineStr">
        <is>
          <t>Frank Wallner</t>
        </is>
      </c>
      <c r="AO577" t="inlineStr">
        <is>
          <t>bridgingIT GmbH</t>
        </is>
      </c>
      <c r="AP577" t="inlineStr">
        <is>
          <t>Mannheim</t>
        </is>
      </c>
      <c r="AQ577" t="inlineStr">
        <is>
          <t>Nina Beckenbach</t>
        </is>
      </c>
    </row>
    <row r="578">
      <c r="A578" t="inlineStr">
        <is>
          <t>2135</t>
        </is>
      </c>
      <c r="B578" t="inlineStr">
        <is>
          <t>DB1F1E</t>
        </is>
      </c>
      <c r="C578" t="inlineStr">
        <is>
          <t>https://app.matchical.com/Consulting/ConsultantDetail?ConsultantId=3b752285-3569-438e-98ac-068b94a55274</t>
        </is>
      </c>
      <c r="D578" t="inlineStr">
        <is>
          <t>Thomas Sprauer</t>
        </is>
      </c>
      <c r="E578" t="inlineStr">
        <is>
          <t>thomas.sprauer@bridging-it.de</t>
        </is>
      </c>
      <c r="F578" s="2" t="n">
        <v>42401</v>
      </c>
      <c r="G578" s="2" t="n">
        <v>33420</v>
      </c>
      <c r="H578" t="n">
        <v>29</v>
      </c>
      <c r="I578" t="n">
        <v>0</v>
      </c>
      <c r="J578" t="n">
        <v>4</v>
      </c>
      <c r="K578" s="2" t="n">
        <v>44074</v>
      </c>
      <c r="L578" s="2" t="n">
        <v>45138</v>
      </c>
      <c r="M578" s="2" t="n">
        <v>45746</v>
      </c>
      <c r="N578" t="b">
        <v>0</v>
      </c>
      <c r="O578" t="n">
        <v>121</v>
      </c>
      <c r="P578" t="n">
        <v>331</v>
      </c>
      <c r="Q578" t="n">
        <v>120.77</v>
      </c>
      <c r="R578">
        <f>ROUND(O578-P578,2)</f>
        <v/>
      </c>
      <c r="S578">
        <f>ROUND(O578-Q578,2)</f>
        <v/>
      </c>
      <c r="T578" s="3">
        <f>IFERROR(P578/O578,"")</f>
        <v/>
      </c>
      <c r="U578" s="3">
        <f>IFERROR(Q578/O578,"")</f>
        <v/>
      </c>
      <c r="V578" t="n">
        <v>295</v>
      </c>
      <c r="W578" t="n">
        <v>313</v>
      </c>
      <c r="X578" t="n">
        <v>280</v>
      </c>
      <c r="Y578">
        <f>ROUND(V578-W578,2)</f>
        <v/>
      </c>
      <c r="Z578">
        <f>ROUND(V578-X578,2)</f>
        <v/>
      </c>
      <c r="AA578" s="3">
        <f>IFERROR(W578/V578,"")</f>
        <v/>
      </c>
      <c r="AB578" s="3">
        <f>IFERROR(X578/V578,"")</f>
        <v/>
      </c>
      <c r="AC578" t="b">
        <v>0</v>
      </c>
      <c r="AD578" t="b">
        <v>0</v>
      </c>
      <c r="AE578" t="b">
        <v>0</v>
      </c>
      <c r="AF578" t="inlineStr">
        <is>
          <t>No</t>
        </is>
      </c>
      <c r="AI578" t="b">
        <v>1</v>
      </c>
      <c r="AJ578" t="n">
        <v>0</v>
      </c>
      <c r="AK578" t="inlineStr">
        <is>
          <t>Thomas has a broad background as a Business Analyst and in the area of process digitization.
He is also experienced in the field of project management.</t>
        </is>
      </c>
      <c r="AL578" t="inlineStr">
        <is>
          <t>DO Digital Organizations (Michael H.)</t>
        </is>
      </c>
      <c r="AM578" t="inlineStr">
        <is>
          <t>PD Process Digitalization (Hermann L.)</t>
        </is>
      </c>
      <c r="AN578" t="inlineStr">
        <is>
          <t>DP Digital Processes (Hermann L.)</t>
        </is>
      </c>
      <c r="AO578" t="inlineStr">
        <is>
          <t>bridgingIT GmbH</t>
        </is>
      </c>
      <c r="AP578" t="inlineStr">
        <is>
          <t>Stuttgart</t>
        </is>
      </c>
      <c r="AQ578" t="inlineStr">
        <is>
          <t>Hermann Löh</t>
        </is>
      </c>
    </row>
    <row r="579">
      <c r="A579" t="inlineStr">
        <is>
          <t>3021</t>
        </is>
      </c>
      <c r="B579" t="inlineStr">
        <is>
          <t>75E0D4</t>
        </is>
      </c>
      <c r="C579" t="inlineStr">
        <is>
          <t>https://app.matchical.com/Consulting/ConsultantDetail?ConsultantId=fb369a92-3d4b-450a-9ff8-7765089e2e45</t>
        </is>
      </c>
      <c r="D579" t="inlineStr">
        <is>
          <t>Thomas Storch</t>
        </is>
      </c>
      <c r="E579" t="inlineStr">
        <is>
          <t>thomas.storch@bridging-it.de</t>
        </is>
      </c>
      <c r="F579" s="2" t="n">
        <v>40118</v>
      </c>
      <c r="G579" s="2" t="n">
        <v>40118</v>
      </c>
      <c r="H579" t="n">
        <v>14</v>
      </c>
      <c r="I579" t="n">
        <v>0</v>
      </c>
      <c r="J579" t="n">
        <v>2</v>
      </c>
      <c r="K579" s="2" t="n">
        <v>44012</v>
      </c>
      <c r="L579" s="2" t="n">
        <v>44970</v>
      </c>
      <c r="M579" s="2" t="n">
        <v>45290</v>
      </c>
      <c r="N579" t="b">
        <v>0</v>
      </c>
      <c r="O579" t="n">
        <v>196</v>
      </c>
      <c r="P579" t="n">
        <v>249</v>
      </c>
      <c r="Q579" t="n">
        <v>190</v>
      </c>
      <c r="R579">
        <f>ROUND(O579-P579,2)</f>
        <v/>
      </c>
      <c r="S579">
        <f>ROUND(O579-Q579,2)</f>
        <v/>
      </c>
      <c r="T579" s="3">
        <f>IFERROR(P579/O579,"")</f>
        <v/>
      </c>
      <c r="U579" s="3">
        <f>IFERROR(Q579/O579,"")</f>
        <v/>
      </c>
      <c r="V579" t="n">
        <v>0</v>
      </c>
      <c r="W579" t="n">
        <v>0</v>
      </c>
      <c r="X579" t="n">
        <v>0</v>
      </c>
      <c r="Y579">
        <f>ROUND(V579-W579,2)</f>
        <v/>
      </c>
      <c r="Z579">
        <f>ROUND(V579-X579,2)</f>
        <v/>
      </c>
      <c r="AA579" s="3">
        <f>IFERROR(W579/V579,"")</f>
        <v/>
      </c>
      <c r="AB579" s="3">
        <f>IFERROR(X579/V579,"")</f>
        <v/>
      </c>
      <c r="AC579" t="b">
        <v>0</v>
      </c>
      <c r="AD579" t="b">
        <v>0</v>
      </c>
      <c r="AE579" t="b">
        <v>0</v>
      </c>
      <c r="AF579" t="inlineStr">
        <is>
          <t>No</t>
        </is>
      </c>
      <c r="AI579" t="b">
        <v>0</v>
      </c>
      <c r="AJ579" t="n">
        <v>0</v>
      </c>
      <c r="AK579" t="inlineStr">
        <is>
          <t>Project management and service management with a technical focus on cloud technologies.</t>
        </is>
      </c>
      <c r="AL579" t="inlineStr">
        <is>
          <t>ORG bIT</t>
        </is>
      </c>
      <c r="AM579" t="inlineStr">
        <is>
          <t>CS Cloud Solutions (Timm B.)</t>
        </is>
      </c>
      <c r="AN579" t="inlineStr">
        <is>
          <t>MIT Management of IT (Torsten R.)</t>
        </is>
      </c>
      <c r="AO579" t="inlineStr">
        <is>
          <t>bridgingIT GmbH</t>
        </is>
      </c>
      <c r="AP579" t="inlineStr">
        <is>
          <t>Frankfurt</t>
        </is>
      </c>
      <c r="AQ579" t="inlineStr">
        <is>
          <t>Timm Bremus</t>
        </is>
      </c>
    </row>
    <row r="580">
      <c r="A580" t="inlineStr">
        <is>
          <t>10441</t>
        </is>
      </c>
      <c r="B580" t="inlineStr">
        <is>
          <t>BE5DC5</t>
        </is>
      </c>
      <c r="C580" t="inlineStr">
        <is>
          <t>https://app.matchical.com/Consulting/ConsultantDetail?ConsultantId=6af701a8-d16a-454c-bf11-56bd8b814a92</t>
        </is>
      </c>
      <c r="D580" t="inlineStr">
        <is>
          <t>Thorbjorn Andersen</t>
        </is>
      </c>
      <c r="E580" t="inlineStr">
        <is>
          <t>thorbjorn.andersen@bridging-it.de</t>
        </is>
      </c>
      <c r="F580" s="2" t="n">
        <v>46082</v>
      </c>
      <c r="H580" t="n">
        <v>3</v>
      </c>
      <c r="I580" t="n">
        <v>0</v>
      </c>
      <c r="J580" t="n">
        <v>0</v>
      </c>
      <c r="L580" s="2" t="n">
        <v>45382</v>
      </c>
      <c r="M580" s="2" t="n">
        <v>46052</v>
      </c>
      <c r="N580" t="b">
        <v>0</v>
      </c>
      <c r="O580" t="n">
        <v>0</v>
      </c>
      <c r="P580" t="n">
        <v>0</v>
      </c>
      <c r="Q580" t="n">
        <v>0</v>
      </c>
      <c r="R580">
        <f>ROUND(O580-P580,2)</f>
        <v/>
      </c>
      <c r="S580">
        <f>ROUND(O580-Q580,2)</f>
        <v/>
      </c>
      <c r="T580" s="3">
        <f>IFERROR(P580/O580,"")</f>
        <v/>
      </c>
      <c r="U580" s="3">
        <f>IFERROR(Q580/O580,"")</f>
        <v/>
      </c>
      <c r="V580" t="n">
        <v>1514</v>
      </c>
      <c r="W580" t="n">
        <v>97</v>
      </c>
      <c r="X580" t="n">
        <v>97</v>
      </c>
      <c r="Y580">
        <f>ROUND(V580-W580,2)</f>
        <v/>
      </c>
      <c r="Z580">
        <f>ROUND(V580-X580,2)</f>
        <v/>
      </c>
      <c r="AA580" s="3">
        <f>IFERROR(W580/V580,"")</f>
        <v/>
      </c>
      <c r="AB580" s="3">
        <f>IFERROR(X580/V580,"")</f>
        <v/>
      </c>
      <c r="AC580" t="b">
        <v>0</v>
      </c>
      <c r="AD580" t="b">
        <v>0</v>
      </c>
      <c r="AE580" t="b">
        <v>0</v>
      </c>
      <c r="AF580" t="inlineStr">
        <is>
          <t>No</t>
        </is>
      </c>
      <c r="AI580" t="b">
        <v>1</v>
      </c>
      <c r="AJ580" t="n">
        <v>0</v>
      </c>
      <c r="AK580" t="inlineStr"/>
      <c r="AL580" t="inlineStr">
        <is>
          <t>IT - Information Technology (HH)</t>
        </is>
      </c>
      <c r="AM580" t="inlineStr">
        <is>
          <t>BA - Business Applications (Hamed S.)</t>
        </is>
      </c>
      <c r="AN580" t="inlineStr">
        <is>
          <t>BAA HH (Torben H.)</t>
        </is>
      </c>
      <c r="AO580" t="inlineStr">
        <is>
          <t>bridgingIT GmbH</t>
        </is>
      </c>
      <c r="AP580" t="inlineStr">
        <is>
          <t>Hamburg</t>
        </is>
      </c>
      <c r="AQ580" t="inlineStr">
        <is>
          <t>Markus Stefan</t>
        </is>
      </c>
    </row>
    <row r="581">
      <c r="A581" t="inlineStr">
        <is>
          <t>1255</t>
        </is>
      </c>
      <c r="B581" t="inlineStr">
        <is>
          <t>BD8963</t>
        </is>
      </c>
      <c r="C581" t="inlineStr">
        <is>
          <t>https://app.matchical.com/Consulting/ConsultantDetail?ConsultantId=7d197b97-2476-41bb-9a21-6508ca714eaa</t>
        </is>
      </c>
      <c r="D581" t="inlineStr">
        <is>
          <t>Thorsten Peter</t>
        </is>
      </c>
      <c r="E581" t="inlineStr">
        <is>
          <t>thorsten.peter@bridging-it.de</t>
        </is>
      </c>
      <c r="F581" s="2" t="n">
        <v>41730</v>
      </c>
      <c r="G581" s="2" t="n">
        <v>37165</v>
      </c>
      <c r="H581" t="n">
        <v>28</v>
      </c>
      <c r="I581" t="n">
        <v>0</v>
      </c>
      <c r="J581" t="n">
        <v>3</v>
      </c>
      <c r="K581" s="2" t="n">
        <v>41700</v>
      </c>
      <c r="L581" s="2" t="n">
        <v>41730</v>
      </c>
      <c r="M581" s="2" t="n">
        <v>44438</v>
      </c>
      <c r="N581" t="b">
        <v>0</v>
      </c>
      <c r="O581" t="n">
        <v>143</v>
      </c>
      <c r="P581" t="n">
        <v>618.03</v>
      </c>
      <c r="Q581" t="n">
        <v>142.82</v>
      </c>
      <c r="R581">
        <f>ROUND(O581-P581,2)</f>
        <v/>
      </c>
      <c r="S581">
        <f>ROUND(O581-Q581,2)</f>
        <v/>
      </c>
      <c r="T581" s="3">
        <f>IFERROR(P581/O581,"")</f>
        <v/>
      </c>
      <c r="U581" s="3">
        <f>IFERROR(Q581/O581,"")</f>
        <v/>
      </c>
      <c r="V581" t="n">
        <v>150</v>
      </c>
      <c r="W581" t="n">
        <v>198.97</v>
      </c>
      <c r="X581" t="n">
        <v>127.4</v>
      </c>
      <c r="Y581">
        <f>ROUND(V581-W581,2)</f>
        <v/>
      </c>
      <c r="Z581">
        <f>ROUND(V581-X581,2)</f>
        <v/>
      </c>
      <c r="AA581" s="3">
        <f>IFERROR(W581/V581,"")</f>
        <v/>
      </c>
      <c r="AB581" s="3">
        <f>IFERROR(X581/V581,"")</f>
        <v/>
      </c>
      <c r="AC581" t="b">
        <v>0</v>
      </c>
      <c r="AD581" t="b">
        <v>0</v>
      </c>
      <c r="AE581" t="b">
        <v>0</v>
      </c>
      <c r="AF581" t="inlineStr">
        <is>
          <t>Yes</t>
        </is>
      </c>
      <c r="AG581" s="2" t="n">
        <v>46204</v>
      </c>
      <c r="AI581" t="b">
        <v>0</v>
      </c>
      <c r="AJ581" t="n">
        <v>5</v>
      </c>
      <c r="AK581" t="inlineStr">
        <is>
          <t>The engagement is currently valid until July 1, 2026. A renewal of the engagement is likely.</t>
        </is>
      </c>
      <c r="AL581" t="inlineStr">
        <is>
          <t>IT - Information Technology (Sebastian L.)</t>
        </is>
      </c>
      <c r="AM581" t="inlineStr">
        <is>
          <t>ISM Information Security Management (Carsten T.)</t>
        </is>
      </c>
      <c r="AN581" t="inlineStr">
        <is>
          <t>O&amp;G - Organization &amp; Governance (Carsten T.)</t>
        </is>
      </c>
      <c r="AO581" t="inlineStr">
        <is>
          <t>bridgingIT GmbH</t>
        </is>
      </c>
      <c r="AP581" t="inlineStr">
        <is>
          <t>Mannheim</t>
        </is>
      </c>
      <c r="AQ581" t="inlineStr">
        <is>
          <t>Carsten Triebel</t>
        </is>
      </c>
    </row>
    <row r="582">
      <c r="A582" t="inlineStr">
        <is>
          <t>3209</t>
        </is>
      </c>
      <c r="B582" t="inlineStr">
        <is>
          <t>D74C67</t>
        </is>
      </c>
      <c r="C582" t="inlineStr">
        <is>
          <t>https://app.matchical.com/Consulting/ConsultantDetail?ConsultantId=9e9faebb-e677-4bf5-9e9e-07ba4d5f69c1</t>
        </is>
      </c>
      <c r="D582" t="inlineStr">
        <is>
          <t>Tillmann Maruschke</t>
        </is>
      </c>
      <c r="E582" t="inlineStr">
        <is>
          <t>tillmann.maruschke@bridging-it.de</t>
        </is>
      </c>
      <c r="F582" s="2" t="n">
        <v>44197</v>
      </c>
      <c r="G582" s="2" t="n">
        <v>44075</v>
      </c>
      <c r="H582" t="n">
        <v>16</v>
      </c>
      <c r="I582" t="n">
        <v>0</v>
      </c>
      <c r="J582" t="n">
        <v>1</v>
      </c>
      <c r="K582" s="2" t="n">
        <v>45565</v>
      </c>
      <c r="L582" s="2" t="n">
        <v>45658</v>
      </c>
      <c r="M582" s="2" t="n">
        <v>45747</v>
      </c>
      <c r="N582" t="b">
        <v>0</v>
      </c>
      <c r="O582" t="n">
        <v>62</v>
      </c>
      <c r="P582" t="n">
        <v>113.87</v>
      </c>
      <c r="Q582" t="n">
        <v>59.92</v>
      </c>
      <c r="R582">
        <f>ROUND(O582-P582,2)</f>
        <v/>
      </c>
      <c r="S582">
        <f>ROUND(O582-Q582,2)</f>
        <v/>
      </c>
      <c r="T582" s="3">
        <f>IFERROR(P582/O582,"")</f>
        <v/>
      </c>
      <c r="U582" s="3">
        <f>IFERROR(Q582/O582,"")</f>
        <v/>
      </c>
      <c r="V582" t="n">
        <v>4</v>
      </c>
      <c r="W582" t="n">
        <v>0</v>
      </c>
      <c r="X582" t="n">
        <v>0</v>
      </c>
      <c r="Y582">
        <f>ROUND(V582-W582,2)</f>
        <v/>
      </c>
      <c r="Z582">
        <f>ROUND(V582-X582,2)</f>
        <v/>
      </c>
      <c r="AA582" s="3">
        <f>IFERROR(W582/V582,"")</f>
        <v/>
      </c>
      <c r="AB582" s="3">
        <f>IFERROR(X582/V582,"")</f>
        <v/>
      </c>
      <c r="AC582" t="b">
        <v>0</v>
      </c>
      <c r="AD582" t="b">
        <v>0</v>
      </c>
      <c r="AE582" t="b">
        <v>0</v>
      </c>
      <c r="AF582" t="inlineStr">
        <is>
          <t>Yes</t>
        </is>
      </c>
      <c r="AG582" s="2" t="n">
        <v>46113</v>
      </c>
      <c r="AI582" t="b">
        <v>0</v>
      </c>
      <c r="AJ582" t="n">
        <v>5</v>
      </c>
      <c r="AK582" t="inlineStr">
        <is>
          <t>Very good experience in PM and PMO, especially in the healthcare sector, as well as experience with LIMS. A verbal commitment to Boehringer by the end of 2026.</t>
        </is>
      </c>
      <c r="AL582" t="inlineStr">
        <is>
          <t>ORG bIT</t>
        </is>
      </c>
      <c r="AM582" t="inlineStr">
        <is>
          <t>Life Science Solutions FFM2 (Sabine S.)</t>
        </is>
      </c>
      <c r="AN582" t="inlineStr">
        <is>
          <t>CC Life Science Solutions (Sabine S.)</t>
        </is>
      </c>
      <c r="AO582" t="inlineStr">
        <is>
          <t>bridgingIT GmbH</t>
        </is>
      </c>
      <c r="AP582" t="inlineStr">
        <is>
          <t>Frankfurt</t>
        </is>
      </c>
      <c r="AQ582" t="inlineStr">
        <is>
          <t>Sabine Sessar</t>
        </is>
      </c>
    </row>
    <row r="583">
      <c r="A583" t="inlineStr">
        <is>
          <t>2269</t>
        </is>
      </c>
      <c r="B583" t="inlineStr">
        <is>
          <t>CFE864</t>
        </is>
      </c>
      <c r="C583" t="inlineStr">
        <is>
          <t>https://app.matchical.com/Consulting/ConsultantDetail?ConsultantId=54b81ae7-93e0-42ac-9107-9eb2b57fbc1c</t>
        </is>
      </c>
      <c r="D583" t="inlineStr">
        <is>
          <t>Tillmann Schulz</t>
        </is>
      </c>
      <c r="E583" t="inlineStr">
        <is>
          <t>tillmann.schulz@bridging-it.de</t>
        </is>
      </c>
      <c r="F583" s="2" t="n">
        <v>44089</v>
      </c>
      <c r="G583" s="2" t="n">
        <v>36220</v>
      </c>
      <c r="H583" t="n">
        <v>24</v>
      </c>
      <c r="I583" t="n">
        <v>0</v>
      </c>
      <c r="J583" t="n">
        <v>3</v>
      </c>
      <c r="K583" s="2" t="n">
        <v>44118</v>
      </c>
      <c r="L583" s="2" t="n">
        <v>45658</v>
      </c>
      <c r="M583" s="2" t="n">
        <v>46022</v>
      </c>
      <c r="N583" t="b">
        <v>0</v>
      </c>
      <c r="O583" t="n">
        <v>65</v>
      </c>
      <c r="P583" t="n">
        <v>137</v>
      </c>
      <c r="Q583" t="n">
        <v>65.31</v>
      </c>
      <c r="R583">
        <f>ROUND(O583-P583,2)</f>
        <v/>
      </c>
      <c r="S583">
        <f>ROUND(O583-Q583,2)</f>
        <v/>
      </c>
      <c r="T583" s="3">
        <f>IFERROR(P583/O583,"")</f>
        <v/>
      </c>
      <c r="U583" s="3">
        <f>IFERROR(Q583/O583,"")</f>
        <v/>
      </c>
      <c r="V583" t="n">
        <v>259</v>
      </c>
      <c r="W583" t="n">
        <v>192</v>
      </c>
      <c r="X583" t="n">
        <v>192</v>
      </c>
      <c r="Y583">
        <f>ROUND(V583-W583,2)</f>
        <v/>
      </c>
      <c r="Z583">
        <f>ROUND(V583-X583,2)</f>
        <v/>
      </c>
      <c r="AA583" s="3">
        <f>IFERROR(W583/V583,"")</f>
        <v/>
      </c>
      <c r="AB583" s="3">
        <f>IFERROR(X583/V583,"")</f>
        <v/>
      </c>
      <c r="AC583" t="b">
        <v>0</v>
      </c>
      <c r="AD583" t="b">
        <v>0</v>
      </c>
      <c r="AE583" t="b">
        <v>0</v>
      </c>
      <c r="AF583" t="inlineStr">
        <is>
          <t>Yes</t>
        </is>
      </c>
      <c r="AG583" s="2" t="n">
        <v>46113</v>
      </c>
      <c r="AI583" t="b">
        <v>1</v>
      </c>
      <c r="AJ583" t="n">
        <v>5</v>
      </c>
      <c r="AK583" t="inlineStr">
        <is>
          <t>ANÜ readiness available</t>
        </is>
      </c>
      <c r="AL583" t="inlineStr">
        <is>
          <t>ES Enterprise Solutions (Gina H.)</t>
        </is>
      </c>
      <c r="AM583" t="inlineStr">
        <is>
          <t>IEJ Java II (Thomas K.)</t>
        </is>
      </c>
      <c r="AN583" t="inlineStr">
        <is>
          <t>IEJ Individualentwicklung JAVA (Dominik S.)</t>
        </is>
      </c>
      <c r="AO583" t="inlineStr">
        <is>
          <t>bridgingIT GmbH</t>
        </is>
      </c>
      <c r="AP583" t="inlineStr">
        <is>
          <t>Stuttgart</t>
        </is>
      </c>
      <c r="AQ583" t="inlineStr">
        <is>
          <t>Thomas Kopp</t>
        </is>
      </c>
    </row>
    <row r="584">
      <c r="A584" t="inlineStr">
        <is>
          <t>3069</t>
        </is>
      </c>
      <c r="B584" t="inlineStr">
        <is>
          <t>63797A</t>
        </is>
      </c>
      <c r="C584" t="inlineStr">
        <is>
          <t>https://app.matchical.com/Consulting/ConsultantDetail?ConsultantId=3594c01c-2fdb-4ec9-a7ee-94f0ba5a227c</t>
        </is>
      </c>
      <c r="D584" t="inlineStr">
        <is>
          <t>Tilmann Kuhn</t>
        </is>
      </c>
      <c r="E584" t="inlineStr">
        <is>
          <t>tilmann.kuhn@bridging-it.de</t>
        </is>
      </c>
      <c r="F584" s="2" t="n">
        <v>41386</v>
      </c>
      <c r="G584" s="2" t="n">
        <v>38481</v>
      </c>
      <c r="H584" t="n">
        <v>15</v>
      </c>
      <c r="I584" t="n">
        <v>0</v>
      </c>
      <c r="J584" t="n">
        <v>1</v>
      </c>
      <c r="K584" s="2" t="n">
        <v>45151</v>
      </c>
      <c r="L584" s="2" t="n">
        <v>44620</v>
      </c>
      <c r="M584" s="2" t="n">
        <v>45137</v>
      </c>
      <c r="N584" t="b">
        <v>0</v>
      </c>
      <c r="O584" t="n">
        <v>154</v>
      </c>
      <c r="P584" t="n">
        <v>146.23</v>
      </c>
      <c r="Q584" t="n">
        <v>145.23</v>
      </c>
      <c r="R584">
        <f>ROUND(O584-P584,2)</f>
        <v/>
      </c>
      <c r="S584">
        <f>ROUND(O584-Q584,2)</f>
        <v/>
      </c>
      <c r="T584" s="3">
        <f>IFERROR(P584/O584,"")</f>
        <v/>
      </c>
      <c r="U584" s="3">
        <f>IFERROR(Q584/O584,"")</f>
        <v/>
      </c>
      <c r="V584" t="n">
        <v>95</v>
      </c>
      <c r="W584" t="n">
        <v>153.77</v>
      </c>
      <c r="X584" t="n">
        <v>95.44</v>
      </c>
      <c r="Y584">
        <f>ROUND(V584-W584,2)</f>
        <v/>
      </c>
      <c r="Z584">
        <f>ROUND(V584-X584,2)</f>
        <v/>
      </c>
      <c r="AA584" s="3">
        <f>IFERROR(W584/V584,"")</f>
        <v/>
      </c>
      <c r="AB584" s="3">
        <f>IFERROR(X584/V584,"")</f>
        <v/>
      </c>
      <c r="AC584" t="b">
        <v>0</v>
      </c>
      <c r="AD584" t="b">
        <v>0</v>
      </c>
      <c r="AE584" t="b">
        <v>0</v>
      </c>
      <c r="AF584" t="inlineStr">
        <is>
          <t>No</t>
        </is>
      </c>
      <c r="AG584" s="2" t="n">
        <v>44621</v>
      </c>
      <c r="AH584" s="2" t="n">
        <v>44926</v>
      </c>
      <c r="AI584" t="b">
        <v>0</v>
      </c>
      <c r="AJ584" t="n">
        <v>4</v>
      </c>
      <c r="AK584" t="inlineStr"/>
      <c r="AL584" t="inlineStr">
        <is>
          <t>ORG bIT</t>
        </is>
      </c>
      <c r="AM584" t="inlineStr">
        <is>
          <t>SE Software Engineering Frankfurt (Dominik H.)</t>
        </is>
      </c>
      <c r="AN584" t="inlineStr">
        <is>
          <t>ES Enterprise Solutions (Dominik H.)</t>
        </is>
      </c>
      <c r="AO584" t="inlineStr">
        <is>
          <t>bridgingIT GmbH</t>
        </is>
      </c>
      <c r="AP584" t="inlineStr">
        <is>
          <t>Frankfurt</t>
        </is>
      </c>
      <c r="AQ584" t="inlineStr">
        <is>
          <t>Dominik Hanft</t>
        </is>
      </c>
    </row>
    <row r="585">
      <c r="A585" t="inlineStr">
        <is>
          <t>1493</t>
        </is>
      </c>
      <c r="B585" t="inlineStr">
        <is>
          <t>317792</t>
        </is>
      </c>
      <c r="C585" t="inlineStr">
        <is>
          <t>https://app.matchical.com/Consulting/ConsultantDetail?ConsultantId=0179fd7f-60f7-49be-afe3-f1d4ce3191e3</t>
        </is>
      </c>
      <c r="D585" t="inlineStr">
        <is>
          <t>Tim Bechtold</t>
        </is>
      </c>
      <c r="E585" t="inlineStr">
        <is>
          <t>tim.bechtold@bridging-it.de</t>
        </is>
      </c>
      <c r="F585" s="2" t="n">
        <v>44531</v>
      </c>
      <c r="G585" s="2" t="n">
        <v>36745</v>
      </c>
      <c r="H585" t="n">
        <v>10</v>
      </c>
      <c r="I585" t="n">
        <v>0</v>
      </c>
      <c r="J585" t="n">
        <v>0</v>
      </c>
      <c r="L585" s="2" t="n">
        <v>45200</v>
      </c>
      <c r="M585" s="2" t="n">
        <v>46021</v>
      </c>
      <c r="N585" t="b">
        <v>0</v>
      </c>
      <c r="O585" t="n">
        <v>51</v>
      </c>
      <c r="P585" t="n">
        <v>89</v>
      </c>
      <c r="Q585" t="n">
        <v>44</v>
      </c>
      <c r="R585">
        <f>ROUND(O585-P585,2)</f>
        <v/>
      </c>
      <c r="S585">
        <f>ROUND(O585-Q585,2)</f>
        <v/>
      </c>
      <c r="T585" s="3">
        <f>IFERROR(P585/O585,"")</f>
        <v/>
      </c>
      <c r="U585" s="3">
        <f>IFERROR(Q585/O585,"")</f>
        <v/>
      </c>
      <c r="V585" t="n">
        <v>256</v>
      </c>
      <c r="W585" t="n">
        <v>83</v>
      </c>
      <c r="X585" t="n">
        <v>57.5</v>
      </c>
      <c r="Y585">
        <f>ROUND(V585-W585,2)</f>
        <v/>
      </c>
      <c r="Z585">
        <f>ROUND(V585-X585,2)</f>
        <v/>
      </c>
      <c r="AA585" s="3">
        <f>IFERROR(W585/V585,"")</f>
        <v/>
      </c>
      <c r="AB585" s="3">
        <f>IFERROR(X585/V585,"")</f>
        <v/>
      </c>
      <c r="AC585" t="b">
        <v>0</v>
      </c>
      <c r="AD585" t="b">
        <v>0</v>
      </c>
      <c r="AE585" t="b">
        <v>0</v>
      </c>
      <c r="AF585" t="inlineStr">
        <is>
          <t>No</t>
        </is>
      </c>
      <c r="AG585" s="2" t="n">
        <v>44531</v>
      </c>
      <c r="AH585" s="2" t="n">
        <v>44834</v>
      </c>
      <c r="AI585" t="b">
        <v>1</v>
      </c>
      <c r="AJ585" t="n">
        <v>0</v>
      </c>
      <c r="AK585" t="inlineStr"/>
      <c r="AL585" t="inlineStr">
        <is>
          <t>ORG bIT</t>
        </is>
      </c>
      <c r="AM585" t="inlineStr">
        <is>
          <t>Life Science Solutions FFM1 (Holger B.)</t>
        </is>
      </c>
      <c r="AN585" t="inlineStr">
        <is>
          <t>CC Life Science Solutions (Sabine S.)</t>
        </is>
      </c>
      <c r="AO585" t="inlineStr">
        <is>
          <t>bridgingIT GmbH</t>
        </is>
      </c>
      <c r="AP585" t="inlineStr">
        <is>
          <t>Frankfurt</t>
        </is>
      </c>
      <c r="AQ585" t="inlineStr">
        <is>
          <t>Holger Bohlen</t>
        </is>
      </c>
    </row>
    <row r="586">
      <c r="A586" t="inlineStr">
        <is>
          <t>4118</t>
        </is>
      </c>
      <c r="B586" t="inlineStr">
        <is>
          <t>DFAB68</t>
        </is>
      </c>
      <c r="C586" t="inlineStr">
        <is>
          <t>https://app.matchical.com/Consulting/ConsultantDetail?ConsultantId=bf0a3d23-840b-4864-a11f-1bf81a00cd75</t>
        </is>
      </c>
      <c r="D586" t="inlineStr">
        <is>
          <t>Tim Jabke</t>
        </is>
      </c>
      <c r="E586" t="inlineStr">
        <is>
          <t>tim.jabke@bridging-it.de</t>
        </is>
      </c>
      <c r="F586" s="2" t="n">
        <v>43831</v>
      </c>
      <c r="G586" s="2" t="n">
        <v>42309</v>
      </c>
      <c r="H586" t="n">
        <v>18</v>
      </c>
      <c r="I586" t="n">
        <v>0</v>
      </c>
      <c r="J586" t="n">
        <v>1</v>
      </c>
      <c r="K586" s="2" t="n">
        <v>44081</v>
      </c>
      <c r="L586" s="2" t="n">
        <v>45397</v>
      </c>
      <c r="M586" s="2" t="n">
        <v>45943</v>
      </c>
      <c r="N586" t="b">
        <v>0</v>
      </c>
      <c r="O586" t="n">
        <v>74</v>
      </c>
      <c r="P586" t="n">
        <v>167.97</v>
      </c>
      <c r="Q586" t="n">
        <v>72.97</v>
      </c>
      <c r="R586">
        <f>ROUND(O586-P586,2)</f>
        <v/>
      </c>
      <c r="S586">
        <f>ROUND(O586-Q586,2)</f>
        <v/>
      </c>
      <c r="T586" s="3">
        <f>IFERROR(P586/O586,"")</f>
        <v/>
      </c>
      <c r="U586" s="3">
        <f>IFERROR(Q586/O586,"")</f>
        <v/>
      </c>
      <c r="V586" t="n">
        <v>50</v>
      </c>
      <c r="W586" t="n">
        <v>30.03</v>
      </c>
      <c r="X586" t="n">
        <v>30.03</v>
      </c>
      <c r="Y586">
        <f>ROUND(V586-W586,2)</f>
        <v/>
      </c>
      <c r="Z586">
        <f>ROUND(V586-X586,2)</f>
        <v/>
      </c>
      <c r="AA586" s="3">
        <f>IFERROR(W586/V586,"")</f>
        <v/>
      </c>
      <c r="AB586" s="3">
        <f>IFERROR(X586/V586,"")</f>
        <v/>
      </c>
      <c r="AC586" t="b">
        <v>0</v>
      </c>
      <c r="AD586" t="b">
        <v>0</v>
      </c>
      <c r="AE586" t="b">
        <v>0</v>
      </c>
      <c r="AF586" t="inlineStr">
        <is>
          <t>Yes</t>
        </is>
      </c>
      <c r="AG586" s="2" t="n">
        <v>45944</v>
      </c>
      <c r="AH586" s="2" t="n">
        <v>46037</v>
      </c>
      <c r="AI586" t="b">
        <v>1</v>
      </c>
      <c r="AJ586" t="n">
        <v>5</v>
      </c>
      <c r="AK586" t="inlineStr">
        <is>
          <t>ANÜ pause from 14.10 to 15.01</t>
        </is>
      </c>
      <c r="AL586" t="inlineStr">
        <is>
          <t>ORG bIT Bayern</t>
        </is>
      </c>
      <c r="AM586" t="inlineStr">
        <is>
          <t>CDI Cloud DevOps &amp; IT-Architecture (Tim J.)</t>
        </is>
      </c>
      <c r="AN586" t="inlineStr">
        <is>
          <t>SEC Software Engineering &amp; Cloud (Eli G.)</t>
        </is>
      </c>
      <c r="AO586" t="inlineStr">
        <is>
          <t>bridgingIT GmbH</t>
        </is>
      </c>
      <c r="AP586" t="inlineStr">
        <is>
          <t>München</t>
        </is>
      </c>
      <c r="AQ586" t="inlineStr">
        <is>
          <t>Elisabeth Gerlinger</t>
        </is>
      </c>
    </row>
    <row r="587">
      <c r="A587" t="inlineStr">
        <is>
          <t>2028</t>
        </is>
      </c>
      <c r="B587" t="inlineStr">
        <is>
          <t>F3115F</t>
        </is>
      </c>
      <c r="C587" t="inlineStr">
        <is>
          <t>https://app.matchical.com/Consulting/ConsultantDetail?ConsultantId=4c143452-0311-44b6-8e31-1eed10fbf6ce</t>
        </is>
      </c>
      <c r="D587" t="inlineStr">
        <is>
          <t>Tim Kost</t>
        </is>
      </c>
      <c r="E587" t="inlineStr">
        <is>
          <t>tim.kost@bridging-it.de</t>
        </is>
      </c>
      <c r="F587" s="2" t="n">
        <v>40603</v>
      </c>
      <c r="G587" s="2" t="n">
        <v>39722</v>
      </c>
      <c r="H587" t="n">
        <v>3</v>
      </c>
      <c r="I587" t="n">
        <v>0</v>
      </c>
      <c r="J587" t="n">
        <v>0</v>
      </c>
      <c r="L587" s="2" t="n">
        <v>43830</v>
      </c>
      <c r="M587" s="2" t="n">
        <v>45784</v>
      </c>
      <c r="N587" t="b">
        <v>0</v>
      </c>
      <c r="O587" t="n">
        <v>180</v>
      </c>
      <c r="P587" t="n">
        <v>94</v>
      </c>
      <c r="Q587" t="n">
        <v>87</v>
      </c>
      <c r="R587">
        <f>ROUND(O587-P587,2)</f>
        <v/>
      </c>
      <c r="S587">
        <f>ROUND(O587-Q587,2)</f>
        <v/>
      </c>
      <c r="T587" s="3">
        <f>IFERROR(P587/O587,"")</f>
        <v/>
      </c>
      <c r="U587" s="3">
        <f>IFERROR(Q587/O587,"")</f>
        <v/>
      </c>
      <c r="V587" t="n">
        <v>29</v>
      </c>
      <c r="W587" t="n">
        <v>0</v>
      </c>
      <c r="X587" t="n">
        <v>0</v>
      </c>
      <c r="Y587">
        <f>ROUND(V587-W587,2)</f>
        <v/>
      </c>
      <c r="Z587">
        <f>ROUND(V587-X587,2)</f>
        <v/>
      </c>
      <c r="AA587" s="3">
        <f>IFERROR(W587/V587,"")</f>
        <v/>
      </c>
      <c r="AB587" s="3">
        <f>IFERROR(X587/V587,"")</f>
        <v/>
      </c>
      <c r="AC587" t="b">
        <v>0</v>
      </c>
      <c r="AD587" t="b">
        <v>0</v>
      </c>
      <c r="AE587" t="b">
        <v>0</v>
      </c>
      <c r="AF587" t="inlineStr">
        <is>
          <t>No</t>
        </is>
      </c>
      <c r="AI587" t="b">
        <v>0</v>
      </c>
      <c r="AJ587" t="n">
        <v>0</v>
      </c>
      <c r="AK587" t="inlineStr"/>
      <c r="AL587" t="inlineStr">
        <is>
          <t>ORG bIT</t>
        </is>
      </c>
      <c r="AM587" t="inlineStr">
        <is>
          <t>LS Lokation STG (Tim K.)</t>
        </is>
      </c>
      <c r="AN587" t="inlineStr">
        <is>
          <t>LS Lokation STG (Tim K.)</t>
        </is>
      </c>
      <c r="AO587" t="inlineStr">
        <is>
          <t>bridgingIT GmbH</t>
        </is>
      </c>
      <c r="AP587" t="inlineStr">
        <is>
          <t>Stuttgart</t>
        </is>
      </c>
      <c r="AQ587" t="inlineStr">
        <is>
          <t>Jochen Ruben</t>
        </is>
      </c>
    </row>
    <row r="588">
      <c r="A588" t="inlineStr">
        <is>
          <t>10360</t>
        </is>
      </c>
      <c r="B588" t="inlineStr">
        <is>
          <t>BE05A3</t>
        </is>
      </c>
      <c r="C588" t="inlineStr">
        <is>
          <t>https://app.matchical.com/Consulting/ConsultantDetail?ConsultantId=af8a51e2-30ee-4479-9e3b-5ecc938d1ea3</t>
        </is>
      </c>
      <c r="D588" t="inlineStr">
        <is>
          <t>Tim Leinhos</t>
        </is>
      </c>
      <c r="E588" t="inlineStr">
        <is>
          <t>tim.leinhos@bridging-it.de</t>
        </is>
      </c>
      <c r="F588" s="2" t="n">
        <v>45809</v>
      </c>
      <c r="G588" s="2" t="n">
        <v>41548</v>
      </c>
      <c r="H588" t="n">
        <v>5</v>
      </c>
      <c r="I588" t="n">
        <v>0</v>
      </c>
      <c r="J588" t="n">
        <v>0</v>
      </c>
      <c r="L588" s="2" t="n">
        <v>44627</v>
      </c>
      <c r="M588" s="2" t="n">
        <v>45288</v>
      </c>
      <c r="N588" t="b">
        <v>0</v>
      </c>
      <c r="O588" t="n">
        <v>9</v>
      </c>
      <c r="P588" t="n">
        <v>8.84</v>
      </c>
      <c r="Q588" t="n">
        <v>8.800000000000001</v>
      </c>
      <c r="R588">
        <f>ROUND(O588-P588,2)</f>
        <v/>
      </c>
      <c r="S588">
        <f>ROUND(O588-Q588,2)</f>
        <v/>
      </c>
      <c r="T588" s="3">
        <f>IFERROR(P588/O588,"")</f>
        <v/>
      </c>
      <c r="U588" s="3">
        <f>IFERROR(Q588/O588,"")</f>
        <v/>
      </c>
      <c r="V588" t="n">
        <v>140</v>
      </c>
      <c r="W588" t="n">
        <v>66</v>
      </c>
      <c r="X588" t="n">
        <v>38</v>
      </c>
      <c r="Y588">
        <f>ROUND(V588-W588,2)</f>
        <v/>
      </c>
      <c r="Z588">
        <f>ROUND(V588-X588,2)</f>
        <v/>
      </c>
      <c r="AA588" s="3">
        <f>IFERROR(W588/V588,"")</f>
        <v/>
      </c>
      <c r="AB588" s="3">
        <f>IFERROR(X588/V588,"")</f>
        <v/>
      </c>
      <c r="AC588" t="b">
        <v>0</v>
      </c>
      <c r="AD588" t="b">
        <v>0</v>
      </c>
      <c r="AE588" t="b">
        <v>0</v>
      </c>
      <c r="AF588" t="inlineStr">
        <is>
          <t>Yes</t>
        </is>
      </c>
      <c r="AG588" s="2" t="n">
        <v>46113</v>
      </c>
      <c r="AI588" t="b">
        <v>1</v>
      </c>
      <c r="AJ588" t="n">
        <v>5</v>
      </c>
      <c r="AK588" t="inlineStr">
        <is>
          <t>Tim is currently still supporting the S/4 rollout for SPIE in Switzerland. After that, we are looking for a new project. Tim gives his all and has a very strong hands-on mentality. SAP know-how, particularly in S/4HANA transformation projects; PMO, project management, change management, and coaching experience.</t>
        </is>
      </c>
      <c r="AL588" t="inlineStr">
        <is>
          <t>DO Digital Organizations (Michael H.)</t>
        </is>
      </c>
      <c r="AM588" t="inlineStr">
        <is>
          <t>BT Business Transform. II (Patrick D.)</t>
        </is>
      </c>
      <c r="AN588" t="inlineStr">
        <is>
          <t>BT Business Transformation (Julian D.)</t>
        </is>
      </c>
      <c r="AO588" t="inlineStr">
        <is>
          <t>bridgingIT GmbH</t>
        </is>
      </c>
      <c r="AP588" t="inlineStr">
        <is>
          <t>Stuttgart</t>
        </is>
      </c>
      <c r="AQ588" t="inlineStr">
        <is>
          <t>Patrick Dehner</t>
        </is>
      </c>
    </row>
    <row r="589">
      <c r="A589" t="inlineStr">
        <is>
          <t>10446</t>
        </is>
      </c>
      <c r="B589" t="inlineStr">
        <is>
          <t>C73798</t>
        </is>
      </c>
      <c r="C589" t="inlineStr">
        <is>
          <t>https://app.matchical.com/Consulting/ConsultantDetail?ConsultantId=0cd59791-686b-4551-89af-3e2e123ff7a8</t>
        </is>
      </c>
      <c r="D589" t="inlineStr">
        <is>
          <t>Tim Pünder</t>
        </is>
      </c>
      <c r="E589" t="inlineStr">
        <is>
          <t>tim.puender@bridging-it.de</t>
        </is>
      </c>
      <c r="F589" s="2" t="n">
        <v>46023</v>
      </c>
      <c r="G589" s="2" t="n">
        <v>44197</v>
      </c>
      <c r="H589" t="n">
        <v>9</v>
      </c>
      <c r="I589" t="n">
        <v>0</v>
      </c>
      <c r="J589" t="n">
        <v>0</v>
      </c>
      <c r="L589" s="2" t="n">
        <v>44196</v>
      </c>
      <c r="M589" s="2" t="n">
        <v>46021</v>
      </c>
      <c r="N589" t="b">
        <v>0</v>
      </c>
      <c r="O589" t="n">
        <v>2</v>
      </c>
      <c r="P589" t="n">
        <v>0</v>
      </c>
      <c r="Q589" t="n">
        <v>0</v>
      </c>
      <c r="R589">
        <f>ROUND(O589-P589,2)</f>
        <v/>
      </c>
      <c r="S589">
        <f>ROUND(O589-Q589,2)</f>
        <v/>
      </c>
      <c r="T589" s="3">
        <f>IFERROR(P589/O589,"")</f>
        <v/>
      </c>
      <c r="U589" s="3">
        <f>IFERROR(Q589/O589,"")</f>
        <v/>
      </c>
      <c r="V589" t="n">
        <v>60</v>
      </c>
      <c r="W589" t="n">
        <v>170.97</v>
      </c>
      <c r="X589" t="n">
        <v>59.99</v>
      </c>
      <c r="Y589">
        <f>ROUND(V589-W589,2)</f>
        <v/>
      </c>
      <c r="Z589">
        <f>ROUND(V589-X589,2)</f>
        <v/>
      </c>
      <c r="AA589" s="3">
        <f>IFERROR(W589/V589,"")</f>
        <v/>
      </c>
      <c r="AB589" s="3">
        <f>IFERROR(X589/V589,"")</f>
        <v/>
      </c>
      <c r="AC589" t="b">
        <v>0</v>
      </c>
      <c r="AD589" t="b">
        <v>0</v>
      </c>
      <c r="AE589" t="b">
        <v>0</v>
      </c>
      <c r="AF589" t="inlineStr">
        <is>
          <t>Yes</t>
        </is>
      </c>
      <c r="AG589" s="2" t="n">
        <v>46023</v>
      </c>
      <c r="AI589" t="b">
        <v>1</v>
      </c>
      <c r="AJ589" t="n">
        <v>5</v>
      </c>
      <c r="AK589" t="inlineStr">
        <is>
          <t>Tim is looking for a project in the area of Data Engineering, Data Platforms, or Data Science. [Bahn] Opportunity as a Data Engineer in an ART via Karola (Idea: Sebastian W.) [Bahn] Another Data Engineer in the project environment of Dennis Kleine (Salih Öztürk) [50Hertz] Business Analyst in the area of network calculation (Viktor Poloczek) &gt;&gt; lost</t>
        </is>
      </c>
      <c r="AL589" t="inlineStr">
        <is>
          <t>ORG bIT Bayern</t>
        </is>
      </c>
      <c r="AM589" t="inlineStr">
        <is>
          <t>DSA Data Solutions &amp; AI (Philip R.)</t>
        </is>
      </c>
      <c r="AN589" t="inlineStr">
        <is>
          <t>BPD Business Processes &amp; Data Engineering(Arne K.)</t>
        </is>
      </c>
      <c r="AO589" t="inlineStr">
        <is>
          <t>bridgingIT GmbH</t>
        </is>
      </c>
      <c r="AP589" t="inlineStr">
        <is>
          <t>München</t>
        </is>
      </c>
      <c r="AQ589" t="inlineStr">
        <is>
          <t>Philip Rausch</t>
        </is>
      </c>
    </row>
    <row r="590">
      <c r="A590" t="inlineStr">
        <is>
          <t>10425</t>
        </is>
      </c>
      <c r="B590" t="inlineStr">
        <is>
          <t>924A9A</t>
        </is>
      </c>
      <c r="C590" t="inlineStr">
        <is>
          <t>https://app.matchical.com/Consulting/ConsultantDetail?ConsultantId=75e5528a-58cb-474b-84d3-587356cfc412</t>
        </is>
      </c>
      <c r="D590" t="inlineStr">
        <is>
          <t>Tim Roggemann</t>
        </is>
      </c>
      <c r="E590" t="inlineStr">
        <is>
          <t>tim.roggemann@bridging-it.de</t>
        </is>
      </c>
      <c r="F590" s="2" t="n">
        <v>46023</v>
      </c>
      <c r="G590" s="2" t="n">
        <v>38626</v>
      </c>
      <c r="H590" t="n">
        <v>5</v>
      </c>
      <c r="I590" t="n">
        <v>0</v>
      </c>
      <c r="J590" t="n">
        <v>0</v>
      </c>
      <c r="L590" s="2" t="n">
        <v>45808</v>
      </c>
      <c r="M590" s="2" t="n">
        <v>46021</v>
      </c>
      <c r="N590" t="b">
        <v>0</v>
      </c>
      <c r="O590" t="n">
        <v>2</v>
      </c>
      <c r="P590" t="n">
        <v>0</v>
      </c>
      <c r="Q590" t="n">
        <v>0</v>
      </c>
      <c r="R590">
        <f>ROUND(O590-P590,2)</f>
        <v/>
      </c>
      <c r="S590">
        <f>ROUND(O590-Q590,2)</f>
        <v/>
      </c>
      <c r="T590" s="3">
        <f>IFERROR(P590/O590,"")</f>
        <v/>
      </c>
      <c r="U590" s="3">
        <f>IFERROR(Q590/O590,"")</f>
        <v/>
      </c>
      <c r="V590" t="n">
        <v>243</v>
      </c>
      <c r="W590" t="n">
        <v>85</v>
      </c>
      <c r="X590" t="n">
        <v>68</v>
      </c>
      <c r="Y590">
        <f>ROUND(V590-W590,2)</f>
        <v/>
      </c>
      <c r="Z590">
        <f>ROUND(V590-X590,2)</f>
        <v/>
      </c>
      <c r="AA590" s="3">
        <f>IFERROR(W590/V590,"")</f>
        <v/>
      </c>
      <c r="AB590" s="3">
        <f>IFERROR(X590/V590,"")</f>
        <v/>
      </c>
      <c r="AC590" t="b">
        <v>0</v>
      </c>
      <c r="AD590" t="b">
        <v>0</v>
      </c>
      <c r="AE590" t="b">
        <v>0</v>
      </c>
      <c r="AF590" t="inlineStr">
        <is>
          <t>Yes</t>
        </is>
      </c>
      <c r="AG590" s="2" t="n">
        <v>46113</v>
      </c>
      <c r="AI590" t="b">
        <v>1</v>
      </c>
      <c r="AJ590" t="n">
        <v>5</v>
      </c>
      <c r="AK590" t="inlineStr"/>
      <c r="AL590" t="inlineStr">
        <is>
          <t>IT - Information Technology (HH)</t>
        </is>
      </c>
      <c r="AM590" t="inlineStr">
        <is>
          <t>TM - Transition Management (Christoph W.)</t>
        </is>
      </c>
      <c r="AN590" t="inlineStr">
        <is>
          <t>MWT HH (Udo P.)</t>
        </is>
      </c>
      <c r="AO590" t="inlineStr">
        <is>
          <t>bridgingIT GmbH</t>
        </is>
      </c>
      <c r="AP590" t="inlineStr">
        <is>
          <t>Hamburg</t>
        </is>
      </c>
      <c r="AQ590" t="inlineStr">
        <is>
          <t>Christoph Wudtke</t>
        </is>
      </c>
    </row>
    <row r="591">
      <c r="A591" t="inlineStr">
        <is>
          <t>1074</t>
        </is>
      </c>
      <c r="B591" t="inlineStr">
        <is>
          <t>DA928A</t>
        </is>
      </c>
      <c r="C591" t="inlineStr">
        <is>
          <t>https://app.matchical.com/Consulting/ConsultantDetail?ConsultantId=b880d0a6-ad64-400f-82da-77664bccac2d</t>
        </is>
      </c>
      <c r="D591" t="inlineStr">
        <is>
          <t>Tim Thierfelder</t>
        </is>
      </c>
      <c r="E591" t="inlineStr">
        <is>
          <t>tim.thierfelder@bridging-it.de</t>
        </is>
      </c>
      <c r="F591" s="2" t="n">
        <v>39569</v>
      </c>
      <c r="G591" s="2" t="n">
        <v>34974</v>
      </c>
      <c r="H591" t="n">
        <v>22</v>
      </c>
      <c r="I591" t="n">
        <v>0</v>
      </c>
      <c r="J591" t="n">
        <v>1</v>
      </c>
      <c r="K591" s="2" t="n">
        <v>43783</v>
      </c>
      <c r="L591" s="2" t="n">
        <v>42521</v>
      </c>
      <c r="M591" s="2" t="n">
        <v>44103</v>
      </c>
      <c r="N591" t="b">
        <v>0</v>
      </c>
      <c r="O591" t="n">
        <v>214</v>
      </c>
      <c r="P591" t="n">
        <v>265.92</v>
      </c>
      <c r="Q591" t="n">
        <v>181.48</v>
      </c>
      <c r="R591">
        <f>ROUND(O591-P591,2)</f>
        <v/>
      </c>
      <c r="S591">
        <f>ROUND(O591-Q591,2)</f>
        <v/>
      </c>
      <c r="T591" s="3">
        <f>IFERROR(P591/O591,"")</f>
        <v/>
      </c>
      <c r="U591" s="3">
        <f>IFERROR(Q591/O591,"")</f>
        <v/>
      </c>
      <c r="V591" t="n">
        <v>151</v>
      </c>
      <c r="W591" t="n">
        <v>122.08</v>
      </c>
      <c r="X591" t="n">
        <v>99.52</v>
      </c>
      <c r="Y591">
        <f>ROUND(V591-W591,2)</f>
        <v/>
      </c>
      <c r="Z591">
        <f>ROUND(V591-X591,2)</f>
        <v/>
      </c>
      <c r="AA591" s="3">
        <f>IFERROR(W591/V591,"")</f>
        <v/>
      </c>
      <c r="AB591" s="3">
        <f>IFERROR(X591/V591,"")</f>
        <v/>
      </c>
      <c r="AC591" t="b">
        <v>0</v>
      </c>
      <c r="AD591" t="b">
        <v>0</v>
      </c>
      <c r="AE591" t="b">
        <v>0</v>
      </c>
      <c r="AF591" t="inlineStr">
        <is>
          <t>No</t>
        </is>
      </c>
      <c r="AI591" t="b">
        <v>0</v>
      </c>
      <c r="AJ591" t="n">
        <v>0</v>
      </c>
      <c r="AK591" t="inlineStr"/>
      <c r="AL591" t="inlineStr">
        <is>
          <t>Sales BL</t>
        </is>
      </c>
      <c r="AM591" t="inlineStr">
        <is>
          <t>SAL Team Frölich</t>
        </is>
      </c>
      <c r="AN591" t="inlineStr">
        <is>
          <t>Sales Management</t>
        </is>
      </c>
      <c r="AO591" t="inlineStr">
        <is>
          <t>bridgingIT GmbH</t>
        </is>
      </c>
      <c r="AP591" t="inlineStr">
        <is>
          <t>Berlin</t>
        </is>
      </c>
      <c r="AQ591" t="inlineStr">
        <is>
          <t>Uwe Frölich</t>
        </is>
      </c>
    </row>
    <row r="592">
      <c r="A592" t="inlineStr">
        <is>
          <t>1490</t>
        </is>
      </c>
      <c r="B592" t="inlineStr">
        <is>
          <t>B3EF1B</t>
        </is>
      </c>
      <c r="C592" t="inlineStr">
        <is>
          <t>https://app.matchical.com/Consulting/ConsultantDetail?ConsultantId=cdd13b75-9227-4243-85a3-96b9e21b0f9b</t>
        </is>
      </c>
      <c r="D592" t="inlineStr">
        <is>
          <t>Tim Weyrauch</t>
        </is>
      </c>
      <c r="E592" t="inlineStr">
        <is>
          <t>tim.weyrauch@bridging-it.de</t>
        </is>
      </c>
      <c r="F592" s="2" t="n">
        <v>44484</v>
      </c>
      <c r="G592" s="2" t="n">
        <v>37406</v>
      </c>
      <c r="H592" t="n">
        <v>11</v>
      </c>
      <c r="I592" t="n">
        <v>0</v>
      </c>
      <c r="J592" t="n">
        <v>0</v>
      </c>
      <c r="L592" s="2" t="n">
        <v>45305</v>
      </c>
      <c r="M592" s="2" t="n">
        <v>45640</v>
      </c>
      <c r="N592" t="b">
        <v>0</v>
      </c>
      <c r="O592" t="n">
        <v>52</v>
      </c>
      <c r="P592" t="n">
        <v>42.51</v>
      </c>
      <c r="Q592" t="n">
        <v>36.51</v>
      </c>
      <c r="R592">
        <f>ROUND(O592-P592,2)</f>
        <v/>
      </c>
      <c r="S592">
        <f>ROUND(O592-Q592,2)</f>
        <v/>
      </c>
      <c r="T592" s="3">
        <f>IFERROR(P592/O592,"")</f>
        <v/>
      </c>
      <c r="U592" s="3">
        <f>IFERROR(Q592/O592,"")</f>
        <v/>
      </c>
      <c r="V592" t="n">
        <v>233</v>
      </c>
      <c r="W592" t="n">
        <v>33.49</v>
      </c>
      <c r="X592" t="n">
        <v>27.49</v>
      </c>
      <c r="Y592">
        <f>ROUND(V592-W592,2)</f>
        <v/>
      </c>
      <c r="Z592">
        <f>ROUND(V592-X592,2)</f>
        <v/>
      </c>
      <c r="AA592" s="3">
        <f>IFERROR(W592/V592,"")</f>
        <v/>
      </c>
      <c r="AB592" s="3">
        <f>IFERROR(X592/V592,"")</f>
        <v/>
      </c>
      <c r="AC592" t="b">
        <v>0</v>
      </c>
      <c r="AD592" t="b">
        <v>0</v>
      </c>
      <c r="AE592" t="b">
        <v>0</v>
      </c>
      <c r="AF592" t="inlineStr">
        <is>
          <t>No</t>
        </is>
      </c>
      <c r="AI592" t="b">
        <v>1</v>
      </c>
      <c r="AJ592" t="n">
        <v>0</v>
      </c>
      <c r="AK592" t="inlineStr"/>
      <c r="AL592" t="inlineStr">
        <is>
          <t>IT - Information Technology (Sebastian L.)</t>
        </is>
      </c>
      <c r="AM592" t="inlineStr">
        <is>
          <t>P&amp;P - Processes &amp; Platforms (Bernd O.)</t>
        </is>
      </c>
      <c r="AN592" t="inlineStr">
        <is>
          <t>P&amp;DE - Platforms &amp; Digital Ecosystems (David S.)</t>
        </is>
      </c>
      <c r="AO592" t="inlineStr">
        <is>
          <t>bridgingIT GmbH</t>
        </is>
      </c>
      <c r="AP592" t="inlineStr">
        <is>
          <t>Mannheim</t>
        </is>
      </c>
      <c r="AQ592" t="inlineStr">
        <is>
          <t>Bernd Opitz</t>
        </is>
      </c>
    </row>
    <row r="593">
      <c r="A593" t="inlineStr">
        <is>
          <t>10019</t>
        </is>
      </c>
      <c r="B593" t="inlineStr">
        <is>
          <t>0E2B05</t>
        </is>
      </c>
      <c r="C593" t="inlineStr">
        <is>
          <t>https://app.matchical.com/Consulting/ConsultantDetail?ConsultantId=f00935e6-8bdf-4799-aa84-6622d5e6694f</t>
        </is>
      </c>
      <c r="D593" t="inlineStr">
        <is>
          <t>Timm Bremus</t>
        </is>
      </c>
      <c r="E593" t="inlineStr">
        <is>
          <t>timm.bremus@bridging-it.de</t>
        </is>
      </c>
      <c r="F593" s="2" t="n">
        <v>44845</v>
      </c>
      <c r="G593" s="2" t="n">
        <v>38596</v>
      </c>
      <c r="H593" t="n">
        <v>7</v>
      </c>
      <c r="I593" t="n">
        <v>0</v>
      </c>
      <c r="J593" t="n">
        <v>1</v>
      </c>
      <c r="K593" s="2" t="n">
        <v>43892</v>
      </c>
      <c r="L593" s="2" t="n">
        <v>45662</v>
      </c>
      <c r="M593" s="2" t="n">
        <v>45839</v>
      </c>
      <c r="N593" t="b">
        <v>0</v>
      </c>
      <c r="O593" t="n">
        <v>40</v>
      </c>
      <c r="P593" t="n">
        <v>52.67</v>
      </c>
      <c r="Q593" t="n">
        <v>36.62</v>
      </c>
      <c r="R593">
        <f>ROUND(O593-P593,2)</f>
        <v/>
      </c>
      <c r="S593">
        <f>ROUND(O593-Q593,2)</f>
        <v/>
      </c>
      <c r="T593" s="3">
        <f>IFERROR(P593/O593,"")</f>
        <v/>
      </c>
      <c r="U593" s="3">
        <f>IFERROR(Q593/O593,"")</f>
        <v/>
      </c>
      <c r="V593" t="n">
        <v>205</v>
      </c>
      <c r="W593" t="n">
        <v>70.33</v>
      </c>
      <c r="X593" t="n">
        <v>49.38</v>
      </c>
      <c r="Y593">
        <f>ROUND(V593-W593,2)</f>
        <v/>
      </c>
      <c r="Z593">
        <f>ROUND(V593-X593,2)</f>
        <v/>
      </c>
      <c r="AA593" s="3">
        <f>IFERROR(W593/V593,"")</f>
        <v/>
      </c>
      <c r="AB593" s="3">
        <f>IFERROR(X593/V593,"")</f>
        <v/>
      </c>
      <c r="AC593" t="b">
        <v>0</v>
      </c>
      <c r="AD593" t="b">
        <v>0</v>
      </c>
      <c r="AE593" t="b">
        <v>0</v>
      </c>
      <c r="AF593" t="inlineStr">
        <is>
          <t>No</t>
        </is>
      </c>
      <c r="AI593" t="b">
        <v>0</v>
      </c>
      <c r="AJ593" t="n">
        <v>0</v>
      </c>
      <c r="AK593" t="inlineStr"/>
      <c r="AL593" t="inlineStr">
        <is>
          <t>ORG bIT</t>
        </is>
      </c>
      <c r="AM593" t="inlineStr">
        <is>
          <t>SE Software Engineering Frankfurt (Timm B.)</t>
        </is>
      </c>
      <c r="AN593" t="inlineStr">
        <is>
          <t>ES Enterprise Solutions (Dominik H.)</t>
        </is>
      </c>
      <c r="AO593" t="inlineStr">
        <is>
          <t>bridgingIT GmbH</t>
        </is>
      </c>
      <c r="AP593" t="inlineStr">
        <is>
          <t>Frankfurt</t>
        </is>
      </c>
      <c r="AQ593" t="inlineStr">
        <is>
          <t>Dominik Hanft</t>
        </is>
      </c>
    </row>
    <row r="594">
      <c r="A594" t="inlineStr">
        <is>
          <t>1454</t>
        </is>
      </c>
      <c r="B594" t="inlineStr">
        <is>
          <t>F0EC22</t>
        </is>
      </c>
      <c r="C594" t="inlineStr">
        <is>
          <t>https://app.matchical.com/Consulting/ConsultantDetail?ConsultantId=10609fcf-0a0e-428b-864a-5feaccff7cb9</t>
        </is>
      </c>
      <c r="D594" t="inlineStr">
        <is>
          <t>Timo Keilbach</t>
        </is>
      </c>
      <c r="E594" t="inlineStr">
        <is>
          <t>timo.keilbach@bridging-it.de</t>
        </is>
      </c>
      <c r="F594" s="2" t="n">
        <v>43709</v>
      </c>
      <c r="G594" s="2" t="n">
        <v>40391</v>
      </c>
      <c r="H594" t="n">
        <v>21</v>
      </c>
      <c r="I594" t="n">
        <v>0</v>
      </c>
      <c r="J594" t="n">
        <v>2</v>
      </c>
      <c r="K594" s="2" t="n">
        <v>40178</v>
      </c>
      <c r="L594" s="2" t="n">
        <v>45107</v>
      </c>
      <c r="M594" s="2" t="n">
        <v>45564</v>
      </c>
      <c r="N594" t="b">
        <v>0</v>
      </c>
      <c r="O594" t="n">
        <v>78</v>
      </c>
      <c r="P594" t="n">
        <v>178.47</v>
      </c>
      <c r="Q594" t="n">
        <v>77.8</v>
      </c>
      <c r="R594">
        <f>ROUND(O594-P594,2)</f>
        <v/>
      </c>
      <c r="S594">
        <f>ROUND(O594-Q594,2)</f>
        <v/>
      </c>
      <c r="T594" s="3">
        <f>IFERROR(P594/O594,"")</f>
        <v/>
      </c>
      <c r="U594" s="3">
        <f>IFERROR(Q594/O594,"")</f>
        <v/>
      </c>
      <c r="V594" t="n">
        <v>109</v>
      </c>
      <c r="W594" t="n">
        <v>198.56</v>
      </c>
      <c r="X594" t="n">
        <v>103.43</v>
      </c>
      <c r="Y594">
        <f>ROUND(V594-W594,2)</f>
        <v/>
      </c>
      <c r="Z594">
        <f>ROUND(V594-X594,2)</f>
        <v/>
      </c>
      <c r="AA594" s="3">
        <f>IFERROR(W594/V594,"")</f>
        <v/>
      </c>
      <c r="AB594" s="3">
        <f>IFERROR(X594/V594,"")</f>
        <v/>
      </c>
      <c r="AC594" t="b">
        <v>0</v>
      </c>
      <c r="AD594" t="b">
        <v>0</v>
      </c>
      <c r="AE594" t="b">
        <v>0</v>
      </c>
      <c r="AF594" t="inlineStr">
        <is>
          <t>No</t>
        </is>
      </c>
      <c r="AG594" s="2" t="n">
        <v>44743</v>
      </c>
      <c r="AI594" t="b">
        <v>1</v>
      </c>
      <c r="AJ594" t="n">
        <v>5</v>
      </c>
      <c r="AK594" t="inlineStr">
        <is>
          <t>Key skills: Atlassian consultant/developer, DevOps, CI/CD</t>
        </is>
      </c>
      <c r="AL594" t="inlineStr">
        <is>
          <t>IT - Information Technology (Sebastian L.)</t>
        </is>
      </c>
      <c r="AM594" t="inlineStr">
        <is>
          <t>ESM Enterprise Service Management (Christian Wo.)</t>
        </is>
      </c>
      <c r="AN594" t="inlineStr">
        <is>
          <t>C&amp;DO - Cloud &amp; DevOps (Sebastian L.)</t>
        </is>
      </c>
      <c r="AO594" t="inlineStr">
        <is>
          <t>bridgingIT GmbH</t>
        </is>
      </c>
      <c r="AP594" t="inlineStr">
        <is>
          <t>Mannheim</t>
        </is>
      </c>
      <c r="AQ594" t="inlineStr">
        <is>
          <t>Christian Wolf</t>
        </is>
      </c>
    </row>
    <row r="595">
      <c r="A595" t="inlineStr">
        <is>
          <t>2087</t>
        </is>
      </c>
      <c r="B595" t="inlineStr">
        <is>
          <t>548784</t>
        </is>
      </c>
      <c r="C595" t="inlineStr">
        <is>
          <t>https://app.matchical.com/Consulting/ConsultantDetail?ConsultantId=24159e4b-66f1-4e1e-9934-0f72d7ba889c</t>
        </is>
      </c>
      <c r="D595" t="inlineStr">
        <is>
          <t>Tina Karbe</t>
        </is>
      </c>
      <c r="E595" t="inlineStr">
        <is>
          <t>tina.karbe@bridging-it.de</t>
        </is>
      </c>
      <c r="F595" s="2" t="n">
        <v>41699</v>
      </c>
      <c r="G595" s="2" t="n">
        <v>41699</v>
      </c>
      <c r="H595" t="n">
        <v>19</v>
      </c>
      <c r="I595" t="n">
        <v>0</v>
      </c>
      <c r="J595" t="n">
        <v>1</v>
      </c>
      <c r="K595" s="2" t="n">
        <v>44347</v>
      </c>
      <c r="L595" s="2" t="n">
        <v>45536</v>
      </c>
      <c r="M595" s="2" t="n">
        <v>45715</v>
      </c>
      <c r="N595" t="b">
        <v>0</v>
      </c>
      <c r="O595" t="n">
        <v>144</v>
      </c>
      <c r="P595" t="n">
        <v>206</v>
      </c>
      <c r="Q595" t="n">
        <v>137</v>
      </c>
      <c r="R595">
        <f>ROUND(O595-P595,2)</f>
        <v/>
      </c>
      <c r="S595">
        <f>ROUND(O595-Q595,2)</f>
        <v/>
      </c>
      <c r="T595" s="3">
        <f>IFERROR(P595/O595,"")</f>
        <v/>
      </c>
      <c r="U595" s="3">
        <f>IFERROR(Q595/O595,"")</f>
        <v/>
      </c>
      <c r="V595" t="n">
        <v>0</v>
      </c>
      <c r="W595" t="n">
        <v>0</v>
      </c>
      <c r="X595" t="n">
        <v>0</v>
      </c>
      <c r="Y595">
        <f>ROUND(V595-W595,2)</f>
        <v/>
      </c>
      <c r="Z595">
        <f>ROUND(V595-X595,2)</f>
        <v/>
      </c>
      <c r="AA595" s="3">
        <f>IFERROR(W595/V595,"")</f>
        <v/>
      </c>
      <c r="AB595" s="3">
        <f>IFERROR(X595/V595,"")</f>
        <v/>
      </c>
      <c r="AC595" t="b">
        <v>0</v>
      </c>
      <c r="AD595" t="b">
        <v>0</v>
      </c>
      <c r="AE595" t="b">
        <v>0</v>
      </c>
      <c r="AF595" t="inlineStr">
        <is>
          <t>Yes</t>
        </is>
      </c>
      <c r="AG595" s="2" t="n">
        <v>46235</v>
      </c>
      <c r="AI595" t="b">
        <v>0</v>
      </c>
      <c r="AJ595" t="n">
        <v>3</v>
      </c>
      <c r="AK595" t="inlineStr">
        <is>
          <t>Delighted to be an agile IT PM in a team with bIT colleagues, Carve-In/-Outs, IT Architecture, IT Solution, and technical project management, as a multiplier. Tina is the guarantor of success, with absolute competence, a results-oriented mindset, and the ability to handle complexity!</t>
        </is>
      </c>
      <c r="AL595" t="inlineStr">
        <is>
          <t>IT Information Technology (Hauke G.)</t>
        </is>
      </c>
      <c r="AM595" t="inlineStr">
        <is>
          <t>AM IT-Architecture Management (Wilfried W.)</t>
        </is>
      </c>
      <c r="AN595" t="inlineStr">
        <is>
          <t>ITM IT-Management (Jörg M.)</t>
        </is>
      </c>
      <c r="AO595" t="inlineStr">
        <is>
          <t>bridgingIT GmbH</t>
        </is>
      </c>
      <c r="AP595" t="inlineStr">
        <is>
          <t>Stuttgart</t>
        </is>
      </c>
      <c r="AQ595" t="inlineStr">
        <is>
          <t>Wilfried Wessel</t>
        </is>
      </c>
    </row>
    <row r="596">
      <c r="A596" t="inlineStr">
        <is>
          <t>8186</t>
        </is>
      </c>
      <c r="B596" t="inlineStr">
        <is>
          <t>01109B</t>
        </is>
      </c>
      <c r="C596" t="inlineStr">
        <is>
          <t>https://app.matchical.com/Consulting/ConsultantDetail?ConsultantId=359d595d-d55f-4436-88e2-3988b2501827</t>
        </is>
      </c>
      <c r="D596" t="inlineStr">
        <is>
          <t>Tobias Aßmann</t>
        </is>
      </c>
      <c r="E596" t="inlineStr">
        <is>
          <t>tobias.assmann@crafting-it.de</t>
        </is>
      </c>
      <c r="F596" s="2" t="n">
        <v>42689</v>
      </c>
      <c r="G596" s="2" t="n">
        <v>41030</v>
      </c>
      <c r="H596" t="n">
        <v>9</v>
      </c>
      <c r="I596" t="n">
        <v>0</v>
      </c>
      <c r="J596" t="n">
        <v>1</v>
      </c>
      <c r="K596" s="2" t="n">
        <v>44012</v>
      </c>
      <c r="L596" s="2" t="n">
        <v>45139</v>
      </c>
      <c r="M596" s="2" t="n">
        <v>45504</v>
      </c>
      <c r="N596" t="b">
        <v>0</v>
      </c>
      <c r="O596" t="n">
        <v>111</v>
      </c>
      <c r="P596" t="n">
        <v>146</v>
      </c>
      <c r="Q596" t="n">
        <v>84</v>
      </c>
      <c r="R596">
        <f>ROUND(O596-P596,2)</f>
        <v/>
      </c>
      <c r="S596">
        <f>ROUND(O596-Q596,2)</f>
        <v/>
      </c>
      <c r="T596" s="3">
        <f>IFERROR(P596/O596,"")</f>
        <v/>
      </c>
      <c r="U596" s="3">
        <f>IFERROR(Q596/O596,"")</f>
        <v/>
      </c>
      <c r="V596" t="n">
        <v>55</v>
      </c>
      <c r="W596" t="n">
        <v>0</v>
      </c>
      <c r="X596" t="n">
        <v>0</v>
      </c>
      <c r="Y596">
        <f>ROUND(V596-W596,2)</f>
        <v/>
      </c>
      <c r="Z596">
        <f>ROUND(V596-X596,2)</f>
        <v/>
      </c>
      <c r="AA596" s="3">
        <f>IFERROR(W596/V596,"")</f>
        <v/>
      </c>
      <c r="AB596" s="3">
        <f>IFERROR(X596/V596,"")</f>
        <v/>
      </c>
      <c r="AC596" t="b">
        <v>0</v>
      </c>
      <c r="AD596" t="b">
        <v>0</v>
      </c>
      <c r="AE596" t="b">
        <v>0</v>
      </c>
      <c r="AF596" t="inlineStr">
        <is>
          <t>Yes</t>
        </is>
      </c>
      <c r="AG596" s="2" t="n">
        <v>46023</v>
      </c>
      <c r="AI596" t="b">
        <v>1</v>
      </c>
      <c r="AJ596" t="n">
        <v>2</v>
      </c>
      <c r="AK596" t="inlineStr"/>
      <c r="AL596" t="inlineStr">
        <is>
          <t>ORG cIT</t>
        </is>
      </c>
      <c r="AM596" t="inlineStr">
        <is>
          <t>cIT AMS / GIS Services (Michael B.)</t>
        </is>
      </c>
      <c r="AN596" t="inlineStr">
        <is>
          <t>cIT Service Delivery Magdeburg (Steffen A.)</t>
        </is>
      </c>
      <c r="AO596" t="inlineStr">
        <is>
          <t>craftingIT GmbH</t>
        </is>
      </c>
      <c r="AP596" t="inlineStr">
        <is>
          <t>Magdeburg</t>
        </is>
      </c>
      <c r="AQ596" t="inlineStr">
        <is>
          <t>Michael Buchter</t>
        </is>
      </c>
    </row>
    <row r="597">
      <c r="A597" t="inlineStr">
        <is>
          <t>1195</t>
        </is>
      </c>
      <c r="B597" t="inlineStr">
        <is>
          <t>73639A</t>
        </is>
      </c>
      <c r="C597" t="inlineStr">
        <is>
          <t>https://app.matchical.com/Consulting/ConsultantDetail?ConsultantId=0c035013-4fc6-412d-ba01-a10b5f1bb10a</t>
        </is>
      </c>
      <c r="D597" t="inlineStr">
        <is>
          <t>Tobias Freitag</t>
        </is>
      </c>
      <c r="E597" t="inlineStr">
        <is>
          <t>tobias.freitag@bridging-it.de</t>
        </is>
      </c>
      <c r="F597" s="2" t="n">
        <v>41153</v>
      </c>
      <c r="G597" s="2" t="n">
        <v>39326</v>
      </c>
      <c r="H597" t="n">
        <v>25</v>
      </c>
      <c r="I597" t="n">
        <v>0</v>
      </c>
      <c r="J597" t="n">
        <v>1</v>
      </c>
      <c r="K597" s="2" t="n">
        <v>44645</v>
      </c>
      <c r="L597" s="2" t="n">
        <v>45352</v>
      </c>
      <c r="M597" s="2" t="n">
        <v>45565</v>
      </c>
      <c r="N597" t="b">
        <v>0</v>
      </c>
      <c r="O597" t="n">
        <v>162</v>
      </c>
      <c r="P597" t="n">
        <v>265</v>
      </c>
      <c r="Q597" t="n">
        <v>150.5</v>
      </c>
      <c r="R597">
        <f>ROUND(O597-P597,2)</f>
        <v/>
      </c>
      <c r="S597">
        <f>ROUND(O597-Q597,2)</f>
        <v/>
      </c>
      <c r="T597" s="3">
        <f>IFERROR(P597/O597,"")</f>
        <v/>
      </c>
      <c r="U597" s="3">
        <f>IFERROR(Q597/O597,"")</f>
        <v/>
      </c>
      <c r="V597" t="n">
        <v>60</v>
      </c>
      <c r="W597" t="n">
        <v>39</v>
      </c>
      <c r="X597" t="n">
        <v>29</v>
      </c>
      <c r="Y597">
        <f>ROUND(V597-W597,2)</f>
        <v/>
      </c>
      <c r="Z597">
        <f>ROUND(V597-X597,2)</f>
        <v/>
      </c>
      <c r="AA597" s="3">
        <f>IFERROR(W597/V597,"")</f>
        <v/>
      </c>
      <c r="AB597" s="3">
        <f>IFERROR(X597/V597,"")</f>
        <v/>
      </c>
      <c r="AC597" t="b">
        <v>0</v>
      </c>
      <c r="AD597" t="b">
        <v>0</v>
      </c>
      <c r="AE597" t="b">
        <v>0</v>
      </c>
      <c r="AF597" t="inlineStr">
        <is>
          <t>No</t>
        </is>
      </c>
      <c r="AI597" t="b">
        <v>0</v>
      </c>
      <c r="AJ597" t="n">
        <v>0</v>
      </c>
      <c r="AK597" t="inlineStr"/>
      <c r="AL597" t="inlineStr">
        <is>
          <t>Geschäftsleitung und Support</t>
        </is>
      </c>
      <c r="AM597" t="inlineStr">
        <is>
          <t>CxO</t>
        </is>
      </c>
      <c r="AN597" t="inlineStr">
        <is>
          <t>CEO</t>
        </is>
      </c>
      <c r="AO597" t="inlineStr">
        <is>
          <t>bridgingIT GmbH</t>
        </is>
      </c>
      <c r="AP597" t="inlineStr">
        <is>
          <t>Frankfurt</t>
        </is>
      </c>
      <c r="AQ597" t="inlineStr">
        <is>
          <t>Simon Dillmann</t>
        </is>
      </c>
    </row>
    <row r="598">
      <c r="A598" t="inlineStr">
        <is>
          <t>1466</t>
        </is>
      </c>
      <c r="B598" t="inlineStr">
        <is>
          <t>81D5CB</t>
        </is>
      </c>
      <c r="C598" t="inlineStr">
        <is>
          <t>https://app.matchical.com/Consulting/ConsultantDetail?ConsultantId=7dc1fba6-29a9-4541-94a4-93e0d2fc416a</t>
        </is>
      </c>
      <c r="D598" t="inlineStr">
        <is>
          <t>Tobias Grein</t>
        </is>
      </c>
      <c r="E598" t="inlineStr">
        <is>
          <t>tobias.grein@bridging-it.de</t>
        </is>
      </c>
      <c r="F598" s="2" t="n">
        <v>44013</v>
      </c>
      <c r="G598" s="2" t="n">
        <v>42795</v>
      </c>
      <c r="H598" t="n">
        <v>7</v>
      </c>
      <c r="I598" t="n">
        <v>0</v>
      </c>
      <c r="J598" t="n">
        <v>0</v>
      </c>
      <c r="L598" s="2" t="n">
        <v>45473</v>
      </c>
      <c r="M598" s="2" t="n">
        <v>46022</v>
      </c>
      <c r="N598" t="b">
        <v>0</v>
      </c>
      <c r="O598" t="n">
        <v>68</v>
      </c>
      <c r="P598" t="n">
        <v>71</v>
      </c>
      <c r="Q598" t="n">
        <v>57</v>
      </c>
      <c r="R598">
        <f>ROUND(O598-P598,2)</f>
        <v/>
      </c>
      <c r="S598">
        <f>ROUND(O598-Q598,2)</f>
        <v/>
      </c>
      <c r="T598" s="3">
        <f>IFERROR(P598/O598,"")</f>
        <v/>
      </c>
      <c r="U598" s="3">
        <f>IFERROR(Q598/O598,"")</f>
        <v/>
      </c>
      <c r="V598" t="n">
        <v>40</v>
      </c>
      <c r="W598" t="n">
        <v>0</v>
      </c>
      <c r="X598" t="n">
        <v>0</v>
      </c>
      <c r="Y598">
        <f>ROUND(V598-W598,2)</f>
        <v/>
      </c>
      <c r="Z598">
        <f>ROUND(V598-X598,2)</f>
        <v/>
      </c>
      <c r="AA598" s="3">
        <f>IFERROR(W598/V598,"")</f>
        <v/>
      </c>
      <c r="AB598" s="3">
        <f>IFERROR(X598/V598,"")</f>
        <v/>
      </c>
      <c r="AC598" t="b">
        <v>0</v>
      </c>
      <c r="AD598" t="b">
        <v>0</v>
      </c>
      <c r="AE598" t="b">
        <v>0</v>
      </c>
      <c r="AF598" t="inlineStr">
        <is>
          <t>Yes</t>
        </is>
      </c>
      <c r="AG598" s="2" t="n">
        <v>46113</v>
      </c>
      <c r="AI598" t="b">
        <v>0</v>
      </c>
      <c r="AJ598" t="n">
        <v>5</v>
      </c>
      <c r="AK598" t="inlineStr">
        <is>
          <t>Re-engagement at RLV is very likely (79%). Possibility of full utilization. The AP at RLV is unfortunately on sick leave, which is causing a delay.</t>
        </is>
      </c>
      <c r="AL598" t="inlineStr">
        <is>
          <t>IT - Information Technology (Sebastian L.)</t>
        </is>
      </c>
      <c r="AM598" t="inlineStr">
        <is>
          <t>DOE DevOps Enablement (Florian W.)</t>
        </is>
      </c>
      <c r="AN598" t="inlineStr">
        <is>
          <t>C&amp;DO - Cloud &amp; DevOps (Sebastian L.)</t>
        </is>
      </c>
      <c r="AO598" t="inlineStr">
        <is>
          <t>bridgingIT GmbH</t>
        </is>
      </c>
      <c r="AP598" t="inlineStr">
        <is>
          <t>Mannheim</t>
        </is>
      </c>
      <c r="AQ598" t="inlineStr">
        <is>
          <t>Florian Wendel</t>
        </is>
      </c>
    </row>
    <row r="599">
      <c r="A599" t="inlineStr">
        <is>
          <t>10214</t>
        </is>
      </c>
      <c r="B599" t="inlineStr">
        <is>
          <t>5EEE91</t>
        </is>
      </c>
      <c r="C599" t="inlineStr">
        <is>
          <t>https://app.matchical.com/Consulting/ConsultantDetail?ConsultantId=f263e9b2-d07d-42c8-af85-21a27cdf67d1</t>
        </is>
      </c>
      <c r="D599" t="inlineStr">
        <is>
          <t>Tobias Liedermann</t>
        </is>
      </c>
      <c r="E599" t="inlineStr">
        <is>
          <t>tobias.liedermann@bridging-it.de</t>
        </is>
      </c>
      <c r="F599" s="2" t="n">
        <v>45261</v>
      </c>
      <c r="G599" s="2" t="n">
        <v>40360</v>
      </c>
      <c r="H599" t="n">
        <v>10</v>
      </c>
      <c r="I599" t="n">
        <v>0</v>
      </c>
      <c r="J599" t="n">
        <v>1</v>
      </c>
      <c r="K599" s="2" t="n">
        <v>45716</v>
      </c>
      <c r="L599" s="2" t="n">
        <v>45509</v>
      </c>
      <c r="M599" s="2" t="n">
        <v>45657</v>
      </c>
      <c r="N599" t="b">
        <v>0</v>
      </c>
      <c r="O599" t="n">
        <v>27</v>
      </c>
      <c r="P599" t="n">
        <v>29</v>
      </c>
      <c r="Q599" t="n">
        <v>24</v>
      </c>
      <c r="R599">
        <f>ROUND(O599-P599,2)</f>
        <v/>
      </c>
      <c r="S599">
        <f>ROUND(O599-Q599,2)</f>
        <v/>
      </c>
      <c r="T599" s="3">
        <f>IFERROR(P599/O599,"")</f>
        <v/>
      </c>
      <c r="U599" s="3">
        <f>IFERROR(Q599/O599,"")</f>
        <v/>
      </c>
      <c r="V599" t="n">
        <v>161</v>
      </c>
      <c r="W599" t="n">
        <v>98</v>
      </c>
      <c r="X599" t="n">
        <v>63</v>
      </c>
      <c r="Y599">
        <f>ROUND(V599-W599,2)</f>
        <v/>
      </c>
      <c r="Z599">
        <f>ROUND(V599-X599,2)</f>
        <v/>
      </c>
      <c r="AA599" s="3">
        <f>IFERROR(W599/V599,"")</f>
        <v/>
      </c>
      <c r="AB599" s="3">
        <f>IFERROR(X599/V599,"")</f>
        <v/>
      </c>
      <c r="AC599" t="b">
        <v>0</v>
      </c>
      <c r="AD599" t="b">
        <v>0</v>
      </c>
      <c r="AE599" t="b">
        <v>0</v>
      </c>
      <c r="AF599" t="inlineStr">
        <is>
          <t>No</t>
        </is>
      </c>
      <c r="AI599" t="b">
        <v>0</v>
      </c>
      <c r="AJ599" t="n">
        <v>0</v>
      </c>
      <c r="AK599" t="inlineStr"/>
      <c r="AL599" t="inlineStr">
        <is>
          <t>ES Enterprise Solutions (Gina H.)</t>
        </is>
      </c>
      <c r="AM599" t="inlineStr">
        <is>
          <t>IEJ Java I (Dominik S.)</t>
        </is>
      </c>
      <c r="AN599" t="inlineStr">
        <is>
          <t>IEJ Individualentwicklung JAVA (Dominik S.)</t>
        </is>
      </c>
      <c r="AO599" t="inlineStr">
        <is>
          <t>bridgingIT GmbH</t>
        </is>
      </c>
      <c r="AP599" t="inlineStr">
        <is>
          <t>Stuttgart</t>
        </is>
      </c>
      <c r="AQ599" t="inlineStr">
        <is>
          <t>Dominik Schadow</t>
        </is>
      </c>
    </row>
    <row r="600">
      <c r="A600" t="inlineStr">
        <is>
          <t>1121</t>
        </is>
      </c>
      <c r="B600" t="inlineStr">
        <is>
          <t>719C78</t>
        </is>
      </c>
      <c r="C600" t="inlineStr">
        <is>
          <t>https://app.matchical.com/Consulting/ConsultantDetail?ConsultantId=bd3ac042-15fe-4e63-a5cd-ba02745c4174</t>
        </is>
      </c>
      <c r="D600" t="inlineStr">
        <is>
          <t>Tobias Meier</t>
        </is>
      </c>
      <c r="E600" t="inlineStr">
        <is>
          <t>tobias.meier@bridging-it.de</t>
        </is>
      </c>
      <c r="F600" s="2" t="n">
        <v>40269</v>
      </c>
      <c r="G600" s="2" t="n">
        <v>34790</v>
      </c>
      <c r="H600" t="n">
        <v>34</v>
      </c>
      <c r="I600" t="n">
        <v>0</v>
      </c>
      <c r="J600" t="n">
        <v>5</v>
      </c>
      <c r="K600" s="2" t="n">
        <v>42248</v>
      </c>
      <c r="L600" s="2" t="n">
        <v>44682</v>
      </c>
      <c r="M600" s="2" t="n">
        <v>44894</v>
      </c>
      <c r="N600" t="b">
        <v>0</v>
      </c>
      <c r="O600" t="n">
        <v>191</v>
      </c>
      <c r="P600" t="n">
        <v>570</v>
      </c>
      <c r="Q600" t="n">
        <v>190.82</v>
      </c>
      <c r="R600">
        <f>ROUND(O600-P600,2)</f>
        <v/>
      </c>
      <c r="S600">
        <f>ROUND(O600-Q600,2)</f>
        <v/>
      </c>
      <c r="T600" s="3">
        <f>IFERROR(P600/O600,"")</f>
        <v/>
      </c>
      <c r="U600" s="3">
        <f>IFERROR(Q600/O600,"")</f>
        <v/>
      </c>
      <c r="V600" t="n">
        <v>180</v>
      </c>
      <c r="W600" t="n">
        <v>219</v>
      </c>
      <c r="X600" t="n">
        <v>109</v>
      </c>
      <c r="Y600">
        <f>ROUND(V600-W600,2)</f>
        <v/>
      </c>
      <c r="Z600">
        <f>ROUND(V600-X600,2)</f>
        <v/>
      </c>
      <c r="AA600" s="3">
        <f>IFERROR(W600/V600,"")</f>
        <v/>
      </c>
      <c r="AB600" s="3">
        <f>IFERROR(X600/V600,"")</f>
        <v/>
      </c>
      <c r="AC600" t="b">
        <v>0</v>
      </c>
      <c r="AD600" t="b">
        <v>0</v>
      </c>
      <c r="AE600" t="b">
        <v>0</v>
      </c>
      <c r="AF600" t="inlineStr">
        <is>
          <t>No</t>
        </is>
      </c>
      <c r="AI600" t="b">
        <v>0</v>
      </c>
      <c r="AJ600" t="n">
        <v>0</v>
      </c>
      <c r="AK600" t="inlineStr"/>
      <c r="AL600" t="inlineStr">
        <is>
          <t>ES Enterprise Solutions (Gina H.)</t>
        </is>
      </c>
      <c r="AM600" t="inlineStr">
        <is>
          <t>IEM .Net I (Christoph M.)</t>
        </is>
      </c>
      <c r="AN600" t="inlineStr">
        <is>
          <t>IEJ Individualentwicklung JAVA (Dominik S.)</t>
        </is>
      </c>
      <c r="AO600" t="inlineStr">
        <is>
          <t>bridgingIT GmbH</t>
        </is>
      </c>
      <c r="AP600" t="inlineStr">
        <is>
          <t>Stuttgart</t>
        </is>
      </c>
      <c r="AQ600" t="inlineStr">
        <is>
          <t>Christoph Müller</t>
        </is>
      </c>
    </row>
    <row r="601">
      <c r="A601" t="inlineStr">
        <is>
          <t>10375</t>
        </is>
      </c>
      <c r="B601" t="inlineStr">
        <is>
          <t>6E6297</t>
        </is>
      </c>
      <c r="C601" t="inlineStr">
        <is>
          <t>https://app.matchical.com/Consulting/ConsultantDetail?ConsultantId=c2c0727a-66d9-44d3-b50b-3afb2cf0779e</t>
        </is>
      </c>
      <c r="D601" t="inlineStr">
        <is>
          <t>Tobias Sproll</t>
        </is>
      </c>
      <c r="E601" t="inlineStr">
        <is>
          <t>tobias.sproll@bridging-it.de</t>
        </is>
      </c>
      <c r="F601" s="2" t="n">
        <v>45901</v>
      </c>
      <c r="G601" s="2" t="n">
        <v>42736</v>
      </c>
      <c r="H601" t="n">
        <v>4</v>
      </c>
      <c r="I601" t="n">
        <v>0</v>
      </c>
      <c r="J601" t="n">
        <v>0</v>
      </c>
      <c r="L601" s="2" t="n">
        <v>45291</v>
      </c>
      <c r="M601" s="2" t="n">
        <v>45656</v>
      </c>
      <c r="N601" t="b">
        <v>0</v>
      </c>
      <c r="O601" t="n">
        <v>6</v>
      </c>
      <c r="P601" t="n">
        <v>0</v>
      </c>
      <c r="Q601" t="n">
        <v>0</v>
      </c>
      <c r="R601">
        <f>ROUND(O601-P601,2)</f>
        <v/>
      </c>
      <c r="S601">
        <f>ROUND(O601-Q601,2)</f>
        <v/>
      </c>
      <c r="T601" s="3">
        <f>IFERROR(P601/O601,"")</f>
        <v/>
      </c>
      <c r="U601" s="3">
        <f>IFERROR(Q601/O601,"")</f>
        <v/>
      </c>
      <c r="V601" t="n">
        <v>104</v>
      </c>
      <c r="W601" t="n">
        <v>128</v>
      </c>
      <c r="X601" t="n">
        <v>82</v>
      </c>
      <c r="Y601">
        <f>ROUND(V601-W601,2)</f>
        <v/>
      </c>
      <c r="Z601">
        <f>ROUND(V601-X601,2)</f>
        <v/>
      </c>
      <c r="AA601" s="3">
        <f>IFERROR(W601/V601,"")</f>
        <v/>
      </c>
      <c r="AB601" s="3">
        <f>IFERROR(X601/V601,"")</f>
        <v/>
      </c>
      <c r="AC601" t="b">
        <v>0</v>
      </c>
      <c r="AD601" t="b">
        <v>0</v>
      </c>
      <c r="AE601" t="b">
        <v>0</v>
      </c>
      <c r="AF601" t="inlineStr">
        <is>
          <t>No</t>
        </is>
      </c>
      <c r="AI601" t="b">
        <v>1</v>
      </c>
      <c r="AJ601" t="n">
        <v>0</v>
      </c>
      <c r="AK601" t="inlineStr"/>
      <c r="AL601" t="inlineStr">
        <is>
          <t>A&amp;SE Analytics &amp; Software Engineering (Philip R.)</t>
        </is>
      </c>
      <c r="AM601" t="inlineStr">
        <is>
          <t>DS Data Science (Dr. Philip W.)</t>
        </is>
      </c>
      <c r="AN601" t="inlineStr">
        <is>
          <t>A&amp;DDS - Analytics &amp; Data-driven Solutions (M. Hof)</t>
        </is>
      </c>
      <c r="AO601" t="inlineStr">
        <is>
          <t>bridgingIT GmbH</t>
        </is>
      </c>
      <c r="AP601" t="inlineStr">
        <is>
          <t>Berlin</t>
        </is>
      </c>
      <c r="AQ601" t="inlineStr">
        <is>
          <t>Philip Wollfarth</t>
        </is>
      </c>
    </row>
    <row r="602">
      <c r="A602" t="inlineStr">
        <is>
          <t>10235</t>
        </is>
      </c>
      <c r="B602" t="inlineStr">
        <is>
          <t>5DDE7B</t>
        </is>
      </c>
      <c r="C602" t="inlineStr">
        <is>
          <t>https://app.matchical.com/Consulting/ConsultantDetail?ConsultantId=7d9888ea-4cd7-484d-a0c7-2b9d70400211</t>
        </is>
      </c>
      <c r="D602" t="inlineStr">
        <is>
          <t>Tobias Unger</t>
        </is>
      </c>
      <c r="E602" t="inlineStr">
        <is>
          <t>tobias.unger@bridging-it.de</t>
        </is>
      </c>
      <c r="F602" s="2" t="n">
        <v>45261</v>
      </c>
      <c r="H602" t="n">
        <v>2</v>
      </c>
      <c r="I602" t="n">
        <v>0</v>
      </c>
      <c r="J602" t="n">
        <v>0</v>
      </c>
      <c r="L602" s="2" t="n">
        <v>45454</v>
      </c>
      <c r="M602" s="2" t="n">
        <v>45715</v>
      </c>
      <c r="N602" t="b">
        <v>0</v>
      </c>
      <c r="O602" t="n">
        <v>27</v>
      </c>
      <c r="P602" t="n">
        <v>34.88</v>
      </c>
      <c r="Q602" t="n">
        <v>26.81</v>
      </c>
      <c r="R602">
        <f>ROUND(O602-P602,2)</f>
        <v/>
      </c>
      <c r="S602">
        <f>ROUND(O602-Q602,2)</f>
        <v/>
      </c>
      <c r="T602" s="3">
        <f>IFERROR(P602/O602,"")</f>
        <v/>
      </c>
      <c r="U602" s="3">
        <f>IFERROR(Q602/O602,"")</f>
        <v/>
      </c>
      <c r="V602" t="n">
        <v>1487</v>
      </c>
      <c r="W602" t="n">
        <v>0</v>
      </c>
      <c r="X602" t="n">
        <v>0</v>
      </c>
      <c r="Y602">
        <f>ROUND(V602-W602,2)</f>
        <v/>
      </c>
      <c r="Z602">
        <f>ROUND(V602-X602,2)</f>
        <v/>
      </c>
      <c r="AA602" s="3">
        <f>IFERROR(W602/V602,"")</f>
        <v/>
      </c>
      <c r="AB602" s="3">
        <f>IFERROR(X602/V602,"")</f>
        <v/>
      </c>
      <c r="AC602" t="b">
        <v>0</v>
      </c>
      <c r="AD602" t="b">
        <v>0</v>
      </c>
      <c r="AE602" t="b">
        <v>0</v>
      </c>
      <c r="AF602" t="inlineStr">
        <is>
          <t>Yes</t>
        </is>
      </c>
      <c r="AG602" s="2" t="n">
        <v>46083</v>
      </c>
      <c r="AI602" t="b">
        <v>1</v>
      </c>
      <c r="AJ602" t="n">
        <v>5</v>
      </c>
      <c r="AK602" t="inlineStr"/>
      <c r="AL602" t="inlineStr">
        <is>
          <t>ES Enterprise Solutions (Gina H.)</t>
        </is>
      </c>
      <c r="AM602" t="inlineStr">
        <is>
          <t>PE Platform Engineering (Thomas K.)</t>
        </is>
      </c>
      <c r="AN602" t="inlineStr">
        <is>
          <t>PA Platform &amp; Application Solutions (Thomas K.)</t>
        </is>
      </c>
      <c r="AO602" t="inlineStr">
        <is>
          <t>bridgingIT GmbH</t>
        </is>
      </c>
      <c r="AP602" t="inlineStr">
        <is>
          <t>Stuttgart</t>
        </is>
      </c>
      <c r="AQ602" t="inlineStr">
        <is>
          <t>Thomas Kiri</t>
        </is>
      </c>
    </row>
    <row r="603">
      <c r="A603" t="inlineStr">
        <is>
          <t>2282</t>
        </is>
      </c>
      <c r="B603" t="inlineStr">
        <is>
          <t>63319A</t>
        </is>
      </c>
      <c r="C603" t="inlineStr">
        <is>
          <t>https://app.matchical.com/Consulting/ConsultantDetail?ConsultantId=3e170587-3702-438a-8427-d4b53fe8d700</t>
        </is>
      </c>
      <c r="D603" t="inlineStr">
        <is>
          <t>Tobias Vogel</t>
        </is>
      </c>
      <c r="E603" t="inlineStr">
        <is>
          <t>tobias.vogel@bridging-it.de</t>
        </is>
      </c>
      <c r="F603" s="2" t="n">
        <v>44317</v>
      </c>
      <c r="G603" s="2" t="n">
        <v>37135</v>
      </c>
      <c r="H603" t="n">
        <v>5</v>
      </c>
      <c r="I603" t="n">
        <v>0</v>
      </c>
      <c r="J603" t="n">
        <v>0</v>
      </c>
      <c r="L603" s="2" t="n">
        <v>44927</v>
      </c>
      <c r="M603" s="2" t="n">
        <v>45291</v>
      </c>
      <c r="N603" t="b">
        <v>0</v>
      </c>
      <c r="O603" t="n">
        <v>58</v>
      </c>
      <c r="P603" t="n">
        <v>50.13</v>
      </c>
      <c r="Q603" t="n">
        <v>33.89</v>
      </c>
      <c r="R603">
        <f>ROUND(O603-P603,2)</f>
        <v/>
      </c>
      <c r="S603">
        <f>ROUND(O603-Q603,2)</f>
        <v/>
      </c>
      <c r="T603" s="3">
        <f>IFERROR(P603/O603,"")</f>
        <v/>
      </c>
      <c r="U603" s="3">
        <f>IFERROR(Q603/O603,"")</f>
        <v/>
      </c>
      <c r="V603" t="n">
        <v>236</v>
      </c>
      <c r="W603" t="n">
        <v>7.87</v>
      </c>
      <c r="X603" t="n">
        <v>7.11</v>
      </c>
      <c r="Y603">
        <f>ROUND(V603-W603,2)</f>
        <v/>
      </c>
      <c r="Z603">
        <f>ROUND(V603-X603,2)</f>
        <v/>
      </c>
      <c r="AA603" s="3">
        <f>IFERROR(W603/V603,"")</f>
        <v/>
      </c>
      <c r="AB603" s="3">
        <f>IFERROR(X603/V603,"")</f>
        <v/>
      </c>
      <c r="AC603" t="b">
        <v>0</v>
      </c>
      <c r="AD603" t="b">
        <v>0</v>
      </c>
      <c r="AE603" t="b">
        <v>0</v>
      </c>
      <c r="AF603" t="inlineStr">
        <is>
          <t>Yes</t>
        </is>
      </c>
      <c r="AG603" s="2" t="n">
        <v>46113</v>
      </c>
      <c r="AI603" t="b">
        <v>0</v>
      </c>
      <c r="AJ603" t="n">
        <v>3</v>
      </c>
      <c r="AK603" t="inlineStr"/>
      <c r="AL603" t="inlineStr">
        <is>
          <t>ES Enterprise Solutions (Gina H.)</t>
        </is>
      </c>
      <c r="AM603" t="inlineStr">
        <is>
          <t>PE Platform Engineering (Thomas K.)</t>
        </is>
      </c>
      <c r="AN603" t="inlineStr">
        <is>
          <t>PA Platform &amp; Application Solutions (Thomas K.)</t>
        </is>
      </c>
      <c r="AO603" t="inlineStr">
        <is>
          <t>bridgingIT GmbH</t>
        </is>
      </c>
      <c r="AP603" t="inlineStr">
        <is>
          <t>Stuttgart</t>
        </is>
      </c>
      <c r="AQ603" t="inlineStr">
        <is>
          <t>Thomas Kiri</t>
        </is>
      </c>
    </row>
    <row r="604">
      <c r="A604" t="inlineStr">
        <is>
          <t>10288</t>
        </is>
      </c>
      <c r="B604" t="inlineStr">
        <is>
          <t>9B664C</t>
        </is>
      </c>
      <c r="C604" t="inlineStr">
        <is>
          <t>https://app.matchical.com/Consulting/ConsultantDetail?ConsultantId=fae7966f-17be-4c75-97a3-9638414025cf</t>
        </is>
      </c>
      <c r="D604" t="inlineStr">
        <is>
          <t>Torben Dimter</t>
        </is>
      </c>
      <c r="E604" t="inlineStr">
        <is>
          <t>torben.dimter@bridging-it.de</t>
        </is>
      </c>
      <c r="F604" s="2" t="n">
        <v>45536</v>
      </c>
      <c r="G604" s="2" t="n">
        <v>43952</v>
      </c>
      <c r="H604" t="n">
        <v>5</v>
      </c>
      <c r="I604" t="n">
        <v>0</v>
      </c>
      <c r="J604" t="n">
        <v>0</v>
      </c>
      <c r="L604" s="2" t="n">
        <v>45536</v>
      </c>
      <c r="M604" s="2" t="n">
        <v>46022</v>
      </c>
      <c r="N604" t="b">
        <v>0</v>
      </c>
      <c r="O604" t="n">
        <v>18</v>
      </c>
      <c r="P604" t="n">
        <v>16</v>
      </c>
      <c r="Q604" t="n">
        <v>16</v>
      </c>
      <c r="R604">
        <f>ROUND(O604-P604,2)</f>
        <v/>
      </c>
      <c r="S604">
        <f>ROUND(O604-Q604,2)</f>
        <v/>
      </c>
      <c r="T604" s="3">
        <f>IFERROR(P604/O604,"")</f>
        <v/>
      </c>
      <c r="U604" s="3">
        <f>IFERROR(Q604/O604,"")</f>
        <v/>
      </c>
      <c r="V604" t="n">
        <v>52</v>
      </c>
      <c r="W604" t="n">
        <v>34</v>
      </c>
      <c r="X604" t="n">
        <v>25</v>
      </c>
      <c r="Y604">
        <f>ROUND(V604-W604,2)</f>
        <v/>
      </c>
      <c r="Z604">
        <f>ROUND(V604-X604,2)</f>
        <v/>
      </c>
      <c r="AA604" s="3">
        <f>IFERROR(W604/V604,"")</f>
        <v/>
      </c>
      <c r="AB604" s="3">
        <f>IFERROR(X604/V604,"")</f>
        <v/>
      </c>
      <c r="AC604" t="b">
        <v>0</v>
      </c>
      <c r="AD604" t="b">
        <v>0</v>
      </c>
      <c r="AE604" t="b">
        <v>0</v>
      </c>
      <c r="AF604" t="inlineStr">
        <is>
          <t>No</t>
        </is>
      </c>
      <c r="AI604" t="b">
        <v>1</v>
      </c>
      <c r="AJ604" t="n">
        <v>0</v>
      </c>
      <c r="AK604" t="inlineStr"/>
      <c r="AL604" t="inlineStr">
        <is>
          <t>ES Enterprise Solutions (Gina H.)</t>
        </is>
      </c>
      <c r="AM604" t="inlineStr">
        <is>
          <t>DA Data &amp; AI Solutions (Ralf Fi.)</t>
        </is>
      </c>
      <c r="AN604" t="inlineStr">
        <is>
          <t>PA Platform &amp; Application Solutions (Thomas K.)</t>
        </is>
      </c>
      <c r="AO604" t="inlineStr">
        <is>
          <t>bridgingIT GmbH</t>
        </is>
      </c>
      <c r="AP604" t="inlineStr">
        <is>
          <t>Stuttgart</t>
        </is>
      </c>
      <c r="AQ604" t="inlineStr">
        <is>
          <t>Ralf Fischer</t>
        </is>
      </c>
    </row>
    <row r="605">
      <c r="A605" t="inlineStr">
        <is>
          <t>10415</t>
        </is>
      </c>
      <c r="B605" t="inlineStr">
        <is>
          <t>4250BA</t>
        </is>
      </c>
      <c r="C605" t="inlineStr">
        <is>
          <t>https://app.matchical.com/Consulting/ConsultantDetail?ConsultantId=380e550e-f0fb-454a-a726-49e570721902</t>
        </is>
      </c>
      <c r="D605" t="inlineStr">
        <is>
          <t>Torben Häder</t>
        </is>
      </c>
      <c r="E605" t="inlineStr">
        <is>
          <t>torben.haeder@bridging-it.de</t>
        </is>
      </c>
      <c r="F605" s="2" t="n">
        <v>46054</v>
      </c>
      <c r="G605" s="2" t="n">
        <v>40878</v>
      </c>
      <c r="H605" t="n">
        <v>7</v>
      </c>
      <c r="I605" t="n">
        <v>0</v>
      </c>
      <c r="J605" t="n">
        <v>0</v>
      </c>
      <c r="L605" s="2" t="n">
        <v>44957</v>
      </c>
      <c r="M605" s="2" t="n">
        <v>46021</v>
      </c>
      <c r="N605" t="b">
        <v>0</v>
      </c>
      <c r="O605" t="n">
        <v>1</v>
      </c>
      <c r="P605" t="n">
        <v>0</v>
      </c>
      <c r="Q605" t="n">
        <v>0</v>
      </c>
      <c r="R605">
        <f>ROUND(O605-P605,2)</f>
        <v/>
      </c>
      <c r="S605">
        <f>ROUND(O605-Q605,2)</f>
        <v/>
      </c>
      <c r="T605" s="3">
        <f>IFERROR(P605/O605,"")</f>
        <v/>
      </c>
      <c r="U605" s="3">
        <f>IFERROR(Q605/O605,"")</f>
        <v/>
      </c>
      <c r="V605" t="n">
        <v>170</v>
      </c>
      <c r="W605" t="n">
        <v>124</v>
      </c>
      <c r="X605" t="n">
        <v>79.5</v>
      </c>
      <c r="Y605">
        <f>ROUND(V605-W605,2)</f>
        <v/>
      </c>
      <c r="Z605">
        <f>ROUND(V605-X605,2)</f>
        <v/>
      </c>
      <c r="AA605" s="3">
        <f>IFERROR(W605/V605,"")</f>
        <v/>
      </c>
      <c r="AB605" s="3">
        <f>IFERROR(X605/V605,"")</f>
        <v/>
      </c>
      <c r="AC605" t="b">
        <v>0</v>
      </c>
      <c r="AD605" t="b">
        <v>0</v>
      </c>
      <c r="AE605" t="b">
        <v>0</v>
      </c>
      <c r="AF605" t="inlineStr">
        <is>
          <t>Yes</t>
        </is>
      </c>
      <c r="AG605" s="2" t="n">
        <v>46054</v>
      </c>
      <c r="AH605" s="2" t="n">
        <v>46081</v>
      </c>
      <c r="AI605" t="b">
        <v>1</v>
      </c>
      <c r="AJ605" t="n">
        <v>5</v>
      </c>
      <c r="AK605" t="inlineStr"/>
      <c r="AL605" t="inlineStr">
        <is>
          <t>IT - Information Technology (HH)</t>
        </is>
      </c>
      <c r="AM605" t="inlineStr">
        <is>
          <t>BAAM - Management (Torben H.)</t>
        </is>
      </c>
      <c r="AN605" t="inlineStr">
        <is>
          <t>BAA HH (Torben H.)</t>
        </is>
      </c>
      <c r="AO605" t="inlineStr">
        <is>
          <t>bridgingIT GmbH</t>
        </is>
      </c>
      <c r="AP605" t="inlineStr">
        <is>
          <t>Hamburg</t>
        </is>
      </c>
      <c r="AQ605" t="inlineStr">
        <is>
          <t>Markus Stefan</t>
        </is>
      </c>
    </row>
    <row r="606">
      <c r="A606" t="inlineStr">
        <is>
          <t>3089</t>
        </is>
      </c>
      <c r="B606" t="inlineStr">
        <is>
          <t>22C753</t>
        </is>
      </c>
      <c r="C606" t="inlineStr">
        <is>
          <t>https://app.matchical.com/Consulting/ConsultantDetail?ConsultantId=9595126d-7bc7-4b08-ae78-7c9cf9fa3294</t>
        </is>
      </c>
      <c r="D606" t="inlineStr">
        <is>
          <t>Torsten Rinck</t>
        </is>
      </c>
      <c r="E606" t="inlineStr">
        <is>
          <t>torsten.rinck@bridging-it.de</t>
        </is>
      </c>
      <c r="F606" s="2" t="n">
        <v>41960</v>
      </c>
      <c r="G606" s="2" t="n">
        <v>32051</v>
      </c>
      <c r="H606" t="n">
        <v>28</v>
      </c>
      <c r="I606" t="n">
        <v>0</v>
      </c>
      <c r="J606" t="n">
        <v>1</v>
      </c>
      <c r="K606" s="2" t="n">
        <v>45397</v>
      </c>
      <c r="L606" s="2" t="n">
        <v>44074</v>
      </c>
      <c r="M606" s="2" t="n">
        <v>45290</v>
      </c>
      <c r="N606" t="b">
        <v>0</v>
      </c>
      <c r="O606" t="n">
        <v>135</v>
      </c>
      <c r="P606" t="n">
        <v>190</v>
      </c>
      <c r="Q606" t="n">
        <v>130</v>
      </c>
      <c r="R606">
        <f>ROUND(O606-P606,2)</f>
        <v/>
      </c>
      <c r="S606">
        <f>ROUND(O606-Q606,2)</f>
        <v/>
      </c>
      <c r="T606" s="3">
        <f>IFERROR(P606/O606,"")</f>
        <v/>
      </c>
      <c r="U606" s="3">
        <f>IFERROR(Q606/O606,"")</f>
        <v/>
      </c>
      <c r="V606" t="n">
        <v>326</v>
      </c>
      <c r="W606" t="n">
        <v>342</v>
      </c>
      <c r="X606" t="n">
        <v>279</v>
      </c>
      <c r="Y606">
        <f>ROUND(V606-W606,2)</f>
        <v/>
      </c>
      <c r="Z606">
        <f>ROUND(V606-X606,2)</f>
        <v/>
      </c>
      <c r="AA606" s="3">
        <f>IFERROR(W606/V606,"")</f>
        <v/>
      </c>
      <c r="AB606" s="3">
        <f>IFERROR(X606/V606,"")</f>
        <v/>
      </c>
      <c r="AC606" t="b">
        <v>0</v>
      </c>
      <c r="AD606" t="b">
        <v>0</v>
      </c>
      <c r="AE606" t="b">
        <v>0</v>
      </c>
      <c r="AF606" t="inlineStr">
        <is>
          <t>Yes</t>
        </is>
      </c>
      <c r="AG606" s="2" t="n">
        <v>46143</v>
      </c>
      <c r="AI606" t="b">
        <v>1</v>
      </c>
      <c r="AJ606" t="n">
        <v>3</v>
      </c>
      <c r="AK606" t="inlineStr">
        <is>
          <t>Looking for a project in the WR Rein-Main-Necker region with potential for scaling.</t>
        </is>
      </c>
      <c r="AL606" t="inlineStr">
        <is>
          <t>ORG bIT</t>
        </is>
      </c>
      <c r="AM606" t="inlineStr">
        <is>
          <t>ITPM IT Projectmanagement (Torsten R.)</t>
        </is>
      </c>
      <c r="AN606" t="inlineStr">
        <is>
          <t>MIT Management of IT (Torsten R.)</t>
        </is>
      </c>
      <c r="AO606" t="inlineStr">
        <is>
          <t>bridgingIT GmbH</t>
        </is>
      </c>
      <c r="AP606" t="inlineStr">
        <is>
          <t>Frankfurt</t>
        </is>
      </c>
      <c r="AQ606" t="inlineStr">
        <is>
          <t>Gerrit Seewald</t>
        </is>
      </c>
    </row>
    <row r="607">
      <c r="A607" t="inlineStr">
        <is>
          <t>10432</t>
        </is>
      </c>
      <c r="B607" t="inlineStr">
        <is>
          <t>1B5B81</t>
        </is>
      </c>
      <c r="C607" t="inlineStr">
        <is>
          <t>https://app.matchical.com/Consulting/ConsultantDetail?ConsultantId=c7fd2cc7-4b65-417c-a066-0f2f7d7a79f0</t>
        </is>
      </c>
      <c r="D607" t="inlineStr">
        <is>
          <t>Udo Peters</t>
        </is>
      </c>
      <c r="E607" t="inlineStr">
        <is>
          <t>udo.peters@bridging-it.de</t>
        </is>
      </c>
      <c r="F607" s="2" t="n">
        <v>46054</v>
      </c>
      <c r="G607" s="2" t="n">
        <v>35828</v>
      </c>
      <c r="H607" t="n">
        <v>6</v>
      </c>
      <c r="I607" t="n">
        <v>0</v>
      </c>
      <c r="J607" t="n">
        <v>1</v>
      </c>
      <c r="K607" s="2" t="n">
        <v>46053</v>
      </c>
      <c r="L607" s="2" t="n">
        <v>45777</v>
      </c>
      <c r="M607" s="2" t="n">
        <v>46021</v>
      </c>
      <c r="N607" t="b">
        <v>0</v>
      </c>
      <c r="O607" t="n">
        <v>1</v>
      </c>
      <c r="P607" t="n">
        <v>0.96</v>
      </c>
      <c r="Q607" t="n">
        <v>0.76</v>
      </c>
      <c r="R607">
        <f>ROUND(O607-P607,2)</f>
        <v/>
      </c>
      <c r="S607">
        <f>ROUND(O607-Q607,2)</f>
        <v/>
      </c>
      <c r="T607" s="3">
        <f>IFERROR(P607/O607,"")</f>
        <v/>
      </c>
      <c r="U607" s="3">
        <f>IFERROR(Q607/O607,"")</f>
        <v/>
      </c>
      <c r="V607" t="n">
        <v>336</v>
      </c>
      <c r="W607" t="n">
        <v>97.04000000000001</v>
      </c>
      <c r="X607" t="n">
        <v>97.04000000000001</v>
      </c>
      <c r="Y607">
        <f>ROUND(V607-W607,2)</f>
        <v/>
      </c>
      <c r="Z607">
        <f>ROUND(V607-X607,2)</f>
        <v/>
      </c>
      <c r="AA607" s="3">
        <f>IFERROR(W607/V607,"")</f>
        <v/>
      </c>
      <c r="AB607" s="3">
        <f>IFERROR(X607/V607,"")</f>
        <v/>
      </c>
      <c r="AC607" t="b">
        <v>0</v>
      </c>
      <c r="AD607" t="b">
        <v>0</v>
      </c>
      <c r="AE607" t="b">
        <v>0</v>
      </c>
      <c r="AF607" t="inlineStr">
        <is>
          <t>Yes</t>
        </is>
      </c>
      <c r="AG607" s="2" t="n">
        <v>46113</v>
      </c>
      <c r="AI607" t="b">
        <v>1</v>
      </c>
      <c r="AJ607" t="n">
        <v>2.5</v>
      </c>
      <c r="AK607" t="inlineStr"/>
      <c r="AL607" t="inlineStr">
        <is>
          <t>IT - Information Technology (HH)</t>
        </is>
      </c>
      <c r="AM607" t="inlineStr">
        <is>
          <t>MWTM - Management (Udo P.)</t>
        </is>
      </c>
      <c r="AN607" t="inlineStr">
        <is>
          <t>MWT HH (Udo P.)</t>
        </is>
      </c>
      <c r="AO607" t="inlineStr">
        <is>
          <t>bridgingIT GmbH</t>
        </is>
      </c>
      <c r="AP607" t="inlineStr">
        <is>
          <t>Hamburg</t>
        </is>
      </c>
      <c r="AQ607" t="inlineStr">
        <is>
          <t>Markus Stefan</t>
        </is>
      </c>
    </row>
    <row r="608">
      <c r="A608" t="inlineStr">
        <is>
          <t>10449</t>
        </is>
      </c>
      <c r="B608" t="inlineStr">
        <is>
          <t>AC74A5</t>
        </is>
      </c>
      <c r="C608" t="inlineStr">
        <is>
          <t>https://app.matchical.com/Consulting/ConsultantDetail?ConsultantId=8e81c57e-f388-4580-b2e4-331d504456b0</t>
        </is>
      </c>
      <c r="D608" t="inlineStr">
        <is>
          <t>Ulf Linke</t>
        </is>
      </c>
      <c r="E608" t="inlineStr">
        <is>
          <t>ulf.linke@bridging-it.de</t>
        </is>
      </c>
      <c r="F608" s="2" t="n">
        <v>46082</v>
      </c>
      <c r="H608" t="n">
        <v>0</v>
      </c>
      <c r="I608" t="n">
        <v>0</v>
      </c>
      <c r="J608" t="n">
        <v>0</v>
      </c>
      <c r="N608" t="b">
        <v>1</v>
      </c>
      <c r="O608" t="n">
        <v>0</v>
      </c>
      <c r="P608" t="n">
        <v>0</v>
      </c>
      <c r="Q608" t="n">
        <v>0</v>
      </c>
      <c r="R608">
        <f>ROUND(O608-P608,2)</f>
        <v/>
      </c>
      <c r="S608">
        <f>ROUND(O608-Q608,2)</f>
        <v/>
      </c>
      <c r="T608" s="3">
        <f>IFERROR(P608/O608,"")</f>
        <v/>
      </c>
      <c r="U608" s="3">
        <f>IFERROR(Q608/O608,"")</f>
        <v/>
      </c>
      <c r="V608" t="n">
        <v>1514</v>
      </c>
      <c r="W608" t="n">
        <v>0</v>
      </c>
      <c r="X608" t="n">
        <v>0</v>
      </c>
      <c r="Y608">
        <f>ROUND(V608-W608,2)</f>
        <v/>
      </c>
      <c r="Z608">
        <f>ROUND(V608-X608,2)</f>
        <v/>
      </c>
      <c r="AA608" s="3">
        <f>IFERROR(W608/V608,"")</f>
        <v/>
      </c>
      <c r="AB608" s="3">
        <f>IFERROR(X608/V608,"")</f>
        <v/>
      </c>
      <c r="AC608" t="b">
        <v>0</v>
      </c>
      <c r="AD608" t="b">
        <v>0</v>
      </c>
      <c r="AE608" t="b">
        <v>0</v>
      </c>
      <c r="AF608" t="inlineStr">
        <is>
          <t>Yes</t>
        </is>
      </c>
      <c r="AG608" s="2" t="n">
        <v>46113</v>
      </c>
      <c r="AI608" t="b">
        <v>1</v>
      </c>
      <c r="AJ608" t="n">
        <v>5</v>
      </c>
      <c r="AK608" t="inlineStr"/>
      <c r="AL608" t="inlineStr">
        <is>
          <t>IT - Information Technology (HH)</t>
        </is>
      </c>
      <c r="AM608" t="inlineStr">
        <is>
          <t>SHH Standort Hamburg (Ulf L.)</t>
        </is>
      </c>
      <c r="AN608" t="inlineStr">
        <is>
          <t>SHH Standort Hamburg (Ulf L.)</t>
        </is>
      </c>
      <c r="AO608" t="inlineStr">
        <is>
          <t>bridgingIT GmbH</t>
        </is>
      </c>
      <c r="AP608" t="inlineStr">
        <is>
          <t>Hamburg</t>
        </is>
      </c>
      <c r="AQ608" t="inlineStr"/>
    </row>
    <row r="609">
      <c r="A609" t="inlineStr">
        <is>
          <t>10382</t>
        </is>
      </c>
      <c r="B609" t="inlineStr">
        <is>
          <t>CC3CFC</t>
        </is>
      </c>
      <c r="C609" t="inlineStr">
        <is>
          <t>https://app.matchical.com/Consulting/ConsultantDetail?ConsultantId=a7ba4b44-245e-43fe-b0e8-945a2ebdcd16</t>
        </is>
      </c>
      <c r="D609" t="inlineStr">
        <is>
          <t>Ulrich Ackermann</t>
        </is>
      </c>
      <c r="E609" t="inlineStr">
        <is>
          <t>ulrich.ackermann@bridging-it.de</t>
        </is>
      </c>
      <c r="F609" s="2" t="n">
        <v>45870</v>
      </c>
      <c r="G609" s="2" t="n">
        <v>32356</v>
      </c>
      <c r="H609" t="n">
        <v>23</v>
      </c>
      <c r="I609" t="n">
        <v>0</v>
      </c>
      <c r="J609" t="n">
        <v>0</v>
      </c>
      <c r="L609" s="2" t="n">
        <v>45961</v>
      </c>
      <c r="M609" s="2" t="n">
        <v>46040</v>
      </c>
      <c r="N609" t="b">
        <v>0</v>
      </c>
      <c r="O609" t="n">
        <v>7</v>
      </c>
      <c r="P609" t="n">
        <v>7</v>
      </c>
      <c r="Q609" t="n">
        <v>4</v>
      </c>
      <c r="R609">
        <f>ROUND(O609-P609,2)</f>
        <v/>
      </c>
      <c r="S609">
        <f>ROUND(O609-Q609,2)</f>
        <v/>
      </c>
      <c r="T609" s="3">
        <f>IFERROR(P609/O609,"")</f>
        <v/>
      </c>
      <c r="U609" s="3">
        <f>IFERROR(Q609/O609,"")</f>
        <v/>
      </c>
      <c r="V609" t="n">
        <v>444</v>
      </c>
      <c r="W609" t="n">
        <v>550.97</v>
      </c>
      <c r="X609" t="n">
        <v>414.33</v>
      </c>
      <c r="Y609">
        <f>ROUND(V609-W609,2)</f>
        <v/>
      </c>
      <c r="Z609">
        <f>ROUND(V609-X609,2)</f>
        <v/>
      </c>
      <c r="AA609" s="3">
        <f>IFERROR(W609/V609,"")</f>
        <v/>
      </c>
      <c r="AB609" s="3">
        <f>IFERROR(X609/V609,"")</f>
        <v/>
      </c>
      <c r="AC609" t="b">
        <v>0</v>
      </c>
      <c r="AD609" t="b">
        <v>0</v>
      </c>
      <c r="AE609" t="b">
        <v>0</v>
      </c>
      <c r="AF609" t="inlineStr">
        <is>
          <t>No</t>
        </is>
      </c>
      <c r="AI609" t="b">
        <v>1</v>
      </c>
      <c r="AJ609" t="n">
        <v>0</v>
      </c>
      <c r="AK609" t="inlineStr"/>
      <c r="AL609" t="inlineStr">
        <is>
          <t>IT Information Technology (Hauke G.)</t>
        </is>
      </c>
      <c r="AM609" t="inlineStr">
        <is>
          <t>CT Cloud Technology II (Marc L.)</t>
        </is>
      </c>
      <c r="AN609" t="inlineStr">
        <is>
          <t>TC Technology &amp; Cloud (Martin S.)</t>
        </is>
      </c>
      <c r="AO609" t="inlineStr">
        <is>
          <t>bridgingIT GmbH</t>
        </is>
      </c>
      <c r="AP609" t="inlineStr">
        <is>
          <t>Stuttgart</t>
        </is>
      </c>
      <c r="AQ609" t="inlineStr">
        <is>
          <t>Marc Leunig</t>
        </is>
      </c>
    </row>
    <row r="610">
      <c r="A610" t="inlineStr">
        <is>
          <t>10426</t>
        </is>
      </c>
      <c r="B610" t="inlineStr">
        <is>
          <t>AFC24B</t>
        </is>
      </c>
      <c r="C610" t="inlineStr">
        <is>
          <t>https://app.matchical.com/Consulting/ConsultantDetail?ConsultantId=fd6614af-06bf-47c8-bd12-02a455f27500</t>
        </is>
      </c>
      <c r="D610" t="inlineStr">
        <is>
          <t>Ulrich Schack</t>
        </is>
      </c>
      <c r="E610" t="inlineStr">
        <is>
          <t>ulrich.schack@bridging-it.de</t>
        </is>
      </c>
      <c r="F610" s="2" t="n">
        <v>46023</v>
      </c>
      <c r="G610" s="2" t="n">
        <v>33482</v>
      </c>
      <c r="H610" t="n">
        <v>2</v>
      </c>
      <c r="I610" t="n">
        <v>0</v>
      </c>
      <c r="J610" t="n">
        <v>0</v>
      </c>
      <c r="L610" s="2" t="n">
        <v>45747</v>
      </c>
      <c r="M610" s="2" t="n">
        <v>45960</v>
      </c>
      <c r="N610" t="b">
        <v>0</v>
      </c>
      <c r="O610" t="n">
        <v>2</v>
      </c>
      <c r="P610" t="n">
        <v>0</v>
      </c>
      <c r="Q610" t="n">
        <v>0</v>
      </c>
      <c r="R610">
        <f>ROUND(O610-P610,2)</f>
        <v/>
      </c>
      <c r="S610">
        <f>ROUND(O610-Q610,2)</f>
        <v/>
      </c>
      <c r="T610" s="3">
        <f>IFERROR(P610/O610,"")</f>
        <v/>
      </c>
      <c r="U610" s="3">
        <f>IFERROR(Q610/O610,"")</f>
        <v/>
      </c>
      <c r="V610" t="n">
        <v>412</v>
      </c>
      <c r="W610" t="n">
        <v>12</v>
      </c>
      <c r="X610" t="n">
        <v>8.5</v>
      </c>
      <c r="Y610">
        <f>ROUND(V610-W610,2)</f>
        <v/>
      </c>
      <c r="Z610">
        <f>ROUND(V610-X610,2)</f>
        <v/>
      </c>
      <c r="AA610" s="3">
        <f>IFERROR(W610/V610,"")</f>
        <v/>
      </c>
      <c r="AB610" s="3">
        <f>IFERROR(X610/V610,"")</f>
        <v/>
      </c>
      <c r="AC610" t="b">
        <v>0</v>
      </c>
      <c r="AD610" t="b">
        <v>0</v>
      </c>
      <c r="AE610" t="b">
        <v>0</v>
      </c>
      <c r="AF610" t="inlineStr">
        <is>
          <t>Yes</t>
        </is>
      </c>
      <c r="AG610" s="2" t="n">
        <v>46023</v>
      </c>
      <c r="AI610" t="b">
        <v>1</v>
      </c>
      <c r="AJ610" t="n">
        <v>5</v>
      </c>
      <c r="AK610" t="inlineStr"/>
      <c r="AL610" t="inlineStr">
        <is>
          <t>IT - Information Technology (HH)</t>
        </is>
      </c>
      <c r="AM610" t="inlineStr">
        <is>
          <t>MW - Modern Workplace (Ulrich S.)</t>
        </is>
      </c>
      <c r="AN610" t="inlineStr">
        <is>
          <t>MWT HH (Udo P.)</t>
        </is>
      </c>
      <c r="AO610" t="inlineStr">
        <is>
          <t>bridgingIT GmbH</t>
        </is>
      </c>
      <c r="AP610" t="inlineStr">
        <is>
          <t>Hamburg</t>
        </is>
      </c>
      <c r="AQ610" t="inlineStr">
        <is>
          <t>Udo Peters</t>
        </is>
      </c>
    </row>
    <row r="611">
      <c r="A611" t="inlineStr">
        <is>
          <t>3111</t>
        </is>
      </c>
      <c r="B611" t="inlineStr">
        <is>
          <t>35195C</t>
        </is>
      </c>
      <c r="C611" t="inlineStr">
        <is>
          <t>https://app.matchical.com/Consulting/ConsultantDetail?ConsultantId=9b3f7edd-6aab-49de-aac3-404d4780d142</t>
        </is>
      </c>
      <c r="D611" t="inlineStr">
        <is>
          <t>Ulrich Waltinger</t>
        </is>
      </c>
      <c r="E611" t="inlineStr">
        <is>
          <t>ulrich.waltinger@bridging-it.de</t>
        </is>
      </c>
      <c r="F611" s="2" t="n">
        <v>42430</v>
      </c>
      <c r="G611" s="2" t="n">
        <v>40973</v>
      </c>
      <c r="H611" t="n">
        <v>16</v>
      </c>
      <c r="I611" t="n">
        <v>0</v>
      </c>
      <c r="J611" t="n">
        <v>1</v>
      </c>
      <c r="K611" s="2" t="n">
        <v>44631</v>
      </c>
      <c r="L611" s="2" t="n">
        <v>45481</v>
      </c>
      <c r="M611" s="2" t="n">
        <v>45657</v>
      </c>
      <c r="N611" t="b">
        <v>0</v>
      </c>
      <c r="O611" t="n">
        <v>120</v>
      </c>
      <c r="P611" t="n">
        <v>200</v>
      </c>
      <c r="Q611" t="n">
        <v>118</v>
      </c>
      <c r="R611">
        <f>ROUND(O611-P611,2)</f>
        <v/>
      </c>
      <c r="S611">
        <f>ROUND(O611-Q611,2)</f>
        <v/>
      </c>
      <c r="T611" s="3">
        <f>IFERROR(P611/O611,"")</f>
        <v/>
      </c>
      <c r="U611" s="3">
        <f>IFERROR(Q611/O611,"")</f>
        <v/>
      </c>
      <c r="V611" t="n">
        <v>48</v>
      </c>
      <c r="W611" t="n">
        <v>27</v>
      </c>
      <c r="X611" t="n">
        <v>27</v>
      </c>
      <c r="Y611">
        <f>ROUND(V611-W611,2)</f>
        <v/>
      </c>
      <c r="Z611">
        <f>ROUND(V611-X611,2)</f>
        <v/>
      </c>
      <c r="AA611" s="3">
        <f>IFERROR(W611/V611,"")</f>
        <v/>
      </c>
      <c r="AB611" s="3">
        <f>IFERROR(X611/V611,"")</f>
        <v/>
      </c>
      <c r="AC611" t="b">
        <v>0</v>
      </c>
      <c r="AD611" t="b">
        <v>0</v>
      </c>
      <c r="AE611" t="b">
        <v>0</v>
      </c>
      <c r="AF611" t="inlineStr">
        <is>
          <t>No</t>
        </is>
      </c>
      <c r="AI611" t="b">
        <v>0</v>
      </c>
      <c r="AJ611" t="n">
        <v>0</v>
      </c>
      <c r="AK611" t="inlineStr">
        <is>
          <t>IT project management / IT architecture / rollout and service management</t>
        </is>
      </c>
      <c r="AL611" t="inlineStr">
        <is>
          <t>ORG bIT</t>
        </is>
      </c>
      <c r="AM611" t="inlineStr">
        <is>
          <t>PS Project Services (Ulrich W.)</t>
        </is>
      </c>
      <c r="AN611" t="inlineStr">
        <is>
          <t>TH Transformation Hub (Ulrich W.)</t>
        </is>
      </c>
      <c r="AO611" t="inlineStr">
        <is>
          <t>bridgingIT GmbH</t>
        </is>
      </c>
      <c r="AP611" t="inlineStr">
        <is>
          <t>Frankfurt</t>
        </is>
      </c>
      <c r="AQ611" t="inlineStr">
        <is>
          <t>Gerrit Seewald</t>
        </is>
      </c>
    </row>
    <row r="612">
      <c r="A612" t="inlineStr">
        <is>
          <t>10341</t>
        </is>
      </c>
      <c r="B612" t="inlineStr">
        <is>
          <t>CD48A7</t>
        </is>
      </c>
      <c r="C612" t="inlineStr">
        <is>
          <t>https://app.matchical.com/Consulting/ConsultantDetail?ConsultantId=1d203835-caa7-4f41-9165-3884731402ee</t>
        </is>
      </c>
      <c r="D612" t="inlineStr">
        <is>
          <t>Valentin Lechner</t>
        </is>
      </c>
      <c r="E612" t="inlineStr">
        <is>
          <t>valentin.lechner@bridging-it.de</t>
        </is>
      </c>
      <c r="F612" s="2" t="n">
        <v>45566</v>
      </c>
      <c r="G612" s="2" t="n">
        <v>43009</v>
      </c>
      <c r="H612" t="n">
        <v>1</v>
      </c>
      <c r="I612" t="n">
        <v>0</v>
      </c>
      <c r="J612" t="n">
        <v>1</v>
      </c>
      <c r="K612" s="2" t="n">
        <v>45596</v>
      </c>
      <c r="N612" t="b">
        <v>0</v>
      </c>
      <c r="O612" t="n">
        <v>17</v>
      </c>
      <c r="P612" t="n">
        <v>15</v>
      </c>
      <c r="Q612" t="n">
        <v>15</v>
      </c>
      <c r="R612">
        <f>ROUND(O612-P612,2)</f>
        <v/>
      </c>
      <c r="S612">
        <f>ROUND(O612-Q612,2)</f>
        <v/>
      </c>
      <c r="T612" s="3">
        <f>IFERROR(P612/O612,"")</f>
        <v/>
      </c>
      <c r="U612" s="3">
        <f>IFERROR(Q612/O612,"")</f>
        <v/>
      </c>
      <c r="V612" t="n">
        <v>84</v>
      </c>
      <c r="W612" t="n">
        <v>0</v>
      </c>
      <c r="X612" t="n">
        <v>0</v>
      </c>
      <c r="Y612">
        <f>ROUND(V612-W612,2)</f>
        <v/>
      </c>
      <c r="Z612">
        <f>ROUND(V612-X612,2)</f>
        <v/>
      </c>
      <c r="AA612" s="3">
        <f>IFERROR(W612/V612,"")</f>
        <v/>
      </c>
      <c r="AB612" s="3">
        <f>IFERROR(X612/V612,"")</f>
        <v/>
      </c>
      <c r="AC612" t="b">
        <v>0</v>
      </c>
      <c r="AD612" t="b">
        <v>0</v>
      </c>
      <c r="AE612" t="b">
        <v>0</v>
      </c>
      <c r="AF612" t="inlineStr">
        <is>
          <t>No</t>
        </is>
      </c>
      <c r="AI612" t="b">
        <v>0</v>
      </c>
      <c r="AJ612" t="n">
        <v>0</v>
      </c>
      <c r="AK612" t="inlineStr">
        <is>
          <t>Working student</t>
        </is>
      </c>
      <c r="AL612" t="inlineStr">
        <is>
          <t>IT - Information Technology (Sebastian L.)</t>
        </is>
      </c>
      <c r="AM612" t="inlineStr">
        <is>
          <t>DOE DevOps Enablement (Florian W.)</t>
        </is>
      </c>
      <c r="AN612" t="inlineStr">
        <is>
          <t>C&amp;DO - Cloud &amp; DevOps (Sebastian L.)</t>
        </is>
      </c>
      <c r="AO612" t="inlineStr">
        <is>
          <t>bridgingIT GmbH</t>
        </is>
      </c>
      <c r="AP612" t="inlineStr">
        <is>
          <t>Mannheim</t>
        </is>
      </c>
      <c r="AQ612" t="inlineStr">
        <is>
          <t>Florian Wendel</t>
        </is>
      </c>
    </row>
    <row r="613">
      <c r="A613" t="inlineStr">
        <is>
          <t>10401</t>
        </is>
      </c>
      <c r="B613" t="inlineStr">
        <is>
          <t>F34CE4</t>
        </is>
      </c>
      <c r="C613" t="inlineStr">
        <is>
          <t>https://app.matchical.com/Consulting/ConsultantDetail?ConsultantId=f70d1c0f-b3c9-4cf8-a99b-6f1f68de49ad</t>
        </is>
      </c>
      <c r="D613" t="inlineStr">
        <is>
          <t>Valentin Rebitzer</t>
        </is>
      </c>
      <c r="E613" t="inlineStr">
        <is>
          <t>valentin.rebitzer@bridging-it.de</t>
        </is>
      </c>
      <c r="F613" s="2" t="n">
        <v>46054</v>
      </c>
      <c r="H613" t="n">
        <v>0</v>
      </c>
      <c r="I613" t="n">
        <v>0</v>
      </c>
      <c r="J613" t="n">
        <v>0</v>
      </c>
      <c r="N613" t="b">
        <v>1</v>
      </c>
      <c r="O613" t="n">
        <v>0</v>
      </c>
      <c r="P613" t="n">
        <v>0</v>
      </c>
      <c r="Q613" t="n">
        <v>0</v>
      </c>
      <c r="R613">
        <f>ROUND(O613-P613,2)</f>
        <v/>
      </c>
      <c r="S613">
        <f>ROUND(O613-Q613,2)</f>
        <v/>
      </c>
      <c r="T613" s="3">
        <f>IFERROR(P613/O613,"")</f>
        <v/>
      </c>
      <c r="U613" s="3">
        <f>IFERROR(Q613/O613,"")</f>
        <v/>
      </c>
      <c r="V613" t="n">
        <v>1513</v>
      </c>
      <c r="W613" t="n">
        <v>0</v>
      </c>
      <c r="X613" t="n">
        <v>0</v>
      </c>
      <c r="Y613">
        <f>ROUND(V613-W613,2)</f>
        <v/>
      </c>
      <c r="Z613">
        <f>ROUND(V613-X613,2)</f>
        <v/>
      </c>
      <c r="AA613" s="3">
        <f>IFERROR(W613/V613,"")</f>
        <v/>
      </c>
      <c r="AB613" s="3">
        <f>IFERROR(X613/V613,"")</f>
        <v/>
      </c>
      <c r="AC613" t="b">
        <v>0</v>
      </c>
      <c r="AD613" t="b">
        <v>0</v>
      </c>
      <c r="AE613" t="b">
        <v>0</v>
      </c>
      <c r="AF613" t="inlineStr">
        <is>
          <t>-</t>
        </is>
      </c>
      <c r="AI613" t="b">
        <v>0</v>
      </c>
      <c r="AJ613" t="n">
        <v>0</v>
      </c>
      <c r="AK613" t="inlineStr"/>
      <c r="AL613" t="inlineStr">
        <is>
          <t>ORG bIT Bayern</t>
        </is>
      </c>
      <c r="AM613" t="inlineStr">
        <is>
          <t>TG Transformation Guidance (Clemens L.)</t>
        </is>
      </c>
      <c r="AN613" t="inlineStr">
        <is>
          <t>BAT Business Agility &amp; Transformation (Marc S.)</t>
        </is>
      </c>
      <c r="AO613" t="inlineStr">
        <is>
          <t>bridgingIT GmbH</t>
        </is>
      </c>
      <c r="AP613" t="inlineStr">
        <is>
          <t>Nürnberg</t>
        </is>
      </c>
      <c r="AQ613" t="inlineStr">
        <is>
          <t>Clemens Lindner</t>
        </is>
      </c>
    </row>
    <row r="614">
      <c r="A614" t="inlineStr">
        <is>
          <t>10114</t>
        </is>
      </c>
      <c r="B614" t="inlineStr">
        <is>
          <t>B6B135</t>
        </is>
      </c>
      <c r="C614" t="inlineStr">
        <is>
          <t>https://app.matchical.com/Consulting/ConsultantDetail?ConsultantId=32ce3117-8685-4064-81e8-3b64067ad5e7</t>
        </is>
      </c>
      <c r="D614" t="inlineStr">
        <is>
          <t>Valeria Gómez Acosta</t>
        </is>
      </c>
      <c r="E614" t="inlineStr">
        <is>
          <t>valeria.acosta@bridging-it.de</t>
        </is>
      </c>
      <c r="F614" s="2" t="n">
        <v>45017</v>
      </c>
      <c r="G614" s="2" t="n">
        <v>44378</v>
      </c>
      <c r="H614" t="n">
        <v>4</v>
      </c>
      <c r="I614" t="n">
        <v>0</v>
      </c>
      <c r="J614" t="n">
        <v>1</v>
      </c>
      <c r="K614" s="2" t="n">
        <v>45016</v>
      </c>
      <c r="L614" s="2" t="n">
        <v>44530</v>
      </c>
      <c r="M614" s="2" t="n">
        <v>45015</v>
      </c>
      <c r="N614" t="b">
        <v>0</v>
      </c>
      <c r="O614" t="n">
        <v>35</v>
      </c>
      <c r="P614" t="n">
        <v>34.97</v>
      </c>
      <c r="Q614" t="n">
        <v>34.83</v>
      </c>
      <c r="R614">
        <f>ROUND(O614-P614,2)</f>
        <v/>
      </c>
      <c r="S614">
        <f>ROUND(O614-Q614,2)</f>
        <v/>
      </c>
      <c r="T614" s="3">
        <f>IFERROR(P614/O614,"")</f>
        <v/>
      </c>
      <c r="U614" s="3">
        <f>IFERROR(Q614/O614,"")</f>
        <v/>
      </c>
      <c r="V614" t="n">
        <v>21</v>
      </c>
      <c r="W614" t="n">
        <v>25.01</v>
      </c>
      <c r="X614" t="n">
        <v>20.99</v>
      </c>
      <c r="Y614">
        <f>ROUND(V614-W614,2)</f>
        <v/>
      </c>
      <c r="Z614">
        <f>ROUND(V614-X614,2)</f>
        <v/>
      </c>
      <c r="AA614" s="3">
        <f>IFERROR(W614/V614,"")</f>
        <v/>
      </c>
      <c r="AB614" s="3">
        <f>IFERROR(X614/V614,"")</f>
        <v/>
      </c>
      <c r="AC614" t="b">
        <v>0</v>
      </c>
      <c r="AD614" t="b">
        <v>0</v>
      </c>
      <c r="AE614" t="b">
        <v>0</v>
      </c>
      <c r="AF614" t="inlineStr">
        <is>
          <t>Yes</t>
        </is>
      </c>
      <c r="AG614" s="2" t="n">
        <v>46143</v>
      </c>
      <c r="AI614" t="b">
        <v>1</v>
      </c>
      <c r="AJ614" t="n">
        <v>5</v>
      </c>
      <c r="AK614" t="inlineStr">
        <is>
          <t>[BHI/BHS] Extension of DWH 2.0 until April 2026 (B2600382, Andreas K.)
[bevestor] Replacement for Dr. Martin Könenberg as SQL Developer (18 PT)</t>
        </is>
      </c>
      <c r="AL614" t="inlineStr">
        <is>
          <t>ORG bIT Bayern</t>
        </is>
      </c>
      <c r="AM614" t="inlineStr">
        <is>
          <t>DSA Data Solutions &amp; AI (Philip R.)</t>
        </is>
      </c>
      <c r="AN614" t="inlineStr">
        <is>
          <t>BPD Business Processes &amp; Data Engineering(Arne K.)</t>
        </is>
      </c>
      <c r="AO614" t="inlineStr">
        <is>
          <t>bridgingIT GmbH</t>
        </is>
      </c>
      <c r="AP614" t="inlineStr">
        <is>
          <t>München</t>
        </is>
      </c>
      <c r="AQ614" t="inlineStr">
        <is>
          <t>Philip Rausch</t>
        </is>
      </c>
    </row>
    <row r="615">
      <c r="A615" t="inlineStr">
        <is>
          <t>2217</t>
        </is>
      </c>
      <c r="B615" t="inlineStr">
        <is>
          <t>A29234</t>
        </is>
      </c>
      <c r="C615" t="inlineStr">
        <is>
          <t>https://app.matchical.com/Consulting/ConsultantDetail?ConsultantId=ca0ff5a1-8533-4fd0-9dec-fac2e9a2f62e</t>
        </is>
      </c>
      <c r="D615" t="inlineStr">
        <is>
          <t>Valerie Lorenz</t>
        </is>
      </c>
      <c r="E615" t="inlineStr">
        <is>
          <t>valerie.lorenz@bridging-it.de</t>
        </is>
      </c>
      <c r="F615" s="2" t="n">
        <v>43252</v>
      </c>
      <c r="G615" s="2" t="n">
        <v>41821</v>
      </c>
      <c r="H615" t="n">
        <v>13</v>
      </c>
      <c r="I615" t="n">
        <v>0</v>
      </c>
      <c r="J615" t="n">
        <v>0</v>
      </c>
      <c r="L615" s="2" t="n">
        <v>44255</v>
      </c>
      <c r="M615" s="2" t="n">
        <v>45533</v>
      </c>
      <c r="N615" t="b">
        <v>0</v>
      </c>
      <c r="O615" t="n">
        <v>93</v>
      </c>
      <c r="P615" t="n">
        <v>124</v>
      </c>
      <c r="Q615" t="n">
        <v>78</v>
      </c>
      <c r="R615">
        <f>ROUND(O615-P615,2)</f>
        <v/>
      </c>
      <c r="S615">
        <f>ROUND(O615-Q615,2)</f>
        <v/>
      </c>
      <c r="T615" s="3">
        <f>IFERROR(P615/O615,"")</f>
        <v/>
      </c>
      <c r="U615" s="3">
        <f>IFERROR(Q615/O615,"")</f>
        <v/>
      </c>
      <c r="V615" t="n">
        <v>47</v>
      </c>
      <c r="W615" t="n">
        <v>42.97</v>
      </c>
      <c r="X615" t="n">
        <v>36.97</v>
      </c>
      <c r="Y615">
        <f>ROUND(V615-W615,2)</f>
        <v/>
      </c>
      <c r="Z615">
        <f>ROUND(V615-X615,2)</f>
        <v/>
      </c>
      <c r="AA615" s="3">
        <f>IFERROR(W615/V615,"")</f>
        <v/>
      </c>
      <c r="AB615" s="3">
        <f>IFERROR(X615/V615,"")</f>
        <v/>
      </c>
      <c r="AC615" t="b">
        <v>0</v>
      </c>
      <c r="AD615" t="b">
        <v>0</v>
      </c>
      <c r="AE615" t="b">
        <v>0</v>
      </c>
      <c r="AF615" t="inlineStr">
        <is>
          <t>No</t>
        </is>
      </c>
      <c r="AI615" t="b">
        <v>0</v>
      </c>
      <c r="AJ615" t="n">
        <v>0</v>
      </c>
      <c r="AK615" t="inlineStr"/>
      <c r="AL615" t="inlineStr">
        <is>
          <t>DO Digital Organizations (Michael H.)</t>
        </is>
      </c>
      <c r="AM615" t="inlineStr">
        <is>
          <t>BT Business Transform. III (Valerie L.)</t>
        </is>
      </c>
      <c r="AN615" t="inlineStr">
        <is>
          <t>BT Business Transformation (Julian D.)</t>
        </is>
      </c>
      <c r="AO615" t="inlineStr">
        <is>
          <t>bridgingIT GmbH</t>
        </is>
      </c>
      <c r="AP615" t="inlineStr">
        <is>
          <t>Stuttgart</t>
        </is>
      </c>
      <c r="AQ615" t="inlineStr">
        <is>
          <t>Julian Dahlbender</t>
        </is>
      </c>
    </row>
    <row r="616">
      <c r="A616" t="inlineStr">
        <is>
          <t>1363</t>
        </is>
      </c>
      <c r="B616" t="inlineStr">
        <is>
          <t>544664</t>
        </is>
      </c>
      <c r="C616" t="inlineStr">
        <is>
          <t>https://app.matchical.com/Consulting/ConsultantDetail?ConsultantId=0a78b842-de90-405c-836c-0810f39b216f</t>
        </is>
      </c>
      <c r="D616" t="inlineStr">
        <is>
          <t>Vanessa Crnisanin</t>
        </is>
      </c>
      <c r="E616" t="inlineStr">
        <is>
          <t>vanessa.crnisanin@bridging-it.de</t>
        </is>
      </c>
      <c r="F616" s="2" t="n">
        <v>42979</v>
      </c>
      <c r="G616" s="2" t="n">
        <v>42979</v>
      </c>
      <c r="H616" t="n">
        <v>5</v>
      </c>
      <c r="I616" t="n">
        <v>0</v>
      </c>
      <c r="J616" t="n">
        <v>0</v>
      </c>
      <c r="L616" s="2" t="n">
        <v>45504</v>
      </c>
      <c r="M616" s="2" t="n">
        <v>45595</v>
      </c>
      <c r="N616" t="b">
        <v>0</v>
      </c>
      <c r="O616" t="n">
        <v>102</v>
      </c>
      <c r="P616" t="n">
        <v>79</v>
      </c>
      <c r="Q616" t="n">
        <v>67</v>
      </c>
      <c r="R616">
        <f>ROUND(O616-P616,2)</f>
        <v/>
      </c>
      <c r="S616">
        <f>ROUND(O616-Q616,2)</f>
        <v/>
      </c>
      <c r="T616" s="3">
        <f>IFERROR(P616/O616,"")</f>
        <v/>
      </c>
      <c r="U616" s="3">
        <f>IFERROR(Q616/O616,"")</f>
        <v/>
      </c>
      <c r="V616" t="n">
        <v>0</v>
      </c>
      <c r="W616" t="n">
        <v>0</v>
      </c>
      <c r="X616" t="n">
        <v>0</v>
      </c>
      <c r="Y616">
        <f>ROUND(V616-W616,2)</f>
        <v/>
      </c>
      <c r="Z616">
        <f>ROUND(V616-X616,2)</f>
        <v/>
      </c>
      <c r="AA616" s="3">
        <f>IFERROR(W616/V616,"")</f>
        <v/>
      </c>
      <c r="AB616" s="3">
        <f>IFERROR(X616/V616,"")</f>
        <v/>
      </c>
      <c r="AC616" t="b">
        <v>0</v>
      </c>
      <c r="AD616" t="b">
        <v>0</v>
      </c>
      <c r="AE616" t="b">
        <v>0</v>
      </c>
      <c r="AF616" t="inlineStr">
        <is>
          <t>No</t>
        </is>
      </c>
      <c r="AI616" t="b">
        <v>1</v>
      </c>
      <c r="AJ616" t="n">
        <v>0</v>
      </c>
      <c r="AK616" t="inlineStr">
        <is>
          <t>Offered in response to two inquiries from the railway.</t>
        </is>
      </c>
      <c r="AL616" t="inlineStr">
        <is>
          <t>IT - Information Technology (Sebastian L.)</t>
        </is>
      </c>
      <c r="AM616" t="inlineStr">
        <is>
          <t>ISM Information Security Management (Carsten T.)</t>
        </is>
      </c>
      <c r="AN616" t="inlineStr">
        <is>
          <t>O&amp;G - Organization &amp; Governance (Carsten T.)</t>
        </is>
      </c>
      <c r="AO616" t="inlineStr">
        <is>
          <t>bridgingIT GmbH</t>
        </is>
      </c>
      <c r="AP616" t="inlineStr">
        <is>
          <t>Mannheim</t>
        </is>
      </c>
      <c r="AQ616" t="inlineStr">
        <is>
          <t>Carsten Triebel</t>
        </is>
      </c>
    </row>
    <row r="617">
      <c r="A617" t="inlineStr">
        <is>
          <t>2258</t>
        </is>
      </c>
      <c r="B617" t="inlineStr">
        <is>
          <t>67D4AF</t>
        </is>
      </c>
      <c r="C617" t="inlineStr">
        <is>
          <t>https://app.matchical.com/Consulting/ConsultantDetail?ConsultantId=3a1a8db6-4288-4e26-a9f9-6d368a860781</t>
        </is>
      </c>
      <c r="D617" t="inlineStr">
        <is>
          <t>Vanja Jakovljevic</t>
        </is>
      </c>
      <c r="E617" t="inlineStr">
        <is>
          <t>vanja.jakovljevic@bridging-it.de</t>
        </is>
      </c>
      <c r="F617" s="2" t="n">
        <v>43678</v>
      </c>
      <c r="G617" s="2" t="n">
        <v>42767</v>
      </c>
      <c r="H617" t="n">
        <v>11</v>
      </c>
      <c r="I617" t="n">
        <v>0</v>
      </c>
      <c r="J617" t="n">
        <v>2</v>
      </c>
      <c r="K617" s="2" t="n">
        <v>44697</v>
      </c>
      <c r="L617" s="2" t="n">
        <v>44927</v>
      </c>
      <c r="M617" s="2" t="n">
        <v>45216</v>
      </c>
      <c r="N617" t="b">
        <v>0</v>
      </c>
      <c r="O617" t="n">
        <v>79</v>
      </c>
      <c r="P617" t="n">
        <v>90</v>
      </c>
      <c r="Q617" t="n">
        <v>73</v>
      </c>
      <c r="R617">
        <f>ROUND(O617-P617,2)</f>
        <v/>
      </c>
      <c r="S617">
        <f>ROUND(O617-Q617,2)</f>
        <v/>
      </c>
      <c r="T617" s="3">
        <f>IFERROR(P617/O617,"")</f>
        <v/>
      </c>
      <c r="U617" s="3">
        <f>IFERROR(Q617/O617,"")</f>
        <v/>
      </c>
      <c r="V617" t="n">
        <v>30</v>
      </c>
      <c r="W617" t="n">
        <v>25</v>
      </c>
      <c r="X617" t="n">
        <v>25</v>
      </c>
      <c r="Y617">
        <f>ROUND(V617-W617,2)</f>
        <v/>
      </c>
      <c r="Z617">
        <f>ROUND(V617-X617,2)</f>
        <v/>
      </c>
      <c r="AA617" s="3">
        <f>IFERROR(W617/V617,"")</f>
        <v/>
      </c>
      <c r="AB617" s="3">
        <f>IFERROR(X617/V617,"")</f>
        <v/>
      </c>
      <c r="AC617" t="b">
        <v>0</v>
      </c>
      <c r="AD617" t="b">
        <v>0</v>
      </c>
      <c r="AE617" t="b">
        <v>0</v>
      </c>
      <c r="AF617" t="inlineStr">
        <is>
          <t>No</t>
        </is>
      </c>
      <c r="AI617" t="b">
        <v>0</v>
      </c>
      <c r="AJ617" t="n">
        <v>0</v>
      </c>
      <c r="AK617" t="inlineStr">
        <is>
          <t>Vanja returns from parental leave on August 3, 2025 and currently has no assignment starting from that date.
Skills, particularly in frontend design, but also in the Low-Code domain.</t>
        </is>
      </c>
      <c r="AL617" t="inlineStr">
        <is>
          <t>ES Enterprise Solutions (Gina H.)</t>
        </is>
      </c>
      <c r="AM617" t="inlineStr">
        <is>
          <t>IEJ Java II (Thomas K.)</t>
        </is>
      </c>
      <c r="AN617" t="inlineStr">
        <is>
          <t>IEJ Individualentwicklung JAVA (Dominik S.)</t>
        </is>
      </c>
      <c r="AO617" t="inlineStr">
        <is>
          <t>bridgingIT GmbH</t>
        </is>
      </c>
      <c r="AP617" t="inlineStr">
        <is>
          <t>Stuttgart</t>
        </is>
      </c>
      <c r="AQ617" t="inlineStr">
        <is>
          <t>Thomas Kopp</t>
        </is>
      </c>
    </row>
    <row r="618">
      <c r="A618" t="inlineStr">
        <is>
          <t>10231</t>
        </is>
      </c>
      <c r="B618" t="inlineStr">
        <is>
          <t>0ADEC3</t>
        </is>
      </c>
      <c r="C618" t="inlineStr">
        <is>
          <t>https://app.matchical.com/Consulting/ConsultantDetail?ConsultantId=d2690fa6-e53b-4c57-868b-1c09aefa2366</t>
        </is>
      </c>
      <c r="D618" t="inlineStr">
        <is>
          <t>Vera Jäger</t>
        </is>
      </c>
      <c r="E618" t="inlineStr">
        <is>
          <t>vera.jaeger@bridging-it.de</t>
        </is>
      </c>
      <c r="F618" s="2" t="n">
        <v>45261</v>
      </c>
      <c r="G618" s="2" t="n">
        <v>45261</v>
      </c>
      <c r="H618" t="n">
        <v>2</v>
      </c>
      <c r="I618" t="n">
        <v>0</v>
      </c>
      <c r="J618" t="n">
        <v>1</v>
      </c>
      <c r="K618" s="2" t="n">
        <v>44927</v>
      </c>
      <c r="L618" s="2" t="n">
        <v>45307</v>
      </c>
      <c r="M618" s="2" t="n">
        <v>45627</v>
      </c>
      <c r="N618" t="b">
        <v>0</v>
      </c>
      <c r="O618" t="n">
        <v>27</v>
      </c>
      <c r="P618" t="n">
        <v>37.25</v>
      </c>
      <c r="Q618" t="n">
        <v>26.81</v>
      </c>
      <c r="R618">
        <f>ROUND(O618-P618,2)</f>
        <v/>
      </c>
      <c r="S618">
        <f>ROUND(O618-Q618,2)</f>
        <v/>
      </c>
      <c r="T618" s="3">
        <f>IFERROR(P618/O618,"")</f>
        <v/>
      </c>
      <c r="U618" s="3">
        <f>IFERROR(Q618/O618,"")</f>
        <v/>
      </c>
      <c r="V618" t="n">
        <v>0</v>
      </c>
      <c r="W618" t="n">
        <v>0</v>
      </c>
      <c r="X618" t="n">
        <v>0</v>
      </c>
      <c r="Y618">
        <f>ROUND(V618-W618,2)</f>
        <v/>
      </c>
      <c r="Z618">
        <f>ROUND(V618-X618,2)</f>
        <v/>
      </c>
      <c r="AA618" s="3">
        <f>IFERROR(W618/V618,"")</f>
        <v/>
      </c>
      <c r="AB618" s="3">
        <f>IFERROR(X618/V618,"")</f>
        <v/>
      </c>
      <c r="AC618" t="b">
        <v>0</v>
      </c>
      <c r="AD618" t="b">
        <v>0</v>
      </c>
      <c r="AE618" t="b">
        <v>0</v>
      </c>
      <c r="AF618" t="inlineStr">
        <is>
          <t>No</t>
        </is>
      </c>
      <c r="AI618" t="b">
        <v>1</v>
      </c>
      <c r="AJ618" t="n">
        <v>0</v>
      </c>
      <c r="AK618" t="inlineStr">
        <is>
          <t>BASF project. The extension is very likely.</t>
        </is>
      </c>
      <c r="AL618" t="inlineStr">
        <is>
          <t>ORG bIT</t>
        </is>
      </c>
      <c r="AM618" t="inlineStr">
        <is>
          <t>LSC - Life Science Cologne (Sascha B.)</t>
        </is>
      </c>
      <c r="AN618" t="inlineStr">
        <is>
          <t>CC Life Science Solutions (Sabine S.)</t>
        </is>
      </c>
      <c r="AO618" t="inlineStr">
        <is>
          <t>bridgingIT GmbH</t>
        </is>
      </c>
      <c r="AP618" t="inlineStr">
        <is>
          <t>Köln</t>
        </is>
      </c>
      <c r="AQ618" t="inlineStr">
        <is>
          <t>Sascha Beerhenke</t>
        </is>
      </c>
    </row>
    <row r="619">
      <c r="A619" t="inlineStr">
        <is>
          <t>3139</t>
        </is>
      </c>
      <c r="B619" t="inlineStr">
        <is>
          <t>9CF7A6</t>
        </is>
      </c>
      <c r="C619" t="inlineStr">
        <is>
          <t>https://app.matchical.com/Consulting/ConsultantDetail?ConsultantId=b99062fc-fe8b-44dd-89ef-12b26da0c946</t>
        </is>
      </c>
      <c r="D619" t="inlineStr">
        <is>
          <t>Vera Wagner</t>
        </is>
      </c>
      <c r="E619" t="inlineStr">
        <is>
          <t>vera.wagner@bridging-it.de</t>
        </is>
      </c>
      <c r="F619" s="2" t="n">
        <v>42917</v>
      </c>
      <c r="G619" s="2" t="n">
        <v>41548</v>
      </c>
      <c r="H619" t="n">
        <v>22</v>
      </c>
      <c r="I619" t="n">
        <v>0</v>
      </c>
      <c r="J619" t="n">
        <v>1</v>
      </c>
      <c r="K619" s="2" t="n">
        <v>45886</v>
      </c>
      <c r="L619" s="2" t="n">
        <v>44849</v>
      </c>
      <c r="M619" s="2" t="n">
        <v>45451</v>
      </c>
      <c r="N619" t="b">
        <v>0</v>
      </c>
      <c r="O619" t="n">
        <v>104</v>
      </c>
      <c r="P619" t="n">
        <v>200</v>
      </c>
      <c r="Q619" t="n">
        <v>89</v>
      </c>
      <c r="R619">
        <f>ROUND(O619-P619,2)</f>
        <v/>
      </c>
      <c r="S619">
        <f>ROUND(O619-Q619,2)</f>
        <v/>
      </c>
      <c r="T619" s="3">
        <f>IFERROR(P619/O619,"")</f>
        <v/>
      </c>
      <c r="U619" s="3">
        <f>IFERROR(Q619/O619,"")</f>
        <v/>
      </c>
      <c r="V619" t="n">
        <v>45</v>
      </c>
      <c r="W619" t="n">
        <v>80.98</v>
      </c>
      <c r="X619" t="n">
        <v>44.98</v>
      </c>
      <c r="Y619">
        <f>ROUND(V619-W619,2)</f>
        <v/>
      </c>
      <c r="Z619">
        <f>ROUND(V619-X619,2)</f>
        <v/>
      </c>
      <c r="AA619" s="3">
        <f>IFERROR(W619/V619,"")</f>
        <v/>
      </c>
      <c r="AB619" s="3">
        <f>IFERROR(X619/V619,"")</f>
        <v/>
      </c>
      <c r="AC619" t="b">
        <v>0</v>
      </c>
      <c r="AD619" t="b">
        <v>0</v>
      </c>
      <c r="AE619" t="b">
        <v>0</v>
      </c>
      <c r="AF619" t="inlineStr">
        <is>
          <t>No</t>
        </is>
      </c>
      <c r="AI619" t="b">
        <v>0</v>
      </c>
      <c r="AJ619" t="n">
        <v>0</v>
      </c>
      <c r="AK619" t="inlineStr">
        <is>
          <t>August / September: 2 days per week, then part-time availability of about 14 hours</t>
        </is>
      </c>
      <c r="AL619" t="inlineStr">
        <is>
          <t>ORG bIT</t>
        </is>
      </c>
      <c r="AM619" t="inlineStr">
        <is>
          <t>AT Agile Transformation (Anna S.)</t>
        </is>
      </c>
      <c r="AN619" t="inlineStr">
        <is>
          <t>TH Transformation Hub (Ulrich W.)</t>
        </is>
      </c>
      <c r="AO619" t="inlineStr">
        <is>
          <t>bridgingIT GmbH</t>
        </is>
      </c>
      <c r="AP619" t="inlineStr">
        <is>
          <t>Frankfurt</t>
        </is>
      </c>
      <c r="AQ619" t="inlineStr">
        <is>
          <t>Anna Schnorrenberger</t>
        </is>
      </c>
    </row>
    <row r="620">
      <c r="A620" t="inlineStr">
        <is>
          <t>4082</t>
        </is>
      </c>
      <c r="B620" t="inlineStr">
        <is>
          <t>5D936A</t>
        </is>
      </c>
      <c r="C620" t="inlineStr">
        <is>
          <t>https://app.matchical.com/Consulting/ConsultantDetail?ConsultantId=eea402cd-8076-42ea-b2a3-76dd4576ea4b</t>
        </is>
      </c>
      <c r="D620" t="inlineStr">
        <is>
          <t>Viktor Poloczek</t>
        </is>
      </c>
      <c r="E620" t="inlineStr">
        <is>
          <t>viktor.poloczek@bridging-it.de</t>
        </is>
      </c>
      <c r="F620" s="2" t="n">
        <v>42856</v>
      </c>
      <c r="G620" s="2" t="n">
        <v>42857</v>
      </c>
      <c r="H620" t="n">
        <v>13</v>
      </c>
      <c r="I620" t="n">
        <v>0</v>
      </c>
      <c r="J620" t="n">
        <v>2</v>
      </c>
      <c r="K620" s="2" t="n">
        <v>43982</v>
      </c>
      <c r="L620" s="2" t="n">
        <v>43941</v>
      </c>
      <c r="M620" s="2" t="n">
        <v>44925</v>
      </c>
      <c r="N620" t="b">
        <v>0</v>
      </c>
      <c r="O620" t="n">
        <v>106</v>
      </c>
      <c r="P620" t="n">
        <v>223.01</v>
      </c>
      <c r="Q620" t="n">
        <v>105.82</v>
      </c>
      <c r="R620">
        <f>ROUND(O620-P620,2)</f>
        <v/>
      </c>
      <c r="S620">
        <f>ROUND(O620-Q620,2)</f>
        <v/>
      </c>
      <c r="T620" s="3">
        <f>IFERROR(P620/O620,"")</f>
        <v/>
      </c>
      <c r="U620" s="3">
        <f>IFERROR(Q620/O620,"")</f>
        <v/>
      </c>
      <c r="V620" t="n">
        <v>0</v>
      </c>
      <c r="W620" t="n">
        <v>0</v>
      </c>
      <c r="X620" t="n">
        <v>0</v>
      </c>
      <c r="Y620">
        <f>ROUND(V620-W620,2)</f>
        <v/>
      </c>
      <c r="Z620">
        <f>ROUND(V620-X620,2)</f>
        <v/>
      </c>
      <c r="AA620" s="3">
        <f>IFERROR(W620/V620,"")</f>
        <v/>
      </c>
      <c r="AB620" s="3">
        <f>IFERROR(X620/V620,"")</f>
        <v/>
      </c>
      <c r="AC620" t="b">
        <v>0</v>
      </c>
      <c r="AD620" t="b">
        <v>0</v>
      </c>
      <c r="AE620" t="b">
        <v>1</v>
      </c>
      <c r="AF620" t="inlineStr">
        <is>
          <t>No</t>
        </is>
      </c>
      <c r="AG620" s="2" t="n">
        <v>44197</v>
      </c>
      <c r="AI620" t="b">
        <v>1</v>
      </c>
      <c r="AJ620" t="n">
        <v>0</v>
      </c>
      <c r="AK620" t="inlineStr"/>
      <c r="AL620" t="inlineStr">
        <is>
          <t>ORG bIT Bayern</t>
        </is>
      </c>
      <c r="AM620" t="inlineStr">
        <is>
          <t>BAA Business Analysis &amp; Architecture (Viktor P.)</t>
        </is>
      </c>
      <c r="AN620" t="inlineStr">
        <is>
          <t>BPD Business Processes &amp; Data Engineering(Arne K.)</t>
        </is>
      </c>
      <c r="AO620" t="inlineStr">
        <is>
          <t>bridgingIT GmbH</t>
        </is>
      </c>
      <c r="AP620" t="inlineStr">
        <is>
          <t>München</t>
        </is>
      </c>
      <c r="AQ620" t="inlineStr">
        <is>
          <t>Arne Kunstmann</t>
        </is>
      </c>
    </row>
    <row r="621">
      <c r="A621" t="inlineStr">
        <is>
          <t>2037</t>
        </is>
      </c>
      <c r="B621" t="inlineStr">
        <is>
          <t>1A4867</t>
        </is>
      </c>
      <c r="C621" t="inlineStr">
        <is>
          <t>https://app.matchical.com/Consulting/ConsultantDetail?ConsultantId=a9a94733-ef72-4513-807a-3c3484c0193d</t>
        </is>
      </c>
      <c r="D621" t="inlineStr">
        <is>
          <t>Vincent van Proosdij</t>
        </is>
      </c>
      <c r="E621" t="inlineStr">
        <is>
          <t>vincent.van.proosdij@bridging-it.de</t>
        </is>
      </c>
      <c r="F621" s="2" t="n">
        <v>40817</v>
      </c>
      <c r="G621" s="2" t="n">
        <v>35796</v>
      </c>
      <c r="H621" t="n">
        <v>24</v>
      </c>
      <c r="I621" t="n">
        <v>0</v>
      </c>
      <c r="J621" t="n">
        <v>2</v>
      </c>
      <c r="K621" s="2" t="n">
        <v>45657</v>
      </c>
      <c r="L621" s="2" t="n">
        <v>45214</v>
      </c>
      <c r="M621" s="2" t="n">
        <v>45656</v>
      </c>
      <c r="N621" t="b">
        <v>0</v>
      </c>
      <c r="O621" t="n">
        <v>173</v>
      </c>
      <c r="P621" t="n">
        <v>232.09</v>
      </c>
      <c r="Q621" t="n">
        <v>152.09</v>
      </c>
      <c r="R621">
        <f>ROUND(O621-P621,2)</f>
        <v/>
      </c>
      <c r="S621">
        <f>ROUND(O621-Q621,2)</f>
        <v/>
      </c>
      <c r="T621" s="3">
        <f>IFERROR(P621/O621,"")</f>
        <v/>
      </c>
      <c r="U621" s="3">
        <f>IFERROR(Q621/O621,"")</f>
        <v/>
      </c>
      <c r="V621" t="n">
        <v>165</v>
      </c>
      <c r="W621" t="n">
        <v>1.91</v>
      </c>
      <c r="X621" t="n">
        <v>1.91</v>
      </c>
      <c r="Y621">
        <f>ROUND(V621-W621,2)</f>
        <v/>
      </c>
      <c r="Z621">
        <f>ROUND(V621-X621,2)</f>
        <v/>
      </c>
      <c r="AA621" s="3">
        <f>IFERROR(W621/V621,"")</f>
        <v/>
      </c>
      <c r="AB621" s="3">
        <f>IFERROR(X621/V621,"")</f>
        <v/>
      </c>
      <c r="AC621" t="b">
        <v>0</v>
      </c>
      <c r="AD621" t="b">
        <v>0</v>
      </c>
      <c r="AE621" t="b">
        <v>0</v>
      </c>
      <c r="AF621" t="inlineStr">
        <is>
          <t>No</t>
        </is>
      </c>
      <c r="AI621" t="b">
        <v>0</v>
      </c>
      <c r="AJ621" t="n">
        <v>0</v>
      </c>
      <c r="AK621" t="inlineStr">
        <is>
          <t>Vincent has been offered a full-time position at 50 Hertz, and we are assuming an assignment; we just don't know yet from when. Please reach out to Christoph Müller for inquiries. Key skills: .NET development, Azure, software architecture</t>
        </is>
      </c>
      <c r="AL621" t="inlineStr">
        <is>
          <t>ES Enterprise Solutions (Gina H.)</t>
        </is>
      </c>
      <c r="AM621" t="inlineStr">
        <is>
          <t>IEM .Net I (Christoph M.)</t>
        </is>
      </c>
      <c r="AN621" t="inlineStr">
        <is>
          <t>IEJ Individualentwicklung JAVA (Dominik S.)</t>
        </is>
      </c>
      <c r="AO621" t="inlineStr">
        <is>
          <t>bridgingIT GmbH</t>
        </is>
      </c>
      <c r="AP621" t="inlineStr">
        <is>
          <t>Stuttgart</t>
        </is>
      </c>
      <c r="AQ621" t="inlineStr">
        <is>
          <t>Christoph Müller</t>
        </is>
      </c>
    </row>
    <row r="622">
      <c r="A622" t="inlineStr">
        <is>
          <t>10452</t>
        </is>
      </c>
      <c r="B622" t="inlineStr">
        <is>
          <t>2CC15A</t>
        </is>
      </c>
      <c r="C622" t="inlineStr">
        <is>
          <t>https://app.matchical.com/Consulting/ConsultantDetail?ConsultantId=ed559979-557e-4e19-870d-bf45be843002</t>
        </is>
      </c>
      <c r="D622" t="inlineStr">
        <is>
          <t>Violeta Vuckovic</t>
        </is>
      </c>
      <c r="E622" t="inlineStr">
        <is>
          <t>violeta.vuckovic@bridging-it.de</t>
        </is>
      </c>
      <c r="F622" s="2" t="n">
        <v>45992</v>
      </c>
      <c r="G622" s="2" t="n">
        <v>41183</v>
      </c>
      <c r="H622" t="n">
        <v>10</v>
      </c>
      <c r="I622" t="n">
        <v>0</v>
      </c>
      <c r="J622" t="n">
        <v>0</v>
      </c>
      <c r="L622" s="2" t="n">
        <v>45791</v>
      </c>
      <c r="M622" s="2" t="n">
        <v>45959</v>
      </c>
      <c r="N622" t="b">
        <v>0</v>
      </c>
      <c r="O622" t="n">
        <v>3</v>
      </c>
      <c r="P622" t="n">
        <v>0</v>
      </c>
      <c r="Q622" t="n">
        <v>0</v>
      </c>
      <c r="R622">
        <f>ROUND(O622-P622,2)</f>
        <v/>
      </c>
      <c r="S622">
        <f>ROUND(O622-Q622,2)</f>
        <v/>
      </c>
      <c r="T622" s="3">
        <f>IFERROR(P622/O622,"")</f>
        <v/>
      </c>
      <c r="U622" s="3">
        <f>IFERROR(Q622/O622,"")</f>
        <v/>
      </c>
      <c r="V622" t="n">
        <v>158</v>
      </c>
      <c r="W622" t="n">
        <v>161.97</v>
      </c>
      <c r="X622" t="n">
        <v>133.3</v>
      </c>
      <c r="Y622">
        <f>ROUND(V622-W622,2)</f>
        <v/>
      </c>
      <c r="Z622">
        <f>ROUND(V622-X622,2)</f>
        <v/>
      </c>
      <c r="AA622" s="3">
        <f>IFERROR(W622/V622,"")</f>
        <v/>
      </c>
      <c r="AB622" s="3">
        <f>IFERROR(X622/V622,"")</f>
        <v/>
      </c>
      <c r="AC622" t="b">
        <v>0</v>
      </c>
      <c r="AD622" t="b">
        <v>0</v>
      </c>
      <c r="AE622" t="b">
        <v>0</v>
      </c>
      <c r="AF622" t="inlineStr">
        <is>
          <t>Yes</t>
        </is>
      </c>
      <c r="AG622" s="2" t="n">
        <v>45992</v>
      </c>
      <c r="AI622" t="b">
        <v>1</v>
      </c>
      <c r="AJ622" t="n">
        <v>5</v>
      </c>
      <c r="AK622" t="inlineStr"/>
      <c r="AL622" t="inlineStr">
        <is>
          <t>ORG bIT</t>
        </is>
      </c>
      <c r="AM622" t="inlineStr">
        <is>
          <t>SBLN Standort Berlin (Claudia P.)</t>
        </is>
      </c>
      <c r="AN622" t="inlineStr">
        <is>
          <t>SBLN Standort Berlin (Claudia P.)</t>
        </is>
      </c>
      <c r="AO622" t="inlineStr">
        <is>
          <t>bridgingIT GmbH</t>
        </is>
      </c>
      <c r="AP622" t="inlineStr">
        <is>
          <t>Berlin</t>
        </is>
      </c>
      <c r="AQ622" t="inlineStr">
        <is>
          <t>Claudia Peters</t>
        </is>
      </c>
    </row>
    <row r="623">
      <c r="A623" t="inlineStr">
        <is>
          <t>3226</t>
        </is>
      </c>
      <c r="B623" t="inlineStr">
        <is>
          <t>60DC87</t>
        </is>
      </c>
      <c r="C623" t="inlineStr">
        <is>
          <t>https://app.matchical.com/Consulting/ConsultantDetail?ConsultantId=557746ec-8ba2-4f41-9f1e-d4d24becc95c</t>
        </is>
      </c>
      <c r="D623" t="inlineStr">
        <is>
          <t>Volker Leidl</t>
        </is>
      </c>
      <c r="E623" t="inlineStr">
        <is>
          <t>volker.leidl@bridging-it.de</t>
        </is>
      </c>
      <c r="F623" s="2" t="n">
        <v>44378</v>
      </c>
      <c r="G623" s="2" t="n">
        <v>36899</v>
      </c>
      <c r="H623" t="n">
        <v>11</v>
      </c>
      <c r="I623" t="n">
        <v>0</v>
      </c>
      <c r="J623" t="n">
        <v>1</v>
      </c>
      <c r="K623" s="2" t="n">
        <v>44620</v>
      </c>
      <c r="L623" s="2" t="n">
        <v>45198</v>
      </c>
      <c r="M623" s="2" t="n">
        <v>45657</v>
      </c>
      <c r="N623" t="b">
        <v>0</v>
      </c>
      <c r="O623" t="n">
        <v>56</v>
      </c>
      <c r="P623" t="n">
        <v>92</v>
      </c>
      <c r="Q623" t="n">
        <v>55</v>
      </c>
      <c r="R623">
        <f>ROUND(O623-P623,2)</f>
        <v/>
      </c>
      <c r="S623">
        <f>ROUND(O623-Q623,2)</f>
        <v/>
      </c>
      <c r="T623" s="3">
        <f>IFERROR(P623/O623,"")</f>
        <v/>
      </c>
      <c r="U623" s="3">
        <f>IFERROR(Q623/O623,"")</f>
        <v/>
      </c>
      <c r="V623" t="n">
        <v>246</v>
      </c>
      <c r="W623" t="n">
        <v>82</v>
      </c>
      <c r="X623" t="n">
        <v>81</v>
      </c>
      <c r="Y623">
        <f>ROUND(V623-W623,2)</f>
        <v/>
      </c>
      <c r="Z623">
        <f>ROUND(V623-X623,2)</f>
        <v/>
      </c>
      <c r="AA623" s="3">
        <f>IFERROR(W623/V623,"")</f>
        <v/>
      </c>
      <c r="AB623" s="3">
        <f>IFERROR(X623/V623,"")</f>
        <v/>
      </c>
      <c r="AC623" t="b">
        <v>0</v>
      </c>
      <c r="AD623" t="b">
        <v>0</v>
      </c>
      <c r="AE623" t="b">
        <v>0</v>
      </c>
      <c r="AF623" t="inlineStr">
        <is>
          <t>No</t>
        </is>
      </c>
      <c r="AI623" t="b">
        <v>0</v>
      </c>
      <c r="AJ623" t="n">
        <v>0</v>
      </c>
      <c r="AK623" t="inlineStr"/>
      <c r="AL623" t="inlineStr">
        <is>
          <t>ORG bIT</t>
        </is>
      </c>
      <c r="AM623" t="inlineStr">
        <is>
          <t>SE Software Engineering Frankfurt (Andreas M.)</t>
        </is>
      </c>
      <c r="AN623" t="inlineStr">
        <is>
          <t>ES Enterprise Solutions (Dominik H.)</t>
        </is>
      </c>
      <c r="AO623" t="inlineStr">
        <is>
          <t>bridgingIT GmbH</t>
        </is>
      </c>
      <c r="AP623" t="inlineStr">
        <is>
          <t>Frankfurt</t>
        </is>
      </c>
      <c r="AQ623" t="inlineStr">
        <is>
          <t>Andreas Morgenstern</t>
        </is>
      </c>
    </row>
    <row r="624">
      <c r="A624" t="inlineStr">
        <is>
          <t>10439</t>
        </is>
      </c>
      <c r="B624" t="inlineStr">
        <is>
          <t>6F505A</t>
        </is>
      </c>
      <c r="C624" t="inlineStr">
        <is>
          <t>https://app.matchical.com/Consulting/ConsultantDetail?ConsultantId=2b473ed5-6d48-4b95-811f-5252302805d2</t>
        </is>
      </c>
      <c r="D624" t="inlineStr">
        <is>
          <t>Volker Mahrt</t>
        </is>
      </c>
      <c r="E624" t="inlineStr">
        <is>
          <t>volker.mahrt@bridging-it.de</t>
        </is>
      </c>
      <c r="F624" s="2" t="n">
        <v>46113</v>
      </c>
      <c r="H624" t="n">
        <v>2</v>
      </c>
      <c r="I624" t="n">
        <v>0</v>
      </c>
      <c r="J624" t="n">
        <v>0</v>
      </c>
      <c r="L624" s="2" t="n">
        <v>45138</v>
      </c>
      <c r="M624" s="2" t="n">
        <v>46021</v>
      </c>
      <c r="N624" t="b">
        <v>1</v>
      </c>
      <c r="O624" t="n">
        <v>0</v>
      </c>
      <c r="P624" t="n">
        <v>0</v>
      </c>
      <c r="Q624" t="n">
        <v>0</v>
      </c>
      <c r="R624">
        <f>ROUND(O624-P624,2)</f>
        <v/>
      </c>
      <c r="S624">
        <f>ROUND(O624-Q624,2)</f>
        <v/>
      </c>
      <c r="T624" s="3">
        <f>IFERROR(P624/O624,"")</f>
        <v/>
      </c>
      <c r="U624" s="3">
        <f>IFERROR(Q624/O624,"")</f>
        <v/>
      </c>
      <c r="V624" t="n">
        <v>1515</v>
      </c>
      <c r="W624" t="n">
        <v>64</v>
      </c>
      <c r="X624" t="n">
        <v>35</v>
      </c>
      <c r="Y624">
        <f>ROUND(V624-W624,2)</f>
        <v/>
      </c>
      <c r="Z624">
        <f>ROUND(V624-X624,2)</f>
        <v/>
      </c>
      <c r="AA624" s="3">
        <f>IFERROR(W624/V624,"")</f>
        <v/>
      </c>
      <c r="AB624" s="3">
        <f>IFERROR(X624/V624,"")</f>
        <v/>
      </c>
      <c r="AC624" t="b">
        <v>0</v>
      </c>
      <c r="AD624" t="b">
        <v>0</v>
      </c>
      <c r="AE624" t="b">
        <v>0</v>
      </c>
      <c r="AF624" t="inlineStr">
        <is>
          <t>No</t>
        </is>
      </c>
      <c r="AI624" t="b">
        <v>1</v>
      </c>
      <c r="AJ624" t="n">
        <v>0</v>
      </c>
      <c r="AK624" t="inlineStr"/>
      <c r="AL624" t="inlineStr">
        <is>
          <t>IT - Information Technology (HH)</t>
        </is>
      </c>
      <c r="AM624" t="inlineStr">
        <is>
          <t>CRM II - Platform Solutions &amp; CRM (Ines M.)</t>
        </is>
      </c>
      <c r="AN624" t="inlineStr">
        <is>
          <t>BAA HH (Torben H.)</t>
        </is>
      </c>
      <c r="AO624" t="inlineStr">
        <is>
          <t>bridgingIT GmbH</t>
        </is>
      </c>
      <c r="AP624" t="inlineStr">
        <is>
          <t>Hamburg</t>
        </is>
      </c>
      <c r="AQ624" t="inlineStr">
        <is>
          <t>Markus Stefan</t>
        </is>
      </c>
    </row>
    <row r="625">
      <c r="A625" t="inlineStr">
        <is>
          <t>8030</t>
        </is>
      </c>
      <c r="B625" t="inlineStr">
        <is>
          <t>760465</t>
        </is>
      </c>
      <c r="C625" t="inlineStr">
        <is>
          <t>https://app.matchical.com/Consulting/ConsultantDetail?ConsultantId=9895d887-e74b-4fcf-979c-bbcce01cdc80</t>
        </is>
      </c>
      <c r="D625" t="inlineStr">
        <is>
          <t>Volkmar Bornemann</t>
        </is>
      </c>
      <c r="E625" t="inlineStr">
        <is>
          <t>volkmar.bornemann@crafting-it.de</t>
        </is>
      </c>
      <c r="F625" s="2" t="n">
        <v>41974</v>
      </c>
      <c r="G625" s="2" t="n">
        <v>37043</v>
      </c>
      <c r="H625" t="n">
        <v>3</v>
      </c>
      <c r="I625" t="n">
        <v>0</v>
      </c>
      <c r="J625" t="n">
        <v>1</v>
      </c>
      <c r="K625" s="2" t="n">
        <v>43466</v>
      </c>
      <c r="L625" s="2" t="n">
        <v>43466</v>
      </c>
      <c r="M625" s="2" t="n">
        <v>43830</v>
      </c>
      <c r="N625" t="b">
        <v>0</v>
      </c>
      <c r="O625" t="n">
        <v>135</v>
      </c>
      <c r="P625" t="n">
        <v>109</v>
      </c>
      <c r="Q625" t="n">
        <v>85</v>
      </c>
      <c r="R625">
        <f>ROUND(O625-P625,2)</f>
        <v/>
      </c>
      <c r="S625">
        <f>ROUND(O625-Q625,2)</f>
        <v/>
      </c>
      <c r="T625" s="3">
        <f>IFERROR(P625/O625,"")</f>
        <v/>
      </c>
      <c r="U625" s="3">
        <f>IFERROR(Q625/O625,"")</f>
        <v/>
      </c>
      <c r="V625" t="n">
        <v>162</v>
      </c>
      <c r="W625" t="n">
        <v>0</v>
      </c>
      <c r="X625" t="n">
        <v>0</v>
      </c>
      <c r="Y625">
        <f>ROUND(V625-W625,2)</f>
        <v/>
      </c>
      <c r="Z625">
        <f>ROUND(V625-X625,2)</f>
        <v/>
      </c>
      <c r="AA625" s="3">
        <f>IFERROR(W625/V625,"")</f>
        <v/>
      </c>
      <c r="AB625" s="3">
        <f>IFERROR(X625/V625,"")</f>
        <v/>
      </c>
      <c r="AC625" t="b">
        <v>0</v>
      </c>
      <c r="AD625" t="b">
        <v>0</v>
      </c>
      <c r="AE625" t="b">
        <v>0</v>
      </c>
      <c r="AF625" t="inlineStr">
        <is>
          <t>No</t>
        </is>
      </c>
      <c r="AI625" t="b">
        <v>1</v>
      </c>
      <c r="AJ625" t="n">
        <v>0</v>
      </c>
      <c r="AK625" t="inlineStr"/>
      <c r="AL625" t="inlineStr">
        <is>
          <t>ORG cIT</t>
        </is>
      </c>
      <c r="AM625" t="inlineStr">
        <is>
          <t>cIT IT Services</t>
        </is>
      </c>
      <c r="AN625" t="inlineStr">
        <is>
          <t>cIT Service Delivery Magdeburg (Steffen A.)</t>
        </is>
      </c>
      <c r="AO625" t="inlineStr">
        <is>
          <t>craftingIT GmbH</t>
        </is>
      </c>
      <c r="AP625" t="inlineStr">
        <is>
          <t>Magdeburg</t>
        </is>
      </c>
      <c r="AQ625" t="inlineStr">
        <is>
          <t>Marcel Kelle</t>
        </is>
      </c>
    </row>
    <row r="626">
      <c r="A626" t="inlineStr">
        <is>
          <t>2131</t>
        </is>
      </c>
      <c r="B626" t="inlineStr">
        <is>
          <t>0570D4</t>
        </is>
      </c>
      <c r="C626" t="inlineStr">
        <is>
          <t>https://app.matchical.com/Consulting/ConsultantDetail?ConsultantId=d66b26e1-298d-4cef-b20a-dfdc8e760bfc</t>
        </is>
      </c>
      <c r="D626" t="inlineStr">
        <is>
          <t>Wilfried Wessel</t>
        </is>
      </c>
      <c r="E626" t="inlineStr">
        <is>
          <t>wilfried.wessel@bridging-it.de</t>
        </is>
      </c>
      <c r="F626" s="2" t="n">
        <v>42370</v>
      </c>
      <c r="G626" s="2" t="n">
        <v>38169</v>
      </c>
      <c r="H626" t="n">
        <v>21</v>
      </c>
      <c r="I626" t="n">
        <v>0</v>
      </c>
      <c r="J626" t="n">
        <v>2</v>
      </c>
      <c r="K626" s="2" t="n">
        <v>43465</v>
      </c>
      <c r="L626" s="2" t="n">
        <v>45505</v>
      </c>
      <c r="M626" s="2" t="n">
        <v>45837</v>
      </c>
      <c r="N626" t="b">
        <v>0</v>
      </c>
      <c r="O626" t="n">
        <v>122</v>
      </c>
      <c r="P626" t="n">
        <v>266</v>
      </c>
      <c r="Q626" t="n">
        <v>121.79</v>
      </c>
      <c r="R626">
        <f>ROUND(O626-P626,2)</f>
        <v/>
      </c>
      <c r="S626">
        <f>ROUND(O626-Q626,2)</f>
        <v/>
      </c>
      <c r="T626" s="3">
        <f>IFERROR(P626/O626,"")</f>
        <v/>
      </c>
      <c r="U626" s="3">
        <f>IFERROR(Q626/O626,"")</f>
        <v/>
      </c>
      <c r="V626" t="n">
        <v>138</v>
      </c>
      <c r="W626" t="n">
        <v>132</v>
      </c>
      <c r="X626" t="n">
        <v>63</v>
      </c>
      <c r="Y626">
        <f>ROUND(V626-W626,2)</f>
        <v/>
      </c>
      <c r="Z626">
        <f>ROUND(V626-X626,2)</f>
        <v/>
      </c>
      <c r="AA626" s="3">
        <f>IFERROR(W626/V626,"")</f>
        <v/>
      </c>
      <c r="AB626" s="3">
        <f>IFERROR(X626/V626,"")</f>
        <v/>
      </c>
      <c r="AC626" t="b">
        <v>0</v>
      </c>
      <c r="AD626" t="b">
        <v>0</v>
      </c>
      <c r="AE626" t="b">
        <v>0</v>
      </c>
      <c r="AF626" t="inlineStr">
        <is>
          <t>No</t>
        </is>
      </c>
      <c r="AI626" t="b">
        <v>1</v>
      </c>
      <c r="AJ626" t="n">
        <v>0</v>
      </c>
      <c r="AK626" t="inlineStr"/>
      <c r="AL626" t="inlineStr">
        <is>
          <t>IT Information Technology (Hauke G.)</t>
        </is>
      </c>
      <c r="AM626" t="inlineStr">
        <is>
          <t>AM IT-Architecture Management (Wilfried W.)</t>
        </is>
      </c>
      <c r="AN626" t="inlineStr">
        <is>
          <t>ITM IT-Management (Jörg M.)</t>
        </is>
      </c>
      <c r="AO626" t="inlineStr">
        <is>
          <t>bridgingIT GmbH</t>
        </is>
      </c>
      <c r="AP626" t="inlineStr">
        <is>
          <t>Stuttgart</t>
        </is>
      </c>
      <c r="AQ626" t="inlineStr">
        <is>
          <t>Jörg Merz</t>
        </is>
      </c>
    </row>
    <row r="627">
      <c r="A627" t="inlineStr">
        <is>
          <t>8674</t>
        </is>
      </c>
      <c r="B627" t="inlineStr">
        <is>
          <t>D60348</t>
        </is>
      </c>
      <c r="C627" t="inlineStr">
        <is>
          <t>https://app.matchical.com/Consulting/ConsultantDetail?ConsultantId=356aa71b-9be0-4ef7-9e06-0b1f974d6174</t>
        </is>
      </c>
      <c r="D627" t="inlineStr">
        <is>
          <t>Wolfram Borchers</t>
        </is>
      </c>
      <c r="E627" t="inlineStr">
        <is>
          <t>wolfram.borchers@bridging-it.de</t>
        </is>
      </c>
      <c r="F627" s="2" t="n">
        <v>44228</v>
      </c>
      <c r="G627" s="2" t="n">
        <v>34090</v>
      </c>
      <c r="H627" t="n">
        <v>22</v>
      </c>
      <c r="I627" t="n">
        <v>0</v>
      </c>
      <c r="J627" t="n">
        <v>0</v>
      </c>
      <c r="L627" s="2" t="n">
        <v>45139</v>
      </c>
      <c r="M627" s="2" t="n">
        <v>45838</v>
      </c>
      <c r="N627" t="b">
        <v>0</v>
      </c>
      <c r="O627" t="n">
        <v>61</v>
      </c>
      <c r="P627" t="n">
        <v>166.03</v>
      </c>
      <c r="Q627" t="n">
        <v>60.75</v>
      </c>
      <c r="R627">
        <f>ROUND(O627-P627,2)</f>
        <v/>
      </c>
      <c r="S627">
        <f>ROUND(O627-Q627,2)</f>
        <v/>
      </c>
      <c r="T627" s="3">
        <f>IFERROR(P627/O627,"")</f>
        <v/>
      </c>
      <c r="U627" s="3">
        <f>IFERROR(Q627/O627,"")</f>
        <v/>
      </c>
      <c r="V627" t="n">
        <v>333</v>
      </c>
      <c r="W627" t="n">
        <v>170.97</v>
      </c>
      <c r="X627" t="n">
        <v>139.22</v>
      </c>
      <c r="Y627">
        <f>ROUND(V627-W627,2)</f>
        <v/>
      </c>
      <c r="Z627">
        <f>ROUND(V627-X627,2)</f>
        <v/>
      </c>
      <c r="AA627" s="3">
        <f>IFERROR(W627/V627,"")</f>
        <v/>
      </c>
      <c r="AB627" s="3">
        <f>IFERROR(X627/V627,"")</f>
        <v/>
      </c>
      <c r="AC627" t="b">
        <v>0</v>
      </c>
      <c r="AD627" t="b">
        <v>0</v>
      </c>
      <c r="AE627" t="b">
        <v>0</v>
      </c>
      <c r="AF627" t="inlineStr">
        <is>
          <t>Yes</t>
        </is>
      </c>
      <c r="AG627" s="2" t="n">
        <v>46023</v>
      </c>
      <c r="AI627" t="b">
        <v>0</v>
      </c>
      <c r="AJ627" t="n">
        <v>5</v>
      </c>
      <c r="AK627" t="inlineStr">
        <is>
          <t>Wolfram Borchers is a highly experienced consultant involved in large infrastructure projects, with many years of experience in project management within corporate environments, including with international clients. His years of experience in leading and motivating teams are a hallmark of the projects. His industry expertise extends from the public sector through automotive, mechanical engineering, energy to the insurance industry.</t>
        </is>
      </c>
      <c r="AL627" t="inlineStr">
        <is>
          <t>IT Information Technology (Hauke G.)</t>
        </is>
      </c>
      <c r="AM627" t="inlineStr">
        <is>
          <t>IT Line Management (Hauke G.)</t>
        </is>
      </c>
      <c r="AN627" t="inlineStr">
        <is>
          <t>IT Line-Management (Hauke G.)</t>
        </is>
      </c>
      <c r="AO627" t="inlineStr">
        <is>
          <t>bridgingIT GmbH</t>
        </is>
      </c>
      <c r="AP627" t="inlineStr">
        <is>
          <t>Stuttgart</t>
        </is>
      </c>
      <c r="AQ627" t="inlineStr">
        <is>
          <t>Hauke Goppelt</t>
        </is>
      </c>
    </row>
    <row r="628">
      <c r="A628" t="inlineStr">
        <is>
          <t>10230</t>
        </is>
      </c>
      <c r="B628" t="inlineStr">
        <is>
          <t>2589A1</t>
        </is>
      </c>
      <c r="C628" t="inlineStr">
        <is>
          <t>https://app.matchical.com/Consulting/ConsultantDetail?ConsultantId=91042b98-b846-4b0c-9c35-af48f17ef07f</t>
        </is>
      </c>
      <c r="D628" t="inlineStr">
        <is>
          <t>Yael Bar-Zeev</t>
        </is>
      </c>
      <c r="E628" t="inlineStr">
        <is>
          <t>yael.bar-zeev@bridging-it.de</t>
        </is>
      </c>
      <c r="F628" s="2" t="n">
        <v>45261</v>
      </c>
      <c r="H628" t="n">
        <v>2</v>
      </c>
      <c r="I628" t="n">
        <v>0</v>
      </c>
      <c r="J628" t="n">
        <v>0</v>
      </c>
      <c r="L628" s="2" t="n">
        <v>45292</v>
      </c>
      <c r="M628" s="2" t="n">
        <v>45657</v>
      </c>
      <c r="N628" t="b">
        <v>0</v>
      </c>
      <c r="O628" t="n">
        <v>27</v>
      </c>
      <c r="P628" t="n">
        <v>20</v>
      </c>
      <c r="Q628" t="n">
        <v>12</v>
      </c>
      <c r="R628">
        <f>ROUND(O628-P628,2)</f>
        <v/>
      </c>
      <c r="S628">
        <f>ROUND(O628-Q628,2)</f>
        <v/>
      </c>
      <c r="T628" s="3">
        <f>IFERROR(P628/O628,"")</f>
        <v/>
      </c>
      <c r="U628" s="3">
        <f>IFERROR(Q628/O628,"")</f>
        <v/>
      </c>
      <c r="V628" t="n">
        <v>1487</v>
      </c>
      <c r="W628" t="n">
        <v>0</v>
      </c>
      <c r="X628" t="n">
        <v>0</v>
      </c>
      <c r="Y628">
        <f>ROUND(V628-W628,2)</f>
        <v/>
      </c>
      <c r="Z628">
        <f>ROUND(V628-X628,2)</f>
        <v/>
      </c>
      <c r="AA628" s="3">
        <f>IFERROR(W628/V628,"")</f>
        <v/>
      </c>
      <c r="AB628" s="3">
        <f>IFERROR(X628/V628,"")</f>
        <v/>
      </c>
      <c r="AC628" t="b">
        <v>0</v>
      </c>
      <c r="AD628" t="b">
        <v>0</v>
      </c>
      <c r="AE628" t="b">
        <v>0</v>
      </c>
      <c r="AF628" t="inlineStr">
        <is>
          <t>No</t>
        </is>
      </c>
      <c r="AI628" t="b">
        <v>0</v>
      </c>
      <c r="AJ628" t="n">
        <v>0</v>
      </c>
      <c r="AK628" t="inlineStr"/>
      <c r="AL628" t="inlineStr">
        <is>
          <t>DO Digital Organizations (Michael H.)</t>
        </is>
      </c>
      <c r="AM628" t="inlineStr">
        <is>
          <t>PD Process Digitalization II (Ralf Fr.)</t>
        </is>
      </c>
      <c r="AN628" t="inlineStr">
        <is>
          <t>DP Digital Processes (Hermann L.)</t>
        </is>
      </c>
      <c r="AO628" t="inlineStr">
        <is>
          <t>bridgingIT GmbH</t>
        </is>
      </c>
      <c r="AP628" t="inlineStr">
        <is>
          <t>Stuttgart</t>
        </is>
      </c>
      <c r="AQ628" t="inlineStr">
        <is>
          <t>Ralf Frotscher</t>
        </is>
      </c>
    </row>
    <row r="629">
      <c r="A629" t="inlineStr">
        <is>
          <t>1468</t>
        </is>
      </c>
      <c r="B629" t="inlineStr">
        <is>
          <t>9BAB06</t>
        </is>
      </c>
      <c r="C629" t="inlineStr">
        <is>
          <t>https://app.matchical.com/Consulting/ConsultantDetail?ConsultantId=5c564bcc-3d71-4d32-8c43-d7103f70d596</t>
        </is>
      </c>
      <c r="D629" t="inlineStr">
        <is>
          <t>Yasin Icöz</t>
        </is>
      </c>
      <c r="E629" t="inlineStr">
        <is>
          <t>yasin.icoez@bridging-it.de</t>
        </is>
      </c>
      <c r="F629" s="2" t="n">
        <v>44044</v>
      </c>
      <c r="G629" s="2" t="n">
        <v>42644</v>
      </c>
      <c r="H629" t="n">
        <v>6</v>
      </c>
      <c r="I629" t="n">
        <v>0</v>
      </c>
      <c r="J629" t="n">
        <v>0</v>
      </c>
      <c r="L629" s="2" t="n">
        <v>44476</v>
      </c>
      <c r="M629" s="2" t="n">
        <v>45988</v>
      </c>
      <c r="N629" t="b">
        <v>0</v>
      </c>
      <c r="O629" t="n">
        <v>67</v>
      </c>
      <c r="P629" t="n">
        <v>57</v>
      </c>
      <c r="Q629" t="n">
        <v>57</v>
      </c>
      <c r="R629">
        <f>ROUND(O629-P629,2)</f>
        <v/>
      </c>
      <c r="S629">
        <f>ROUND(O629-Q629,2)</f>
        <v/>
      </c>
      <c r="T629" s="3">
        <f>IFERROR(P629/O629,"")</f>
        <v/>
      </c>
      <c r="U629" s="3">
        <f>IFERROR(Q629/O629,"")</f>
        <v/>
      </c>
      <c r="V629" t="n">
        <v>46</v>
      </c>
      <c r="W629" t="n">
        <v>27</v>
      </c>
      <c r="X629" t="n">
        <v>27</v>
      </c>
      <c r="Y629">
        <f>ROUND(V629-W629,2)</f>
        <v/>
      </c>
      <c r="Z629">
        <f>ROUND(V629-X629,2)</f>
        <v/>
      </c>
      <c r="AA629" s="3">
        <f>IFERROR(W629/V629,"")</f>
        <v/>
      </c>
      <c r="AB629" s="3">
        <f>IFERROR(X629/V629,"")</f>
        <v/>
      </c>
      <c r="AC629" t="b">
        <v>0</v>
      </c>
      <c r="AD629" t="b">
        <v>0</v>
      </c>
      <c r="AE629" t="b">
        <v>0</v>
      </c>
      <c r="AF629" t="inlineStr">
        <is>
          <t>Yes</t>
        </is>
      </c>
      <c r="AG629" s="2" t="n">
        <v>46023</v>
      </c>
      <c r="AI629" t="b">
        <v>1</v>
      </c>
      <c r="AJ629" t="n">
        <v>5</v>
      </c>
      <c r="AK629" t="inlineStr"/>
      <c r="AL629" t="inlineStr">
        <is>
          <t>A&amp;SE Analytics &amp; Software Engineering (Philip R.)</t>
        </is>
      </c>
      <c r="AM629" t="inlineStr">
        <is>
          <t>DP Data Platforms (Martin K.)</t>
        </is>
      </c>
      <c r="AN629" t="inlineStr">
        <is>
          <t>A&amp;DDS - Analytics &amp; Data-driven Solutions (M. Hof)</t>
        </is>
      </c>
      <c r="AO629" t="inlineStr">
        <is>
          <t>bridgingIT GmbH</t>
        </is>
      </c>
      <c r="AP629" t="inlineStr">
        <is>
          <t>Mannheim</t>
        </is>
      </c>
      <c r="AQ629" t="inlineStr">
        <is>
          <t>Martin Klingenberg</t>
        </is>
      </c>
    </row>
    <row r="630">
      <c r="A630" t="inlineStr">
        <is>
          <t>1471</t>
        </is>
      </c>
      <c r="B630" t="inlineStr">
        <is>
          <t>35F3F5</t>
        </is>
      </c>
      <c r="C630" t="inlineStr">
        <is>
          <t>https://app.matchical.com/Consulting/ConsultantDetail?ConsultantId=8d9279d8-0c74-4d2f-81d1-d80a09af992c</t>
        </is>
      </c>
      <c r="D630" t="inlineStr">
        <is>
          <t>Yiwei Liu</t>
        </is>
      </c>
      <c r="E630" t="inlineStr">
        <is>
          <t>yiwei.liu@bridging-it.de</t>
        </is>
      </c>
      <c r="F630" s="2" t="n">
        <v>44075</v>
      </c>
      <c r="G630" s="2" t="n">
        <v>43709</v>
      </c>
      <c r="H630" t="n">
        <v>7</v>
      </c>
      <c r="I630" t="n">
        <v>0</v>
      </c>
      <c r="J630" t="n">
        <v>1</v>
      </c>
      <c r="K630" s="2" t="n">
        <v>44805</v>
      </c>
      <c r="L630" s="2" t="n">
        <v>44325</v>
      </c>
      <c r="M630" s="2" t="n">
        <v>44742</v>
      </c>
      <c r="N630" t="b">
        <v>0</v>
      </c>
      <c r="O630" t="n">
        <v>66</v>
      </c>
      <c r="P630" t="n">
        <v>63.97</v>
      </c>
      <c r="Q630" t="n">
        <v>63.97</v>
      </c>
      <c r="R630">
        <f>ROUND(O630-P630,2)</f>
        <v/>
      </c>
      <c r="S630">
        <f>ROUND(O630-Q630,2)</f>
        <v/>
      </c>
      <c r="T630" s="3">
        <f>IFERROR(P630/O630,"")</f>
        <v/>
      </c>
      <c r="U630" s="3">
        <f>IFERROR(Q630/O630,"")</f>
        <v/>
      </c>
      <c r="V630" t="n">
        <v>12</v>
      </c>
      <c r="W630" t="n">
        <v>0.03</v>
      </c>
      <c r="X630" t="n">
        <v>0.03</v>
      </c>
      <c r="Y630">
        <f>ROUND(V630-W630,2)</f>
        <v/>
      </c>
      <c r="Z630">
        <f>ROUND(V630-X630,2)</f>
        <v/>
      </c>
      <c r="AA630" s="3">
        <f>IFERROR(W630/V630,"")</f>
        <v/>
      </c>
      <c r="AB630" s="3">
        <f>IFERROR(X630/V630,"")</f>
        <v/>
      </c>
      <c r="AC630" t="b">
        <v>0</v>
      </c>
      <c r="AD630" t="b">
        <v>0</v>
      </c>
      <c r="AE630" t="b">
        <v>0</v>
      </c>
      <c r="AF630" t="inlineStr">
        <is>
          <t>No</t>
        </is>
      </c>
      <c r="AI630" t="b">
        <v>1</v>
      </c>
      <c r="AJ630" t="n">
        <v>0</v>
      </c>
      <c r="AK630" t="inlineStr">
        <is>
          <t>Yiwei is a solid full-stack developer with the following technology focus areas
Skills:
- Spring Boot
- Angular, Vue.js
- DevOps development
- Kotlin</t>
        </is>
      </c>
      <c r="AL630" t="inlineStr">
        <is>
          <t>A&amp;SE Analytics &amp; Software Engineering (Philip R.)</t>
        </is>
      </c>
      <c r="AM630" t="inlineStr">
        <is>
          <t>FR Fullstack Rockstars (Stefan Z.)</t>
        </is>
      </c>
      <c r="AN630" t="inlineStr">
        <is>
          <t>FUN Fullstack Ninjas (Stefan Z.)</t>
        </is>
      </c>
      <c r="AO630" t="inlineStr">
        <is>
          <t>bridgingIT GmbH</t>
        </is>
      </c>
      <c r="AP630" t="inlineStr">
        <is>
          <t>Mannheim</t>
        </is>
      </c>
      <c r="AQ630" t="inlineStr">
        <is>
          <t>Stefan Zilch</t>
        </is>
      </c>
    </row>
    <row r="631">
      <c r="A631" t="inlineStr">
        <is>
          <t>10024</t>
        </is>
      </c>
      <c r="B631" t="inlineStr">
        <is>
          <t>9287BB</t>
        </is>
      </c>
      <c r="C631" t="inlineStr">
        <is>
          <t>https://app.matchical.com/Consulting/ConsultantDetail?ConsultantId=c13d430f-d410-4bb8-895d-ecdd7dff735b</t>
        </is>
      </c>
      <c r="D631" t="inlineStr">
        <is>
          <t>Yuliia Dokanin</t>
        </is>
      </c>
      <c r="E631" t="inlineStr">
        <is>
          <t>yuliia.dokanin@bridging-it.de</t>
        </is>
      </c>
      <c r="F631" s="2" t="n">
        <v>44880</v>
      </c>
      <c r="G631" s="2" t="n">
        <v>43132</v>
      </c>
      <c r="H631" t="n">
        <v>5</v>
      </c>
      <c r="I631" t="n">
        <v>0</v>
      </c>
      <c r="J631" t="n">
        <v>1</v>
      </c>
      <c r="K631" s="2" t="n">
        <v>44895</v>
      </c>
      <c r="L631" s="2" t="n">
        <v>45937</v>
      </c>
      <c r="M631" s="2" t="n">
        <v>45981</v>
      </c>
      <c r="N631" t="b">
        <v>0</v>
      </c>
      <c r="O631" t="n">
        <v>39</v>
      </c>
      <c r="P631" t="n">
        <v>39</v>
      </c>
      <c r="Q631" t="n">
        <v>39</v>
      </c>
      <c r="R631">
        <f>ROUND(O631-P631,2)</f>
        <v/>
      </c>
      <c r="S631">
        <f>ROUND(O631-Q631,2)</f>
        <v/>
      </c>
      <c r="T631" s="3">
        <f>IFERROR(P631/O631,"")</f>
        <v/>
      </c>
      <c r="U631" s="3">
        <f>IFERROR(Q631/O631,"")</f>
        <v/>
      </c>
      <c r="V631" t="n">
        <v>57</v>
      </c>
      <c r="W631" t="n">
        <v>31</v>
      </c>
      <c r="X631" t="n">
        <v>31</v>
      </c>
      <c r="Y631">
        <f>ROUND(V631-W631,2)</f>
        <v/>
      </c>
      <c r="Z631">
        <f>ROUND(V631-X631,2)</f>
        <v/>
      </c>
      <c r="AA631" s="3">
        <f>IFERROR(W631/V631,"")</f>
        <v/>
      </c>
      <c r="AB631" s="3">
        <f>IFERROR(X631/V631,"")</f>
        <v/>
      </c>
      <c r="AC631" t="b">
        <v>0</v>
      </c>
      <c r="AD631" t="b">
        <v>0</v>
      </c>
      <c r="AE631" t="b">
        <v>0</v>
      </c>
      <c r="AF631" t="inlineStr">
        <is>
          <t>No</t>
        </is>
      </c>
      <c r="AI631" t="b">
        <v>1</v>
      </c>
      <c r="AJ631" t="n">
        <v>0</v>
      </c>
      <c r="AK631" t="inlineStr">
        <is>
          <t>Yuliia will still have a bit of Kappa to help with smaller tasks until the start of her full-time project in 2026.</t>
        </is>
      </c>
      <c r="AL631" t="inlineStr">
        <is>
          <t>ORG bIT</t>
        </is>
      </c>
      <c r="AM631" t="inlineStr">
        <is>
          <t>BAPO - BA and Product Ownership (Edgar K.)</t>
        </is>
      </c>
      <c r="AN631" t="inlineStr">
        <is>
          <t>ABC Analysing Business &amp; Collaboration (Edgar K.)</t>
        </is>
      </c>
      <c r="AO631" t="inlineStr">
        <is>
          <t>bridgingIT GmbH</t>
        </is>
      </c>
      <c r="AP631" t="inlineStr">
        <is>
          <t>Frankfurt</t>
        </is>
      </c>
      <c r="AQ631" t="inlineStr">
        <is>
          <t>Edgar Kauz</t>
        </is>
      </c>
    </row>
    <row r="632">
      <c r="A632" t="inlineStr">
        <is>
          <t>10453</t>
        </is>
      </c>
      <c r="B632" t="inlineStr">
        <is>
          <t>08B1A1</t>
        </is>
      </c>
      <c r="C632" t="inlineStr">
        <is>
          <t>https://app.matchical.com/Consulting/ConsultantDetail?ConsultantId=2ea9514c-5cd5-4e35-94c3-7ace391dda4d</t>
        </is>
      </c>
      <c r="D632" t="inlineStr">
        <is>
          <t>Yvonne Biniasz</t>
        </is>
      </c>
      <c r="E632" t="inlineStr">
        <is>
          <t>yvonne.biniasz@bridging-it.de</t>
        </is>
      </c>
      <c r="F632" s="2" t="n">
        <v>46082</v>
      </c>
      <c r="H632" t="n">
        <v>2</v>
      </c>
      <c r="I632" t="n">
        <v>0</v>
      </c>
      <c r="J632" t="n">
        <v>1</v>
      </c>
      <c r="K632" s="2" t="n">
        <v>45930</v>
      </c>
      <c r="L632" s="2" t="n">
        <v>44926</v>
      </c>
      <c r="M632" s="2" t="n">
        <v>45290</v>
      </c>
      <c r="N632" t="b">
        <v>1</v>
      </c>
      <c r="O632" t="n">
        <v>0</v>
      </c>
      <c r="P632" t="n">
        <v>0</v>
      </c>
      <c r="Q632" t="n">
        <v>0</v>
      </c>
      <c r="R632">
        <f>ROUND(O632-P632,2)</f>
        <v/>
      </c>
      <c r="S632">
        <f>ROUND(O632-Q632,2)</f>
        <v/>
      </c>
      <c r="T632" s="3">
        <f>IFERROR(P632/O632,"")</f>
        <v/>
      </c>
      <c r="U632" s="3">
        <f>IFERROR(Q632/O632,"")</f>
        <v/>
      </c>
      <c r="V632" t="n">
        <v>1514</v>
      </c>
      <c r="W632" t="n">
        <v>16</v>
      </c>
      <c r="X632" t="n">
        <v>16</v>
      </c>
      <c r="Y632">
        <f>ROUND(V632-W632,2)</f>
        <v/>
      </c>
      <c r="Z632">
        <f>ROUND(V632-X632,2)</f>
        <v/>
      </c>
      <c r="AA632" s="3">
        <f>IFERROR(W632/V632,"")</f>
        <v/>
      </c>
      <c r="AB632" s="3">
        <f>IFERROR(X632/V632,"")</f>
        <v/>
      </c>
      <c r="AC632" t="b">
        <v>0</v>
      </c>
      <c r="AD632" t="b">
        <v>0</v>
      </c>
      <c r="AE632" t="b">
        <v>0</v>
      </c>
      <c r="AF632" t="inlineStr">
        <is>
          <t>Yes</t>
        </is>
      </c>
      <c r="AG632" s="2" t="n">
        <v>46082</v>
      </c>
      <c r="AI632" t="b">
        <v>1</v>
      </c>
      <c r="AJ632" t="n">
        <v>5</v>
      </c>
      <c r="AK632" t="inlineStr"/>
      <c r="AL632" t="inlineStr">
        <is>
          <t>IT - Information Technology (HH)</t>
        </is>
      </c>
      <c r="AM632" t="inlineStr">
        <is>
          <t>CRM I - Platform Solutions &amp; CRM (Fortunato D. D.)</t>
        </is>
      </c>
      <c r="AN632" t="inlineStr">
        <is>
          <t>BAA HH (Torben H.)</t>
        </is>
      </c>
      <c r="AO632" t="inlineStr">
        <is>
          <t>bridgingIT GmbH</t>
        </is>
      </c>
      <c r="AP632" t="inlineStr">
        <is>
          <t>Hamburg</t>
        </is>
      </c>
      <c r="AQ632" t="inlineStr">
        <is>
          <t>Fortunato Di Donato</t>
        </is>
      </c>
    </row>
    <row r="633">
      <c r="A633" t="inlineStr">
        <is>
          <t>1307</t>
        </is>
      </c>
      <c r="B633" t="inlineStr">
        <is>
          <t>394061</t>
        </is>
      </c>
      <c r="C633" t="inlineStr">
        <is>
          <t>https://app.matchical.com/Consulting/ConsultantDetail?ConsultantId=bc324558-d664-4f53-80ce-da8659cdb58c</t>
        </is>
      </c>
      <c r="D633" t="inlineStr">
        <is>
          <t>Yvonne Hartmann</t>
        </is>
      </c>
      <c r="E633" t="inlineStr">
        <is>
          <t>yvonne.hartmann@bridging-it.de</t>
        </is>
      </c>
      <c r="F633" s="2" t="n">
        <v>42254</v>
      </c>
      <c r="G633" s="2" t="n">
        <v>41640</v>
      </c>
      <c r="H633" t="n">
        <v>12</v>
      </c>
      <c r="I633" t="n">
        <v>0</v>
      </c>
      <c r="J633" t="n">
        <v>0</v>
      </c>
      <c r="L633" s="2" t="n">
        <v>45292</v>
      </c>
      <c r="M633" s="2" t="n">
        <v>46021</v>
      </c>
      <c r="N633" t="b">
        <v>0</v>
      </c>
      <c r="O633" t="n">
        <v>126</v>
      </c>
      <c r="P633" t="n">
        <v>210</v>
      </c>
      <c r="Q633" t="n">
        <v>125.6</v>
      </c>
      <c r="R633">
        <f>ROUND(O633-P633,2)</f>
        <v/>
      </c>
      <c r="S633">
        <f>ROUND(O633-Q633,2)</f>
        <v/>
      </c>
      <c r="T633" s="3">
        <f>IFERROR(P633/O633,"")</f>
        <v/>
      </c>
      <c r="U633" s="3">
        <f>IFERROR(Q633/O633,"")</f>
        <v/>
      </c>
      <c r="V633" t="n">
        <v>20</v>
      </c>
      <c r="W633" t="n">
        <v>0</v>
      </c>
      <c r="X633" t="n">
        <v>0</v>
      </c>
      <c r="Y633">
        <f>ROUND(V633-W633,2)</f>
        <v/>
      </c>
      <c r="Z633">
        <f>ROUND(V633-X633,2)</f>
        <v/>
      </c>
      <c r="AA633" s="3">
        <f>IFERROR(W633/V633,"")</f>
        <v/>
      </c>
      <c r="AB633" s="3">
        <f>IFERROR(X633/V633,"")</f>
        <v/>
      </c>
      <c r="AC633" t="b">
        <v>0</v>
      </c>
      <c r="AD633" t="b">
        <v>0</v>
      </c>
      <c r="AE633" t="b">
        <v>0</v>
      </c>
      <c r="AF633" t="inlineStr">
        <is>
          <t>Yes</t>
        </is>
      </c>
      <c r="AG633" s="2" t="n">
        <v>45964</v>
      </c>
      <c r="AI633" t="b">
        <v>0</v>
      </c>
      <c r="AJ633" t="n">
        <v>2.5</v>
      </c>
      <c r="AK633" t="inlineStr">
        <is>
          <t>Key skills: PMO, SharePoint, Power Platform
Industries: Chemistry, IT, Transportation / Logistics
Leads:
- Tennet</t>
        </is>
      </c>
      <c r="AL633" t="inlineStr">
        <is>
          <t>IT - Information Technology (Sebastian L.)</t>
        </is>
      </c>
      <c r="AM633" t="inlineStr">
        <is>
          <t>CS Collaboration Solutions (Sebastian P.)</t>
        </is>
      </c>
      <c r="AN633" t="inlineStr">
        <is>
          <t>P&amp;DE - Platforms &amp; Digital Ecosystems (David S.)</t>
        </is>
      </c>
      <c r="AO633" t="inlineStr">
        <is>
          <t>bridgingIT GmbH</t>
        </is>
      </c>
      <c r="AP633" t="inlineStr">
        <is>
          <t>Mannheim</t>
        </is>
      </c>
      <c r="AQ633" t="inlineStr">
        <is>
          <t>Sebastian Poth</t>
        </is>
      </c>
    </row>
    <row r="634">
      <c r="A634" t="inlineStr">
        <is>
          <t>10412</t>
        </is>
      </c>
      <c r="B634" t="inlineStr">
        <is>
          <t>8F24C4</t>
        </is>
      </c>
      <c r="C634" t="inlineStr">
        <is>
          <t>https://app.matchical.com/Consulting/ConsultantDetail?ConsultantId=e3e6e78e-1565-431e-8e1f-fd17f9c61f7b</t>
        </is>
      </c>
      <c r="D634" t="inlineStr">
        <is>
          <t>Yvonne May</t>
        </is>
      </c>
      <c r="E634" t="inlineStr">
        <is>
          <t>yvonne.may@bridging-it.de</t>
        </is>
      </c>
      <c r="F634" s="2" t="n">
        <v>45976</v>
      </c>
      <c r="G634" s="2" t="n">
        <v>45689</v>
      </c>
      <c r="H634" t="n">
        <v>7</v>
      </c>
      <c r="I634" t="n">
        <v>0</v>
      </c>
      <c r="J634" t="n">
        <v>0</v>
      </c>
      <c r="L634" s="2" t="n">
        <v>45869</v>
      </c>
      <c r="M634" s="2" t="n">
        <v>45929</v>
      </c>
      <c r="N634" t="b">
        <v>0</v>
      </c>
      <c r="O634" t="n">
        <v>3</v>
      </c>
      <c r="P634" t="n">
        <v>3.33</v>
      </c>
      <c r="Q634" t="n">
        <v>2.34</v>
      </c>
      <c r="R634">
        <f>ROUND(O634-P634,2)</f>
        <v/>
      </c>
      <c r="S634">
        <f>ROUND(O634-Q634,2)</f>
        <v/>
      </c>
      <c r="T634" s="3">
        <f>IFERROR(P634/O634,"")</f>
        <v/>
      </c>
      <c r="U634" s="3">
        <f>IFERROR(Q634/O634,"")</f>
        <v/>
      </c>
      <c r="V634" t="n">
        <v>9</v>
      </c>
      <c r="W634" t="n">
        <v>31.37</v>
      </c>
      <c r="X634" t="n">
        <v>9.43</v>
      </c>
      <c r="Y634">
        <f>ROUND(V634-W634,2)</f>
        <v/>
      </c>
      <c r="Z634">
        <f>ROUND(V634-X634,2)</f>
        <v/>
      </c>
      <c r="AA634" s="3">
        <f>IFERROR(W634/V634,"")</f>
        <v/>
      </c>
      <c r="AB634" s="3">
        <f>IFERROR(X634/V634,"")</f>
        <v/>
      </c>
      <c r="AC634" t="b">
        <v>0</v>
      </c>
      <c r="AD634" t="b">
        <v>0</v>
      </c>
      <c r="AE634" t="b">
        <v>0</v>
      </c>
      <c r="AF634" t="inlineStr">
        <is>
          <t>No</t>
        </is>
      </c>
      <c r="AI634" t="b">
        <v>1</v>
      </c>
      <c r="AJ634" t="n">
        <v>0</v>
      </c>
      <c r="AK634" t="inlineStr"/>
      <c r="AL634" t="inlineStr">
        <is>
          <t>IT - Information Technology (Sebastian L.)</t>
        </is>
      </c>
      <c r="AM634" t="inlineStr">
        <is>
          <t>ISM Information Security Management (Carsten T.)</t>
        </is>
      </c>
      <c r="AN634" t="inlineStr">
        <is>
          <t>O&amp;G - Organization &amp; Governance (Carsten T.)</t>
        </is>
      </c>
      <c r="AO634" t="inlineStr">
        <is>
          <t>bridgingIT GmbH</t>
        </is>
      </c>
      <c r="AP634" t="inlineStr">
        <is>
          <t>Mannheim</t>
        </is>
      </c>
      <c r="AQ634" t="inlineStr">
        <is>
          <t>Carsten Triebel</t>
        </is>
      </c>
    </row>
    <row r="635">
      <c r="A635" t="inlineStr">
        <is>
          <t>10093</t>
        </is>
      </c>
      <c r="B635" t="inlineStr">
        <is>
          <t>8B9C7A</t>
        </is>
      </c>
      <c r="C635" t="inlineStr">
        <is>
          <t>https://app.matchical.com/Consulting/ConsultantDetail?ConsultantId=81ed29bb-3337-4ec7-8a6a-143063fecfb5</t>
        </is>
      </c>
      <c r="D635" t="inlineStr">
        <is>
          <t>Zafer Yasar</t>
        </is>
      </c>
      <c r="E635" t="inlineStr">
        <is>
          <t>zafer.yasar@bridging-it.de</t>
        </is>
      </c>
      <c r="F635" s="2" t="n">
        <v>44986</v>
      </c>
      <c r="G635" s="2" t="n">
        <v>41852</v>
      </c>
      <c r="H635" t="n">
        <v>6</v>
      </c>
      <c r="I635" t="n">
        <v>0</v>
      </c>
      <c r="J635" t="n">
        <v>0</v>
      </c>
      <c r="L635" s="2" t="n">
        <v>44451</v>
      </c>
      <c r="M635" s="2" t="n">
        <v>44984</v>
      </c>
      <c r="N635" t="b">
        <v>0</v>
      </c>
      <c r="O635" t="n">
        <v>36</v>
      </c>
      <c r="P635" t="n">
        <v>29.82</v>
      </c>
      <c r="Q635" t="n">
        <v>29.82</v>
      </c>
      <c r="R635">
        <f>ROUND(O635-P635,2)</f>
        <v/>
      </c>
      <c r="S635">
        <f>ROUND(O635-Q635,2)</f>
        <v/>
      </c>
      <c r="T635" s="3">
        <f>IFERROR(P635/O635,"")</f>
        <v/>
      </c>
      <c r="U635" s="3">
        <f>IFERROR(Q635/O635,"")</f>
        <v/>
      </c>
      <c r="V635" t="n">
        <v>103</v>
      </c>
      <c r="W635" t="n">
        <v>98.97</v>
      </c>
      <c r="X635" t="n">
        <v>98.97</v>
      </c>
      <c r="Y635">
        <f>ROUND(V635-W635,2)</f>
        <v/>
      </c>
      <c r="Z635">
        <f>ROUND(V635-X635,2)</f>
        <v/>
      </c>
      <c r="AA635" s="3">
        <f>IFERROR(W635/V635,"")</f>
        <v/>
      </c>
      <c r="AB635" s="3">
        <f>IFERROR(X635/V635,"")</f>
        <v/>
      </c>
      <c r="AC635" t="b">
        <v>0</v>
      </c>
      <c r="AD635" t="b">
        <v>0</v>
      </c>
      <c r="AE635" t="b">
        <v>0</v>
      </c>
      <c r="AF635" t="inlineStr">
        <is>
          <t>No</t>
        </is>
      </c>
      <c r="AI635" t="b">
        <v>1</v>
      </c>
      <c r="AJ635" t="n">
        <v>0</v>
      </c>
      <c r="AK635" t="inlineStr">
        <is>
          <t>(08.11): Verbal commitment from Adesso that Zafer will continue at BWI in the new year</t>
        </is>
      </c>
      <c r="AL635" t="inlineStr">
        <is>
          <t>DO Digital Organizations (Michael H.)</t>
        </is>
      </c>
      <c r="AM635" t="inlineStr">
        <is>
          <t>PD Process Digitalization (Hermann L.)</t>
        </is>
      </c>
      <c r="AN635" t="inlineStr">
        <is>
          <t>DP Digital Processes (Hermann L.)</t>
        </is>
      </c>
      <c r="AO635" t="inlineStr">
        <is>
          <t>bridgingIT GmbH</t>
        </is>
      </c>
      <c r="AP635" t="inlineStr">
        <is>
          <t>Stuttgart</t>
        </is>
      </c>
      <c r="AQ635" t="inlineStr">
        <is>
          <t>Hermann Löh</t>
        </is>
      </c>
    </row>
    <row r="636">
      <c r="A636" t="inlineStr">
        <is>
          <t>10183</t>
        </is>
      </c>
      <c r="B636" t="inlineStr">
        <is>
          <t>D21264</t>
        </is>
      </c>
      <c r="C636" t="inlineStr">
        <is>
          <t>https://app.matchical.com/Consulting/ConsultantDetail?ConsultantId=848b58d6-98c3-45a3-ad9f-203cb28b7717</t>
        </is>
      </c>
      <c r="D636" t="inlineStr">
        <is>
          <t>Zeliha Yetik</t>
        </is>
      </c>
      <c r="E636" t="inlineStr">
        <is>
          <t>zeliha.yetik@bridging-it.de</t>
        </is>
      </c>
      <c r="F636" s="2" t="n">
        <v>45323</v>
      </c>
      <c r="G636" s="2" t="n">
        <v>44652</v>
      </c>
      <c r="H636" t="n">
        <v>8</v>
      </c>
      <c r="I636" t="n">
        <v>0</v>
      </c>
      <c r="J636" t="n">
        <v>0</v>
      </c>
      <c r="L636" s="2" t="n">
        <v>45691</v>
      </c>
      <c r="M636" s="2" t="n">
        <v>45813</v>
      </c>
      <c r="N636" t="b">
        <v>0</v>
      </c>
      <c r="O636" t="n">
        <v>25</v>
      </c>
      <c r="P636" t="n">
        <v>41.62</v>
      </c>
      <c r="Q636" t="n">
        <v>24.77</v>
      </c>
      <c r="R636">
        <f>ROUND(O636-P636,2)</f>
        <v/>
      </c>
      <c r="S636">
        <f>ROUND(O636-Q636,2)</f>
        <v/>
      </c>
      <c r="T636" s="3">
        <f>IFERROR(P636/O636,"")</f>
        <v/>
      </c>
      <c r="U636" s="3">
        <f>IFERROR(Q636/O636,"")</f>
        <v/>
      </c>
      <c r="V636" t="n">
        <v>22</v>
      </c>
      <c r="W636" t="n">
        <v>10</v>
      </c>
      <c r="X636" t="n">
        <v>10</v>
      </c>
      <c r="Y636">
        <f>ROUND(V636-W636,2)</f>
        <v/>
      </c>
      <c r="Z636">
        <f>ROUND(V636-X636,2)</f>
        <v/>
      </c>
      <c r="AA636" s="3">
        <f>IFERROR(W636/V636,"")</f>
        <v/>
      </c>
      <c r="AB636" s="3">
        <f>IFERROR(X636/V636,"")</f>
        <v/>
      </c>
      <c r="AC636" t="b">
        <v>0</v>
      </c>
      <c r="AD636" t="b">
        <v>0</v>
      </c>
      <c r="AE636" t="b">
        <v>0</v>
      </c>
      <c r="AF636" t="inlineStr">
        <is>
          <t>Yes</t>
        </is>
      </c>
      <c r="AG636" s="2" t="n">
        <v>46082</v>
      </c>
      <c r="AH636" s="2" t="n">
        <v>46112</v>
      </c>
      <c r="AI636" t="b">
        <v>1</v>
      </c>
      <c r="AJ636" t="n">
        <v>1.14</v>
      </c>
      <c r="AK636" t="inlineStr">
        <is>
          <t>Zeliha is highly motivated and qualified for the following tasks in projects: process digitization, business analysis, requirements engineering, process modeling, process automation, PMO, testing, RPA, development with Microsoft Power Platform, Mendix Developer</t>
        </is>
      </c>
      <c r="AL636" t="inlineStr">
        <is>
          <t>DO Digital Organizations (Michael H.)</t>
        </is>
      </c>
      <c r="AM636" t="inlineStr">
        <is>
          <t>PD Process Digitalization II (Ralf Fr.)</t>
        </is>
      </c>
      <c r="AN636" t="inlineStr">
        <is>
          <t>DP Digital Processes (Hermann L.)</t>
        </is>
      </c>
      <c r="AO636" t="inlineStr">
        <is>
          <t>bridgingIT GmbH</t>
        </is>
      </c>
      <c r="AP636" t="inlineStr">
        <is>
          <t>Stuttgart</t>
        </is>
      </c>
      <c r="AQ636" t="inlineStr">
        <is>
          <t>Ralf Frotscher</t>
        </is>
      </c>
    </row>
  </sheetData>
  <autoFilter ref="A1:AQ6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6"/>
  <sheetViews>
    <sheetView workbookViewId="0">
      <selection activeCell="A1" sqref="A1"/>
    </sheetView>
  </sheetViews>
  <sheetFormatPr baseColWidth="8" defaultRowHeight="15"/>
  <cols>
    <col width="16" customWidth="1" min="1" max="1"/>
    <col width="44" customWidth="1" min="2" max="2"/>
    <col width="44" customWidth="1" min="3" max="3"/>
    <col width="44" customWidth="1" min="4" max="4"/>
    <col width="44" customWidth="1" min="5" max="5"/>
    <col width="44" customWidth="1" min="6" max="6"/>
    <col width="32" customWidth="1" min="7" max="7"/>
    <col width="14" customWidth="1" min="8" max="8"/>
    <col width="20" customWidth="1" min="9" max="9"/>
  </cols>
  <sheetData>
    <row r="1">
      <c r="A1" t="inlineStr">
        <is>
          <t>Metric_type</t>
        </is>
      </c>
      <c r="B1" t="inlineStr">
        <is>
          <t>Department</t>
        </is>
      </c>
      <c r="C1" t="inlineStr">
        <is>
          <t>Team</t>
        </is>
      </c>
      <c r="D1" t="inlineStr">
        <is>
          <t>Unit</t>
        </is>
      </c>
      <c r="E1" t="inlineStr">
        <is>
          <t>Legal_entity</t>
        </is>
      </c>
      <c r="F1" t="inlineStr">
        <is>
          <t>Location</t>
        </is>
      </c>
      <c r="G1" t="inlineStr">
        <is>
          <t>Lead</t>
        </is>
      </c>
      <c r="H1" t="inlineStr">
        <is>
          <t>Is_available</t>
        </is>
      </c>
      <c r="I1" t="inlineStr">
        <is>
          <t>Segment_dimension</t>
        </is>
      </c>
    </row>
    <row r="2">
      <c r="A2" t="inlineStr">
        <is>
          <t>Weighted</t>
        </is>
      </c>
      <c r="B2" t="inlineStr">
        <is>
          <t>All</t>
        </is>
      </c>
      <c r="C2" t="inlineStr">
        <is>
          <t>All</t>
        </is>
      </c>
      <c r="D2" t="inlineStr">
        <is>
          <t>All</t>
        </is>
      </c>
      <c r="E2" t="inlineStr">
        <is>
          <t>All</t>
        </is>
      </c>
      <c r="F2" t="inlineStr">
        <is>
          <t>All</t>
        </is>
      </c>
      <c r="G2" t="inlineStr">
        <is>
          <t>All</t>
        </is>
      </c>
      <c r="H2" t="inlineStr">
        <is>
          <t>All</t>
        </is>
      </c>
      <c r="I2" t="inlineStr">
        <is>
          <t>Department</t>
        </is>
      </c>
    </row>
    <row r="3">
      <c r="A3" t="inlineStr">
        <is>
          <t>Absolute</t>
        </is>
      </c>
      <c r="B3" t="inlineStr">
        <is>
          <t>A&amp;SE Analytics &amp; Software Engineering (Philip R.)</t>
        </is>
      </c>
      <c r="C3" t="inlineStr">
        <is>
          <t>A&amp;PM Agility &amp; Project Management (Lutz K.)</t>
        </is>
      </c>
      <c r="D3" t="inlineStr">
        <is>
          <t>A&amp;DDS - Analytics &amp; Data-driven Solutions (M. Hof)</t>
        </is>
      </c>
      <c r="E3" t="inlineStr">
        <is>
          <t>bridgingIT GmbH</t>
        </is>
      </c>
      <c r="F3" t="inlineStr">
        <is>
          <t>Berlin</t>
        </is>
      </c>
      <c r="G3" t="inlineStr">
        <is>
          <t>Aleksandar Blagojevic</t>
        </is>
      </c>
      <c r="H3" t="inlineStr">
        <is>
          <t>-</t>
        </is>
      </c>
      <c r="I3" t="inlineStr">
        <is>
          <t>Team</t>
        </is>
      </c>
    </row>
    <row r="4">
      <c r="B4" t="inlineStr">
        <is>
          <t>BusDev</t>
        </is>
      </c>
      <c r="C4" t="inlineStr">
        <is>
          <t>AAC - Advanced Automation Cologne (Claudia P.)</t>
        </is>
      </c>
      <c r="D4" t="inlineStr">
        <is>
          <t>A&amp;PM Agility &amp; Project Management (Jan H.)</t>
        </is>
      </c>
      <c r="E4" t="inlineStr">
        <is>
          <t>craftingIT GmbH</t>
        </is>
      </c>
      <c r="F4" t="inlineStr">
        <is>
          <t>Frankfurt</t>
        </is>
      </c>
      <c r="G4" t="inlineStr">
        <is>
          <t>Alexander Jende</t>
        </is>
      </c>
      <c r="H4" t="inlineStr">
        <is>
          <t>No</t>
        </is>
      </c>
      <c r="I4" t="inlineStr">
        <is>
          <t>Unit</t>
        </is>
      </c>
    </row>
    <row r="5">
      <c r="B5" t="inlineStr">
        <is>
          <t>DO Digital Organizations (Michael H.)</t>
        </is>
      </c>
      <c r="C5" t="inlineStr">
        <is>
          <t>AI Artificial Intelligence (Philip R.)</t>
        </is>
      </c>
      <c r="D5" t="inlineStr">
        <is>
          <t>A&amp;SE Analytics &amp; Software Engineering (Philip R.)</t>
        </is>
      </c>
      <c r="E5" t="inlineStr">
        <is>
          <t>fastahead GmbH &amp; Co. KG</t>
        </is>
      </c>
      <c r="F5" t="inlineStr">
        <is>
          <t>Hamburg</t>
        </is>
      </c>
      <c r="G5" t="inlineStr">
        <is>
          <t>Anastasia Rettberg-Kluter</t>
        </is>
      </c>
      <c r="H5" t="inlineStr">
        <is>
          <t>Yes</t>
        </is>
      </c>
      <c r="I5" t="inlineStr">
        <is>
          <t>Legal entity</t>
        </is>
      </c>
    </row>
    <row r="6">
      <c r="B6" t="inlineStr">
        <is>
          <t>ES Enterprise Solutions (Gina H.)</t>
        </is>
      </c>
      <c r="C6" t="inlineStr">
        <is>
          <t>AM IT-Architecture Management (Wilfried W.)</t>
        </is>
      </c>
      <c r="D6" t="inlineStr">
        <is>
          <t>ABC Analysing Business &amp; Collab. BLN (Edgar K.)</t>
        </is>
      </c>
      <c r="F6" t="inlineStr">
        <is>
          <t>Karlsruhe</t>
        </is>
      </c>
      <c r="G6" t="inlineStr">
        <is>
          <t>Andreas Glasa</t>
        </is>
      </c>
      <c r="I6" t="inlineStr">
        <is>
          <t>Location</t>
        </is>
      </c>
    </row>
    <row r="7">
      <c r="B7" t="inlineStr">
        <is>
          <t>ES Enterprise Solutions BLN (Gina H.)</t>
        </is>
      </c>
      <c r="C7" t="inlineStr">
        <is>
          <t>AMC - Agility Masters Cologne (Severin E.)</t>
        </is>
      </c>
      <c r="D7" t="inlineStr">
        <is>
          <t>ABC Analysing Business &amp; Collaboration (Edgar K.)</t>
        </is>
      </c>
      <c r="F7" t="inlineStr">
        <is>
          <t>Köln</t>
        </is>
      </c>
      <c r="G7" t="inlineStr">
        <is>
          <t>Andreas Kernbach</t>
        </is>
      </c>
      <c r="I7" t="inlineStr">
        <is>
          <t>Lead</t>
        </is>
      </c>
    </row>
    <row r="8">
      <c r="B8" t="inlineStr">
        <is>
          <t>Geschäftsleitung und Support</t>
        </is>
      </c>
      <c r="C8" t="inlineStr">
        <is>
          <t>AO Agile Organization (Katharina G.)</t>
        </is>
      </c>
      <c r="D8" t="inlineStr">
        <is>
          <t>BAA HH (Torben H.)</t>
        </is>
      </c>
      <c r="F8" t="inlineStr">
        <is>
          <t>Magdeburg</t>
        </is>
      </c>
      <c r="G8" t="inlineStr">
        <is>
          <t>Andreas Morgenstern</t>
        </is>
      </c>
    </row>
    <row r="9">
      <c r="B9" t="inlineStr">
        <is>
          <t>IT - Information Technology (HH)</t>
        </is>
      </c>
      <c r="C9" t="inlineStr">
        <is>
          <t>AO Agile Organizations (Andreas G.)</t>
        </is>
      </c>
      <c r="D9" t="inlineStr">
        <is>
          <t>BAT Business Agility &amp; Transformation (Marc S.)</t>
        </is>
      </c>
      <c r="F9" t="inlineStr">
        <is>
          <t>Mannheim</t>
        </is>
      </c>
      <c r="G9" t="inlineStr">
        <is>
          <t>Anna Schnorrenberger</t>
        </is>
      </c>
    </row>
    <row r="10">
      <c r="B10" t="inlineStr">
        <is>
          <t>IT - Information Technology (Sebastian L.)</t>
        </is>
      </c>
      <c r="C10" t="inlineStr">
        <is>
          <t>AT Agile Transformation (Anna S.)</t>
        </is>
      </c>
      <c r="D10" t="inlineStr">
        <is>
          <t>BE Business Engineering (Heidi Foldenauer)</t>
        </is>
      </c>
      <c r="F10" t="inlineStr">
        <is>
          <t>München</t>
        </is>
      </c>
      <c r="G10" t="inlineStr">
        <is>
          <t>Arne Kunstmann</t>
        </is>
      </c>
    </row>
    <row r="11">
      <c r="B11" t="inlineStr">
        <is>
          <t>IT Information Technology (Hauke G.)</t>
        </is>
      </c>
      <c r="C11" t="inlineStr">
        <is>
          <t>Agile Innovation - AIN (Simon S.)</t>
        </is>
      </c>
      <c r="D11" t="inlineStr">
        <is>
          <t>BPD Business Processes &amp; Data Engineering(Arne K.)</t>
        </is>
      </c>
      <c r="F11" t="inlineStr">
        <is>
          <t>Nürnberg</t>
        </is>
      </c>
      <c r="G11" t="inlineStr">
        <is>
          <t>Barbara Vettel</t>
        </is>
      </c>
    </row>
    <row r="12">
      <c r="B12" t="inlineStr">
        <is>
          <t>ORG bIT</t>
        </is>
      </c>
      <c r="C12" t="inlineStr">
        <is>
          <t>BA - Business Applications (Hamed S.)</t>
        </is>
      </c>
      <c r="D12" t="inlineStr">
        <is>
          <t>BT Business Transformation (Julian D.)</t>
        </is>
      </c>
      <c r="F12" t="inlineStr">
        <is>
          <t>Stuttgart</t>
        </is>
      </c>
      <c r="G12" t="inlineStr">
        <is>
          <t>Bastian Trauth</t>
        </is>
      </c>
    </row>
    <row r="13">
      <c r="B13" t="inlineStr">
        <is>
          <t>ORG bIT Bayern</t>
        </is>
      </c>
      <c r="C13" t="inlineStr">
        <is>
          <t>BAA Business Analysis &amp; Architecture (Viktor P.)</t>
        </is>
      </c>
      <c r="D13" t="inlineStr">
        <is>
          <t>BTC - Business Transformation Cologne (Anna S.)</t>
        </is>
      </c>
      <c r="G13" t="inlineStr">
        <is>
          <t>Bernd Opitz</t>
        </is>
      </c>
    </row>
    <row r="14">
      <c r="B14" t="inlineStr">
        <is>
          <t>ORG cIT</t>
        </is>
      </c>
      <c r="C14" t="inlineStr">
        <is>
          <t>BAAM - Management (Torben H.)</t>
        </is>
      </c>
      <c r="D14" t="inlineStr">
        <is>
          <t>BW Expertenteams</t>
        </is>
      </c>
      <c r="G14" t="inlineStr">
        <is>
          <t>Boris Bergner</t>
        </is>
      </c>
    </row>
    <row r="15">
      <c r="B15" t="inlineStr">
        <is>
          <t>ORG cIT 2</t>
        </is>
      </c>
      <c r="C15" t="inlineStr">
        <is>
          <t>BABA - BA and Business Architectures (Carsten S.)</t>
        </is>
      </c>
      <c r="D15" t="inlineStr">
        <is>
          <t>C&amp;DO - Cloud &amp; DevOps (Sebastian L.)</t>
        </is>
      </c>
      <c r="G15" t="inlineStr">
        <is>
          <t>Carmen Deubelbeiss</t>
        </is>
      </c>
    </row>
    <row r="16">
      <c r="B16" t="inlineStr">
        <is>
          <t>ORG fastahead GmbH &amp; Co. KG</t>
        </is>
      </c>
      <c r="C16" t="inlineStr">
        <is>
          <t>BABC - BA and Business Complexity (Karola B.)</t>
        </is>
      </c>
      <c r="D16" t="inlineStr">
        <is>
          <t>CC Life Science Solutions (Sabine S.)</t>
        </is>
      </c>
      <c r="G16" t="inlineStr">
        <is>
          <t>Carsten Schindler</t>
        </is>
      </c>
    </row>
    <row r="17">
      <c r="B17" t="inlineStr">
        <is>
          <t>POR BL</t>
        </is>
      </c>
      <c r="C17" t="inlineStr">
        <is>
          <t>BABC - BA and Business Complexity BLN (Karola B.)</t>
        </is>
      </c>
      <c r="D17" t="inlineStr">
        <is>
          <t>CEO</t>
        </is>
      </c>
      <c r="G17" t="inlineStr">
        <is>
          <t>Carsten Triebel</t>
        </is>
      </c>
    </row>
    <row r="18">
      <c r="B18" t="inlineStr">
        <is>
          <t>Sales BL</t>
        </is>
      </c>
      <c r="C18" t="inlineStr">
        <is>
          <t>BAPO - BA and Product Ownership (Edgar K.)</t>
        </is>
      </c>
      <c r="D18" t="inlineStr">
        <is>
          <t>COO</t>
        </is>
      </c>
      <c r="G18" t="inlineStr">
        <is>
          <t>Christian Gitte</t>
        </is>
      </c>
    </row>
    <row r="19">
      <c r="B19" t="inlineStr">
        <is>
          <t>T&amp;A - Transformation &amp; Agility (Arne K.)</t>
        </is>
      </c>
      <c r="C19" t="inlineStr">
        <is>
          <t>BPE Business Process Excellence (Heidi F.)</t>
        </is>
      </c>
      <c r="D19" t="inlineStr">
        <is>
          <t>Capability Management (Tim T.)</t>
        </is>
      </c>
      <c r="G19" t="inlineStr">
        <is>
          <t>Christian Kobl</t>
        </is>
      </c>
    </row>
    <row r="20">
      <c r="B20" t="inlineStr">
        <is>
          <t>TPD cIT - BL Third Party Delivery (Christian K.)</t>
        </is>
      </c>
      <c r="C20" t="inlineStr">
        <is>
          <t>BT Business Transform. II (Patrick D.)</t>
        </is>
      </c>
      <c r="D20" t="inlineStr">
        <is>
          <t>DO Line Management (Michael H.)</t>
        </is>
      </c>
      <c r="G20" t="inlineStr">
        <is>
          <t>Christian Will</t>
        </is>
      </c>
    </row>
    <row r="21">
      <c r="C21" t="inlineStr">
        <is>
          <t>BT Business Transform. III (Valerie L.)</t>
        </is>
      </c>
      <c r="D21" t="inlineStr">
        <is>
          <t>DP Digital Processes (Hermann L.)</t>
        </is>
      </c>
      <c r="G21" t="inlineStr">
        <is>
          <t>Christian Wolf</t>
        </is>
      </c>
    </row>
    <row r="22">
      <c r="C22" t="inlineStr">
        <is>
          <t>BT Unit Management (Julian D.)</t>
        </is>
      </c>
      <c r="D22" t="inlineStr">
        <is>
          <t>DPC - Datalytics &amp; Process Cologne (Claudia P.)</t>
        </is>
      </c>
      <c r="G22" t="inlineStr">
        <is>
          <t>Christoph Müller</t>
        </is>
      </c>
    </row>
    <row r="23">
      <c r="C23" t="inlineStr">
        <is>
          <t>Banking (R. Weygand)</t>
        </is>
      </c>
      <c r="D23" t="inlineStr">
        <is>
          <t>ES Enterprise Solutions (Dominik H.)</t>
        </is>
      </c>
      <c r="G23" t="inlineStr">
        <is>
          <t>Christoph Wudtke</t>
        </is>
      </c>
    </row>
    <row r="24">
      <c r="C24" t="inlineStr">
        <is>
          <t>Business Agility &amp; Transformation - Management</t>
        </is>
      </c>
      <c r="D24" t="inlineStr">
        <is>
          <t>ES Line Management (Gina H.)</t>
        </is>
      </c>
      <c r="G24" t="inlineStr">
        <is>
          <t>Christopher Schweinsteiger</t>
        </is>
      </c>
    </row>
    <row r="25">
      <c r="C25" t="inlineStr">
        <is>
          <t>Business Transformation (BT) (Stefan S.)</t>
        </is>
      </c>
      <c r="D25" t="inlineStr">
        <is>
          <t>FUN Fullstack Ninjas (Stefan Z.)</t>
        </is>
      </c>
      <c r="G25" t="inlineStr">
        <is>
          <t>Claudia Peters</t>
        </is>
      </c>
    </row>
    <row r="26">
      <c r="C26" t="inlineStr">
        <is>
          <t>Business-driven Architectures (Dr. C. Gitte)</t>
        </is>
      </c>
      <c r="D26" t="inlineStr">
        <is>
          <t>Frank Wallner</t>
        </is>
      </c>
      <c r="G26" t="inlineStr">
        <is>
          <t>Clemens Lindner</t>
        </is>
      </c>
    </row>
    <row r="27">
      <c r="C27" t="inlineStr">
        <is>
          <t>CC Content &amp; Collaboration (Frank G.)</t>
        </is>
      </c>
      <c r="D27" t="inlineStr">
        <is>
          <t>GRC IT-GRC (Erhan N.)</t>
        </is>
      </c>
      <c r="G27" t="inlineStr">
        <is>
          <t>Dana Thüring</t>
        </is>
      </c>
    </row>
    <row r="28">
      <c r="C28" t="inlineStr">
        <is>
          <t>CDC - Cloud &amp; DevOps Cologne (Henning F.)</t>
        </is>
      </c>
      <c r="D28" t="inlineStr">
        <is>
          <t>IEJ Individualentwicklung JAVA (Dominik S.)</t>
        </is>
      </c>
      <c r="G28" t="inlineStr">
        <is>
          <t>Daniel Rheinwalt</t>
        </is>
      </c>
    </row>
    <row r="29">
      <c r="C29" t="inlineStr">
        <is>
          <t>CDI Cloud DevOps &amp; IT-Architecture (Tim J.)</t>
        </is>
      </c>
      <c r="D29" t="inlineStr">
        <is>
          <t>IT Information Technology (Sebastian L.)</t>
        </is>
      </c>
      <c r="G29" t="inlineStr">
        <is>
          <t>David Schleweis</t>
        </is>
      </c>
    </row>
    <row r="30">
      <c r="C30" t="inlineStr">
        <is>
          <t>CG - Cloud Governance (Leyla V.)</t>
        </is>
      </c>
      <c r="D30" t="inlineStr">
        <is>
          <t>IT Line-Management (Hauke G.)</t>
        </is>
      </c>
      <c r="G30" t="inlineStr">
        <is>
          <t>David Turan</t>
        </is>
      </c>
    </row>
    <row r="31">
      <c r="C31" t="inlineStr">
        <is>
          <t>CIS Compliance &amp; Information Security (David T.)</t>
        </is>
      </c>
      <c r="D31" t="inlineStr">
        <is>
          <t>ITBLM - Management (Markus S.)</t>
        </is>
      </c>
      <c r="G31" t="inlineStr">
        <is>
          <t>Dean Herzog-Meijer</t>
        </is>
      </c>
    </row>
    <row r="32">
      <c r="C32" t="inlineStr">
        <is>
          <t>CRM I - Platform Solutions &amp; CRM (Fortunato D. D.)</t>
        </is>
      </c>
      <c r="D32" t="inlineStr">
        <is>
          <t>ITC HH (Nicole F.)</t>
        </is>
      </c>
      <c r="G32" t="inlineStr">
        <is>
          <t>Diana Gülker</t>
        </is>
      </c>
    </row>
    <row r="33">
      <c r="C33" t="inlineStr">
        <is>
          <t>CRM II - Platform Solutions &amp; CRM (Ines M.)</t>
        </is>
      </c>
      <c r="D33" t="inlineStr">
        <is>
          <t>ITM IT-Management (Jörg M.)</t>
        </is>
      </c>
      <c r="G33" t="inlineStr">
        <is>
          <t>Dominik Hanft</t>
        </is>
      </c>
    </row>
    <row r="34">
      <c r="C34" t="inlineStr">
        <is>
          <t>CS - Cyber Security (Jochen Ka.)</t>
        </is>
      </c>
      <c r="D34" t="inlineStr">
        <is>
          <t>ITMC - IT-Management Cologne (Dominik H.)</t>
        </is>
      </c>
      <c r="G34" t="inlineStr">
        <is>
          <t>Dominik Schadow</t>
        </is>
      </c>
    </row>
    <row r="35">
      <c r="C35" t="inlineStr">
        <is>
          <t>CS Cloud Solutions (Timm B.)</t>
        </is>
      </c>
      <c r="D35" t="inlineStr">
        <is>
          <t>LFFM Lokation Frankfurt (Gerrit.S.)</t>
        </is>
      </c>
      <c r="G35" t="inlineStr">
        <is>
          <t>Edgar Kauz</t>
        </is>
      </c>
    </row>
    <row r="36">
      <c r="C36" t="inlineStr">
        <is>
          <t>CS Collaboration Solutions (Sebastian P.)</t>
        </is>
      </c>
      <c r="D36" t="inlineStr">
        <is>
          <t>LM - Location Mannheim Unit (Michael M.)</t>
        </is>
      </c>
      <c r="G36" t="inlineStr">
        <is>
          <t>Elisabeth Gerlinger</t>
        </is>
      </c>
    </row>
    <row r="37">
      <c r="C37" t="inlineStr">
        <is>
          <t>CSI - Cybersecurity &amp; IAM (Dean M.)</t>
        </is>
      </c>
      <c r="D37" t="inlineStr">
        <is>
          <t>LM Lokation MUC (Elisabeth G.)</t>
        </is>
      </c>
      <c r="G37" t="inlineStr">
        <is>
          <t>Erhan Nurdogan</t>
        </is>
      </c>
    </row>
    <row r="38">
      <c r="C38" t="inlineStr">
        <is>
          <t>CT Cloud Technology I (Martin S.)</t>
        </is>
      </c>
      <c r="D38" t="inlineStr">
        <is>
          <t>LMC - Location Management Cologne (Henning F.)</t>
        </is>
      </c>
      <c r="G38" t="inlineStr">
        <is>
          <t>Florian Wendel</t>
        </is>
      </c>
    </row>
    <row r="39">
      <c r="C39" t="inlineStr">
        <is>
          <t>CT Cloud Technology II (Marc L.)</t>
        </is>
      </c>
      <c r="D39" t="inlineStr">
        <is>
          <t>LS Lokation Magdeburg (Alexander J.)</t>
        </is>
      </c>
      <c r="G39" t="inlineStr">
        <is>
          <t>Fortunato Di Donato</t>
        </is>
      </c>
    </row>
    <row r="40">
      <c r="C40" t="inlineStr">
        <is>
          <t>CTM – Change &amp; Transformationmgmt. HH (Katja R.)</t>
        </is>
      </c>
      <c r="D40" t="inlineStr">
        <is>
          <t>LS Lokation STG (Tim K.)</t>
        </is>
      </c>
      <c r="G40" t="inlineStr">
        <is>
          <t>Frank Gärtner</t>
        </is>
      </c>
    </row>
    <row r="41">
      <c r="C41" t="inlineStr">
        <is>
          <t>CxO</t>
        </is>
      </c>
      <c r="D41" t="inlineStr">
        <is>
          <t>MIT Management of IT (Torsten R.)</t>
        </is>
      </c>
      <c r="G41" t="inlineStr">
        <is>
          <t>Frank Wallner</t>
        </is>
      </c>
    </row>
    <row r="42">
      <c r="C42" t="inlineStr">
        <is>
          <t>DA Data &amp; AI Solutions (Ralf Fi.)</t>
        </is>
      </c>
      <c r="D42" t="inlineStr">
        <is>
          <t>MWT HH (Udo P.)</t>
        </is>
      </c>
      <c r="G42" t="inlineStr">
        <is>
          <t>Frederik Schupp</t>
        </is>
      </c>
    </row>
    <row r="43">
      <c r="C43" t="inlineStr">
        <is>
          <t>DA Data Architecture (Philip R.)</t>
        </is>
      </c>
      <c r="D43" t="inlineStr">
        <is>
          <t>O&amp;G - Organization &amp; Governance (Carsten T.)</t>
        </is>
      </c>
      <c r="G43" t="inlineStr">
        <is>
          <t>Gerrit Seewald</t>
        </is>
      </c>
    </row>
    <row r="44">
      <c r="C44" t="inlineStr">
        <is>
          <t>DAC - Data Analytics Cologne (Manuel N.)</t>
        </is>
      </c>
      <c r="D44" t="inlineStr">
        <is>
          <t>P&amp;DE - Platforms &amp; Digital Ecosystems (David S.)</t>
        </is>
      </c>
      <c r="G44" t="inlineStr">
        <is>
          <t>Gina Hallerberg</t>
        </is>
      </c>
    </row>
    <row r="45">
      <c r="C45" t="inlineStr">
        <is>
          <t>DAI - Data Analytics &amp; KI (Julia Sch.)</t>
        </is>
      </c>
      <c r="D45" t="inlineStr">
        <is>
          <t>PA Platform &amp; Application Solutions (Thomas K.)</t>
        </is>
      </c>
      <c r="G45" t="inlineStr">
        <is>
          <t>Hauke Goppelt</t>
        </is>
      </c>
    </row>
    <row r="46">
      <c r="C46" t="inlineStr">
        <is>
          <t>DE Data Engineering (M. Hof)</t>
        </is>
      </c>
      <c r="D46" t="inlineStr">
        <is>
          <t>POR Management</t>
        </is>
      </c>
      <c r="G46" t="inlineStr">
        <is>
          <t>Heidi Foldenauer</t>
        </is>
      </c>
    </row>
    <row r="47">
      <c r="C47" t="inlineStr">
        <is>
          <t>DO Line Management (Michael H.)</t>
        </is>
      </c>
      <c r="D47" t="inlineStr">
        <is>
          <t>SBLN Standort Berlin (Claudia P.)</t>
        </is>
      </c>
      <c r="G47" t="inlineStr">
        <is>
          <t>Henning Feldkamp</t>
        </is>
      </c>
    </row>
    <row r="48">
      <c r="C48" t="inlineStr">
        <is>
          <t>DOC - Digital Organization Cologne (Diana G.)</t>
        </is>
      </c>
      <c r="D48" t="inlineStr">
        <is>
          <t>SE Software Engineering BLN (Dominik S.)</t>
        </is>
      </c>
      <c r="G48" t="inlineStr">
        <is>
          <t>Hermann Löh</t>
        </is>
      </c>
    </row>
    <row r="49">
      <c r="C49" t="inlineStr">
        <is>
          <t>DOE DevOps Enablement (Florian W.)</t>
        </is>
      </c>
      <c r="D49" t="inlineStr">
        <is>
          <t>SEC Software Engineering &amp; Cloud (Eli G.)</t>
        </is>
      </c>
      <c r="G49" t="inlineStr">
        <is>
          <t>Holger Bohlen</t>
        </is>
      </c>
    </row>
    <row r="50">
      <c r="C50" t="inlineStr">
        <is>
          <t>DP Data Platforms (Martin K.)</t>
        </is>
      </c>
      <c r="D50" t="inlineStr">
        <is>
          <t>SHH Standort Hamburg (Claudia P)</t>
        </is>
      </c>
      <c r="G50" t="inlineStr">
        <is>
          <t>Jan Heinemann</t>
        </is>
      </c>
    </row>
    <row r="51">
      <c r="C51" t="inlineStr">
        <is>
          <t>DS Data Science (Dr. Philip W.)</t>
        </is>
      </c>
      <c r="D51" t="inlineStr">
        <is>
          <t>SHH Standort Hamburg (Ulf L.)</t>
        </is>
      </c>
      <c r="G51" t="inlineStr">
        <is>
          <t>Jennifer Bürgel</t>
        </is>
      </c>
    </row>
    <row r="52">
      <c r="C52" t="inlineStr">
        <is>
          <t>DSA Data Solutions &amp; AI (Philip R.)</t>
        </is>
      </c>
      <c r="D52" t="inlineStr">
        <is>
          <t>Sales Management</t>
        </is>
      </c>
      <c r="G52" t="inlineStr">
        <is>
          <t>Jennifer Saalfeld</t>
        </is>
      </c>
    </row>
    <row r="53">
      <c r="C53" t="inlineStr">
        <is>
          <t>Digital Services and Process-Innovation</t>
        </is>
      </c>
      <c r="D53" t="inlineStr">
        <is>
          <t>TB - Transforming Business (Arne K.)</t>
        </is>
      </c>
      <c r="G53" t="inlineStr">
        <is>
          <t>Jochen Kauba</t>
        </is>
      </c>
    </row>
    <row r="54">
      <c r="C54" t="inlineStr">
        <is>
          <t>E2E PM – Project &amp; Process Mgt. (Jennifer B.)</t>
        </is>
      </c>
      <c r="D54" t="inlineStr">
        <is>
          <t>TBC - Transforming Business Concepts (Bastian T.)</t>
        </is>
      </c>
      <c r="G54" t="inlineStr">
        <is>
          <t>Jochen Kraushaar</t>
        </is>
      </c>
    </row>
    <row r="55">
      <c r="C55" t="inlineStr">
        <is>
          <t>ES Line Management (Gina H.)</t>
        </is>
      </c>
      <c r="D55" t="inlineStr">
        <is>
          <t>TC Technology &amp; Cloud (Martin S.)</t>
        </is>
      </c>
      <c r="G55" t="inlineStr">
        <is>
          <t>Jochen Ruben</t>
        </is>
      </c>
    </row>
    <row r="56">
      <c r="C56" t="inlineStr">
        <is>
          <t>ESM Enterprise Service Management (Christian Wo.)</t>
        </is>
      </c>
      <c r="D56" t="inlineStr">
        <is>
          <t>TH Transformation Hub (Ulrich W.)</t>
        </is>
      </c>
      <c r="G56" t="inlineStr">
        <is>
          <t>Julian Dahlbender</t>
        </is>
      </c>
    </row>
    <row r="57">
      <c r="C57" t="inlineStr">
        <is>
          <t>Enterprise Transformation (Dr. Barbara Vettel)</t>
        </is>
      </c>
      <c r="D57" t="inlineStr">
        <is>
          <t>TH Transformation Hub BLN (Ulrich W.)</t>
        </is>
      </c>
      <c r="G57" t="inlineStr">
        <is>
          <t>Jörg Merz</t>
        </is>
      </c>
    </row>
    <row r="58">
      <c r="C58" t="inlineStr">
        <is>
          <t>FA Fullstack Astronauts (Jochen K.)</t>
        </is>
      </c>
      <c r="D58" t="inlineStr">
        <is>
          <t>TPD cIT - BU Third Party Delivery (Christian K.)</t>
        </is>
      </c>
      <c r="G58" t="inlineStr">
        <is>
          <t>Karola Bischof</t>
        </is>
      </c>
    </row>
    <row r="59">
      <c r="C59" t="inlineStr">
        <is>
          <t>FH Fullstack Heroes (Lars P.)</t>
        </is>
      </c>
      <c r="D59" t="inlineStr">
        <is>
          <t>cIT Service Delivery Karlsruhe</t>
        </is>
      </c>
      <c r="G59" t="inlineStr">
        <is>
          <t>Katharina Gossen</t>
        </is>
      </c>
    </row>
    <row r="60">
      <c r="C60" t="inlineStr">
        <is>
          <t>FR Fullstack Rockstars (Stefan Z.)</t>
        </is>
      </c>
      <c r="D60" t="inlineStr">
        <is>
          <t>cIT Service Delivery Magdeburg (Steffen A.)</t>
        </is>
      </c>
      <c r="G60" t="inlineStr">
        <is>
          <t>Katja Runge</t>
        </is>
      </c>
    </row>
    <row r="61">
      <c r="C61" t="inlineStr">
        <is>
          <t>FV Fullstack Visionaries (Matthias H.)</t>
        </is>
      </c>
      <c r="D61" t="inlineStr">
        <is>
          <t>cIT Services allgemein (Christian K.)</t>
        </is>
      </c>
      <c r="G61" t="inlineStr">
        <is>
          <t>Klaus Baumgärtner</t>
        </is>
      </c>
    </row>
    <row r="62">
      <c r="C62" t="inlineStr">
        <is>
          <t>Frank Wallner</t>
        </is>
      </c>
      <c r="D62" t="inlineStr">
        <is>
          <t>fah Daniel Rheinwalt</t>
        </is>
      </c>
      <c r="G62" t="inlineStr">
        <is>
          <t>Lars Preschke</t>
        </is>
      </c>
    </row>
    <row r="63">
      <c r="C63" t="inlineStr">
        <is>
          <t>HPMI - Hybrid Project Mgmt &amp; Innovat. (Sascha W.)</t>
        </is>
      </c>
      <c r="D63" t="inlineStr">
        <is>
          <t>fah Dr. Barbara Vettel</t>
        </is>
      </c>
      <c r="G63" t="inlineStr">
        <is>
          <t>Leyla Varli</t>
        </is>
      </c>
    </row>
    <row r="64">
      <c r="C64" t="inlineStr">
        <is>
          <t>IEJ Java I (Dominik S.)</t>
        </is>
      </c>
      <c r="D64" t="inlineStr">
        <is>
          <t>fah Dr. Michaela Warsitz</t>
        </is>
      </c>
      <c r="G64" t="inlineStr">
        <is>
          <t>Lutz Kempf</t>
        </is>
      </c>
    </row>
    <row r="65">
      <c r="C65" t="inlineStr">
        <is>
          <t>IEJ Java II (Thomas K.)</t>
        </is>
      </c>
      <c r="D65" t="inlineStr">
        <is>
          <t>fah Paul Seelmeyer</t>
        </is>
      </c>
      <c r="G65" t="inlineStr">
        <is>
          <t>Manuel Niklos</t>
        </is>
      </c>
    </row>
    <row r="66">
      <c r="C66" t="inlineStr">
        <is>
          <t>IEM .Net I (Christoph M.)</t>
        </is>
      </c>
      <c r="D66" t="inlineStr">
        <is>
          <t>fah Ralf Weygand</t>
        </is>
      </c>
      <c r="G66" t="inlineStr">
        <is>
          <t>Marc Leunig</t>
        </is>
      </c>
    </row>
    <row r="67">
      <c r="C67" t="inlineStr">
        <is>
          <t>IEM .Net II (Aleksandar B.)</t>
        </is>
      </c>
      <c r="D67" t="inlineStr">
        <is>
          <t>fah Tim Thierfelder</t>
        </is>
      </c>
      <c r="G67" t="inlineStr">
        <is>
          <t>Marc Schmitt</t>
        </is>
      </c>
    </row>
    <row r="68">
      <c r="C68" t="inlineStr">
        <is>
          <t>IPM - IT PM (Peter T.)</t>
        </is>
      </c>
      <c r="G68" t="inlineStr">
        <is>
          <t>Marcel Kelle</t>
        </is>
      </c>
    </row>
    <row r="69">
      <c r="C69" t="inlineStr">
        <is>
          <t>ISM Information Security Management (Carsten T.)</t>
        </is>
      </c>
      <c r="G69" t="inlineStr">
        <is>
          <t>Marita Dorscheid</t>
        </is>
      </c>
    </row>
    <row r="70">
      <c r="C70" t="inlineStr">
        <is>
          <t>IT Line Management (Hauke G.)</t>
        </is>
      </c>
      <c r="G70" t="inlineStr">
        <is>
          <t>Markus Stefan</t>
        </is>
      </c>
    </row>
    <row r="71">
      <c r="C71" t="inlineStr">
        <is>
          <t>IT-Strategy &amp; EAM (D. Rheinwalt)</t>
        </is>
      </c>
      <c r="G71" t="inlineStr">
        <is>
          <t>Martin Klingenberg</t>
        </is>
      </c>
    </row>
    <row r="72">
      <c r="C72" t="inlineStr">
        <is>
          <t>IT-Transition (D. Rheinwalt)</t>
        </is>
      </c>
      <c r="G72" t="inlineStr">
        <is>
          <t>Martin Kuck</t>
        </is>
      </c>
    </row>
    <row r="73">
      <c r="C73" t="inlineStr">
        <is>
          <t>ITBLM - Management (Markus S.)</t>
        </is>
      </c>
      <c r="G73" t="inlineStr">
        <is>
          <t>Martin Redemsky</t>
        </is>
      </c>
    </row>
    <row r="74">
      <c r="C74" t="inlineStr">
        <is>
          <t>ITCM - Management (Nicole F.)</t>
        </is>
      </c>
      <c r="G74" t="inlineStr">
        <is>
          <t>Martin Spörl</t>
        </is>
      </c>
    </row>
    <row r="75">
      <c r="C75" t="inlineStr">
        <is>
          <t>ITM Unit Management (Jörg M.)</t>
        </is>
      </c>
      <c r="G75" t="inlineStr">
        <is>
          <t>Matthias Hetz</t>
        </is>
      </c>
    </row>
    <row r="76">
      <c r="C76" t="inlineStr">
        <is>
          <t>ITPM IT Projectmanagement (Torsten R.)</t>
        </is>
      </c>
      <c r="G76" t="inlineStr">
        <is>
          <t>Michael Buchter</t>
        </is>
      </c>
    </row>
    <row r="77">
      <c r="C77" t="inlineStr">
        <is>
          <t>ITS IT Security (Erhan N.)</t>
        </is>
      </c>
      <c r="G77" t="inlineStr">
        <is>
          <t>Michael Hagenlocher</t>
        </is>
      </c>
    </row>
    <row r="78">
      <c r="C78" t="inlineStr">
        <is>
          <t>ITT IT Transition &amp; Transformation (Michael M.)</t>
        </is>
      </c>
      <c r="G78" t="inlineStr">
        <is>
          <t>Michael Hof</t>
        </is>
      </c>
    </row>
    <row r="79">
      <c r="C79" t="inlineStr">
        <is>
          <t>ITT IT-Transformation (Carmen D.)</t>
        </is>
      </c>
      <c r="G79" t="inlineStr">
        <is>
          <t>Michael Mohrbacher</t>
        </is>
      </c>
    </row>
    <row r="80">
      <c r="C80" t="inlineStr">
        <is>
          <t>Insurance (Florian P.)</t>
        </is>
      </c>
      <c r="G80" t="inlineStr">
        <is>
          <t>Michael Stephan</t>
        </is>
      </c>
    </row>
    <row r="81">
      <c r="C81" t="inlineStr">
        <is>
          <t>Interne Applikationen</t>
        </is>
      </c>
      <c r="G81" t="inlineStr">
        <is>
          <t>Michaela Warsitz</t>
        </is>
      </c>
    </row>
    <row r="82">
      <c r="C82" t="inlineStr">
        <is>
          <t>LFFM Lokation Frankfurt (Gerrit S.)</t>
        </is>
      </c>
      <c r="G82" t="inlineStr">
        <is>
          <t>Nicole Fabian</t>
        </is>
      </c>
    </row>
    <row r="83">
      <c r="C83" t="inlineStr">
        <is>
          <t>LM Location Management BAY (Eli G.)</t>
        </is>
      </c>
      <c r="G83" t="inlineStr">
        <is>
          <t>Nina Beckenbach</t>
        </is>
      </c>
    </row>
    <row r="84">
      <c r="C84" t="inlineStr">
        <is>
          <t>LS Lokation Magdeburg</t>
        </is>
      </c>
      <c r="G84" t="inlineStr">
        <is>
          <t>Patrick Dehner</t>
        </is>
      </c>
    </row>
    <row r="85">
      <c r="C85" t="inlineStr">
        <is>
          <t>LS Lokation STG (Tim K.)</t>
        </is>
      </c>
      <c r="G85" t="inlineStr">
        <is>
          <t>Paul Seelmeyer</t>
        </is>
      </c>
    </row>
    <row r="86">
      <c r="C86" t="inlineStr">
        <is>
          <t>LSC - Life Science Cologne (Sascha B.)</t>
        </is>
      </c>
      <c r="G86" t="inlineStr">
        <is>
          <t>Peter Triftshäuser</t>
        </is>
      </c>
    </row>
    <row r="87">
      <c r="C87" t="inlineStr">
        <is>
          <t>Life Science Solutions FFM1 (Holger B.)</t>
        </is>
      </c>
      <c r="G87" t="inlineStr">
        <is>
          <t>Philip Rausch</t>
        </is>
      </c>
    </row>
    <row r="88">
      <c r="C88" t="inlineStr">
        <is>
          <t>Life Science Solutions FFM2 (Sabine S.)</t>
        </is>
      </c>
      <c r="G88" t="inlineStr">
        <is>
          <t>Philip Wollfarth</t>
        </is>
      </c>
    </row>
    <row r="89">
      <c r="C89" t="inlineStr">
        <is>
          <t>Location Based Solutions</t>
        </is>
      </c>
      <c r="G89" t="inlineStr">
        <is>
          <t>Raina Beck</t>
        </is>
      </c>
    </row>
    <row r="90">
      <c r="C90" t="inlineStr">
        <is>
          <t>Location Mannheim Team (Michael M.)</t>
        </is>
      </c>
      <c r="G90" t="inlineStr">
        <is>
          <t>Ralf Fischer</t>
        </is>
      </c>
    </row>
    <row r="91">
      <c r="C91" t="inlineStr">
        <is>
          <t>MW - Modern Workplace (Ulrich S.)</t>
        </is>
      </c>
      <c r="G91" t="inlineStr">
        <is>
          <t>Ralf Frotscher</t>
        </is>
      </c>
    </row>
    <row r="92">
      <c r="C92" t="inlineStr">
        <is>
          <t>MWTM - Management (Udo P.)</t>
        </is>
      </c>
      <c r="G92" t="inlineStr">
        <is>
          <t>Ralf Weygand</t>
        </is>
      </c>
    </row>
    <row r="93">
      <c r="C93" t="inlineStr">
        <is>
          <t>MaC - Management Cologne (Henning F.)</t>
        </is>
      </c>
      <c r="G93" t="inlineStr">
        <is>
          <t>Reiner Schlosser</t>
        </is>
      </c>
    </row>
    <row r="94">
      <c r="C94" t="inlineStr">
        <is>
          <t>NET .NET Software Engineering (Christian Wi.)</t>
        </is>
      </c>
      <c r="G94" t="inlineStr">
        <is>
          <t>Roland Schöne</t>
        </is>
      </c>
    </row>
    <row r="95">
      <c r="C95" t="inlineStr">
        <is>
          <t>P&amp;OS - Processes &amp; Organizational Str. (Raina B.)</t>
        </is>
      </c>
      <c r="G95" t="inlineStr">
        <is>
          <t>Sabine Sessar</t>
        </is>
      </c>
    </row>
    <row r="96">
      <c r="C96" t="inlineStr">
        <is>
          <t>P&amp;P - Processes &amp; Platforms (Bernd O.)</t>
        </is>
      </c>
      <c r="G96" t="inlineStr">
        <is>
          <t>Sascha Beerhenke</t>
        </is>
      </c>
    </row>
    <row r="97">
      <c r="C97" t="inlineStr">
        <is>
          <t>PACE - Project&amp;Analysis CGN Experts (Frederik S.)</t>
        </is>
      </c>
      <c r="G97" t="inlineStr">
        <is>
          <t>Sascha Wacker</t>
        </is>
      </c>
    </row>
    <row r="98">
      <c r="C98" t="inlineStr">
        <is>
          <t>PACE – Project Agility &amp; Cont' Evolution (Jan H.)</t>
        </is>
      </c>
      <c r="G98" t="inlineStr">
        <is>
          <t>Sebastian Fischer</t>
        </is>
      </c>
    </row>
    <row r="99">
      <c r="C99" t="inlineStr">
        <is>
          <t>PAM Platform Architecture Management (David S.)</t>
        </is>
      </c>
      <c r="G99" t="inlineStr">
        <is>
          <t>Sebastian Lenhard</t>
        </is>
      </c>
    </row>
    <row r="100">
      <c r="C100" t="inlineStr">
        <is>
          <t>PD Process Digitalization (Hermann L.)</t>
        </is>
      </c>
      <c r="G100" t="inlineStr">
        <is>
          <t>Sebastian Poth</t>
        </is>
      </c>
    </row>
    <row r="101">
      <c r="C101" t="inlineStr">
        <is>
          <t>PD Process Digitalization II (Ralf Fr.)</t>
        </is>
      </c>
      <c r="G101" t="inlineStr">
        <is>
          <t>Severin Etzbach</t>
        </is>
      </c>
    </row>
    <row r="102">
      <c r="C102" t="inlineStr">
        <is>
          <t>PE Platform Engineering (Thomas K.)</t>
        </is>
      </c>
      <c r="G102" t="inlineStr">
        <is>
          <t>Simon Dillmann</t>
        </is>
      </c>
    </row>
    <row r="103">
      <c r="C103" t="inlineStr">
        <is>
          <t>PITS Professional IT-Services (Martin R.)</t>
        </is>
      </c>
      <c r="G103" t="inlineStr">
        <is>
          <t>Simon Sipple</t>
        </is>
      </c>
    </row>
    <row r="104">
      <c r="C104" t="inlineStr">
        <is>
          <t>PM Product Management (Dana Thüring)</t>
        </is>
      </c>
      <c r="G104" t="inlineStr">
        <is>
          <t>Sonja Bürkle</t>
        </is>
      </c>
    </row>
    <row r="105">
      <c r="C105" t="inlineStr">
        <is>
          <t>PO IT-Processes &amp; Organization (Sonja B.)</t>
        </is>
      </c>
      <c r="G105" t="inlineStr">
        <is>
          <t>Sonja Rüdiger</t>
        </is>
      </c>
    </row>
    <row r="106">
      <c r="C106" t="inlineStr">
        <is>
          <t>POR Management</t>
        </is>
      </c>
      <c r="G106" t="inlineStr">
        <is>
          <t>Stefan Satzger</t>
        </is>
      </c>
    </row>
    <row r="107">
      <c r="C107" t="inlineStr">
        <is>
          <t>PS - People Support (Nina B.)</t>
        </is>
      </c>
      <c r="G107" t="inlineStr">
        <is>
          <t>Stefan Zilch</t>
        </is>
      </c>
    </row>
    <row r="108">
      <c r="C108" t="inlineStr">
        <is>
          <t>PS Project Services (Ulrich W.)</t>
        </is>
      </c>
      <c r="G108" t="inlineStr">
        <is>
          <t>Steffen Adam</t>
        </is>
      </c>
    </row>
    <row r="109">
      <c r="C109" t="inlineStr">
        <is>
          <t>Principals</t>
        </is>
      </c>
      <c r="G109" t="inlineStr">
        <is>
          <t>Steffen Flick</t>
        </is>
      </c>
    </row>
    <row r="110">
      <c r="C110" t="inlineStr">
        <is>
          <t>QE Quality Engineering (Boris B.)</t>
        </is>
      </c>
      <c r="G110" t="inlineStr">
        <is>
          <t>Thomas Arens</t>
        </is>
      </c>
    </row>
    <row r="111">
      <c r="C111" t="inlineStr">
        <is>
          <t>SAL Team Frölich</t>
        </is>
      </c>
      <c r="G111" t="inlineStr">
        <is>
          <t>Thomas Kiri</t>
        </is>
      </c>
    </row>
    <row r="112">
      <c r="C112" t="inlineStr">
        <is>
          <t>SAL Team Kernbach</t>
        </is>
      </c>
      <c r="G112" t="inlineStr">
        <is>
          <t>Thomas Kopp</t>
        </is>
      </c>
    </row>
    <row r="113">
      <c r="C113" t="inlineStr">
        <is>
          <t>SAL Team Madla</t>
        </is>
      </c>
      <c r="G113" t="inlineStr">
        <is>
          <t>Tim Jabke</t>
        </is>
      </c>
    </row>
    <row r="114">
      <c r="C114" t="inlineStr">
        <is>
          <t>SAL Team Rüdiger</t>
        </is>
      </c>
      <c r="G114" t="inlineStr">
        <is>
          <t>Tim Kost</t>
        </is>
      </c>
    </row>
    <row r="115">
      <c r="C115" t="inlineStr">
        <is>
          <t>SAL Team Schmitt</t>
        </is>
      </c>
      <c r="G115" t="inlineStr">
        <is>
          <t>Tim Thierfelder</t>
        </is>
      </c>
    </row>
    <row r="116">
      <c r="C116" t="inlineStr">
        <is>
          <t>SAL Team Schöne</t>
        </is>
      </c>
      <c r="G116" t="inlineStr">
        <is>
          <t>Timm Bremus</t>
        </is>
      </c>
    </row>
    <row r="117">
      <c r="C117" t="inlineStr">
        <is>
          <t>SBLN Standort Berlin (Claudia P.)</t>
        </is>
      </c>
      <c r="G117" t="inlineStr">
        <is>
          <t>Tobias Freitag</t>
        </is>
      </c>
    </row>
    <row r="118">
      <c r="C118" t="inlineStr">
        <is>
          <t>SE I BLN (Dominik S.)</t>
        </is>
      </c>
      <c r="G118" t="inlineStr">
        <is>
          <t>Torben Häder</t>
        </is>
      </c>
    </row>
    <row r="119">
      <c r="C119" t="inlineStr">
        <is>
          <t>SE Software Engineering Frankfurt (Andreas M.)</t>
        </is>
      </c>
      <c r="G119" t="inlineStr">
        <is>
          <t>Torsten Rinck</t>
        </is>
      </c>
    </row>
    <row r="120">
      <c r="C120" t="inlineStr">
        <is>
          <t>SE Software Engineering Frankfurt (Dominik H.)</t>
        </is>
      </c>
      <c r="G120" t="inlineStr">
        <is>
          <t>Udo Peters</t>
        </is>
      </c>
    </row>
    <row r="121">
      <c r="C121" t="inlineStr">
        <is>
          <t>SE Software Engineering Frankfurt (Sebastian F.)</t>
        </is>
      </c>
      <c r="G121" t="inlineStr">
        <is>
          <t>Ulrich Schack</t>
        </is>
      </c>
    </row>
    <row r="122">
      <c r="C122" t="inlineStr">
        <is>
          <t>SE Software Engineering Frankfurt (Steffen F.)</t>
        </is>
      </c>
      <c r="G122" t="inlineStr">
        <is>
          <t>Ulrich Waltinger</t>
        </is>
      </c>
    </row>
    <row r="123">
      <c r="C123" t="inlineStr">
        <is>
          <t>SE Software Engineering Frankfurt (Timm B.)</t>
        </is>
      </c>
      <c r="G123" t="inlineStr">
        <is>
          <t>Uwe Frölich</t>
        </is>
      </c>
    </row>
    <row r="124">
      <c r="C124" t="inlineStr">
        <is>
          <t>SEC - Software Engineering Cologne (Michael S.)</t>
        </is>
      </c>
      <c r="G124" t="inlineStr">
        <is>
          <t>Valerie Lorenz</t>
        </is>
      </c>
    </row>
    <row r="125">
      <c r="C125" t="inlineStr">
        <is>
          <t>SEI Software Engineering I (Martin K.)</t>
        </is>
      </c>
      <c r="G125" t="inlineStr">
        <is>
          <t>Viktor Poloczek</t>
        </is>
      </c>
    </row>
    <row r="126">
      <c r="C126" t="inlineStr">
        <is>
          <t>SHH Standort Hamburg (Claudia P.)</t>
        </is>
      </c>
      <c r="G126" t="inlineStr">
        <is>
          <t>Wilfried Wessel</t>
        </is>
      </c>
    </row>
    <row r="127">
      <c r="C127" t="inlineStr">
        <is>
          <t>SHH Standort Hamburg (Ulf L.)</t>
        </is>
      </c>
    </row>
    <row r="128">
      <c r="C128" t="inlineStr">
        <is>
          <t>Sales Office EnBW</t>
        </is>
      </c>
    </row>
    <row r="129">
      <c r="C129" t="inlineStr">
        <is>
          <t>Strategy and Transformation (P. Seelmeyer)</t>
        </is>
      </c>
    </row>
    <row r="130">
      <c r="C130" t="inlineStr">
        <is>
          <t>Support Externe Partner</t>
        </is>
      </c>
    </row>
    <row r="131">
      <c r="C131" t="inlineStr">
        <is>
          <t>TBC - Transforming Business Concepts (Bastian T.)</t>
        </is>
      </c>
    </row>
    <row r="132">
      <c r="C132" t="inlineStr">
        <is>
          <t>TE - Transformation Enablement (Arne K.)</t>
        </is>
      </c>
    </row>
    <row r="133">
      <c r="C133" t="inlineStr">
        <is>
          <t>TG Transformation Guidance (Clemens L.)</t>
        </is>
      </c>
    </row>
    <row r="134">
      <c r="C134" t="inlineStr">
        <is>
          <t>TM - Transition Management (Christoph W.)</t>
        </is>
      </c>
    </row>
    <row r="135">
      <c r="C135" t="inlineStr">
        <is>
          <t>Thomas Arens</t>
        </is>
      </c>
    </row>
    <row r="136">
      <c r="C136" t="inlineStr">
        <is>
          <t>Tim Thierfelder</t>
        </is>
      </c>
    </row>
    <row r="137">
      <c r="C137" t="inlineStr">
        <is>
          <t>User Experience Design</t>
        </is>
      </c>
    </row>
    <row r="138">
      <c r="C138" t="inlineStr">
        <is>
          <t>Zentrales Sales Office (Miriam H.)</t>
        </is>
      </c>
    </row>
    <row r="139">
      <c r="C139" t="inlineStr">
        <is>
          <t>cIT AMS / GIS Services (Michael B.)</t>
        </is>
      </c>
    </row>
    <row r="140">
      <c r="C140" t="inlineStr">
        <is>
          <t>cIT Development</t>
        </is>
      </c>
    </row>
    <row r="141">
      <c r="C141" t="inlineStr">
        <is>
          <t>cIT IT Services</t>
        </is>
      </c>
    </row>
    <row r="142">
      <c r="C142" t="inlineStr">
        <is>
          <t>cIT Individualservices</t>
        </is>
      </c>
    </row>
    <row r="143">
      <c r="C143" t="inlineStr">
        <is>
          <t>cIT Product Ownership Managed Services</t>
        </is>
      </c>
    </row>
    <row r="144">
      <c r="C144" t="inlineStr">
        <is>
          <t>cIT Service Delivery</t>
        </is>
      </c>
    </row>
    <row r="145">
      <c r="C145" t="inlineStr">
        <is>
          <t>cIT Service Management</t>
        </is>
      </c>
    </row>
    <row r="146">
      <c r="C146" t="inlineStr">
        <is>
          <t>cIT TPM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001"/>
  <sheetViews>
    <sheetView workbookViewId="0">
      <selection activeCell="A1" sqref="A1"/>
    </sheetView>
  </sheetViews>
  <sheetFormatPr baseColWidth="8" defaultRowHeight="15"/>
  <cols>
    <col width="10" customWidth="1" min="1" max="1"/>
    <col width="18" customWidth="1" min="2" max="2"/>
    <col width="18" customWidth="1" min="3" max="3"/>
    <col width="16" customWidth="1" min="4" max="4"/>
    <col width="24" customWidth="1" min="5" max="5"/>
    <col width="12" customWidth="1" min="6" max="6"/>
    <col width="24" customWidth="1" min="7" max="7"/>
    <col width="14" customWidth="1" min="8" max="8"/>
    <col width="14" customWidth="1" min="9" max="9"/>
    <col width="24" customWidth="1" min="10" max="10"/>
    <col width="14" customWidth="1" min="11" max="11"/>
    <col width="12" customWidth="1" min="12" max="12"/>
    <col width="14" customWidth="1" min="13" max="13"/>
    <col width="16" customWidth="1" min="14" max="14"/>
    <col width="24" customWidth="1" min="15" max="15"/>
    <col width="14" customWidth="1" min="16" max="16"/>
    <col width="12" customWidth="1" min="17" max="17"/>
    <col width="16" customWidth="1" min="18" max="18"/>
    <col width="16" customWidth="1" min="19" max="19"/>
    <col width="16" customWidth="1" min="20" max="20"/>
    <col width="16" customWidth="1" min="21" max="21"/>
    <col width="16" customWidth="1" min="22" max="22"/>
  </cols>
  <sheetData>
    <row r="1">
      <c r="A1" t="inlineStr">
        <is>
          <t>Include</t>
        </is>
      </c>
      <c r="B1" t="inlineStr">
        <is>
          <t>Selected_ratio_since</t>
        </is>
      </c>
      <c r="C1" t="inlineStr">
        <is>
          <t>Selected_ratio_before</t>
        </is>
      </c>
      <c r="D1" t="inlineStr">
        <is>
          <t>Ongoing_age_months</t>
        </is>
      </c>
      <c r="E1" t="inlineStr">
        <is>
          <t>Availability_inconsistency</t>
        </is>
      </c>
      <c r="F1" t="inlineStr">
        <is>
          <t>Anomaly_flag</t>
        </is>
      </c>
      <c r="G1" t="inlineStr">
        <is>
          <t>Segment_value</t>
        </is>
      </c>
      <c r="H1" t="inlineStr">
        <is>
          <t>Low_coverage_flag</t>
        </is>
      </c>
      <c r="I1" t="inlineStr">
        <is>
          <t>Anomaly_score</t>
        </is>
      </c>
      <c r="J1" t="inlineStr">
        <is>
          <t>Candidate_segment</t>
        </is>
      </c>
      <c r="K1" t="inlineStr">
        <is>
          <t>Candidate_total</t>
        </is>
      </c>
      <c r="L1" t="inlineStr">
        <is>
          <t>Candidate_low</t>
        </is>
      </c>
      <c r="M1" t="inlineStr">
        <is>
          <t>Candidate_low_rate</t>
        </is>
      </c>
      <c r="N1" t="inlineStr">
        <is>
          <t>Candidate_rank_key</t>
        </is>
      </c>
      <c r="O1" t="inlineStr">
        <is>
          <t>Top_segment</t>
        </is>
      </c>
      <c r="P1" t="inlineStr">
        <is>
          <t>Top_low_rate</t>
        </is>
      </c>
      <c r="Q1" t="inlineStr">
        <is>
          <t>Top_count</t>
        </is>
      </c>
      <c r="R1" t="inlineStr">
        <is>
          <t>Rank_key</t>
        </is>
      </c>
      <c r="S1" t="inlineStr">
        <is>
          <t>Selected_since_included</t>
        </is>
      </c>
      <c r="T1" t="inlineStr">
        <is>
          <t>Selected_before_included</t>
        </is>
      </c>
      <c r="U1" t="inlineStr">
        <is>
          <t>Weighted_since_included</t>
        </is>
      </c>
      <c r="V1" t="inlineStr">
        <is>
          <t>Weighted_before_included</t>
        </is>
      </c>
    </row>
    <row r="2">
      <c r="A2">
        <f>--(AND(OR(Dashboard!$B$4="All",Raw_data!$AL2=Dashboard!$B$4),OR(Dashboard!$B$5="All",Raw_data!$AM2=Dashboard!$B$5),OR(Dashboard!$B$6="All",Raw_data!$AN2=Dashboard!$B$6),OR(Dashboard!$B$7="All",Raw_data!$AO2=Dashboard!$B$7),OR(Dashboard!$B$8="All",Raw_data!$AP2=Dashboard!$B$8),OR(Dashboard!$B$9="All",Raw_data!$AQ2=Dashboard!$B$9),OR(Dashboard!$B$10="All",Raw_data!$AF2=Dashboard!$B$10),OR(Raw_data!$F2="",Raw_data!$F2&lt;=TODAY())))</f>
        <v/>
      </c>
      <c r="B2">
        <f>IFERROR(IF(Dashboard!$B$3="Weighted",Raw_data!$U2,Raw_data!$T2),"")</f>
        <v/>
      </c>
      <c r="C2">
        <f>IFERROR(IF(Dashboard!$B$3="Weighted",Raw_data!$AB2,Raw_data!$AA2),"")</f>
        <v/>
      </c>
      <c r="D2">
        <f>IF(OR(Raw_data!$J2="",Raw_data!$J2&lt;=0,Raw_data!$K2=""),"",IF(Raw_data!$K2&gt;TODAY(),0,DATEDIF(Raw_data!$K2,TODAY(),"M")))</f>
        <v/>
      </c>
      <c r="E2">
        <f>--(AND(Raw_data!$AF2="No",OR(Raw_data!$AG2&lt;&gt;"",Raw_data!$AJ2&gt;0,Raw_data!$AK2&lt;&gt;"")))</f>
        <v/>
      </c>
      <c r="F2">
        <f>--(OR(AND(ISNUMBER(B2),B2&lt;0.5,OR(D2&gt;=24,Raw_data!$I2&gt;0)),Raw_data!$AE2=TRUE))</f>
        <v/>
      </c>
      <c r="G2">
        <f>IF(Dashboard!$B$11="Department",Raw_data!$AL2,IF(Dashboard!$B$11="Team",Raw_data!$AM2,IF(Dashboard!$B$11="Unit",Raw_data!$AN2,IF(Dashboard!$B$11="Legal entity",Raw_data!$AO2,IF(Dashboard!$B$11="Location",Raw_data!$AP2,Raw_data!$AQ2)))))</f>
        <v/>
      </c>
      <c r="H2">
        <f>--(AND(ISNUMBER(B2),B2&lt;0.5))</f>
        <v/>
      </c>
      <c r="I2">
        <f>IFERROR(MAX(0,(0.5-B2)*100),0)+IF(D2&gt;=24,20,0)+IF(Raw_data!$I2&gt;0,20,0)+IF(Raw_data!$AE2=TRUE,10,0)</f>
        <v/>
      </c>
      <c r="J2">
        <f>IFERROR(CHOOSE(MATCH(Dashboard!$B$11,{"Department","Team","Unit","Legal entity","Location","Lead"},0),INDEX(Lists!$B$3:$B$20,ROW()-1),INDEX(Lists!$C$3:$C$146,ROW()-1),INDEX(Lists!$D$3:$D$67,ROW()-1),INDEX(Lists!$E$3:$E$5,ROW()-1),INDEX(Lists!$F$3:$F$12,ROW()-1),INDEX(Lists!$G$3:$G$126,ROW()-1)),"")</f>
        <v/>
      </c>
      <c r="K2">
        <f>IF(J2="","",SUMPRODUCT(($A$2:$A$636=1)*($G$2:$G$636=J2)))</f>
        <v/>
      </c>
      <c r="L2">
        <f>IF(J2="","",SUMPRODUCT(($A$2:$A$636=1)*($G$2:$G$636=J2)*(ISNUMBER($B$2:$B$636))*($B$2:$B$636&lt;0.5)))</f>
        <v/>
      </c>
      <c r="M2">
        <f>IFERROR(L2/K2,"")</f>
        <v/>
      </c>
      <c r="N2">
        <f>IF(K2="","",M2+K2/100000+ROW()/100000000)</f>
        <v/>
      </c>
      <c r="O2">
        <f>IFERROR(INDEX($J$2:$J$1001,MATCH(LARGE($N$2:$N$1001,1),$N$2:$N$1001,0)),"")</f>
        <v/>
      </c>
      <c r="P2">
        <f>IFERROR(INDEX($M$2:$M$1001,MATCH(LARGE($N$2:$N$1001,1),$N$2:$N$1001,0)),"")</f>
        <v/>
      </c>
      <c r="Q2">
        <f>IFERROR(INDEX($K$2:$K$1001,MATCH(LARGE($N$2:$N$1001,1),$N$2:$N$1001,0)),"")</f>
        <v/>
      </c>
      <c r="R2">
        <f>IF(A2=1,IFERROR(I2,0)+ROW()/100000000,-1E+99)</f>
        <v/>
      </c>
      <c r="S2">
        <f>IF(A2=1,IFERROR(Raw_data!$T2,""),"")</f>
        <v/>
      </c>
      <c r="T2">
        <f>IF(A2=1,IFERROR(Raw_data!$AA2,""),"")</f>
        <v/>
      </c>
      <c r="U2">
        <f>IF(A2=1,IFERROR(Raw_data!$U2,""),"")</f>
        <v/>
      </c>
      <c r="V2">
        <f>IF(A2=1,IFERROR(Raw_data!$AB2,""),"")</f>
        <v/>
      </c>
    </row>
    <row r="3">
      <c r="A3">
        <f>--(AND(OR(Dashboard!$B$4="All",Raw_data!$AL3=Dashboard!$B$4),OR(Dashboard!$B$5="All",Raw_data!$AM3=Dashboard!$B$5),OR(Dashboard!$B$6="All",Raw_data!$AN3=Dashboard!$B$6),OR(Dashboard!$B$7="All",Raw_data!$AO3=Dashboard!$B$7),OR(Dashboard!$B$8="All",Raw_data!$AP3=Dashboard!$B$8),OR(Dashboard!$B$9="All",Raw_data!$AQ3=Dashboard!$B$9),OR(Dashboard!$B$10="All",Raw_data!$AF3=Dashboard!$B$10),OR(Raw_data!$F3="",Raw_data!$F3&lt;=TODAY())))</f>
        <v/>
      </c>
      <c r="B3">
        <f>IFERROR(IF(Dashboard!$B$3="Weighted",Raw_data!$U3,Raw_data!$T3),"")</f>
        <v/>
      </c>
      <c r="C3">
        <f>IFERROR(IF(Dashboard!$B$3="Weighted",Raw_data!$AB3,Raw_data!$AA3),"")</f>
        <v/>
      </c>
      <c r="D3">
        <f>IF(OR(Raw_data!$J3="",Raw_data!$J3&lt;=0,Raw_data!$K3=""),"",IF(Raw_data!$K3&gt;TODAY(),0,DATEDIF(Raw_data!$K3,TODAY(),"M")))</f>
        <v/>
      </c>
      <c r="E3">
        <f>--(AND(Raw_data!$AF3="No",OR(Raw_data!$AG3&lt;&gt;"",Raw_data!$AJ3&gt;0,Raw_data!$AK3&lt;&gt;"")))</f>
        <v/>
      </c>
      <c r="F3">
        <f>--(OR(AND(ISNUMBER(B3),B3&lt;0.5,OR(D3&gt;=24,Raw_data!$I3&gt;0)),Raw_data!$AE3=TRUE))</f>
        <v/>
      </c>
      <c r="G3">
        <f>IF(Dashboard!$B$11="Department",Raw_data!$AL3,IF(Dashboard!$B$11="Team",Raw_data!$AM3,IF(Dashboard!$B$11="Unit",Raw_data!$AN3,IF(Dashboard!$B$11="Legal entity",Raw_data!$AO3,IF(Dashboard!$B$11="Location",Raw_data!$AP3,Raw_data!$AQ3)))))</f>
        <v/>
      </c>
      <c r="H3">
        <f>--(AND(ISNUMBER(B3),B3&lt;0.5))</f>
        <v/>
      </c>
      <c r="I3">
        <f>IFERROR(MAX(0,(0.5-B3)*100),0)+IF(D3&gt;=24,20,0)+IF(Raw_data!$I3&gt;0,20,0)+IF(Raw_data!$AE3=TRUE,10,0)</f>
        <v/>
      </c>
      <c r="J3">
        <f>IFERROR(CHOOSE(MATCH(Dashboard!$B$11,{"Department","Team","Unit","Legal entity","Location","Lead"},0),INDEX(Lists!$B$3:$B$20,ROW()-1),INDEX(Lists!$C$3:$C$146,ROW()-1),INDEX(Lists!$D$3:$D$67,ROW()-1),INDEX(Lists!$E$3:$E$5,ROW()-1),INDEX(Lists!$F$3:$F$12,ROW()-1),INDEX(Lists!$G$3:$G$126,ROW()-1)),"")</f>
        <v/>
      </c>
      <c r="K3">
        <f>IF(J3="","",SUMPRODUCT(($A$2:$A$636=1)*($G$2:$G$636=J3)))</f>
        <v/>
      </c>
      <c r="L3">
        <f>IF(J3="","",SUMPRODUCT(($A$2:$A$636=1)*($G$2:$G$636=J3)*(ISNUMBER($B$2:$B$636))*($B$2:$B$636&lt;0.5)))</f>
        <v/>
      </c>
      <c r="M3">
        <f>IFERROR(L3/K3,"")</f>
        <v/>
      </c>
      <c r="N3">
        <f>IF(K3="","",M3+K3/100000+ROW()/100000000)</f>
        <v/>
      </c>
      <c r="O3">
        <f>IFERROR(INDEX($J$2:$J$1001,MATCH(LARGE($N$2:$N$1001,2),$N$2:$N$1001,0)),"")</f>
        <v/>
      </c>
      <c r="P3">
        <f>IFERROR(INDEX($M$2:$M$1001,MATCH(LARGE($N$2:$N$1001,2),$N$2:$N$1001,0)),"")</f>
        <v/>
      </c>
      <c r="Q3">
        <f>IFERROR(INDEX($K$2:$K$1001,MATCH(LARGE($N$2:$N$1001,2),$N$2:$N$1001,0)),"")</f>
        <v/>
      </c>
      <c r="R3">
        <f>IF(A3=1,IFERROR(I3,0)+ROW()/100000000,-1E+99)</f>
        <v/>
      </c>
      <c r="S3">
        <f>IF(A3=1,IFERROR(Raw_data!$T3,""),"")</f>
        <v/>
      </c>
      <c r="T3">
        <f>IF(A3=1,IFERROR(Raw_data!$AA3,""),"")</f>
        <v/>
      </c>
      <c r="U3">
        <f>IF(A3=1,IFERROR(Raw_data!$U3,""),"")</f>
        <v/>
      </c>
      <c r="V3">
        <f>IF(A3=1,IFERROR(Raw_data!$AB3,""),"")</f>
        <v/>
      </c>
    </row>
    <row r="4">
      <c r="A4">
        <f>--(AND(OR(Dashboard!$B$4="All",Raw_data!$AL4=Dashboard!$B$4),OR(Dashboard!$B$5="All",Raw_data!$AM4=Dashboard!$B$5),OR(Dashboard!$B$6="All",Raw_data!$AN4=Dashboard!$B$6),OR(Dashboard!$B$7="All",Raw_data!$AO4=Dashboard!$B$7),OR(Dashboard!$B$8="All",Raw_data!$AP4=Dashboard!$B$8),OR(Dashboard!$B$9="All",Raw_data!$AQ4=Dashboard!$B$9),OR(Dashboard!$B$10="All",Raw_data!$AF4=Dashboard!$B$10),OR(Raw_data!$F4="",Raw_data!$F4&lt;=TODAY())))</f>
        <v/>
      </c>
      <c r="B4">
        <f>IFERROR(IF(Dashboard!$B$3="Weighted",Raw_data!$U4,Raw_data!$T4),"")</f>
        <v/>
      </c>
      <c r="C4">
        <f>IFERROR(IF(Dashboard!$B$3="Weighted",Raw_data!$AB4,Raw_data!$AA4),"")</f>
        <v/>
      </c>
      <c r="D4">
        <f>IF(OR(Raw_data!$J4="",Raw_data!$J4&lt;=0,Raw_data!$K4=""),"",IF(Raw_data!$K4&gt;TODAY(),0,DATEDIF(Raw_data!$K4,TODAY(),"M")))</f>
        <v/>
      </c>
      <c r="E4">
        <f>--(AND(Raw_data!$AF4="No",OR(Raw_data!$AG4&lt;&gt;"",Raw_data!$AJ4&gt;0,Raw_data!$AK4&lt;&gt;"")))</f>
        <v/>
      </c>
      <c r="F4">
        <f>--(OR(AND(ISNUMBER(B4),B4&lt;0.5,OR(D4&gt;=24,Raw_data!$I4&gt;0)),Raw_data!$AE4=TRUE))</f>
        <v/>
      </c>
      <c r="G4">
        <f>IF(Dashboard!$B$11="Department",Raw_data!$AL4,IF(Dashboard!$B$11="Team",Raw_data!$AM4,IF(Dashboard!$B$11="Unit",Raw_data!$AN4,IF(Dashboard!$B$11="Legal entity",Raw_data!$AO4,IF(Dashboard!$B$11="Location",Raw_data!$AP4,Raw_data!$AQ4)))))</f>
        <v/>
      </c>
      <c r="H4">
        <f>--(AND(ISNUMBER(B4),B4&lt;0.5))</f>
        <v/>
      </c>
      <c r="I4">
        <f>IFERROR(MAX(0,(0.5-B4)*100),0)+IF(D4&gt;=24,20,0)+IF(Raw_data!$I4&gt;0,20,0)+IF(Raw_data!$AE4=TRUE,10,0)</f>
        <v/>
      </c>
      <c r="J4">
        <f>IFERROR(CHOOSE(MATCH(Dashboard!$B$11,{"Department","Team","Unit","Legal entity","Location","Lead"},0),INDEX(Lists!$B$3:$B$20,ROW()-1),INDEX(Lists!$C$3:$C$146,ROW()-1),INDEX(Lists!$D$3:$D$67,ROW()-1),INDEX(Lists!$E$3:$E$5,ROW()-1),INDEX(Lists!$F$3:$F$12,ROW()-1),INDEX(Lists!$G$3:$G$126,ROW()-1)),"")</f>
        <v/>
      </c>
      <c r="K4">
        <f>IF(J4="","",SUMPRODUCT(($A$2:$A$636=1)*($G$2:$G$636=J4)))</f>
        <v/>
      </c>
      <c r="L4">
        <f>IF(J4="","",SUMPRODUCT(($A$2:$A$636=1)*($G$2:$G$636=J4)*(ISNUMBER($B$2:$B$636))*($B$2:$B$636&lt;0.5)))</f>
        <v/>
      </c>
      <c r="M4">
        <f>IFERROR(L4/K4,"")</f>
        <v/>
      </c>
      <c r="N4">
        <f>IF(K4="","",M4+K4/100000+ROW()/100000000)</f>
        <v/>
      </c>
      <c r="O4">
        <f>IFERROR(INDEX($J$2:$J$1001,MATCH(LARGE($N$2:$N$1001,3),$N$2:$N$1001,0)),"")</f>
        <v/>
      </c>
      <c r="P4">
        <f>IFERROR(INDEX($M$2:$M$1001,MATCH(LARGE($N$2:$N$1001,3),$N$2:$N$1001,0)),"")</f>
        <v/>
      </c>
      <c r="Q4">
        <f>IFERROR(INDEX($K$2:$K$1001,MATCH(LARGE($N$2:$N$1001,3),$N$2:$N$1001,0)),"")</f>
        <v/>
      </c>
      <c r="R4">
        <f>IF(A4=1,IFERROR(I4,0)+ROW()/100000000,-1E+99)</f>
        <v/>
      </c>
      <c r="S4">
        <f>IF(A4=1,IFERROR(Raw_data!$T4,""),"")</f>
        <v/>
      </c>
      <c r="T4">
        <f>IF(A4=1,IFERROR(Raw_data!$AA4,""),"")</f>
        <v/>
      </c>
      <c r="U4">
        <f>IF(A4=1,IFERROR(Raw_data!$U4,""),"")</f>
        <v/>
      </c>
      <c r="V4">
        <f>IF(A4=1,IFERROR(Raw_data!$AB4,""),"")</f>
        <v/>
      </c>
    </row>
    <row r="5">
      <c r="A5">
        <f>--(AND(OR(Dashboard!$B$4="All",Raw_data!$AL5=Dashboard!$B$4),OR(Dashboard!$B$5="All",Raw_data!$AM5=Dashboard!$B$5),OR(Dashboard!$B$6="All",Raw_data!$AN5=Dashboard!$B$6),OR(Dashboard!$B$7="All",Raw_data!$AO5=Dashboard!$B$7),OR(Dashboard!$B$8="All",Raw_data!$AP5=Dashboard!$B$8),OR(Dashboard!$B$9="All",Raw_data!$AQ5=Dashboard!$B$9),OR(Dashboard!$B$10="All",Raw_data!$AF5=Dashboard!$B$10),OR(Raw_data!$F5="",Raw_data!$F5&lt;=TODAY())))</f>
        <v/>
      </c>
      <c r="B5">
        <f>IFERROR(IF(Dashboard!$B$3="Weighted",Raw_data!$U5,Raw_data!$T5),"")</f>
        <v/>
      </c>
      <c r="C5">
        <f>IFERROR(IF(Dashboard!$B$3="Weighted",Raw_data!$AB5,Raw_data!$AA5),"")</f>
        <v/>
      </c>
      <c r="D5">
        <f>IF(OR(Raw_data!$J5="",Raw_data!$J5&lt;=0,Raw_data!$K5=""),"",IF(Raw_data!$K5&gt;TODAY(),0,DATEDIF(Raw_data!$K5,TODAY(),"M")))</f>
        <v/>
      </c>
      <c r="E5">
        <f>--(AND(Raw_data!$AF5="No",OR(Raw_data!$AG5&lt;&gt;"",Raw_data!$AJ5&gt;0,Raw_data!$AK5&lt;&gt;"")))</f>
        <v/>
      </c>
      <c r="F5">
        <f>--(OR(AND(ISNUMBER(B5),B5&lt;0.5,OR(D5&gt;=24,Raw_data!$I5&gt;0)),Raw_data!$AE5=TRUE))</f>
        <v/>
      </c>
      <c r="G5">
        <f>IF(Dashboard!$B$11="Department",Raw_data!$AL5,IF(Dashboard!$B$11="Team",Raw_data!$AM5,IF(Dashboard!$B$11="Unit",Raw_data!$AN5,IF(Dashboard!$B$11="Legal entity",Raw_data!$AO5,IF(Dashboard!$B$11="Location",Raw_data!$AP5,Raw_data!$AQ5)))))</f>
        <v/>
      </c>
      <c r="H5">
        <f>--(AND(ISNUMBER(B5),B5&lt;0.5))</f>
        <v/>
      </c>
      <c r="I5">
        <f>IFERROR(MAX(0,(0.5-B5)*100),0)+IF(D5&gt;=24,20,0)+IF(Raw_data!$I5&gt;0,20,0)+IF(Raw_data!$AE5=TRUE,10,0)</f>
        <v/>
      </c>
      <c r="J5">
        <f>IFERROR(CHOOSE(MATCH(Dashboard!$B$11,{"Department","Team","Unit","Legal entity","Location","Lead"},0),INDEX(Lists!$B$3:$B$20,ROW()-1),INDEX(Lists!$C$3:$C$146,ROW()-1),INDEX(Lists!$D$3:$D$67,ROW()-1),INDEX(Lists!$E$3:$E$5,ROW()-1),INDEX(Lists!$F$3:$F$12,ROW()-1),INDEX(Lists!$G$3:$G$126,ROW()-1)),"")</f>
        <v/>
      </c>
      <c r="K5">
        <f>IF(J5="","",SUMPRODUCT(($A$2:$A$636=1)*($G$2:$G$636=J5)))</f>
        <v/>
      </c>
      <c r="L5">
        <f>IF(J5="","",SUMPRODUCT(($A$2:$A$636=1)*($G$2:$G$636=J5)*(ISNUMBER($B$2:$B$636))*($B$2:$B$636&lt;0.5)))</f>
        <v/>
      </c>
      <c r="M5">
        <f>IFERROR(L5/K5,"")</f>
        <v/>
      </c>
      <c r="N5">
        <f>IF(K5="","",M5+K5/100000+ROW()/100000000)</f>
        <v/>
      </c>
      <c r="O5">
        <f>IFERROR(INDEX($J$2:$J$1001,MATCH(LARGE($N$2:$N$1001,4),$N$2:$N$1001,0)),"")</f>
        <v/>
      </c>
      <c r="P5">
        <f>IFERROR(INDEX($M$2:$M$1001,MATCH(LARGE($N$2:$N$1001,4),$N$2:$N$1001,0)),"")</f>
        <v/>
      </c>
      <c r="Q5">
        <f>IFERROR(INDEX($K$2:$K$1001,MATCH(LARGE($N$2:$N$1001,4),$N$2:$N$1001,0)),"")</f>
        <v/>
      </c>
      <c r="R5">
        <f>IF(A5=1,IFERROR(I5,0)+ROW()/100000000,-1E+99)</f>
        <v/>
      </c>
      <c r="S5">
        <f>IF(A5=1,IFERROR(Raw_data!$T5,""),"")</f>
        <v/>
      </c>
      <c r="T5">
        <f>IF(A5=1,IFERROR(Raw_data!$AA5,""),"")</f>
        <v/>
      </c>
      <c r="U5">
        <f>IF(A5=1,IFERROR(Raw_data!$U5,""),"")</f>
        <v/>
      </c>
      <c r="V5">
        <f>IF(A5=1,IFERROR(Raw_data!$AB5,""),"")</f>
        <v/>
      </c>
    </row>
    <row r="6">
      <c r="A6">
        <f>--(AND(OR(Dashboard!$B$4="All",Raw_data!$AL6=Dashboard!$B$4),OR(Dashboard!$B$5="All",Raw_data!$AM6=Dashboard!$B$5),OR(Dashboard!$B$6="All",Raw_data!$AN6=Dashboard!$B$6),OR(Dashboard!$B$7="All",Raw_data!$AO6=Dashboard!$B$7),OR(Dashboard!$B$8="All",Raw_data!$AP6=Dashboard!$B$8),OR(Dashboard!$B$9="All",Raw_data!$AQ6=Dashboard!$B$9),OR(Dashboard!$B$10="All",Raw_data!$AF6=Dashboard!$B$10),OR(Raw_data!$F6="",Raw_data!$F6&lt;=TODAY())))</f>
        <v/>
      </c>
      <c r="B6">
        <f>IFERROR(IF(Dashboard!$B$3="Weighted",Raw_data!$U6,Raw_data!$T6),"")</f>
        <v/>
      </c>
      <c r="C6">
        <f>IFERROR(IF(Dashboard!$B$3="Weighted",Raw_data!$AB6,Raw_data!$AA6),"")</f>
        <v/>
      </c>
      <c r="D6">
        <f>IF(OR(Raw_data!$J6="",Raw_data!$J6&lt;=0,Raw_data!$K6=""),"",IF(Raw_data!$K6&gt;TODAY(),0,DATEDIF(Raw_data!$K6,TODAY(),"M")))</f>
        <v/>
      </c>
      <c r="E6">
        <f>--(AND(Raw_data!$AF6="No",OR(Raw_data!$AG6&lt;&gt;"",Raw_data!$AJ6&gt;0,Raw_data!$AK6&lt;&gt;"")))</f>
        <v/>
      </c>
      <c r="F6">
        <f>--(OR(AND(ISNUMBER(B6),B6&lt;0.5,OR(D6&gt;=24,Raw_data!$I6&gt;0)),Raw_data!$AE6=TRUE))</f>
        <v/>
      </c>
      <c r="G6">
        <f>IF(Dashboard!$B$11="Department",Raw_data!$AL6,IF(Dashboard!$B$11="Team",Raw_data!$AM6,IF(Dashboard!$B$11="Unit",Raw_data!$AN6,IF(Dashboard!$B$11="Legal entity",Raw_data!$AO6,IF(Dashboard!$B$11="Location",Raw_data!$AP6,Raw_data!$AQ6)))))</f>
        <v/>
      </c>
      <c r="H6">
        <f>--(AND(ISNUMBER(B6),B6&lt;0.5))</f>
        <v/>
      </c>
      <c r="I6">
        <f>IFERROR(MAX(0,(0.5-B6)*100),0)+IF(D6&gt;=24,20,0)+IF(Raw_data!$I6&gt;0,20,0)+IF(Raw_data!$AE6=TRUE,10,0)</f>
        <v/>
      </c>
      <c r="J6">
        <f>IFERROR(CHOOSE(MATCH(Dashboard!$B$11,{"Department","Team","Unit","Legal entity","Location","Lead"},0),INDEX(Lists!$B$3:$B$20,ROW()-1),INDEX(Lists!$C$3:$C$146,ROW()-1),INDEX(Lists!$D$3:$D$67,ROW()-1),INDEX(Lists!$E$3:$E$5,ROW()-1),INDEX(Lists!$F$3:$F$12,ROW()-1),INDEX(Lists!$G$3:$G$126,ROW()-1)),"")</f>
        <v/>
      </c>
      <c r="K6">
        <f>IF(J6="","",SUMPRODUCT(($A$2:$A$636=1)*($G$2:$G$636=J6)))</f>
        <v/>
      </c>
      <c r="L6">
        <f>IF(J6="","",SUMPRODUCT(($A$2:$A$636=1)*($G$2:$G$636=J6)*(ISNUMBER($B$2:$B$636))*($B$2:$B$636&lt;0.5)))</f>
        <v/>
      </c>
      <c r="M6">
        <f>IFERROR(L6/K6,"")</f>
        <v/>
      </c>
      <c r="N6">
        <f>IF(K6="","",M6+K6/100000+ROW()/100000000)</f>
        <v/>
      </c>
      <c r="O6">
        <f>IFERROR(INDEX($J$2:$J$1001,MATCH(LARGE($N$2:$N$1001,5),$N$2:$N$1001,0)),"")</f>
        <v/>
      </c>
      <c r="P6">
        <f>IFERROR(INDEX($M$2:$M$1001,MATCH(LARGE($N$2:$N$1001,5),$N$2:$N$1001,0)),"")</f>
        <v/>
      </c>
      <c r="Q6">
        <f>IFERROR(INDEX($K$2:$K$1001,MATCH(LARGE($N$2:$N$1001,5),$N$2:$N$1001,0)),"")</f>
        <v/>
      </c>
      <c r="R6">
        <f>IF(A6=1,IFERROR(I6,0)+ROW()/100000000,-1E+99)</f>
        <v/>
      </c>
      <c r="S6">
        <f>IF(A6=1,IFERROR(Raw_data!$T6,""),"")</f>
        <v/>
      </c>
      <c r="T6">
        <f>IF(A6=1,IFERROR(Raw_data!$AA6,""),"")</f>
        <v/>
      </c>
      <c r="U6">
        <f>IF(A6=1,IFERROR(Raw_data!$U6,""),"")</f>
        <v/>
      </c>
      <c r="V6">
        <f>IF(A6=1,IFERROR(Raw_data!$AB6,""),"")</f>
        <v/>
      </c>
    </row>
    <row r="7">
      <c r="A7">
        <f>--(AND(OR(Dashboard!$B$4="All",Raw_data!$AL7=Dashboard!$B$4),OR(Dashboard!$B$5="All",Raw_data!$AM7=Dashboard!$B$5),OR(Dashboard!$B$6="All",Raw_data!$AN7=Dashboard!$B$6),OR(Dashboard!$B$7="All",Raw_data!$AO7=Dashboard!$B$7),OR(Dashboard!$B$8="All",Raw_data!$AP7=Dashboard!$B$8),OR(Dashboard!$B$9="All",Raw_data!$AQ7=Dashboard!$B$9),OR(Dashboard!$B$10="All",Raw_data!$AF7=Dashboard!$B$10),OR(Raw_data!$F7="",Raw_data!$F7&lt;=TODAY())))</f>
        <v/>
      </c>
      <c r="B7">
        <f>IFERROR(IF(Dashboard!$B$3="Weighted",Raw_data!$U7,Raw_data!$T7),"")</f>
        <v/>
      </c>
      <c r="C7">
        <f>IFERROR(IF(Dashboard!$B$3="Weighted",Raw_data!$AB7,Raw_data!$AA7),"")</f>
        <v/>
      </c>
      <c r="D7">
        <f>IF(OR(Raw_data!$J7="",Raw_data!$J7&lt;=0,Raw_data!$K7=""),"",IF(Raw_data!$K7&gt;TODAY(),0,DATEDIF(Raw_data!$K7,TODAY(),"M")))</f>
        <v/>
      </c>
      <c r="E7">
        <f>--(AND(Raw_data!$AF7="No",OR(Raw_data!$AG7&lt;&gt;"",Raw_data!$AJ7&gt;0,Raw_data!$AK7&lt;&gt;"")))</f>
        <v/>
      </c>
      <c r="F7">
        <f>--(OR(AND(ISNUMBER(B7),B7&lt;0.5,OR(D7&gt;=24,Raw_data!$I7&gt;0)),Raw_data!$AE7=TRUE))</f>
        <v/>
      </c>
      <c r="G7">
        <f>IF(Dashboard!$B$11="Department",Raw_data!$AL7,IF(Dashboard!$B$11="Team",Raw_data!$AM7,IF(Dashboard!$B$11="Unit",Raw_data!$AN7,IF(Dashboard!$B$11="Legal entity",Raw_data!$AO7,IF(Dashboard!$B$11="Location",Raw_data!$AP7,Raw_data!$AQ7)))))</f>
        <v/>
      </c>
      <c r="H7">
        <f>--(AND(ISNUMBER(B7),B7&lt;0.5))</f>
        <v/>
      </c>
      <c r="I7">
        <f>IFERROR(MAX(0,(0.5-B7)*100),0)+IF(D7&gt;=24,20,0)+IF(Raw_data!$I7&gt;0,20,0)+IF(Raw_data!$AE7=TRUE,10,0)</f>
        <v/>
      </c>
      <c r="J7">
        <f>IFERROR(CHOOSE(MATCH(Dashboard!$B$11,{"Department","Team","Unit","Legal entity","Location","Lead"},0),INDEX(Lists!$B$3:$B$20,ROW()-1),INDEX(Lists!$C$3:$C$146,ROW()-1),INDEX(Lists!$D$3:$D$67,ROW()-1),INDEX(Lists!$E$3:$E$5,ROW()-1),INDEX(Lists!$F$3:$F$12,ROW()-1),INDEX(Lists!$G$3:$G$126,ROW()-1)),"")</f>
        <v/>
      </c>
      <c r="K7">
        <f>IF(J7="","",SUMPRODUCT(($A$2:$A$636=1)*($G$2:$G$636=J7)))</f>
        <v/>
      </c>
      <c r="L7">
        <f>IF(J7="","",SUMPRODUCT(($A$2:$A$636=1)*($G$2:$G$636=J7)*(ISNUMBER($B$2:$B$636))*($B$2:$B$636&lt;0.5)))</f>
        <v/>
      </c>
      <c r="M7">
        <f>IFERROR(L7/K7,"")</f>
        <v/>
      </c>
      <c r="N7">
        <f>IF(K7="","",M7+K7/100000+ROW()/100000000)</f>
        <v/>
      </c>
      <c r="O7">
        <f>IFERROR(INDEX($J$2:$J$1001,MATCH(LARGE($N$2:$N$1001,6),$N$2:$N$1001,0)),"")</f>
        <v/>
      </c>
      <c r="P7">
        <f>IFERROR(INDEX($M$2:$M$1001,MATCH(LARGE($N$2:$N$1001,6),$N$2:$N$1001,0)),"")</f>
        <v/>
      </c>
      <c r="Q7">
        <f>IFERROR(INDEX($K$2:$K$1001,MATCH(LARGE($N$2:$N$1001,6),$N$2:$N$1001,0)),"")</f>
        <v/>
      </c>
      <c r="R7">
        <f>IF(A7=1,IFERROR(I7,0)+ROW()/100000000,-1E+99)</f>
        <v/>
      </c>
      <c r="S7">
        <f>IF(A7=1,IFERROR(Raw_data!$T7,""),"")</f>
        <v/>
      </c>
      <c r="T7">
        <f>IF(A7=1,IFERROR(Raw_data!$AA7,""),"")</f>
        <v/>
      </c>
      <c r="U7">
        <f>IF(A7=1,IFERROR(Raw_data!$U7,""),"")</f>
        <v/>
      </c>
      <c r="V7">
        <f>IF(A7=1,IFERROR(Raw_data!$AB7,""),"")</f>
        <v/>
      </c>
    </row>
    <row r="8">
      <c r="A8">
        <f>--(AND(OR(Dashboard!$B$4="All",Raw_data!$AL8=Dashboard!$B$4),OR(Dashboard!$B$5="All",Raw_data!$AM8=Dashboard!$B$5),OR(Dashboard!$B$6="All",Raw_data!$AN8=Dashboard!$B$6),OR(Dashboard!$B$7="All",Raw_data!$AO8=Dashboard!$B$7),OR(Dashboard!$B$8="All",Raw_data!$AP8=Dashboard!$B$8),OR(Dashboard!$B$9="All",Raw_data!$AQ8=Dashboard!$B$9),OR(Dashboard!$B$10="All",Raw_data!$AF8=Dashboard!$B$10),OR(Raw_data!$F8="",Raw_data!$F8&lt;=TODAY())))</f>
        <v/>
      </c>
      <c r="B8">
        <f>IFERROR(IF(Dashboard!$B$3="Weighted",Raw_data!$U8,Raw_data!$T8),"")</f>
        <v/>
      </c>
      <c r="C8">
        <f>IFERROR(IF(Dashboard!$B$3="Weighted",Raw_data!$AB8,Raw_data!$AA8),"")</f>
        <v/>
      </c>
      <c r="D8">
        <f>IF(OR(Raw_data!$J8="",Raw_data!$J8&lt;=0,Raw_data!$K8=""),"",IF(Raw_data!$K8&gt;TODAY(),0,DATEDIF(Raw_data!$K8,TODAY(),"M")))</f>
        <v/>
      </c>
      <c r="E8">
        <f>--(AND(Raw_data!$AF8="No",OR(Raw_data!$AG8&lt;&gt;"",Raw_data!$AJ8&gt;0,Raw_data!$AK8&lt;&gt;"")))</f>
        <v/>
      </c>
      <c r="F8">
        <f>--(OR(AND(ISNUMBER(B8),B8&lt;0.5,OR(D8&gt;=24,Raw_data!$I8&gt;0)),Raw_data!$AE8=TRUE))</f>
        <v/>
      </c>
      <c r="G8">
        <f>IF(Dashboard!$B$11="Department",Raw_data!$AL8,IF(Dashboard!$B$11="Team",Raw_data!$AM8,IF(Dashboard!$B$11="Unit",Raw_data!$AN8,IF(Dashboard!$B$11="Legal entity",Raw_data!$AO8,IF(Dashboard!$B$11="Location",Raw_data!$AP8,Raw_data!$AQ8)))))</f>
        <v/>
      </c>
      <c r="H8">
        <f>--(AND(ISNUMBER(B8),B8&lt;0.5))</f>
        <v/>
      </c>
      <c r="I8">
        <f>IFERROR(MAX(0,(0.5-B8)*100),0)+IF(D8&gt;=24,20,0)+IF(Raw_data!$I8&gt;0,20,0)+IF(Raw_data!$AE8=TRUE,10,0)</f>
        <v/>
      </c>
      <c r="J8">
        <f>IFERROR(CHOOSE(MATCH(Dashboard!$B$11,{"Department","Team","Unit","Legal entity","Location","Lead"},0),INDEX(Lists!$B$3:$B$20,ROW()-1),INDEX(Lists!$C$3:$C$146,ROW()-1),INDEX(Lists!$D$3:$D$67,ROW()-1),INDEX(Lists!$E$3:$E$5,ROW()-1),INDEX(Lists!$F$3:$F$12,ROW()-1),INDEX(Lists!$G$3:$G$126,ROW()-1)),"")</f>
        <v/>
      </c>
      <c r="K8">
        <f>IF(J8="","",SUMPRODUCT(($A$2:$A$636=1)*($G$2:$G$636=J8)))</f>
        <v/>
      </c>
      <c r="L8">
        <f>IF(J8="","",SUMPRODUCT(($A$2:$A$636=1)*($G$2:$G$636=J8)*(ISNUMBER($B$2:$B$636))*($B$2:$B$636&lt;0.5)))</f>
        <v/>
      </c>
      <c r="M8">
        <f>IFERROR(L8/K8,"")</f>
        <v/>
      </c>
      <c r="N8">
        <f>IF(K8="","",M8+K8/100000+ROW()/100000000)</f>
        <v/>
      </c>
      <c r="O8">
        <f>IFERROR(INDEX($J$2:$J$1001,MATCH(LARGE($N$2:$N$1001,7),$N$2:$N$1001,0)),"")</f>
        <v/>
      </c>
      <c r="P8">
        <f>IFERROR(INDEX($M$2:$M$1001,MATCH(LARGE($N$2:$N$1001,7),$N$2:$N$1001,0)),"")</f>
        <v/>
      </c>
      <c r="Q8">
        <f>IFERROR(INDEX($K$2:$K$1001,MATCH(LARGE($N$2:$N$1001,7),$N$2:$N$1001,0)),"")</f>
        <v/>
      </c>
      <c r="R8">
        <f>IF(A8=1,IFERROR(I8,0)+ROW()/100000000,-1E+99)</f>
        <v/>
      </c>
      <c r="S8">
        <f>IF(A8=1,IFERROR(Raw_data!$T8,""),"")</f>
        <v/>
      </c>
      <c r="T8">
        <f>IF(A8=1,IFERROR(Raw_data!$AA8,""),"")</f>
        <v/>
      </c>
      <c r="U8">
        <f>IF(A8=1,IFERROR(Raw_data!$U8,""),"")</f>
        <v/>
      </c>
      <c r="V8">
        <f>IF(A8=1,IFERROR(Raw_data!$AB8,""),"")</f>
        <v/>
      </c>
    </row>
    <row r="9">
      <c r="A9">
        <f>--(AND(OR(Dashboard!$B$4="All",Raw_data!$AL9=Dashboard!$B$4),OR(Dashboard!$B$5="All",Raw_data!$AM9=Dashboard!$B$5),OR(Dashboard!$B$6="All",Raw_data!$AN9=Dashboard!$B$6),OR(Dashboard!$B$7="All",Raw_data!$AO9=Dashboard!$B$7),OR(Dashboard!$B$8="All",Raw_data!$AP9=Dashboard!$B$8),OR(Dashboard!$B$9="All",Raw_data!$AQ9=Dashboard!$B$9),OR(Dashboard!$B$10="All",Raw_data!$AF9=Dashboard!$B$10),OR(Raw_data!$F9="",Raw_data!$F9&lt;=TODAY())))</f>
        <v/>
      </c>
      <c r="B9">
        <f>IFERROR(IF(Dashboard!$B$3="Weighted",Raw_data!$U9,Raw_data!$T9),"")</f>
        <v/>
      </c>
      <c r="C9">
        <f>IFERROR(IF(Dashboard!$B$3="Weighted",Raw_data!$AB9,Raw_data!$AA9),"")</f>
        <v/>
      </c>
      <c r="D9">
        <f>IF(OR(Raw_data!$J9="",Raw_data!$J9&lt;=0,Raw_data!$K9=""),"",IF(Raw_data!$K9&gt;TODAY(),0,DATEDIF(Raw_data!$K9,TODAY(),"M")))</f>
        <v/>
      </c>
      <c r="E9">
        <f>--(AND(Raw_data!$AF9="No",OR(Raw_data!$AG9&lt;&gt;"",Raw_data!$AJ9&gt;0,Raw_data!$AK9&lt;&gt;"")))</f>
        <v/>
      </c>
      <c r="F9">
        <f>--(OR(AND(ISNUMBER(B9),B9&lt;0.5,OR(D9&gt;=24,Raw_data!$I9&gt;0)),Raw_data!$AE9=TRUE))</f>
        <v/>
      </c>
      <c r="G9">
        <f>IF(Dashboard!$B$11="Department",Raw_data!$AL9,IF(Dashboard!$B$11="Team",Raw_data!$AM9,IF(Dashboard!$B$11="Unit",Raw_data!$AN9,IF(Dashboard!$B$11="Legal entity",Raw_data!$AO9,IF(Dashboard!$B$11="Location",Raw_data!$AP9,Raw_data!$AQ9)))))</f>
        <v/>
      </c>
      <c r="H9">
        <f>--(AND(ISNUMBER(B9),B9&lt;0.5))</f>
        <v/>
      </c>
      <c r="I9">
        <f>IFERROR(MAX(0,(0.5-B9)*100),0)+IF(D9&gt;=24,20,0)+IF(Raw_data!$I9&gt;0,20,0)+IF(Raw_data!$AE9=TRUE,10,0)</f>
        <v/>
      </c>
      <c r="J9">
        <f>IFERROR(CHOOSE(MATCH(Dashboard!$B$11,{"Department","Team","Unit","Legal entity","Location","Lead"},0),INDEX(Lists!$B$3:$B$20,ROW()-1),INDEX(Lists!$C$3:$C$146,ROW()-1),INDEX(Lists!$D$3:$D$67,ROW()-1),INDEX(Lists!$E$3:$E$5,ROW()-1),INDEX(Lists!$F$3:$F$12,ROW()-1),INDEX(Lists!$G$3:$G$126,ROW()-1)),"")</f>
        <v/>
      </c>
      <c r="K9">
        <f>IF(J9="","",SUMPRODUCT(($A$2:$A$636=1)*($G$2:$G$636=J9)))</f>
        <v/>
      </c>
      <c r="L9">
        <f>IF(J9="","",SUMPRODUCT(($A$2:$A$636=1)*($G$2:$G$636=J9)*(ISNUMBER($B$2:$B$636))*($B$2:$B$636&lt;0.5)))</f>
        <v/>
      </c>
      <c r="M9">
        <f>IFERROR(L9/K9,"")</f>
        <v/>
      </c>
      <c r="N9">
        <f>IF(K9="","",M9+K9/100000+ROW()/100000000)</f>
        <v/>
      </c>
      <c r="O9">
        <f>IFERROR(INDEX($J$2:$J$1001,MATCH(LARGE($N$2:$N$1001,8),$N$2:$N$1001,0)),"")</f>
        <v/>
      </c>
      <c r="P9">
        <f>IFERROR(INDEX($M$2:$M$1001,MATCH(LARGE($N$2:$N$1001,8),$N$2:$N$1001,0)),"")</f>
        <v/>
      </c>
      <c r="Q9">
        <f>IFERROR(INDEX($K$2:$K$1001,MATCH(LARGE($N$2:$N$1001,8),$N$2:$N$1001,0)),"")</f>
        <v/>
      </c>
      <c r="R9">
        <f>IF(A9=1,IFERROR(I9,0)+ROW()/100000000,-1E+99)</f>
        <v/>
      </c>
      <c r="S9">
        <f>IF(A9=1,IFERROR(Raw_data!$T9,""),"")</f>
        <v/>
      </c>
      <c r="T9">
        <f>IF(A9=1,IFERROR(Raw_data!$AA9,""),"")</f>
        <v/>
      </c>
      <c r="U9">
        <f>IF(A9=1,IFERROR(Raw_data!$U9,""),"")</f>
        <v/>
      </c>
      <c r="V9">
        <f>IF(A9=1,IFERROR(Raw_data!$AB9,""),"")</f>
        <v/>
      </c>
    </row>
    <row r="10">
      <c r="A10">
        <f>--(AND(OR(Dashboard!$B$4="All",Raw_data!$AL10=Dashboard!$B$4),OR(Dashboard!$B$5="All",Raw_data!$AM10=Dashboard!$B$5),OR(Dashboard!$B$6="All",Raw_data!$AN10=Dashboard!$B$6),OR(Dashboard!$B$7="All",Raw_data!$AO10=Dashboard!$B$7),OR(Dashboard!$B$8="All",Raw_data!$AP10=Dashboard!$B$8),OR(Dashboard!$B$9="All",Raw_data!$AQ10=Dashboard!$B$9),OR(Dashboard!$B$10="All",Raw_data!$AF10=Dashboard!$B$10),OR(Raw_data!$F10="",Raw_data!$F10&lt;=TODAY())))</f>
        <v/>
      </c>
      <c r="B10">
        <f>IFERROR(IF(Dashboard!$B$3="Weighted",Raw_data!$U10,Raw_data!$T10),"")</f>
        <v/>
      </c>
      <c r="C10">
        <f>IFERROR(IF(Dashboard!$B$3="Weighted",Raw_data!$AB10,Raw_data!$AA10),"")</f>
        <v/>
      </c>
      <c r="D10">
        <f>IF(OR(Raw_data!$J10="",Raw_data!$J10&lt;=0,Raw_data!$K10=""),"",IF(Raw_data!$K10&gt;TODAY(),0,DATEDIF(Raw_data!$K10,TODAY(),"M")))</f>
        <v/>
      </c>
      <c r="E10">
        <f>--(AND(Raw_data!$AF10="No",OR(Raw_data!$AG10&lt;&gt;"",Raw_data!$AJ10&gt;0,Raw_data!$AK10&lt;&gt;"")))</f>
        <v/>
      </c>
      <c r="F10">
        <f>--(OR(AND(ISNUMBER(B10),B10&lt;0.5,OR(D10&gt;=24,Raw_data!$I10&gt;0)),Raw_data!$AE10=TRUE))</f>
        <v/>
      </c>
      <c r="G10">
        <f>IF(Dashboard!$B$11="Department",Raw_data!$AL10,IF(Dashboard!$B$11="Team",Raw_data!$AM10,IF(Dashboard!$B$11="Unit",Raw_data!$AN10,IF(Dashboard!$B$11="Legal entity",Raw_data!$AO10,IF(Dashboard!$B$11="Location",Raw_data!$AP10,Raw_data!$AQ10)))))</f>
        <v/>
      </c>
      <c r="H10">
        <f>--(AND(ISNUMBER(B10),B10&lt;0.5))</f>
        <v/>
      </c>
      <c r="I10">
        <f>IFERROR(MAX(0,(0.5-B10)*100),0)+IF(D10&gt;=24,20,0)+IF(Raw_data!$I10&gt;0,20,0)+IF(Raw_data!$AE10=TRUE,10,0)</f>
        <v/>
      </c>
      <c r="J10">
        <f>IFERROR(CHOOSE(MATCH(Dashboard!$B$11,{"Department","Team","Unit","Legal entity","Location","Lead"},0),INDEX(Lists!$B$3:$B$20,ROW()-1),INDEX(Lists!$C$3:$C$146,ROW()-1),INDEX(Lists!$D$3:$D$67,ROW()-1),INDEX(Lists!$E$3:$E$5,ROW()-1),INDEX(Lists!$F$3:$F$12,ROW()-1),INDEX(Lists!$G$3:$G$126,ROW()-1)),"")</f>
        <v/>
      </c>
      <c r="K10">
        <f>IF(J10="","",SUMPRODUCT(($A$2:$A$636=1)*($G$2:$G$636=J10)))</f>
        <v/>
      </c>
      <c r="L10">
        <f>IF(J10="","",SUMPRODUCT(($A$2:$A$636=1)*($G$2:$G$636=J10)*(ISNUMBER($B$2:$B$636))*($B$2:$B$636&lt;0.5)))</f>
        <v/>
      </c>
      <c r="M10">
        <f>IFERROR(L10/K10,"")</f>
        <v/>
      </c>
      <c r="N10">
        <f>IF(K10="","",M10+K10/100000+ROW()/100000000)</f>
        <v/>
      </c>
      <c r="O10">
        <f>IFERROR(INDEX($J$2:$J$1001,MATCH(LARGE($N$2:$N$1001,9),$N$2:$N$1001,0)),"")</f>
        <v/>
      </c>
      <c r="P10">
        <f>IFERROR(INDEX($M$2:$M$1001,MATCH(LARGE($N$2:$N$1001,9),$N$2:$N$1001,0)),"")</f>
        <v/>
      </c>
      <c r="Q10">
        <f>IFERROR(INDEX($K$2:$K$1001,MATCH(LARGE($N$2:$N$1001,9),$N$2:$N$1001,0)),"")</f>
        <v/>
      </c>
      <c r="R10">
        <f>IF(A10=1,IFERROR(I10,0)+ROW()/100000000,-1E+99)</f>
        <v/>
      </c>
      <c r="S10">
        <f>IF(A10=1,IFERROR(Raw_data!$T10,""),"")</f>
        <v/>
      </c>
      <c r="T10">
        <f>IF(A10=1,IFERROR(Raw_data!$AA10,""),"")</f>
        <v/>
      </c>
      <c r="U10">
        <f>IF(A10=1,IFERROR(Raw_data!$U10,""),"")</f>
        <v/>
      </c>
      <c r="V10">
        <f>IF(A10=1,IFERROR(Raw_data!$AB10,""),"")</f>
        <v/>
      </c>
    </row>
    <row r="11">
      <c r="A11">
        <f>--(AND(OR(Dashboard!$B$4="All",Raw_data!$AL11=Dashboard!$B$4),OR(Dashboard!$B$5="All",Raw_data!$AM11=Dashboard!$B$5),OR(Dashboard!$B$6="All",Raw_data!$AN11=Dashboard!$B$6),OR(Dashboard!$B$7="All",Raw_data!$AO11=Dashboard!$B$7),OR(Dashboard!$B$8="All",Raw_data!$AP11=Dashboard!$B$8),OR(Dashboard!$B$9="All",Raw_data!$AQ11=Dashboard!$B$9),OR(Dashboard!$B$10="All",Raw_data!$AF11=Dashboard!$B$10),OR(Raw_data!$F11="",Raw_data!$F11&lt;=TODAY())))</f>
        <v/>
      </c>
      <c r="B11">
        <f>IFERROR(IF(Dashboard!$B$3="Weighted",Raw_data!$U11,Raw_data!$T11),"")</f>
        <v/>
      </c>
      <c r="C11">
        <f>IFERROR(IF(Dashboard!$B$3="Weighted",Raw_data!$AB11,Raw_data!$AA11),"")</f>
        <v/>
      </c>
      <c r="D11">
        <f>IF(OR(Raw_data!$J11="",Raw_data!$J11&lt;=0,Raw_data!$K11=""),"",IF(Raw_data!$K11&gt;TODAY(),0,DATEDIF(Raw_data!$K11,TODAY(),"M")))</f>
        <v/>
      </c>
      <c r="E11">
        <f>--(AND(Raw_data!$AF11="No",OR(Raw_data!$AG11&lt;&gt;"",Raw_data!$AJ11&gt;0,Raw_data!$AK11&lt;&gt;"")))</f>
        <v/>
      </c>
      <c r="F11">
        <f>--(OR(AND(ISNUMBER(B11),B11&lt;0.5,OR(D11&gt;=24,Raw_data!$I11&gt;0)),Raw_data!$AE11=TRUE))</f>
        <v/>
      </c>
      <c r="G11">
        <f>IF(Dashboard!$B$11="Department",Raw_data!$AL11,IF(Dashboard!$B$11="Team",Raw_data!$AM11,IF(Dashboard!$B$11="Unit",Raw_data!$AN11,IF(Dashboard!$B$11="Legal entity",Raw_data!$AO11,IF(Dashboard!$B$11="Location",Raw_data!$AP11,Raw_data!$AQ11)))))</f>
        <v/>
      </c>
      <c r="H11">
        <f>--(AND(ISNUMBER(B11),B11&lt;0.5))</f>
        <v/>
      </c>
      <c r="I11">
        <f>IFERROR(MAX(0,(0.5-B11)*100),0)+IF(D11&gt;=24,20,0)+IF(Raw_data!$I11&gt;0,20,0)+IF(Raw_data!$AE11=TRUE,10,0)</f>
        <v/>
      </c>
      <c r="J11">
        <f>IFERROR(CHOOSE(MATCH(Dashboard!$B$11,{"Department","Team","Unit","Legal entity","Location","Lead"},0),INDEX(Lists!$B$3:$B$20,ROW()-1),INDEX(Lists!$C$3:$C$146,ROW()-1),INDEX(Lists!$D$3:$D$67,ROW()-1),INDEX(Lists!$E$3:$E$5,ROW()-1),INDEX(Lists!$F$3:$F$12,ROW()-1),INDEX(Lists!$G$3:$G$126,ROW()-1)),"")</f>
        <v/>
      </c>
      <c r="K11">
        <f>IF(J11="","",SUMPRODUCT(($A$2:$A$636=1)*($G$2:$G$636=J11)))</f>
        <v/>
      </c>
      <c r="L11">
        <f>IF(J11="","",SUMPRODUCT(($A$2:$A$636=1)*($G$2:$G$636=J11)*(ISNUMBER($B$2:$B$636))*($B$2:$B$636&lt;0.5)))</f>
        <v/>
      </c>
      <c r="M11">
        <f>IFERROR(L11/K11,"")</f>
        <v/>
      </c>
      <c r="N11">
        <f>IF(K11="","",M11+K11/100000+ROW()/100000000)</f>
        <v/>
      </c>
      <c r="O11">
        <f>IFERROR(INDEX($J$2:$J$1001,MATCH(LARGE($N$2:$N$1001,10),$N$2:$N$1001,0)),"")</f>
        <v/>
      </c>
      <c r="P11">
        <f>IFERROR(INDEX($M$2:$M$1001,MATCH(LARGE($N$2:$N$1001,10),$N$2:$N$1001,0)),"")</f>
        <v/>
      </c>
      <c r="Q11">
        <f>IFERROR(INDEX($K$2:$K$1001,MATCH(LARGE($N$2:$N$1001,10),$N$2:$N$1001,0)),"")</f>
        <v/>
      </c>
      <c r="R11">
        <f>IF(A11=1,IFERROR(I11,0)+ROW()/100000000,-1E+99)</f>
        <v/>
      </c>
      <c r="S11">
        <f>IF(A11=1,IFERROR(Raw_data!$T11,""),"")</f>
        <v/>
      </c>
      <c r="T11">
        <f>IF(A11=1,IFERROR(Raw_data!$AA11,""),"")</f>
        <v/>
      </c>
      <c r="U11">
        <f>IF(A11=1,IFERROR(Raw_data!$U11,""),"")</f>
        <v/>
      </c>
      <c r="V11">
        <f>IF(A11=1,IFERROR(Raw_data!$AB11,""),"")</f>
        <v/>
      </c>
    </row>
    <row r="12">
      <c r="A12">
        <f>--(AND(OR(Dashboard!$B$4="All",Raw_data!$AL12=Dashboard!$B$4),OR(Dashboard!$B$5="All",Raw_data!$AM12=Dashboard!$B$5),OR(Dashboard!$B$6="All",Raw_data!$AN12=Dashboard!$B$6),OR(Dashboard!$B$7="All",Raw_data!$AO12=Dashboard!$B$7),OR(Dashboard!$B$8="All",Raw_data!$AP12=Dashboard!$B$8),OR(Dashboard!$B$9="All",Raw_data!$AQ12=Dashboard!$B$9),OR(Dashboard!$B$10="All",Raw_data!$AF12=Dashboard!$B$10),OR(Raw_data!$F12="",Raw_data!$F12&lt;=TODAY())))</f>
        <v/>
      </c>
      <c r="B12">
        <f>IFERROR(IF(Dashboard!$B$3="Weighted",Raw_data!$U12,Raw_data!$T12),"")</f>
        <v/>
      </c>
      <c r="C12">
        <f>IFERROR(IF(Dashboard!$B$3="Weighted",Raw_data!$AB12,Raw_data!$AA12),"")</f>
        <v/>
      </c>
      <c r="D12">
        <f>IF(OR(Raw_data!$J12="",Raw_data!$J12&lt;=0,Raw_data!$K12=""),"",IF(Raw_data!$K12&gt;TODAY(),0,DATEDIF(Raw_data!$K12,TODAY(),"M")))</f>
        <v/>
      </c>
      <c r="E12">
        <f>--(AND(Raw_data!$AF12="No",OR(Raw_data!$AG12&lt;&gt;"",Raw_data!$AJ12&gt;0,Raw_data!$AK12&lt;&gt;"")))</f>
        <v/>
      </c>
      <c r="F12">
        <f>--(OR(AND(ISNUMBER(B12),B12&lt;0.5,OR(D12&gt;=24,Raw_data!$I12&gt;0)),Raw_data!$AE12=TRUE))</f>
        <v/>
      </c>
      <c r="G12">
        <f>IF(Dashboard!$B$11="Department",Raw_data!$AL12,IF(Dashboard!$B$11="Team",Raw_data!$AM12,IF(Dashboard!$B$11="Unit",Raw_data!$AN12,IF(Dashboard!$B$11="Legal entity",Raw_data!$AO12,IF(Dashboard!$B$11="Location",Raw_data!$AP12,Raw_data!$AQ12)))))</f>
        <v/>
      </c>
      <c r="H12">
        <f>--(AND(ISNUMBER(B12),B12&lt;0.5))</f>
        <v/>
      </c>
      <c r="I12">
        <f>IFERROR(MAX(0,(0.5-B12)*100),0)+IF(D12&gt;=24,20,0)+IF(Raw_data!$I12&gt;0,20,0)+IF(Raw_data!$AE12=TRUE,10,0)</f>
        <v/>
      </c>
      <c r="J12">
        <f>IFERROR(CHOOSE(MATCH(Dashboard!$B$11,{"Department","Team","Unit","Legal entity","Location","Lead"},0),INDEX(Lists!$B$3:$B$20,ROW()-1),INDEX(Lists!$C$3:$C$146,ROW()-1),INDEX(Lists!$D$3:$D$67,ROW()-1),INDEX(Lists!$E$3:$E$5,ROW()-1),INDEX(Lists!$F$3:$F$12,ROW()-1),INDEX(Lists!$G$3:$G$126,ROW()-1)),"")</f>
        <v/>
      </c>
      <c r="K12">
        <f>IF(J12="","",SUMPRODUCT(($A$2:$A$636=1)*($G$2:$G$636=J12)))</f>
        <v/>
      </c>
      <c r="L12">
        <f>IF(J12="","",SUMPRODUCT(($A$2:$A$636=1)*($G$2:$G$636=J12)*(ISNUMBER($B$2:$B$636))*($B$2:$B$636&lt;0.5)))</f>
        <v/>
      </c>
      <c r="M12">
        <f>IFERROR(L12/K12,"")</f>
        <v/>
      </c>
      <c r="N12">
        <f>IF(K12="","",M12+K12/100000+ROW()/100000000)</f>
        <v/>
      </c>
      <c r="R12">
        <f>IF(A12=1,IFERROR(I12,0)+ROW()/100000000,-1E+99)</f>
        <v/>
      </c>
      <c r="S12">
        <f>IF(A12=1,IFERROR(Raw_data!$T12,""),"")</f>
        <v/>
      </c>
      <c r="T12">
        <f>IF(A12=1,IFERROR(Raw_data!$AA12,""),"")</f>
        <v/>
      </c>
      <c r="U12">
        <f>IF(A12=1,IFERROR(Raw_data!$U12,""),"")</f>
        <v/>
      </c>
      <c r="V12">
        <f>IF(A12=1,IFERROR(Raw_data!$AB12,""),"")</f>
        <v/>
      </c>
    </row>
    <row r="13">
      <c r="A13">
        <f>--(AND(OR(Dashboard!$B$4="All",Raw_data!$AL13=Dashboard!$B$4),OR(Dashboard!$B$5="All",Raw_data!$AM13=Dashboard!$B$5),OR(Dashboard!$B$6="All",Raw_data!$AN13=Dashboard!$B$6),OR(Dashboard!$B$7="All",Raw_data!$AO13=Dashboard!$B$7),OR(Dashboard!$B$8="All",Raw_data!$AP13=Dashboard!$B$8),OR(Dashboard!$B$9="All",Raw_data!$AQ13=Dashboard!$B$9),OR(Dashboard!$B$10="All",Raw_data!$AF13=Dashboard!$B$10),OR(Raw_data!$F13="",Raw_data!$F13&lt;=TODAY())))</f>
        <v/>
      </c>
      <c r="B13">
        <f>IFERROR(IF(Dashboard!$B$3="Weighted",Raw_data!$U13,Raw_data!$T13),"")</f>
        <v/>
      </c>
      <c r="C13">
        <f>IFERROR(IF(Dashboard!$B$3="Weighted",Raw_data!$AB13,Raw_data!$AA13),"")</f>
        <v/>
      </c>
      <c r="D13">
        <f>IF(OR(Raw_data!$J13="",Raw_data!$J13&lt;=0,Raw_data!$K13=""),"",IF(Raw_data!$K13&gt;TODAY(),0,DATEDIF(Raw_data!$K13,TODAY(),"M")))</f>
        <v/>
      </c>
      <c r="E13">
        <f>--(AND(Raw_data!$AF13="No",OR(Raw_data!$AG13&lt;&gt;"",Raw_data!$AJ13&gt;0,Raw_data!$AK13&lt;&gt;"")))</f>
        <v/>
      </c>
      <c r="F13">
        <f>--(OR(AND(ISNUMBER(B13),B13&lt;0.5,OR(D13&gt;=24,Raw_data!$I13&gt;0)),Raw_data!$AE13=TRUE))</f>
        <v/>
      </c>
      <c r="G13">
        <f>IF(Dashboard!$B$11="Department",Raw_data!$AL13,IF(Dashboard!$B$11="Team",Raw_data!$AM13,IF(Dashboard!$B$11="Unit",Raw_data!$AN13,IF(Dashboard!$B$11="Legal entity",Raw_data!$AO13,IF(Dashboard!$B$11="Location",Raw_data!$AP13,Raw_data!$AQ13)))))</f>
        <v/>
      </c>
      <c r="H13">
        <f>--(AND(ISNUMBER(B13),B13&lt;0.5))</f>
        <v/>
      </c>
      <c r="I13">
        <f>IFERROR(MAX(0,(0.5-B13)*100),0)+IF(D13&gt;=24,20,0)+IF(Raw_data!$I13&gt;0,20,0)+IF(Raw_data!$AE13=TRUE,10,0)</f>
        <v/>
      </c>
      <c r="J13">
        <f>IFERROR(CHOOSE(MATCH(Dashboard!$B$11,{"Department","Team","Unit","Legal entity","Location","Lead"},0),INDEX(Lists!$B$3:$B$20,ROW()-1),INDEX(Lists!$C$3:$C$146,ROW()-1),INDEX(Lists!$D$3:$D$67,ROW()-1),INDEX(Lists!$E$3:$E$5,ROW()-1),INDEX(Lists!$F$3:$F$12,ROW()-1),INDEX(Lists!$G$3:$G$126,ROW()-1)),"")</f>
        <v/>
      </c>
      <c r="K13">
        <f>IF(J13="","",SUMPRODUCT(($A$2:$A$636=1)*($G$2:$G$636=J13)))</f>
        <v/>
      </c>
      <c r="L13">
        <f>IF(J13="","",SUMPRODUCT(($A$2:$A$636=1)*($G$2:$G$636=J13)*(ISNUMBER($B$2:$B$636))*($B$2:$B$636&lt;0.5)))</f>
        <v/>
      </c>
      <c r="M13">
        <f>IFERROR(L13/K13,"")</f>
        <v/>
      </c>
      <c r="N13">
        <f>IF(K13="","",M13+K13/100000+ROW()/100000000)</f>
        <v/>
      </c>
      <c r="R13">
        <f>IF(A13=1,IFERROR(I13,0)+ROW()/100000000,-1E+99)</f>
        <v/>
      </c>
      <c r="S13">
        <f>IF(A13=1,IFERROR(Raw_data!$T13,""),"")</f>
        <v/>
      </c>
      <c r="T13">
        <f>IF(A13=1,IFERROR(Raw_data!$AA13,""),"")</f>
        <v/>
      </c>
      <c r="U13">
        <f>IF(A13=1,IFERROR(Raw_data!$U13,""),"")</f>
        <v/>
      </c>
      <c r="V13">
        <f>IF(A13=1,IFERROR(Raw_data!$AB13,""),"")</f>
        <v/>
      </c>
    </row>
    <row r="14">
      <c r="A14">
        <f>--(AND(OR(Dashboard!$B$4="All",Raw_data!$AL14=Dashboard!$B$4),OR(Dashboard!$B$5="All",Raw_data!$AM14=Dashboard!$B$5),OR(Dashboard!$B$6="All",Raw_data!$AN14=Dashboard!$B$6),OR(Dashboard!$B$7="All",Raw_data!$AO14=Dashboard!$B$7),OR(Dashboard!$B$8="All",Raw_data!$AP14=Dashboard!$B$8),OR(Dashboard!$B$9="All",Raw_data!$AQ14=Dashboard!$B$9),OR(Dashboard!$B$10="All",Raw_data!$AF14=Dashboard!$B$10),OR(Raw_data!$F14="",Raw_data!$F14&lt;=TODAY())))</f>
        <v/>
      </c>
      <c r="B14">
        <f>IFERROR(IF(Dashboard!$B$3="Weighted",Raw_data!$U14,Raw_data!$T14),"")</f>
        <v/>
      </c>
      <c r="C14">
        <f>IFERROR(IF(Dashboard!$B$3="Weighted",Raw_data!$AB14,Raw_data!$AA14),"")</f>
        <v/>
      </c>
      <c r="D14">
        <f>IF(OR(Raw_data!$J14="",Raw_data!$J14&lt;=0,Raw_data!$K14=""),"",IF(Raw_data!$K14&gt;TODAY(),0,DATEDIF(Raw_data!$K14,TODAY(),"M")))</f>
        <v/>
      </c>
      <c r="E14">
        <f>--(AND(Raw_data!$AF14="No",OR(Raw_data!$AG14&lt;&gt;"",Raw_data!$AJ14&gt;0,Raw_data!$AK14&lt;&gt;"")))</f>
        <v/>
      </c>
      <c r="F14">
        <f>--(OR(AND(ISNUMBER(B14),B14&lt;0.5,OR(D14&gt;=24,Raw_data!$I14&gt;0)),Raw_data!$AE14=TRUE))</f>
        <v/>
      </c>
      <c r="G14">
        <f>IF(Dashboard!$B$11="Department",Raw_data!$AL14,IF(Dashboard!$B$11="Team",Raw_data!$AM14,IF(Dashboard!$B$11="Unit",Raw_data!$AN14,IF(Dashboard!$B$11="Legal entity",Raw_data!$AO14,IF(Dashboard!$B$11="Location",Raw_data!$AP14,Raw_data!$AQ14)))))</f>
        <v/>
      </c>
      <c r="H14">
        <f>--(AND(ISNUMBER(B14),B14&lt;0.5))</f>
        <v/>
      </c>
      <c r="I14">
        <f>IFERROR(MAX(0,(0.5-B14)*100),0)+IF(D14&gt;=24,20,0)+IF(Raw_data!$I14&gt;0,20,0)+IF(Raw_data!$AE14=TRUE,10,0)</f>
        <v/>
      </c>
      <c r="J14">
        <f>IFERROR(CHOOSE(MATCH(Dashboard!$B$11,{"Department","Team","Unit","Legal entity","Location","Lead"},0),INDEX(Lists!$B$3:$B$20,ROW()-1),INDEX(Lists!$C$3:$C$146,ROW()-1),INDEX(Lists!$D$3:$D$67,ROW()-1),INDEX(Lists!$E$3:$E$5,ROW()-1),INDEX(Lists!$F$3:$F$12,ROW()-1),INDEX(Lists!$G$3:$G$126,ROW()-1)),"")</f>
        <v/>
      </c>
      <c r="K14">
        <f>IF(J14="","",SUMPRODUCT(($A$2:$A$636=1)*($G$2:$G$636=J14)))</f>
        <v/>
      </c>
      <c r="L14">
        <f>IF(J14="","",SUMPRODUCT(($A$2:$A$636=1)*($G$2:$G$636=J14)*(ISNUMBER($B$2:$B$636))*($B$2:$B$636&lt;0.5)))</f>
        <v/>
      </c>
      <c r="M14">
        <f>IFERROR(L14/K14,"")</f>
        <v/>
      </c>
      <c r="N14">
        <f>IF(K14="","",M14+K14/100000+ROW()/100000000)</f>
        <v/>
      </c>
      <c r="R14">
        <f>IF(A14=1,IFERROR(I14,0)+ROW()/100000000,-1E+99)</f>
        <v/>
      </c>
      <c r="S14">
        <f>IF(A14=1,IFERROR(Raw_data!$T14,""),"")</f>
        <v/>
      </c>
      <c r="T14">
        <f>IF(A14=1,IFERROR(Raw_data!$AA14,""),"")</f>
        <v/>
      </c>
      <c r="U14">
        <f>IF(A14=1,IFERROR(Raw_data!$U14,""),"")</f>
        <v/>
      </c>
      <c r="V14">
        <f>IF(A14=1,IFERROR(Raw_data!$AB14,""),"")</f>
        <v/>
      </c>
    </row>
    <row r="15">
      <c r="A15">
        <f>--(AND(OR(Dashboard!$B$4="All",Raw_data!$AL15=Dashboard!$B$4),OR(Dashboard!$B$5="All",Raw_data!$AM15=Dashboard!$B$5),OR(Dashboard!$B$6="All",Raw_data!$AN15=Dashboard!$B$6),OR(Dashboard!$B$7="All",Raw_data!$AO15=Dashboard!$B$7),OR(Dashboard!$B$8="All",Raw_data!$AP15=Dashboard!$B$8),OR(Dashboard!$B$9="All",Raw_data!$AQ15=Dashboard!$B$9),OR(Dashboard!$B$10="All",Raw_data!$AF15=Dashboard!$B$10),OR(Raw_data!$F15="",Raw_data!$F15&lt;=TODAY())))</f>
        <v/>
      </c>
      <c r="B15">
        <f>IFERROR(IF(Dashboard!$B$3="Weighted",Raw_data!$U15,Raw_data!$T15),"")</f>
        <v/>
      </c>
      <c r="C15">
        <f>IFERROR(IF(Dashboard!$B$3="Weighted",Raw_data!$AB15,Raw_data!$AA15),"")</f>
        <v/>
      </c>
      <c r="D15">
        <f>IF(OR(Raw_data!$J15="",Raw_data!$J15&lt;=0,Raw_data!$K15=""),"",IF(Raw_data!$K15&gt;TODAY(),0,DATEDIF(Raw_data!$K15,TODAY(),"M")))</f>
        <v/>
      </c>
      <c r="E15">
        <f>--(AND(Raw_data!$AF15="No",OR(Raw_data!$AG15&lt;&gt;"",Raw_data!$AJ15&gt;0,Raw_data!$AK15&lt;&gt;"")))</f>
        <v/>
      </c>
      <c r="F15">
        <f>--(OR(AND(ISNUMBER(B15),B15&lt;0.5,OR(D15&gt;=24,Raw_data!$I15&gt;0)),Raw_data!$AE15=TRUE))</f>
        <v/>
      </c>
      <c r="G15">
        <f>IF(Dashboard!$B$11="Department",Raw_data!$AL15,IF(Dashboard!$B$11="Team",Raw_data!$AM15,IF(Dashboard!$B$11="Unit",Raw_data!$AN15,IF(Dashboard!$B$11="Legal entity",Raw_data!$AO15,IF(Dashboard!$B$11="Location",Raw_data!$AP15,Raw_data!$AQ15)))))</f>
        <v/>
      </c>
      <c r="H15">
        <f>--(AND(ISNUMBER(B15),B15&lt;0.5))</f>
        <v/>
      </c>
      <c r="I15">
        <f>IFERROR(MAX(0,(0.5-B15)*100),0)+IF(D15&gt;=24,20,0)+IF(Raw_data!$I15&gt;0,20,0)+IF(Raw_data!$AE15=TRUE,10,0)</f>
        <v/>
      </c>
      <c r="J15">
        <f>IFERROR(CHOOSE(MATCH(Dashboard!$B$11,{"Department","Team","Unit","Legal entity","Location","Lead"},0),INDEX(Lists!$B$3:$B$20,ROW()-1),INDEX(Lists!$C$3:$C$146,ROW()-1),INDEX(Lists!$D$3:$D$67,ROW()-1),INDEX(Lists!$E$3:$E$5,ROW()-1),INDEX(Lists!$F$3:$F$12,ROW()-1),INDEX(Lists!$G$3:$G$126,ROW()-1)),"")</f>
        <v/>
      </c>
      <c r="K15">
        <f>IF(J15="","",SUMPRODUCT(($A$2:$A$636=1)*($G$2:$G$636=J15)))</f>
        <v/>
      </c>
      <c r="L15">
        <f>IF(J15="","",SUMPRODUCT(($A$2:$A$636=1)*($G$2:$G$636=J15)*(ISNUMBER($B$2:$B$636))*($B$2:$B$636&lt;0.5)))</f>
        <v/>
      </c>
      <c r="M15">
        <f>IFERROR(L15/K15,"")</f>
        <v/>
      </c>
      <c r="N15">
        <f>IF(K15="","",M15+K15/100000+ROW()/100000000)</f>
        <v/>
      </c>
      <c r="R15">
        <f>IF(A15=1,IFERROR(I15,0)+ROW()/100000000,-1E+99)</f>
        <v/>
      </c>
      <c r="S15">
        <f>IF(A15=1,IFERROR(Raw_data!$T15,""),"")</f>
        <v/>
      </c>
      <c r="T15">
        <f>IF(A15=1,IFERROR(Raw_data!$AA15,""),"")</f>
        <v/>
      </c>
      <c r="U15">
        <f>IF(A15=1,IFERROR(Raw_data!$U15,""),"")</f>
        <v/>
      </c>
      <c r="V15">
        <f>IF(A15=1,IFERROR(Raw_data!$AB15,""),"")</f>
        <v/>
      </c>
    </row>
    <row r="16">
      <c r="A16">
        <f>--(AND(OR(Dashboard!$B$4="All",Raw_data!$AL16=Dashboard!$B$4),OR(Dashboard!$B$5="All",Raw_data!$AM16=Dashboard!$B$5),OR(Dashboard!$B$6="All",Raw_data!$AN16=Dashboard!$B$6),OR(Dashboard!$B$7="All",Raw_data!$AO16=Dashboard!$B$7),OR(Dashboard!$B$8="All",Raw_data!$AP16=Dashboard!$B$8),OR(Dashboard!$B$9="All",Raw_data!$AQ16=Dashboard!$B$9),OR(Dashboard!$B$10="All",Raw_data!$AF16=Dashboard!$B$10),OR(Raw_data!$F16="",Raw_data!$F16&lt;=TODAY())))</f>
        <v/>
      </c>
      <c r="B16">
        <f>IFERROR(IF(Dashboard!$B$3="Weighted",Raw_data!$U16,Raw_data!$T16),"")</f>
        <v/>
      </c>
      <c r="C16">
        <f>IFERROR(IF(Dashboard!$B$3="Weighted",Raw_data!$AB16,Raw_data!$AA16),"")</f>
        <v/>
      </c>
      <c r="D16">
        <f>IF(OR(Raw_data!$J16="",Raw_data!$J16&lt;=0,Raw_data!$K16=""),"",IF(Raw_data!$K16&gt;TODAY(),0,DATEDIF(Raw_data!$K16,TODAY(),"M")))</f>
        <v/>
      </c>
      <c r="E16">
        <f>--(AND(Raw_data!$AF16="No",OR(Raw_data!$AG16&lt;&gt;"",Raw_data!$AJ16&gt;0,Raw_data!$AK16&lt;&gt;"")))</f>
        <v/>
      </c>
      <c r="F16">
        <f>--(OR(AND(ISNUMBER(B16),B16&lt;0.5,OR(D16&gt;=24,Raw_data!$I16&gt;0)),Raw_data!$AE16=TRUE))</f>
        <v/>
      </c>
      <c r="G16">
        <f>IF(Dashboard!$B$11="Department",Raw_data!$AL16,IF(Dashboard!$B$11="Team",Raw_data!$AM16,IF(Dashboard!$B$11="Unit",Raw_data!$AN16,IF(Dashboard!$B$11="Legal entity",Raw_data!$AO16,IF(Dashboard!$B$11="Location",Raw_data!$AP16,Raw_data!$AQ16)))))</f>
        <v/>
      </c>
      <c r="H16">
        <f>--(AND(ISNUMBER(B16),B16&lt;0.5))</f>
        <v/>
      </c>
      <c r="I16">
        <f>IFERROR(MAX(0,(0.5-B16)*100),0)+IF(D16&gt;=24,20,0)+IF(Raw_data!$I16&gt;0,20,0)+IF(Raw_data!$AE16=TRUE,10,0)</f>
        <v/>
      </c>
      <c r="J16">
        <f>IFERROR(CHOOSE(MATCH(Dashboard!$B$11,{"Department","Team","Unit","Legal entity","Location","Lead"},0),INDEX(Lists!$B$3:$B$20,ROW()-1),INDEX(Lists!$C$3:$C$146,ROW()-1),INDEX(Lists!$D$3:$D$67,ROW()-1),INDEX(Lists!$E$3:$E$5,ROW()-1),INDEX(Lists!$F$3:$F$12,ROW()-1),INDEX(Lists!$G$3:$G$126,ROW()-1)),"")</f>
        <v/>
      </c>
      <c r="K16">
        <f>IF(J16="","",SUMPRODUCT(($A$2:$A$636=1)*($G$2:$G$636=J16)))</f>
        <v/>
      </c>
      <c r="L16">
        <f>IF(J16="","",SUMPRODUCT(($A$2:$A$636=1)*($G$2:$G$636=J16)*(ISNUMBER($B$2:$B$636))*($B$2:$B$636&lt;0.5)))</f>
        <v/>
      </c>
      <c r="M16">
        <f>IFERROR(L16/K16,"")</f>
        <v/>
      </c>
      <c r="N16">
        <f>IF(K16="","",M16+K16/100000+ROW()/100000000)</f>
        <v/>
      </c>
      <c r="R16">
        <f>IF(A16=1,IFERROR(I16,0)+ROW()/100000000,-1E+99)</f>
        <v/>
      </c>
      <c r="S16">
        <f>IF(A16=1,IFERROR(Raw_data!$T16,""),"")</f>
        <v/>
      </c>
      <c r="T16">
        <f>IF(A16=1,IFERROR(Raw_data!$AA16,""),"")</f>
        <v/>
      </c>
      <c r="U16">
        <f>IF(A16=1,IFERROR(Raw_data!$U16,""),"")</f>
        <v/>
      </c>
      <c r="V16">
        <f>IF(A16=1,IFERROR(Raw_data!$AB16,""),"")</f>
        <v/>
      </c>
    </row>
    <row r="17">
      <c r="A17">
        <f>--(AND(OR(Dashboard!$B$4="All",Raw_data!$AL17=Dashboard!$B$4),OR(Dashboard!$B$5="All",Raw_data!$AM17=Dashboard!$B$5),OR(Dashboard!$B$6="All",Raw_data!$AN17=Dashboard!$B$6),OR(Dashboard!$B$7="All",Raw_data!$AO17=Dashboard!$B$7),OR(Dashboard!$B$8="All",Raw_data!$AP17=Dashboard!$B$8),OR(Dashboard!$B$9="All",Raw_data!$AQ17=Dashboard!$B$9),OR(Dashboard!$B$10="All",Raw_data!$AF17=Dashboard!$B$10),OR(Raw_data!$F17="",Raw_data!$F17&lt;=TODAY())))</f>
        <v/>
      </c>
      <c r="B17">
        <f>IFERROR(IF(Dashboard!$B$3="Weighted",Raw_data!$U17,Raw_data!$T17),"")</f>
        <v/>
      </c>
      <c r="C17">
        <f>IFERROR(IF(Dashboard!$B$3="Weighted",Raw_data!$AB17,Raw_data!$AA17),"")</f>
        <v/>
      </c>
      <c r="D17">
        <f>IF(OR(Raw_data!$J17="",Raw_data!$J17&lt;=0,Raw_data!$K17=""),"",IF(Raw_data!$K17&gt;TODAY(),0,DATEDIF(Raw_data!$K17,TODAY(),"M")))</f>
        <v/>
      </c>
      <c r="E17">
        <f>--(AND(Raw_data!$AF17="No",OR(Raw_data!$AG17&lt;&gt;"",Raw_data!$AJ17&gt;0,Raw_data!$AK17&lt;&gt;"")))</f>
        <v/>
      </c>
      <c r="F17">
        <f>--(OR(AND(ISNUMBER(B17),B17&lt;0.5,OR(D17&gt;=24,Raw_data!$I17&gt;0)),Raw_data!$AE17=TRUE))</f>
        <v/>
      </c>
      <c r="G17">
        <f>IF(Dashboard!$B$11="Department",Raw_data!$AL17,IF(Dashboard!$B$11="Team",Raw_data!$AM17,IF(Dashboard!$B$11="Unit",Raw_data!$AN17,IF(Dashboard!$B$11="Legal entity",Raw_data!$AO17,IF(Dashboard!$B$11="Location",Raw_data!$AP17,Raw_data!$AQ17)))))</f>
        <v/>
      </c>
      <c r="H17">
        <f>--(AND(ISNUMBER(B17),B17&lt;0.5))</f>
        <v/>
      </c>
      <c r="I17">
        <f>IFERROR(MAX(0,(0.5-B17)*100),0)+IF(D17&gt;=24,20,0)+IF(Raw_data!$I17&gt;0,20,0)+IF(Raw_data!$AE17=TRUE,10,0)</f>
        <v/>
      </c>
      <c r="J17">
        <f>IFERROR(CHOOSE(MATCH(Dashboard!$B$11,{"Department","Team","Unit","Legal entity","Location","Lead"},0),INDEX(Lists!$B$3:$B$20,ROW()-1),INDEX(Lists!$C$3:$C$146,ROW()-1),INDEX(Lists!$D$3:$D$67,ROW()-1),INDEX(Lists!$E$3:$E$5,ROW()-1),INDEX(Lists!$F$3:$F$12,ROW()-1),INDEX(Lists!$G$3:$G$126,ROW()-1)),"")</f>
        <v/>
      </c>
      <c r="K17">
        <f>IF(J17="","",SUMPRODUCT(($A$2:$A$636=1)*($G$2:$G$636=J17)))</f>
        <v/>
      </c>
      <c r="L17">
        <f>IF(J17="","",SUMPRODUCT(($A$2:$A$636=1)*($G$2:$G$636=J17)*(ISNUMBER($B$2:$B$636))*($B$2:$B$636&lt;0.5)))</f>
        <v/>
      </c>
      <c r="M17">
        <f>IFERROR(L17/K17,"")</f>
        <v/>
      </c>
      <c r="N17">
        <f>IF(K17="","",M17+K17/100000+ROW()/100000000)</f>
        <v/>
      </c>
      <c r="R17">
        <f>IF(A17=1,IFERROR(I17,0)+ROW()/100000000,-1E+99)</f>
        <v/>
      </c>
      <c r="S17">
        <f>IF(A17=1,IFERROR(Raw_data!$T17,""),"")</f>
        <v/>
      </c>
      <c r="T17">
        <f>IF(A17=1,IFERROR(Raw_data!$AA17,""),"")</f>
        <v/>
      </c>
      <c r="U17">
        <f>IF(A17=1,IFERROR(Raw_data!$U17,""),"")</f>
        <v/>
      </c>
      <c r="V17">
        <f>IF(A17=1,IFERROR(Raw_data!$AB17,""),"")</f>
        <v/>
      </c>
    </row>
    <row r="18">
      <c r="A18">
        <f>--(AND(OR(Dashboard!$B$4="All",Raw_data!$AL18=Dashboard!$B$4),OR(Dashboard!$B$5="All",Raw_data!$AM18=Dashboard!$B$5),OR(Dashboard!$B$6="All",Raw_data!$AN18=Dashboard!$B$6),OR(Dashboard!$B$7="All",Raw_data!$AO18=Dashboard!$B$7),OR(Dashboard!$B$8="All",Raw_data!$AP18=Dashboard!$B$8),OR(Dashboard!$B$9="All",Raw_data!$AQ18=Dashboard!$B$9),OR(Dashboard!$B$10="All",Raw_data!$AF18=Dashboard!$B$10),OR(Raw_data!$F18="",Raw_data!$F18&lt;=TODAY())))</f>
        <v/>
      </c>
      <c r="B18">
        <f>IFERROR(IF(Dashboard!$B$3="Weighted",Raw_data!$U18,Raw_data!$T18),"")</f>
        <v/>
      </c>
      <c r="C18">
        <f>IFERROR(IF(Dashboard!$B$3="Weighted",Raw_data!$AB18,Raw_data!$AA18),"")</f>
        <v/>
      </c>
      <c r="D18">
        <f>IF(OR(Raw_data!$J18="",Raw_data!$J18&lt;=0,Raw_data!$K18=""),"",IF(Raw_data!$K18&gt;TODAY(),0,DATEDIF(Raw_data!$K18,TODAY(),"M")))</f>
        <v/>
      </c>
      <c r="E18">
        <f>--(AND(Raw_data!$AF18="No",OR(Raw_data!$AG18&lt;&gt;"",Raw_data!$AJ18&gt;0,Raw_data!$AK18&lt;&gt;"")))</f>
        <v/>
      </c>
      <c r="F18">
        <f>--(OR(AND(ISNUMBER(B18),B18&lt;0.5,OR(D18&gt;=24,Raw_data!$I18&gt;0)),Raw_data!$AE18=TRUE))</f>
        <v/>
      </c>
      <c r="G18">
        <f>IF(Dashboard!$B$11="Department",Raw_data!$AL18,IF(Dashboard!$B$11="Team",Raw_data!$AM18,IF(Dashboard!$B$11="Unit",Raw_data!$AN18,IF(Dashboard!$B$11="Legal entity",Raw_data!$AO18,IF(Dashboard!$B$11="Location",Raw_data!$AP18,Raw_data!$AQ18)))))</f>
        <v/>
      </c>
      <c r="H18">
        <f>--(AND(ISNUMBER(B18),B18&lt;0.5))</f>
        <v/>
      </c>
      <c r="I18">
        <f>IFERROR(MAX(0,(0.5-B18)*100),0)+IF(D18&gt;=24,20,0)+IF(Raw_data!$I18&gt;0,20,0)+IF(Raw_data!$AE18=TRUE,10,0)</f>
        <v/>
      </c>
      <c r="J18">
        <f>IFERROR(CHOOSE(MATCH(Dashboard!$B$11,{"Department","Team","Unit","Legal entity","Location","Lead"},0),INDEX(Lists!$B$3:$B$20,ROW()-1),INDEX(Lists!$C$3:$C$146,ROW()-1),INDEX(Lists!$D$3:$D$67,ROW()-1),INDEX(Lists!$E$3:$E$5,ROW()-1),INDEX(Lists!$F$3:$F$12,ROW()-1),INDEX(Lists!$G$3:$G$126,ROW()-1)),"")</f>
        <v/>
      </c>
      <c r="K18">
        <f>IF(J18="","",SUMPRODUCT(($A$2:$A$636=1)*($G$2:$G$636=J18)))</f>
        <v/>
      </c>
      <c r="L18">
        <f>IF(J18="","",SUMPRODUCT(($A$2:$A$636=1)*($G$2:$G$636=J18)*(ISNUMBER($B$2:$B$636))*($B$2:$B$636&lt;0.5)))</f>
        <v/>
      </c>
      <c r="M18">
        <f>IFERROR(L18/K18,"")</f>
        <v/>
      </c>
      <c r="N18">
        <f>IF(K18="","",M18+K18/100000+ROW()/100000000)</f>
        <v/>
      </c>
      <c r="R18">
        <f>IF(A18=1,IFERROR(I18,0)+ROW()/100000000,-1E+99)</f>
        <v/>
      </c>
      <c r="S18">
        <f>IF(A18=1,IFERROR(Raw_data!$T18,""),"")</f>
        <v/>
      </c>
      <c r="T18">
        <f>IF(A18=1,IFERROR(Raw_data!$AA18,""),"")</f>
        <v/>
      </c>
      <c r="U18">
        <f>IF(A18=1,IFERROR(Raw_data!$U18,""),"")</f>
        <v/>
      </c>
      <c r="V18">
        <f>IF(A18=1,IFERROR(Raw_data!$AB18,""),"")</f>
        <v/>
      </c>
    </row>
    <row r="19">
      <c r="A19">
        <f>--(AND(OR(Dashboard!$B$4="All",Raw_data!$AL19=Dashboard!$B$4),OR(Dashboard!$B$5="All",Raw_data!$AM19=Dashboard!$B$5),OR(Dashboard!$B$6="All",Raw_data!$AN19=Dashboard!$B$6),OR(Dashboard!$B$7="All",Raw_data!$AO19=Dashboard!$B$7),OR(Dashboard!$B$8="All",Raw_data!$AP19=Dashboard!$B$8),OR(Dashboard!$B$9="All",Raw_data!$AQ19=Dashboard!$B$9),OR(Dashboard!$B$10="All",Raw_data!$AF19=Dashboard!$B$10),OR(Raw_data!$F19="",Raw_data!$F19&lt;=TODAY())))</f>
        <v/>
      </c>
      <c r="B19">
        <f>IFERROR(IF(Dashboard!$B$3="Weighted",Raw_data!$U19,Raw_data!$T19),"")</f>
        <v/>
      </c>
      <c r="C19">
        <f>IFERROR(IF(Dashboard!$B$3="Weighted",Raw_data!$AB19,Raw_data!$AA19),"")</f>
        <v/>
      </c>
      <c r="D19">
        <f>IF(OR(Raw_data!$J19="",Raw_data!$J19&lt;=0,Raw_data!$K19=""),"",IF(Raw_data!$K19&gt;TODAY(),0,DATEDIF(Raw_data!$K19,TODAY(),"M")))</f>
        <v/>
      </c>
      <c r="E19">
        <f>--(AND(Raw_data!$AF19="No",OR(Raw_data!$AG19&lt;&gt;"",Raw_data!$AJ19&gt;0,Raw_data!$AK19&lt;&gt;"")))</f>
        <v/>
      </c>
      <c r="F19">
        <f>--(OR(AND(ISNUMBER(B19),B19&lt;0.5,OR(D19&gt;=24,Raw_data!$I19&gt;0)),Raw_data!$AE19=TRUE))</f>
        <v/>
      </c>
      <c r="G19">
        <f>IF(Dashboard!$B$11="Department",Raw_data!$AL19,IF(Dashboard!$B$11="Team",Raw_data!$AM19,IF(Dashboard!$B$11="Unit",Raw_data!$AN19,IF(Dashboard!$B$11="Legal entity",Raw_data!$AO19,IF(Dashboard!$B$11="Location",Raw_data!$AP19,Raw_data!$AQ19)))))</f>
        <v/>
      </c>
      <c r="H19">
        <f>--(AND(ISNUMBER(B19),B19&lt;0.5))</f>
        <v/>
      </c>
      <c r="I19">
        <f>IFERROR(MAX(0,(0.5-B19)*100),0)+IF(D19&gt;=24,20,0)+IF(Raw_data!$I19&gt;0,20,0)+IF(Raw_data!$AE19=TRUE,10,0)</f>
        <v/>
      </c>
      <c r="J19">
        <f>IFERROR(CHOOSE(MATCH(Dashboard!$B$11,{"Department","Team","Unit","Legal entity","Location","Lead"},0),INDEX(Lists!$B$3:$B$20,ROW()-1),INDEX(Lists!$C$3:$C$146,ROW()-1),INDEX(Lists!$D$3:$D$67,ROW()-1),INDEX(Lists!$E$3:$E$5,ROW()-1),INDEX(Lists!$F$3:$F$12,ROW()-1),INDEX(Lists!$G$3:$G$126,ROW()-1)),"")</f>
        <v/>
      </c>
      <c r="K19">
        <f>IF(J19="","",SUMPRODUCT(($A$2:$A$636=1)*($G$2:$G$636=J19)))</f>
        <v/>
      </c>
      <c r="L19">
        <f>IF(J19="","",SUMPRODUCT(($A$2:$A$636=1)*($G$2:$G$636=J19)*(ISNUMBER($B$2:$B$636))*($B$2:$B$636&lt;0.5)))</f>
        <v/>
      </c>
      <c r="M19">
        <f>IFERROR(L19/K19,"")</f>
        <v/>
      </c>
      <c r="N19">
        <f>IF(K19="","",M19+K19/100000+ROW()/100000000)</f>
        <v/>
      </c>
      <c r="R19">
        <f>IF(A19=1,IFERROR(I19,0)+ROW()/100000000,-1E+99)</f>
        <v/>
      </c>
      <c r="S19">
        <f>IF(A19=1,IFERROR(Raw_data!$T19,""),"")</f>
        <v/>
      </c>
      <c r="T19">
        <f>IF(A19=1,IFERROR(Raw_data!$AA19,""),"")</f>
        <v/>
      </c>
      <c r="U19">
        <f>IF(A19=1,IFERROR(Raw_data!$U19,""),"")</f>
        <v/>
      </c>
      <c r="V19">
        <f>IF(A19=1,IFERROR(Raw_data!$AB19,""),"")</f>
        <v/>
      </c>
    </row>
    <row r="20">
      <c r="A20">
        <f>--(AND(OR(Dashboard!$B$4="All",Raw_data!$AL20=Dashboard!$B$4),OR(Dashboard!$B$5="All",Raw_data!$AM20=Dashboard!$B$5),OR(Dashboard!$B$6="All",Raw_data!$AN20=Dashboard!$B$6),OR(Dashboard!$B$7="All",Raw_data!$AO20=Dashboard!$B$7),OR(Dashboard!$B$8="All",Raw_data!$AP20=Dashboard!$B$8),OR(Dashboard!$B$9="All",Raw_data!$AQ20=Dashboard!$B$9),OR(Dashboard!$B$10="All",Raw_data!$AF20=Dashboard!$B$10),OR(Raw_data!$F20="",Raw_data!$F20&lt;=TODAY())))</f>
        <v/>
      </c>
      <c r="B20">
        <f>IFERROR(IF(Dashboard!$B$3="Weighted",Raw_data!$U20,Raw_data!$T20),"")</f>
        <v/>
      </c>
      <c r="C20">
        <f>IFERROR(IF(Dashboard!$B$3="Weighted",Raw_data!$AB20,Raw_data!$AA20),"")</f>
        <v/>
      </c>
      <c r="D20">
        <f>IF(OR(Raw_data!$J20="",Raw_data!$J20&lt;=0,Raw_data!$K20=""),"",IF(Raw_data!$K20&gt;TODAY(),0,DATEDIF(Raw_data!$K20,TODAY(),"M")))</f>
        <v/>
      </c>
      <c r="E20">
        <f>--(AND(Raw_data!$AF20="No",OR(Raw_data!$AG20&lt;&gt;"",Raw_data!$AJ20&gt;0,Raw_data!$AK20&lt;&gt;"")))</f>
        <v/>
      </c>
      <c r="F20">
        <f>--(OR(AND(ISNUMBER(B20),B20&lt;0.5,OR(D20&gt;=24,Raw_data!$I20&gt;0)),Raw_data!$AE20=TRUE))</f>
        <v/>
      </c>
      <c r="G20">
        <f>IF(Dashboard!$B$11="Department",Raw_data!$AL20,IF(Dashboard!$B$11="Team",Raw_data!$AM20,IF(Dashboard!$B$11="Unit",Raw_data!$AN20,IF(Dashboard!$B$11="Legal entity",Raw_data!$AO20,IF(Dashboard!$B$11="Location",Raw_data!$AP20,Raw_data!$AQ20)))))</f>
        <v/>
      </c>
      <c r="H20">
        <f>--(AND(ISNUMBER(B20),B20&lt;0.5))</f>
        <v/>
      </c>
      <c r="I20">
        <f>IFERROR(MAX(0,(0.5-B20)*100),0)+IF(D20&gt;=24,20,0)+IF(Raw_data!$I20&gt;0,20,0)+IF(Raw_data!$AE20=TRUE,10,0)</f>
        <v/>
      </c>
      <c r="J20">
        <f>IFERROR(CHOOSE(MATCH(Dashboard!$B$11,{"Department","Team","Unit","Legal entity","Location","Lead"},0),INDEX(Lists!$B$3:$B$20,ROW()-1),INDEX(Lists!$C$3:$C$146,ROW()-1),INDEX(Lists!$D$3:$D$67,ROW()-1),INDEX(Lists!$E$3:$E$5,ROW()-1),INDEX(Lists!$F$3:$F$12,ROW()-1),INDEX(Lists!$G$3:$G$126,ROW()-1)),"")</f>
        <v/>
      </c>
      <c r="K20">
        <f>IF(J20="","",SUMPRODUCT(($A$2:$A$636=1)*($G$2:$G$636=J20)))</f>
        <v/>
      </c>
      <c r="L20">
        <f>IF(J20="","",SUMPRODUCT(($A$2:$A$636=1)*($G$2:$G$636=J20)*(ISNUMBER($B$2:$B$636))*($B$2:$B$636&lt;0.5)))</f>
        <v/>
      </c>
      <c r="M20">
        <f>IFERROR(L20/K20,"")</f>
        <v/>
      </c>
      <c r="N20">
        <f>IF(K20="","",M20+K20/100000+ROW()/100000000)</f>
        <v/>
      </c>
      <c r="R20">
        <f>IF(A20=1,IFERROR(I20,0)+ROW()/100000000,-1E+99)</f>
        <v/>
      </c>
      <c r="S20">
        <f>IF(A20=1,IFERROR(Raw_data!$T20,""),"")</f>
        <v/>
      </c>
      <c r="T20">
        <f>IF(A20=1,IFERROR(Raw_data!$AA20,""),"")</f>
        <v/>
      </c>
      <c r="U20">
        <f>IF(A20=1,IFERROR(Raw_data!$U20,""),"")</f>
        <v/>
      </c>
      <c r="V20">
        <f>IF(A20=1,IFERROR(Raw_data!$AB20,""),"")</f>
        <v/>
      </c>
    </row>
    <row r="21">
      <c r="A21">
        <f>--(AND(OR(Dashboard!$B$4="All",Raw_data!$AL21=Dashboard!$B$4),OR(Dashboard!$B$5="All",Raw_data!$AM21=Dashboard!$B$5),OR(Dashboard!$B$6="All",Raw_data!$AN21=Dashboard!$B$6),OR(Dashboard!$B$7="All",Raw_data!$AO21=Dashboard!$B$7),OR(Dashboard!$B$8="All",Raw_data!$AP21=Dashboard!$B$8),OR(Dashboard!$B$9="All",Raw_data!$AQ21=Dashboard!$B$9),OR(Dashboard!$B$10="All",Raw_data!$AF21=Dashboard!$B$10),OR(Raw_data!$F21="",Raw_data!$F21&lt;=TODAY())))</f>
        <v/>
      </c>
      <c r="B21">
        <f>IFERROR(IF(Dashboard!$B$3="Weighted",Raw_data!$U21,Raw_data!$T21),"")</f>
        <v/>
      </c>
      <c r="C21">
        <f>IFERROR(IF(Dashboard!$B$3="Weighted",Raw_data!$AB21,Raw_data!$AA21),"")</f>
        <v/>
      </c>
      <c r="D21">
        <f>IF(OR(Raw_data!$J21="",Raw_data!$J21&lt;=0,Raw_data!$K21=""),"",IF(Raw_data!$K21&gt;TODAY(),0,DATEDIF(Raw_data!$K21,TODAY(),"M")))</f>
        <v/>
      </c>
      <c r="E21">
        <f>--(AND(Raw_data!$AF21="No",OR(Raw_data!$AG21&lt;&gt;"",Raw_data!$AJ21&gt;0,Raw_data!$AK21&lt;&gt;"")))</f>
        <v/>
      </c>
      <c r="F21">
        <f>--(OR(AND(ISNUMBER(B21),B21&lt;0.5,OR(D21&gt;=24,Raw_data!$I21&gt;0)),Raw_data!$AE21=TRUE))</f>
        <v/>
      </c>
      <c r="G21">
        <f>IF(Dashboard!$B$11="Department",Raw_data!$AL21,IF(Dashboard!$B$11="Team",Raw_data!$AM21,IF(Dashboard!$B$11="Unit",Raw_data!$AN21,IF(Dashboard!$B$11="Legal entity",Raw_data!$AO21,IF(Dashboard!$B$11="Location",Raw_data!$AP21,Raw_data!$AQ21)))))</f>
        <v/>
      </c>
      <c r="H21">
        <f>--(AND(ISNUMBER(B21),B21&lt;0.5))</f>
        <v/>
      </c>
      <c r="I21">
        <f>IFERROR(MAX(0,(0.5-B21)*100),0)+IF(D21&gt;=24,20,0)+IF(Raw_data!$I21&gt;0,20,0)+IF(Raw_data!$AE21=TRUE,10,0)</f>
        <v/>
      </c>
      <c r="J21">
        <f>IFERROR(CHOOSE(MATCH(Dashboard!$B$11,{"Department","Team","Unit","Legal entity","Location","Lead"},0),INDEX(Lists!$B$3:$B$20,ROW()-1),INDEX(Lists!$C$3:$C$146,ROW()-1),INDEX(Lists!$D$3:$D$67,ROW()-1),INDEX(Lists!$E$3:$E$5,ROW()-1),INDEX(Lists!$F$3:$F$12,ROW()-1),INDEX(Lists!$G$3:$G$126,ROW()-1)),"")</f>
        <v/>
      </c>
      <c r="K21">
        <f>IF(J21="","",SUMPRODUCT(($A$2:$A$636=1)*($G$2:$G$636=J21)))</f>
        <v/>
      </c>
      <c r="L21">
        <f>IF(J21="","",SUMPRODUCT(($A$2:$A$636=1)*($G$2:$G$636=J21)*(ISNUMBER($B$2:$B$636))*($B$2:$B$636&lt;0.5)))</f>
        <v/>
      </c>
      <c r="M21">
        <f>IFERROR(L21/K21,"")</f>
        <v/>
      </c>
      <c r="N21">
        <f>IF(K21="","",M21+K21/100000+ROW()/100000000)</f>
        <v/>
      </c>
      <c r="R21">
        <f>IF(A21=1,IFERROR(I21,0)+ROW()/100000000,-1E+99)</f>
        <v/>
      </c>
      <c r="S21">
        <f>IF(A21=1,IFERROR(Raw_data!$T21,""),"")</f>
        <v/>
      </c>
      <c r="T21">
        <f>IF(A21=1,IFERROR(Raw_data!$AA21,""),"")</f>
        <v/>
      </c>
      <c r="U21">
        <f>IF(A21=1,IFERROR(Raw_data!$U21,""),"")</f>
        <v/>
      </c>
      <c r="V21">
        <f>IF(A21=1,IFERROR(Raw_data!$AB21,""),"")</f>
        <v/>
      </c>
    </row>
    <row r="22">
      <c r="A22">
        <f>--(AND(OR(Dashboard!$B$4="All",Raw_data!$AL22=Dashboard!$B$4),OR(Dashboard!$B$5="All",Raw_data!$AM22=Dashboard!$B$5),OR(Dashboard!$B$6="All",Raw_data!$AN22=Dashboard!$B$6),OR(Dashboard!$B$7="All",Raw_data!$AO22=Dashboard!$B$7),OR(Dashboard!$B$8="All",Raw_data!$AP22=Dashboard!$B$8),OR(Dashboard!$B$9="All",Raw_data!$AQ22=Dashboard!$B$9),OR(Dashboard!$B$10="All",Raw_data!$AF22=Dashboard!$B$10),OR(Raw_data!$F22="",Raw_data!$F22&lt;=TODAY())))</f>
        <v/>
      </c>
      <c r="B22">
        <f>IFERROR(IF(Dashboard!$B$3="Weighted",Raw_data!$U22,Raw_data!$T22),"")</f>
        <v/>
      </c>
      <c r="C22">
        <f>IFERROR(IF(Dashboard!$B$3="Weighted",Raw_data!$AB22,Raw_data!$AA22),"")</f>
        <v/>
      </c>
      <c r="D22">
        <f>IF(OR(Raw_data!$J22="",Raw_data!$J22&lt;=0,Raw_data!$K22=""),"",IF(Raw_data!$K22&gt;TODAY(),0,DATEDIF(Raw_data!$K22,TODAY(),"M")))</f>
        <v/>
      </c>
      <c r="E22">
        <f>--(AND(Raw_data!$AF22="No",OR(Raw_data!$AG22&lt;&gt;"",Raw_data!$AJ22&gt;0,Raw_data!$AK22&lt;&gt;"")))</f>
        <v/>
      </c>
      <c r="F22">
        <f>--(OR(AND(ISNUMBER(B22),B22&lt;0.5,OR(D22&gt;=24,Raw_data!$I22&gt;0)),Raw_data!$AE22=TRUE))</f>
        <v/>
      </c>
      <c r="G22">
        <f>IF(Dashboard!$B$11="Department",Raw_data!$AL22,IF(Dashboard!$B$11="Team",Raw_data!$AM22,IF(Dashboard!$B$11="Unit",Raw_data!$AN22,IF(Dashboard!$B$11="Legal entity",Raw_data!$AO22,IF(Dashboard!$B$11="Location",Raw_data!$AP22,Raw_data!$AQ22)))))</f>
        <v/>
      </c>
      <c r="H22">
        <f>--(AND(ISNUMBER(B22),B22&lt;0.5))</f>
        <v/>
      </c>
      <c r="I22">
        <f>IFERROR(MAX(0,(0.5-B22)*100),0)+IF(D22&gt;=24,20,0)+IF(Raw_data!$I22&gt;0,20,0)+IF(Raw_data!$AE22=TRUE,10,0)</f>
        <v/>
      </c>
      <c r="J22">
        <f>IFERROR(CHOOSE(MATCH(Dashboard!$B$11,{"Department","Team","Unit","Legal entity","Location","Lead"},0),INDEX(Lists!$B$3:$B$20,ROW()-1),INDEX(Lists!$C$3:$C$146,ROW()-1),INDEX(Lists!$D$3:$D$67,ROW()-1),INDEX(Lists!$E$3:$E$5,ROW()-1),INDEX(Lists!$F$3:$F$12,ROW()-1),INDEX(Lists!$G$3:$G$126,ROW()-1)),"")</f>
        <v/>
      </c>
      <c r="K22">
        <f>IF(J22="","",SUMPRODUCT(($A$2:$A$636=1)*($G$2:$G$636=J22)))</f>
        <v/>
      </c>
      <c r="L22">
        <f>IF(J22="","",SUMPRODUCT(($A$2:$A$636=1)*($G$2:$G$636=J22)*(ISNUMBER($B$2:$B$636))*($B$2:$B$636&lt;0.5)))</f>
        <v/>
      </c>
      <c r="M22">
        <f>IFERROR(L22/K22,"")</f>
        <v/>
      </c>
      <c r="N22">
        <f>IF(K22="","",M22+K22/100000+ROW()/100000000)</f>
        <v/>
      </c>
      <c r="R22">
        <f>IF(A22=1,IFERROR(I22,0)+ROW()/100000000,-1E+99)</f>
        <v/>
      </c>
      <c r="S22">
        <f>IF(A22=1,IFERROR(Raw_data!$T22,""),"")</f>
        <v/>
      </c>
      <c r="T22">
        <f>IF(A22=1,IFERROR(Raw_data!$AA22,""),"")</f>
        <v/>
      </c>
      <c r="U22">
        <f>IF(A22=1,IFERROR(Raw_data!$U22,""),"")</f>
        <v/>
      </c>
      <c r="V22">
        <f>IF(A22=1,IFERROR(Raw_data!$AB22,""),"")</f>
        <v/>
      </c>
    </row>
    <row r="23">
      <c r="A23">
        <f>--(AND(OR(Dashboard!$B$4="All",Raw_data!$AL23=Dashboard!$B$4),OR(Dashboard!$B$5="All",Raw_data!$AM23=Dashboard!$B$5),OR(Dashboard!$B$6="All",Raw_data!$AN23=Dashboard!$B$6),OR(Dashboard!$B$7="All",Raw_data!$AO23=Dashboard!$B$7),OR(Dashboard!$B$8="All",Raw_data!$AP23=Dashboard!$B$8),OR(Dashboard!$B$9="All",Raw_data!$AQ23=Dashboard!$B$9),OR(Dashboard!$B$10="All",Raw_data!$AF23=Dashboard!$B$10),OR(Raw_data!$F23="",Raw_data!$F23&lt;=TODAY())))</f>
        <v/>
      </c>
      <c r="B23">
        <f>IFERROR(IF(Dashboard!$B$3="Weighted",Raw_data!$U23,Raw_data!$T23),"")</f>
        <v/>
      </c>
      <c r="C23">
        <f>IFERROR(IF(Dashboard!$B$3="Weighted",Raw_data!$AB23,Raw_data!$AA23),"")</f>
        <v/>
      </c>
      <c r="D23">
        <f>IF(OR(Raw_data!$J23="",Raw_data!$J23&lt;=0,Raw_data!$K23=""),"",IF(Raw_data!$K23&gt;TODAY(),0,DATEDIF(Raw_data!$K23,TODAY(),"M")))</f>
        <v/>
      </c>
      <c r="E23">
        <f>--(AND(Raw_data!$AF23="No",OR(Raw_data!$AG23&lt;&gt;"",Raw_data!$AJ23&gt;0,Raw_data!$AK23&lt;&gt;"")))</f>
        <v/>
      </c>
      <c r="F23">
        <f>--(OR(AND(ISNUMBER(B23),B23&lt;0.5,OR(D23&gt;=24,Raw_data!$I23&gt;0)),Raw_data!$AE23=TRUE))</f>
        <v/>
      </c>
      <c r="G23">
        <f>IF(Dashboard!$B$11="Department",Raw_data!$AL23,IF(Dashboard!$B$11="Team",Raw_data!$AM23,IF(Dashboard!$B$11="Unit",Raw_data!$AN23,IF(Dashboard!$B$11="Legal entity",Raw_data!$AO23,IF(Dashboard!$B$11="Location",Raw_data!$AP23,Raw_data!$AQ23)))))</f>
        <v/>
      </c>
      <c r="H23">
        <f>--(AND(ISNUMBER(B23),B23&lt;0.5))</f>
        <v/>
      </c>
      <c r="I23">
        <f>IFERROR(MAX(0,(0.5-B23)*100),0)+IF(D23&gt;=24,20,0)+IF(Raw_data!$I23&gt;0,20,0)+IF(Raw_data!$AE23=TRUE,10,0)</f>
        <v/>
      </c>
      <c r="J23">
        <f>IFERROR(CHOOSE(MATCH(Dashboard!$B$11,{"Department","Team","Unit","Legal entity","Location","Lead"},0),INDEX(Lists!$B$3:$B$20,ROW()-1),INDEX(Lists!$C$3:$C$146,ROW()-1),INDEX(Lists!$D$3:$D$67,ROW()-1),INDEX(Lists!$E$3:$E$5,ROW()-1),INDEX(Lists!$F$3:$F$12,ROW()-1),INDEX(Lists!$G$3:$G$126,ROW()-1)),"")</f>
        <v/>
      </c>
      <c r="K23">
        <f>IF(J23="","",SUMPRODUCT(($A$2:$A$636=1)*($G$2:$G$636=J23)))</f>
        <v/>
      </c>
      <c r="L23">
        <f>IF(J23="","",SUMPRODUCT(($A$2:$A$636=1)*($G$2:$G$636=J23)*(ISNUMBER($B$2:$B$636))*($B$2:$B$636&lt;0.5)))</f>
        <v/>
      </c>
      <c r="M23">
        <f>IFERROR(L23/K23,"")</f>
        <v/>
      </c>
      <c r="N23">
        <f>IF(K23="","",M23+K23/100000+ROW()/100000000)</f>
        <v/>
      </c>
      <c r="R23">
        <f>IF(A23=1,IFERROR(I23,0)+ROW()/100000000,-1E+99)</f>
        <v/>
      </c>
      <c r="S23">
        <f>IF(A23=1,IFERROR(Raw_data!$T23,""),"")</f>
        <v/>
      </c>
      <c r="T23">
        <f>IF(A23=1,IFERROR(Raw_data!$AA23,""),"")</f>
        <v/>
      </c>
      <c r="U23">
        <f>IF(A23=1,IFERROR(Raw_data!$U23,""),"")</f>
        <v/>
      </c>
      <c r="V23">
        <f>IF(A23=1,IFERROR(Raw_data!$AB23,""),"")</f>
        <v/>
      </c>
    </row>
    <row r="24">
      <c r="A24">
        <f>--(AND(OR(Dashboard!$B$4="All",Raw_data!$AL24=Dashboard!$B$4),OR(Dashboard!$B$5="All",Raw_data!$AM24=Dashboard!$B$5),OR(Dashboard!$B$6="All",Raw_data!$AN24=Dashboard!$B$6),OR(Dashboard!$B$7="All",Raw_data!$AO24=Dashboard!$B$7),OR(Dashboard!$B$8="All",Raw_data!$AP24=Dashboard!$B$8),OR(Dashboard!$B$9="All",Raw_data!$AQ24=Dashboard!$B$9),OR(Dashboard!$B$10="All",Raw_data!$AF24=Dashboard!$B$10),OR(Raw_data!$F24="",Raw_data!$F24&lt;=TODAY())))</f>
        <v/>
      </c>
      <c r="B24">
        <f>IFERROR(IF(Dashboard!$B$3="Weighted",Raw_data!$U24,Raw_data!$T24),"")</f>
        <v/>
      </c>
      <c r="C24">
        <f>IFERROR(IF(Dashboard!$B$3="Weighted",Raw_data!$AB24,Raw_data!$AA24),"")</f>
        <v/>
      </c>
      <c r="D24">
        <f>IF(OR(Raw_data!$J24="",Raw_data!$J24&lt;=0,Raw_data!$K24=""),"",IF(Raw_data!$K24&gt;TODAY(),0,DATEDIF(Raw_data!$K24,TODAY(),"M")))</f>
        <v/>
      </c>
      <c r="E24">
        <f>--(AND(Raw_data!$AF24="No",OR(Raw_data!$AG24&lt;&gt;"",Raw_data!$AJ24&gt;0,Raw_data!$AK24&lt;&gt;"")))</f>
        <v/>
      </c>
      <c r="F24">
        <f>--(OR(AND(ISNUMBER(B24),B24&lt;0.5,OR(D24&gt;=24,Raw_data!$I24&gt;0)),Raw_data!$AE24=TRUE))</f>
        <v/>
      </c>
      <c r="G24">
        <f>IF(Dashboard!$B$11="Department",Raw_data!$AL24,IF(Dashboard!$B$11="Team",Raw_data!$AM24,IF(Dashboard!$B$11="Unit",Raw_data!$AN24,IF(Dashboard!$B$11="Legal entity",Raw_data!$AO24,IF(Dashboard!$B$11="Location",Raw_data!$AP24,Raw_data!$AQ24)))))</f>
        <v/>
      </c>
      <c r="H24">
        <f>--(AND(ISNUMBER(B24),B24&lt;0.5))</f>
        <v/>
      </c>
      <c r="I24">
        <f>IFERROR(MAX(0,(0.5-B24)*100),0)+IF(D24&gt;=24,20,0)+IF(Raw_data!$I24&gt;0,20,0)+IF(Raw_data!$AE24=TRUE,10,0)</f>
        <v/>
      </c>
      <c r="J24">
        <f>IFERROR(CHOOSE(MATCH(Dashboard!$B$11,{"Department","Team","Unit","Legal entity","Location","Lead"},0),INDEX(Lists!$B$3:$B$20,ROW()-1),INDEX(Lists!$C$3:$C$146,ROW()-1),INDEX(Lists!$D$3:$D$67,ROW()-1),INDEX(Lists!$E$3:$E$5,ROW()-1),INDEX(Lists!$F$3:$F$12,ROW()-1),INDEX(Lists!$G$3:$G$126,ROW()-1)),"")</f>
        <v/>
      </c>
      <c r="K24">
        <f>IF(J24="","",SUMPRODUCT(($A$2:$A$636=1)*($G$2:$G$636=J24)))</f>
        <v/>
      </c>
      <c r="L24">
        <f>IF(J24="","",SUMPRODUCT(($A$2:$A$636=1)*($G$2:$G$636=J24)*(ISNUMBER($B$2:$B$636))*($B$2:$B$636&lt;0.5)))</f>
        <v/>
      </c>
      <c r="M24">
        <f>IFERROR(L24/K24,"")</f>
        <v/>
      </c>
      <c r="N24">
        <f>IF(K24="","",M24+K24/100000+ROW()/100000000)</f>
        <v/>
      </c>
      <c r="R24">
        <f>IF(A24=1,IFERROR(I24,0)+ROW()/100000000,-1E+99)</f>
        <v/>
      </c>
      <c r="S24">
        <f>IF(A24=1,IFERROR(Raw_data!$T24,""),"")</f>
        <v/>
      </c>
      <c r="T24">
        <f>IF(A24=1,IFERROR(Raw_data!$AA24,""),"")</f>
        <v/>
      </c>
      <c r="U24">
        <f>IF(A24=1,IFERROR(Raw_data!$U24,""),"")</f>
        <v/>
      </c>
      <c r="V24">
        <f>IF(A24=1,IFERROR(Raw_data!$AB24,""),"")</f>
        <v/>
      </c>
    </row>
    <row r="25">
      <c r="A25">
        <f>--(AND(OR(Dashboard!$B$4="All",Raw_data!$AL25=Dashboard!$B$4),OR(Dashboard!$B$5="All",Raw_data!$AM25=Dashboard!$B$5),OR(Dashboard!$B$6="All",Raw_data!$AN25=Dashboard!$B$6),OR(Dashboard!$B$7="All",Raw_data!$AO25=Dashboard!$B$7),OR(Dashboard!$B$8="All",Raw_data!$AP25=Dashboard!$B$8),OR(Dashboard!$B$9="All",Raw_data!$AQ25=Dashboard!$B$9),OR(Dashboard!$B$10="All",Raw_data!$AF25=Dashboard!$B$10),OR(Raw_data!$F25="",Raw_data!$F25&lt;=TODAY())))</f>
        <v/>
      </c>
      <c r="B25">
        <f>IFERROR(IF(Dashboard!$B$3="Weighted",Raw_data!$U25,Raw_data!$T25),"")</f>
        <v/>
      </c>
      <c r="C25">
        <f>IFERROR(IF(Dashboard!$B$3="Weighted",Raw_data!$AB25,Raw_data!$AA25),"")</f>
        <v/>
      </c>
      <c r="D25">
        <f>IF(OR(Raw_data!$J25="",Raw_data!$J25&lt;=0,Raw_data!$K25=""),"",IF(Raw_data!$K25&gt;TODAY(),0,DATEDIF(Raw_data!$K25,TODAY(),"M")))</f>
        <v/>
      </c>
      <c r="E25">
        <f>--(AND(Raw_data!$AF25="No",OR(Raw_data!$AG25&lt;&gt;"",Raw_data!$AJ25&gt;0,Raw_data!$AK25&lt;&gt;"")))</f>
        <v/>
      </c>
      <c r="F25">
        <f>--(OR(AND(ISNUMBER(B25),B25&lt;0.5,OR(D25&gt;=24,Raw_data!$I25&gt;0)),Raw_data!$AE25=TRUE))</f>
        <v/>
      </c>
      <c r="G25">
        <f>IF(Dashboard!$B$11="Department",Raw_data!$AL25,IF(Dashboard!$B$11="Team",Raw_data!$AM25,IF(Dashboard!$B$11="Unit",Raw_data!$AN25,IF(Dashboard!$B$11="Legal entity",Raw_data!$AO25,IF(Dashboard!$B$11="Location",Raw_data!$AP25,Raw_data!$AQ25)))))</f>
        <v/>
      </c>
      <c r="H25">
        <f>--(AND(ISNUMBER(B25),B25&lt;0.5))</f>
        <v/>
      </c>
      <c r="I25">
        <f>IFERROR(MAX(0,(0.5-B25)*100),0)+IF(D25&gt;=24,20,0)+IF(Raw_data!$I25&gt;0,20,0)+IF(Raw_data!$AE25=TRUE,10,0)</f>
        <v/>
      </c>
      <c r="J25">
        <f>IFERROR(CHOOSE(MATCH(Dashboard!$B$11,{"Department","Team","Unit","Legal entity","Location","Lead"},0),INDEX(Lists!$B$3:$B$20,ROW()-1),INDEX(Lists!$C$3:$C$146,ROW()-1),INDEX(Lists!$D$3:$D$67,ROW()-1),INDEX(Lists!$E$3:$E$5,ROW()-1),INDEX(Lists!$F$3:$F$12,ROW()-1),INDEX(Lists!$G$3:$G$126,ROW()-1)),"")</f>
        <v/>
      </c>
      <c r="K25">
        <f>IF(J25="","",SUMPRODUCT(($A$2:$A$636=1)*($G$2:$G$636=J25)))</f>
        <v/>
      </c>
      <c r="L25">
        <f>IF(J25="","",SUMPRODUCT(($A$2:$A$636=1)*($G$2:$G$636=J25)*(ISNUMBER($B$2:$B$636))*($B$2:$B$636&lt;0.5)))</f>
        <v/>
      </c>
      <c r="M25">
        <f>IFERROR(L25/K25,"")</f>
        <v/>
      </c>
      <c r="N25">
        <f>IF(K25="","",M25+K25/100000+ROW()/100000000)</f>
        <v/>
      </c>
      <c r="R25">
        <f>IF(A25=1,IFERROR(I25,0)+ROW()/100000000,-1E+99)</f>
        <v/>
      </c>
      <c r="S25">
        <f>IF(A25=1,IFERROR(Raw_data!$T25,""),"")</f>
        <v/>
      </c>
      <c r="T25">
        <f>IF(A25=1,IFERROR(Raw_data!$AA25,""),"")</f>
        <v/>
      </c>
      <c r="U25">
        <f>IF(A25=1,IFERROR(Raw_data!$U25,""),"")</f>
        <v/>
      </c>
      <c r="V25">
        <f>IF(A25=1,IFERROR(Raw_data!$AB25,""),"")</f>
        <v/>
      </c>
    </row>
    <row r="26">
      <c r="A26">
        <f>--(AND(OR(Dashboard!$B$4="All",Raw_data!$AL26=Dashboard!$B$4),OR(Dashboard!$B$5="All",Raw_data!$AM26=Dashboard!$B$5),OR(Dashboard!$B$6="All",Raw_data!$AN26=Dashboard!$B$6),OR(Dashboard!$B$7="All",Raw_data!$AO26=Dashboard!$B$7),OR(Dashboard!$B$8="All",Raw_data!$AP26=Dashboard!$B$8),OR(Dashboard!$B$9="All",Raw_data!$AQ26=Dashboard!$B$9),OR(Dashboard!$B$10="All",Raw_data!$AF26=Dashboard!$B$10),OR(Raw_data!$F26="",Raw_data!$F26&lt;=TODAY())))</f>
        <v/>
      </c>
      <c r="B26">
        <f>IFERROR(IF(Dashboard!$B$3="Weighted",Raw_data!$U26,Raw_data!$T26),"")</f>
        <v/>
      </c>
      <c r="C26">
        <f>IFERROR(IF(Dashboard!$B$3="Weighted",Raw_data!$AB26,Raw_data!$AA26),"")</f>
        <v/>
      </c>
      <c r="D26">
        <f>IF(OR(Raw_data!$J26="",Raw_data!$J26&lt;=0,Raw_data!$K26=""),"",IF(Raw_data!$K26&gt;TODAY(),0,DATEDIF(Raw_data!$K26,TODAY(),"M")))</f>
        <v/>
      </c>
      <c r="E26">
        <f>--(AND(Raw_data!$AF26="No",OR(Raw_data!$AG26&lt;&gt;"",Raw_data!$AJ26&gt;0,Raw_data!$AK26&lt;&gt;"")))</f>
        <v/>
      </c>
      <c r="F26">
        <f>--(OR(AND(ISNUMBER(B26),B26&lt;0.5,OR(D26&gt;=24,Raw_data!$I26&gt;0)),Raw_data!$AE26=TRUE))</f>
        <v/>
      </c>
      <c r="G26">
        <f>IF(Dashboard!$B$11="Department",Raw_data!$AL26,IF(Dashboard!$B$11="Team",Raw_data!$AM26,IF(Dashboard!$B$11="Unit",Raw_data!$AN26,IF(Dashboard!$B$11="Legal entity",Raw_data!$AO26,IF(Dashboard!$B$11="Location",Raw_data!$AP26,Raw_data!$AQ26)))))</f>
        <v/>
      </c>
      <c r="H26">
        <f>--(AND(ISNUMBER(B26),B26&lt;0.5))</f>
        <v/>
      </c>
      <c r="I26">
        <f>IFERROR(MAX(0,(0.5-B26)*100),0)+IF(D26&gt;=24,20,0)+IF(Raw_data!$I26&gt;0,20,0)+IF(Raw_data!$AE26=TRUE,10,0)</f>
        <v/>
      </c>
      <c r="J26">
        <f>IFERROR(CHOOSE(MATCH(Dashboard!$B$11,{"Department","Team","Unit","Legal entity","Location","Lead"},0),INDEX(Lists!$B$3:$B$20,ROW()-1),INDEX(Lists!$C$3:$C$146,ROW()-1),INDEX(Lists!$D$3:$D$67,ROW()-1),INDEX(Lists!$E$3:$E$5,ROW()-1),INDEX(Lists!$F$3:$F$12,ROW()-1),INDEX(Lists!$G$3:$G$126,ROW()-1)),"")</f>
        <v/>
      </c>
      <c r="K26">
        <f>IF(J26="","",SUMPRODUCT(($A$2:$A$636=1)*($G$2:$G$636=J26)))</f>
        <v/>
      </c>
      <c r="L26">
        <f>IF(J26="","",SUMPRODUCT(($A$2:$A$636=1)*($G$2:$G$636=J26)*(ISNUMBER($B$2:$B$636))*($B$2:$B$636&lt;0.5)))</f>
        <v/>
      </c>
      <c r="M26">
        <f>IFERROR(L26/K26,"")</f>
        <v/>
      </c>
      <c r="N26">
        <f>IF(K26="","",M26+K26/100000+ROW()/100000000)</f>
        <v/>
      </c>
      <c r="R26">
        <f>IF(A26=1,IFERROR(I26,0)+ROW()/100000000,-1E+99)</f>
        <v/>
      </c>
      <c r="S26">
        <f>IF(A26=1,IFERROR(Raw_data!$T26,""),"")</f>
        <v/>
      </c>
      <c r="T26">
        <f>IF(A26=1,IFERROR(Raw_data!$AA26,""),"")</f>
        <v/>
      </c>
      <c r="U26">
        <f>IF(A26=1,IFERROR(Raw_data!$U26,""),"")</f>
        <v/>
      </c>
      <c r="V26">
        <f>IF(A26=1,IFERROR(Raw_data!$AB26,""),"")</f>
        <v/>
      </c>
    </row>
    <row r="27">
      <c r="A27">
        <f>--(AND(OR(Dashboard!$B$4="All",Raw_data!$AL27=Dashboard!$B$4),OR(Dashboard!$B$5="All",Raw_data!$AM27=Dashboard!$B$5),OR(Dashboard!$B$6="All",Raw_data!$AN27=Dashboard!$B$6),OR(Dashboard!$B$7="All",Raw_data!$AO27=Dashboard!$B$7),OR(Dashboard!$B$8="All",Raw_data!$AP27=Dashboard!$B$8),OR(Dashboard!$B$9="All",Raw_data!$AQ27=Dashboard!$B$9),OR(Dashboard!$B$10="All",Raw_data!$AF27=Dashboard!$B$10),OR(Raw_data!$F27="",Raw_data!$F27&lt;=TODAY())))</f>
        <v/>
      </c>
      <c r="B27">
        <f>IFERROR(IF(Dashboard!$B$3="Weighted",Raw_data!$U27,Raw_data!$T27),"")</f>
        <v/>
      </c>
      <c r="C27">
        <f>IFERROR(IF(Dashboard!$B$3="Weighted",Raw_data!$AB27,Raw_data!$AA27),"")</f>
        <v/>
      </c>
      <c r="D27">
        <f>IF(OR(Raw_data!$J27="",Raw_data!$J27&lt;=0,Raw_data!$K27=""),"",IF(Raw_data!$K27&gt;TODAY(),0,DATEDIF(Raw_data!$K27,TODAY(),"M")))</f>
        <v/>
      </c>
      <c r="E27">
        <f>--(AND(Raw_data!$AF27="No",OR(Raw_data!$AG27&lt;&gt;"",Raw_data!$AJ27&gt;0,Raw_data!$AK27&lt;&gt;"")))</f>
        <v/>
      </c>
      <c r="F27">
        <f>--(OR(AND(ISNUMBER(B27),B27&lt;0.5,OR(D27&gt;=24,Raw_data!$I27&gt;0)),Raw_data!$AE27=TRUE))</f>
        <v/>
      </c>
      <c r="G27">
        <f>IF(Dashboard!$B$11="Department",Raw_data!$AL27,IF(Dashboard!$B$11="Team",Raw_data!$AM27,IF(Dashboard!$B$11="Unit",Raw_data!$AN27,IF(Dashboard!$B$11="Legal entity",Raw_data!$AO27,IF(Dashboard!$B$11="Location",Raw_data!$AP27,Raw_data!$AQ27)))))</f>
        <v/>
      </c>
      <c r="H27">
        <f>--(AND(ISNUMBER(B27),B27&lt;0.5))</f>
        <v/>
      </c>
      <c r="I27">
        <f>IFERROR(MAX(0,(0.5-B27)*100),0)+IF(D27&gt;=24,20,0)+IF(Raw_data!$I27&gt;0,20,0)+IF(Raw_data!$AE27=TRUE,10,0)</f>
        <v/>
      </c>
      <c r="J27">
        <f>IFERROR(CHOOSE(MATCH(Dashboard!$B$11,{"Department","Team","Unit","Legal entity","Location","Lead"},0),INDEX(Lists!$B$3:$B$20,ROW()-1),INDEX(Lists!$C$3:$C$146,ROW()-1),INDEX(Lists!$D$3:$D$67,ROW()-1),INDEX(Lists!$E$3:$E$5,ROW()-1),INDEX(Lists!$F$3:$F$12,ROW()-1),INDEX(Lists!$G$3:$G$126,ROW()-1)),"")</f>
        <v/>
      </c>
      <c r="K27">
        <f>IF(J27="","",SUMPRODUCT(($A$2:$A$636=1)*($G$2:$G$636=J27)))</f>
        <v/>
      </c>
      <c r="L27">
        <f>IF(J27="","",SUMPRODUCT(($A$2:$A$636=1)*($G$2:$G$636=J27)*(ISNUMBER($B$2:$B$636))*($B$2:$B$636&lt;0.5)))</f>
        <v/>
      </c>
      <c r="M27">
        <f>IFERROR(L27/K27,"")</f>
        <v/>
      </c>
      <c r="N27">
        <f>IF(K27="","",M27+K27/100000+ROW()/100000000)</f>
        <v/>
      </c>
      <c r="R27">
        <f>IF(A27=1,IFERROR(I27,0)+ROW()/100000000,-1E+99)</f>
        <v/>
      </c>
      <c r="S27">
        <f>IF(A27=1,IFERROR(Raw_data!$T27,""),"")</f>
        <v/>
      </c>
      <c r="T27">
        <f>IF(A27=1,IFERROR(Raw_data!$AA27,""),"")</f>
        <v/>
      </c>
      <c r="U27">
        <f>IF(A27=1,IFERROR(Raw_data!$U27,""),"")</f>
        <v/>
      </c>
      <c r="V27">
        <f>IF(A27=1,IFERROR(Raw_data!$AB27,""),"")</f>
        <v/>
      </c>
    </row>
    <row r="28">
      <c r="A28">
        <f>--(AND(OR(Dashboard!$B$4="All",Raw_data!$AL28=Dashboard!$B$4),OR(Dashboard!$B$5="All",Raw_data!$AM28=Dashboard!$B$5),OR(Dashboard!$B$6="All",Raw_data!$AN28=Dashboard!$B$6),OR(Dashboard!$B$7="All",Raw_data!$AO28=Dashboard!$B$7),OR(Dashboard!$B$8="All",Raw_data!$AP28=Dashboard!$B$8),OR(Dashboard!$B$9="All",Raw_data!$AQ28=Dashboard!$B$9),OR(Dashboard!$B$10="All",Raw_data!$AF28=Dashboard!$B$10),OR(Raw_data!$F28="",Raw_data!$F28&lt;=TODAY())))</f>
        <v/>
      </c>
      <c r="B28">
        <f>IFERROR(IF(Dashboard!$B$3="Weighted",Raw_data!$U28,Raw_data!$T28),"")</f>
        <v/>
      </c>
      <c r="C28">
        <f>IFERROR(IF(Dashboard!$B$3="Weighted",Raw_data!$AB28,Raw_data!$AA28),"")</f>
        <v/>
      </c>
      <c r="D28">
        <f>IF(OR(Raw_data!$J28="",Raw_data!$J28&lt;=0,Raw_data!$K28=""),"",IF(Raw_data!$K28&gt;TODAY(),0,DATEDIF(Raw_data!$K28,TODAY(),"M")))</f>
        <v/>
      </c>
      <c r="E28">
        <f>--(AND(Raw_data!$AF28="No",OR(Raw_data!$AG28&lt;&gt;"",Raw_data!$AJ28&gt;0,Raw_data!$AK28&lt;&gt;"")))</f>
        <v/>
      </c>
      <c r="F28">
        <f>--(OR(AND(ISNUMBER(B28),B28&lt;0.5,OR(D28&gt;=24,Raw_data!$I28&gt;0)),Raw_data!$AE28=TRUE))</f>
        <v/>
      </c>
      <c r="G28">
        <f>IF(Dashboard!$B$11="Department",Raw_data!$AL28,IF(Dashboard!$B$11="Team",Raw_data!$AM28,IF(Dashboard!$B$11="Unit",Raw_data!$AN28,IF(Dashboard!$B$11="Legal entity",Raw_data!$AO28,IF(Dashboard!$B$11="Location",Raw_data!$AP28,Raw_data!$AQ28)))))</f>
        <v/>
      </c>
      <c r="H28">
        <f>--(AND(ISNUMBER(B28),B28&lt;0.5))</f>
        <v/>
      </c>
      <c r="I28">
        <f>IFERROR(MAX(0,(0.5-B28)*100),0)+IF(D28&gt;=24,20,0)+IF(Raw_data!$I28&gt;0,20,0)+IF(Raw_data!$AE28=TRUE,10,0)</f>
        <v/>
      </c>
      <c r="J28">
        <f>IFERROR(CHOOSE(MATCH(Dashboard!$B$11,{"Department","Team","Unit","Legal entity","Location","Lead"},0),INDEX(Lists!$B$3:$B$20,ROW()-1),INDEX(Lists!$C$3:$C$146,ROW()-1),INDEX(Lists!$D$3:$D$67,ROW()-1),INDEX(Lists!$E$3:$E$5,ROW()-1),INDEX(Lists!$F$3:$F$12,ROW()-1),INDEX(Lists!$G$3:$G$126,ROW()-1)),"")</f>
        <v/>
      </c>
      <c r="K28">
        <f>IF(J28="","",SUMPRODUCT(($A$2:$A$636=1)*($G$2:$G$636=J28)))</f>
        <v/>
      </c>
      <c r="L28">
        <f>IF(J28="","",SUMPRODUCT(($A$2:$A$636=1)*($G$2:$G$636=J28)*(ISNUMBER($B$2:$B$636))*($B$2:$B$636&lt;0.5)))</f>
        <v/>
      </c>
      <c r="M28">
        <f>IFERROR(L28/K28,"")</f>
        <v/>
      </c>
      <c r="N28">
        <f>IF(K28="","",M28+K28/100000+ROW()/100000000)</f>
        <v/>
      </c>
      <c r="R28">
        <f>IF(A28=1,IFERROR(I28,0)+ROW()/100000000,-1E+99)</f>
        <v/>
      </c>
      <c r="S28">
        <f>IF(A28=1,IFERROR(Raw_data!$T28,""),"")</f>
        <v/>
      </c>
      <c r="T28">
        <f>IF(A28=1,IFERROR(Raw_data!$AA28,""),"")</f>
        <v/>
      </c>
      <c r="U28">
        <f>IF(A28=1,IFERROR(Raw_data!$U28,""),"")</f>
        <v/>
      </c>
      <c r="V28">
        <f>IF(A28=1,IFERROR(Raw_data!$AB28,""),"")</f>
        <v/>
      </c>
    </row>
    <row r="29">
      <c r="A29">
        <f>--(AND(OR(Dashboard!$B$4="All",Raw_data!$AL29=Dashboard!$B$4),OR(Dashboard!$B$5="All",Raw_data!$AM29=Dashboard!$B$5),OR(Dashboard!$B$6="All",Raw_data!$AN29=Dashboard!$B$6),OR(Dashboard!$B$7="All",Raw_data!$AO29=Dashboard!$B$7),OR(Dashboard!$B$8="All",Raw_data!$AP29=Dashboard!$B$8),OR(Dashboard!$B$9="All",Raw_data!$AQ29=Dashboard!$B$9),OR(Dashboard!$B$10="All",Raw_data!$AF29=Dashboard!$B$10),OR(Raw_data!$F29="",Raw_data!$F29&lt;=TODAY())))</f>
        <v/>
      </c>
      <c r="B29">
        <f>IFERROR(IF(Dashboard!$B$3="Weighted",Raw_data!$U29,Raw_data!$T29),"")</f>
        <v/>
      </c>
      <c r="C29">
        <f>IFERROR(IF(Dashboard!$B$3="Weighted",Raw_data!$AB29,Raw_data!$AA29),"")</f>
        <v/>
      </c>
      <c r="D29">
        <f>IF(OR(Raw_data!$J29="",Raw_data!$J29&lt;=0,Raw_data!$K29=""),"",IF(Raw_data!$K29&gt;TODAY(),0,DATEDIF(Raw_data!$K29,TODAY(),"M")))</f>
        <v/>
      </c>
      <c r="E29">
        <f>--(AND(Raw_data!$AF29="No",OR(Raw_data!$AG29&lt;&gt;"",Raw_data!$AJ29&gt;0,Raw_data!$AK29&lt;&gt;"")))</f>
        <v/>
      </c>
      <c r="F29">
        <f>--(OR(AND(ISNUMBER(B29),B29&lt;0.5,OR(D29&gt;=24,Raw_data!$I29&gt;0)),Raw_data!$AE29=TRUE))</f>
        <v/>
      </c>
      <c r="G29">
        <f>IF(Dashboard!$B$11="Department",Raw_data!$AL29,IF(Dashboard!$B$11="Team",Raw_data!$AM29,IF(Dashboard!$B$11="Unit",Raw_data!$AN29,IF(Dashboard!$B$11="Legal entity",Raw_data!$AO29,IF(Dashboard!$B$11="Location",Raw_data!$AP29,Raw_data!$AQ29)))))</f>
        <v/>
      </c>
      <c r="H29">
        <f>--(AND(ISNUMBER(B29),B29&lt;0.5))</f>
        <v/>
      </c>
      <c r="I29">
        <f>IFERROR(MAX(0,(0.5-B29)*100),0)+IF(D29&gt;=24,20,0)+IF(Raw_data!$I29&gt;0,20,0)+IF(Raw_data!$AE29=TRUE,10,0)</f>
        <v/>
      </c>
      <c r="J29">
        <f>IFERROR(CHOOSE(MATCH(Dashboard!$B$11,{"Department","Team","Unit","Legal entity","Location","Lead"},0),INDEX(Lists!$B$3:$B$20,ROW()-1),INDEX(Lists!$C$3:$C$146,ROW()-1),INDEX(Lists!$D$3:$D$67,ROW()-1),INDEX(Lists!$E$3:$E$5,ROW()-1),INDEX(Lists!$F$3:$F$12,ROW()-1),INDEX(Lists!$G$3:$G$126,ROW()-1)),"")</f>
        <v/>
      </c>
      <c r="K29">
        <f>IF(J29="","",SUMPRODUCT(($A$2:$A$636=1)*($G$2:$G$636=J29)))</f>
        <v/>
      </c>
      <c r="L29">
        <f>IF(J29="","",SUMPRODUCT(($A$2:$A$636=1)*($G$2:$G$636=J29)*(ISNUMBER($B$2:$B$636))*($B$2:$B$636&lt;0.5)))</f>
        <v/>
      </c>
      <c r="M29">
        <f>IFERROR(L29/K29,"")</f>
        <v/>
      </c>
      <c r="N29">
        <f>IF(K29="","",M29+K29/100000+ROW()/100000000)</f>
        <v/>
      </c>
      <c r="R29">
        <f>IF(A29=1,IFERROR(I29,0)+ROW()/100000000,-1E+99)</f>
        <v/>
      </c>
      <c r="S29">
        <f>IF(A29=1,IFERROR(Raw_data!$T29,""),"")</f>
        <v/>
      </c>
      <c r="T29">
        <f>IF(A29=1,IFERROR(Raw_data!$AA29,""),"")</f>
        <v/>
      </c>
      <c r="U29">
        <f>IF(A29=1,IFERROR(Raw_data!$U29,""),"")</f>
        <v/>
      </c>
      <c r="V29">
        <f>IF(A29=1,IFERROR(Raw_data!$AB29,""),"")</f>
        <v/>
      </c>
    </row>
    <row r="30">
      <c r="A30">
        <f>--(AND(OR(Dashboard!$B$4="All",Raw_data!$AL30=Dashboard!$B$4),OR(Dashboard!$B$5="All",Raw_data!$AM30=Dashboard!$B$5),OR(Dashboard!$B$6="All",Raw_data!$AN30=Dashboard!$B$6),OR(Dashboard!$B$7="All",Raw_data!$AO30=Dashboard!$B$7),OR(Dashboard!$B$8="All",Raw_data!$AP30=Dashboard!$B$8),OR(Dashboard!$B$9="All",Raw_data!$AQ30=Dashboard!$B$9),OR(Dashboard!$B$10="All",Raw_data!$AF30=Dashboard!$B$10),OR(Raw_data!$F30="",Raw_data!$F30&lt;=TODAY())))</f>
        <v/>
      </c>
      <c r="B30">
        <f>IFERROR(IF(Dashboard!$B$3="Weighted",Raw_data!$U30,Raw_data!$T30),"")</f>
        <v/>
      </c>
      <c r="C30">
        <f>IFERROR(IF(Dashboard!$B$3="Weighted",Raw_data!$AB30,Raw_data!$AA30),"")</f>
        <v/>
      </c>
      <c r="D30">
        <f>IF(OR(Raw_data!$J30="",Raw_data!$J30&lt;=0,Raw_data!$K30=""),"",IF(Raw_data!$K30&gt;TODAY(),0,DATEDIF(Raw_data!$K30,TODAY(),"M")))</f>
        <v/>
      </c>
      <c r="E30">
        <f>--(AND(Raw_data!$AF30="No",OR(Raw_data!$AG30&lt;&gt;"",Raw_data!$AJ30&gt;0,Raw_data!$AK30&lt;&gt;"")))</f>
        <v/>
      </c>
      <c r="F30">
        <f>--(OR(AND(ISNUMBER(B30),B30&lt;0.5,OR(D30&gt;=24,Raw_data!$I30&gt;0)),Raw_data!$AE30=TRUE))</f>
        <v/>
      </c>
      <c r="G30">
        <f>IF(Dashboard!$B$11="Department",Raw_data!$AL30,IF(Dashboard!$B$11="Team",Raw_data!$AM30,IF(Dashboard!$B$11="Unit",Raw_data!$AN30,IF(Dashboard!$B$11="Legal entity",Raw_data!$AO30,IF(Dashboard!$B$11="Location",Raw_data!$AP30,Raw_data!$AQ30)))))</f>
        <v/>
      </c>
      <c r="H30">
        <f>--(AND(ISNUMBER(B30),B30&lt;0.5))</f>
        <v/>
      </c>
      <c r="I30">
        <f>IFERROR(MAX(0,(0.5-B30)*100),0)+IF(D30&gt;=24,20,0)+IF(Raw_data!$I30&gt;0,20,0)+IF(Raw_data!$AE30=TRUE,10,0)</f>
        <v/>
      </c>
      <c r="J30">
        <f>IFERROR(CHOOSE(MATCH(Dashboard!$B$11,{"Department","Team","Unit","Legal entity","Location","Lead"},0),INDEX(Lists!$B$3:$B$20,ROW()-1),INDEX(Lists!$C$3:$C$146,ROW()-1),INDEX(Lists!$D$3:$D$67,ROW()-1),INDEX(Lists!$E$3:$E$5,ROW()-1),INDEX(Lists!$F$3:$F$12,ROW()-1),INDEX(Lists!$G$3:$G$126,ROW()-1)),"")</f>
        <v/>
      </c>
      <c r="K30">
        <f>IF(J30="","",SUMPRODUCT(($A$2:$A$636=1)*($G$2:$G$636=J30)))</f>
        <v/>
      </c>
      <c r="L30">
        <f>IF(J30="","",SUMPRODUCT(($A$2:$A$636=1)*($G$2:$G$636=J30)*(ISNUMBER($B$2:$B$636))*($B$2:$B$636&lt;0.5)))</f>
        <v/>
      </c>
      <c r="M30">
        <f>IFERROR(L30/K30,"")</f>
        <v/>
      </c>
      <c r="N30">
        <f>IF(K30="","",M30+K30/100000+ROW()/100000000)</f>
        <v/>
      </c>
      <c r="R30">
        <f>IF(A30=1,IFERROR(I30,0)+ROW()/100000000,-1E+99)</f>
        <v/>
      </c>
      <c r="S30">
        <f>IF(A30=1,IFERROR(Raw_data!$T30,""),"")</f>
        <v/>
      </c>
      <c r="T30">
        <f>IF(A30=1,IFERROR(Raw_data!$AA30,""),"")</f>
        <v/>
      </c>
      <c r="U30">
        <f>IF(A30=1,IFERROR(Raw_data!$U30,""),"")</f>
        <v/>
      </c>
      <c r="V30">
        <f>IF(A30=1,IFERROR(Raw_data!$AB30,""),"")</f>
        <v/>
      </c>
    </row>
    <row r="31">
      <c r="A31">
        <f>--(AND(OR(Dashboard!$B$4="All",Raw_data!$AL31=Dashboard!$B$4),OR(Dashboard!$B$5="All",Raw_data!$AM31=Dashboard!$B$5),OR(Dashboard!$B$6="All",Raw_data!$AN31=Dashboard!$B$6),OR(Dashboard!$B$7="All",Raw_data!$AO31=Dashboard!$B$7),OR(Dashboard!$B$8="All",Raw_data!$AP31=Dashboard!$B$8),OR(Dashboard!$B$9="All",Raw_data!$AQ31=Dashboard!$B$9),OR(Dashboard!$B$10="All",Raw_data!$AF31=Dashboard!$B$10),OR(Raw_data!$F31="",Raw_data!$F31&lt;=TODAY())))</f>
        <v/>
      </c>
      <c r="B31">
        <f>IFERROR(IF(Dashboard!$B$3="Weighted",Raw_data!$U31,Raw_data!$T31),"")</f>
        <v/>
      </c>
      <c r="C31">
        <f>IFERROR(IF(Dashboard!$B$3="Weighted",Raw_data!$AB31,Raw_data!$AA31),"")</f>
        <v/>
      </c>
      <c r="D31">
        <f>IF(OR(Raw_data!$J31="",Raw_data!$J31&lt;=0,Raw_data!$K31=""),"",IF(Raw_data!$K31&gt;TODAY(),0,DATEDIF(Raw_data!$K31,TODAY(),"M")))</f>
        <v/>
      </c>
      <c r="E31">
        <f>--(AND(Raw_data!$AF31="No",OR(Raw_data!$AG31&lt;&gt;"",Raw_data!$AJ31&gt;0,Raw_data!$AK31&lt;&gt;"")))</f>
        <v/>
      </c>
      <c r="F31">
        <f>--(OR(AND(ISNUMBER(B31),B31&lt;0.5,OR(D31&gt;=24,Raw_data!$I31&gt;0)),Raw_data!$AE31=TRUE))</f>
        <v/>
      </c>
      <c r="G31">
        <f>IF(Dashboard!$B$11="Department",Raw_data!$AL31,IF(Dashboard!$B$11="Team",Raw_data!$AM31,IF(Dashboard!$B$11="Unit",Raw_data!$AN31,IF(Dashboard!$B$11="Legal entity",Raw_data!$AO31,IF(Dashboard!$B$11="Location",Raw_data!$AP31,Raw_data!$AQ31)))))</f>
        <v/>
      </c>
      <c r="H31">
        <f>--(AND(ISNUMBER(B31),B31&lt;0.5))</f>
        <v/>
      </c>
      <c r="I31">
        <f>IFERROR(MAX(0,(0.5-B31)*100),0)+IF(D31&gt;=24,20,0)+IF(Raw_data!$I31&gt;0,20,0)+IF(Raw_data!$AE31=TRUE,10,0)</f>
        <v/>
      </c>
      <c r="J31">
        <f>IFERROR(CHOOSE(MATCH(Dashboard!$B$11,{"Department","Team","Unit","Legal entity","Location","Lead"},0),INDEX(Lists!$B$3:$B$20,ROW()-1),INDEX(Lists!$C$3:$C$146,ROW()-1),INDEX(Lists!$D$3:$D$67,ROW()-1),INDEX(Lists!$E$3:$E$5,ROW()-1),INDEX(Lists!$F$3:$F$12,ROW()-1),INDEX(Lists!$G$3:$G$126,ROW()-1)),"")</f>
        <v/>
      </c>
      <c r="K31">
        <f>IF(J31="","",SUMPRODUCT(($A$2:$A$636=1)*($G$2:$G$636=J31)))</f>
        <v/>
      </c>
      <c r="L31">
        <f>IF(J31="","",SUMPRODUCT(($A$2:$A$636=1)*($G$2:$G$636=J31)*(ISNUMBER($B$2:$B$636))*($B$2:$B$636&lt;0.5)))</f>
        <v/>
      </c>
      <c r="M31">
        <f>IFERROR(L31/K31,"")</f>
        <v/>
      </c>
      <c r="N31">
        <f>IF(K31="","",M31+K31/100000+ROW()/100000000)</f>
        <v/>
      </c>
      <c r="R31">
        <f>IF(A31=1,IFERROR(I31,0)+ROW()/100000000,-1E+99)</f>
        <v/>
      </c>
      <c r="S31">
        <f>IF(A31=1,IFERROR(Raw_data!$T31,""),"")</f>
        <v/>
      </c>
      <c r="T31">
        <f>IF(A31=1,IFERROR(Raw_data!$AA31,""),"")</f>
        <v/>
      </c>
      <c r="U31">
        <f>IF(A31=1,IFERROR(Raw_data!$U31,""),"")</f>
        <v/>
      </c>
      <c r="V31">
        <f>IF(A31=1,IFERROR(Raw_data!$AB31,""),"")</f>
        <v/>
      </c>
    </row>
    <row r="32">
      <c r="A32">
        <f>--(AND(OR(Dashboard!$B$4="All",Raw_data!$AL32=Dashboard!$B$4),OR(Dashboard!$B$5="All",Raw_data!$AM32=Dashboard!$B$5),OR(Dashboard!$B$6="All",Raw_data!$AN32=Dashboard!$B$6),OR(Dashboard!$B$7="All",Raw_data!$AO32=Dashboard!$B$7),OR(Dashboard!$B$8="All",Raw_data!$AP32=Dashboard!$B$8),OR(Dashboard!$B$9="All",Raw_data!$AQ32=Dashboard!$B$9),OR(Dashboard!$B$10="All",Raw_data!$AF32=Dashboard!$B$10),OR(Raw_data!$F32="",Raw_data!$F32&lt;=TODAY())))</f>
        <v/>
      </c>
      <c r="B32">
        <f>IFERROR(IF(Dashboard!$B$3="Weighted",Raw_data!$U32,Raw_data!$T32),"")</f>
        <v/>
      </c>
      <c r="C32">
        <f>IFERROR(IF(Dashboard!$B$3="Weighted",Raw_data!$AB32,Raw_data!$AA32),"")</f>
        <v/>
      </c>
      <c r="D32">
        <f>IF(OR(Raw_data!$J32="",Raw_data!$J32&lt;=0,Raw_data!$K32=""),"",IF(Raw_data!$K32&gt;TODAY(),0,DATEDIF(Raw_data!$K32,TODAY(),"M")))</f>
        <v/>
      </c>
      <c r="E32">
        <f>--(AND(Raw_data!$AF32="No",OR(Raw_data!$AG32&lt;&gt;"",Raw_data!$AJ32&gt;0,Raw_data!$AK32&lt;&gt;"")))</f>
        <v/>
      </c>
      <c r="F32">
        <f>--(OR(AND(ISNUMBER(B32),B32&lt;0.5,OR(D32&gt;=24,Raw_data!$I32&gt;0)),Raw_data!$AE32=TRUE))</f>
        <v/>
      </c>
      <c r="G32">
        <f>IF(Dashboard!$B$11="Department",Raw_data!$AL32,IF(Dashboard!$B$11="Team",Raw_data!$AM32,IF(Dashboard!$B$11="Unit",Raw_data!$AN32,IF(Dashboard!$B$11="Legal entity",Raw_data!$AO32,IF(Dashboard!$B$11="Location",Raw_data!$AP32,Raw_data!$AQ32)))))</f>
        <v/>
      </c>
      <c r="H32">
        <f>--(AND(ISNUMBER(B32),B32&lt;0.5))</f>
        <v/>
      </c>
      <c r="I32">
        <f>IFERROR(MAX(0,(0.5-B32)*100),0)+IF(D32&gt;=24,20,0)+IF(Raw_data!$I32&gt;0,20,0)+IF(Raw_data!$AE32=TRUE,10,0)</f>
        <v/>
      </c>
      <c r="J32">
        <f>IFERROR(CHOOSE(MATCH(Dashboard!$B$11,{"Department","Team","Unit","Legal entity","Location","Lead"},0),INDEX(Lists!$B$3:$B$20,ROW()-1),INDEX(Lists!$C$3:$C$146,ROW()-1),INDEX(Lists!$D$3:$D$67,ROW()-1),INDEX(Lists!$E$3:$E$5,ROW()-1),INDEX(Lists!$F$3:$F$12,ROW()-1),INDEX(Lists!$G$3:$G$126,ROW()-1)),"")</f>
        <v/>
      </c>
      <c r="K32">
        <f>IF(J32="","",SUMPRODUCT(($A$2:$A$636=1)*($G$2:$G$636=J32)))</f>
        <v/>
      </c>
      <c r="L32">
        <f>IF(J32="","",SUMPRODUCT(($A$2:$A$636=1)*($G$2:$G$636=J32)*(ISNUMBER($B$2:$B$636))*($B$2:$B$636&lt;0.5)))</f>
        <v/>
      </c>
      <c r="M32">
        <f>IFERROR(L32/K32,"")</f>
        <v/>
      </c>
      <c r="N32">
        <f>IF(K32="","",M32+K32/100000+ROW()/100000000)</f>
        <v/>
      </c>
      <c r="R32">
        <f>IF(A32=1,IFERROR(I32,0)+ROW()/100000000,-1E+99)</f>
        <v/>
      </c>
      <c r="S32">
        <f>IF(A32=1,IFERROR(Raw_data!$T32,""),"")</f>
        <v/>
      </c>
      <c r="T32">
        <f>IF(A32=1,IFERROR(Raw_data!$AA32,""),"")</f>
        <v/>
      </c>
      <c r="U32">
        <f>IF(A32=1,IFERROR(Raw_data!$U32,""),"")</f>
        <v/>
      </c>
      <c r="V32">
        <f>IF(A32=1,IFERROR(Raw_data!$AB32,""),"")</f>
        <v/>
      </c>
    </row>
    <row r="33">
      <c r="A33">
        <f>--(AND(OR(Dashboard!$B$4="All",Raw_data!$AL33=Dashboard!$B$4),OR(Dashboard!$B$5="All",Raw_data!$AM33=Dashboard!$B$5),OR(Dashboard!$B$6="All",Raw_data!$AN33=Dashboard!$B$6),OR(Dashboard!$B$7="All",Raw_data!$AO33=Dashboard!$B$7),OR(Dashboard!$B$8="All",Raw_data!$AP33=Dashboard!$B$8),OR(Dashboard!$B$9="All",Raw_data!$AQ33=Dashboard!$B$9),OR(Dashboard!$B$10="All",Raw_data!$AF33=Dashboard!$B$10),OR(Raw_data!$F33="",Raw_data!$F33&lt;=TODAY())))</f>
        <v/>
      </c>
      <c r="B33">
        <f>IFERROR(IF(Dashboard!$B$3="Weighted",Raw_data!$U33,Raw_data!$T33),"")</f>
        <v/>
      </c>
      <c r="C33">
        <f>IFERROR(IF(Dashboard!$B$3="Weighted",Raw_data!$AB33,Raw_data!$AA33),"")</f>
        <v/>
      </c>
      <c r="D33">
        <f>IF(OR(Raw_data!$J33="",Raw_data!$J33&lt;=0,Raw_data!$K33=""),"",IF(Raw_data!$K33&gt;TODAY(),0,DATEDIF(Raw_data!$K33,TODAY(),"M")))</f>
        <v/>
      </c>
      <c r="E33">
        <f>--(AND(Raw_data!$AF33="No",OR(Raw_data!$AG33&lt;&gt;"",Raw_data!$AJ33&gt;0,Raw_data!$AK33&lt;&gt;"")))</f>
        <v/>
      </c>
      <c r="F33">
        <f>--(OR(AND(ISNUMBER(B33),B33&lt;0.5,OR(D33&gt;=24,Raw_data!$I33&gt;0)),Raw_data!$AE33=TRUE))</f>
        <v/>
      </c>
      <c r="G33">
        <f>IF(Dashboard!$B$11="Department",Raw_data!$AL33,IF(Dashboard!$B$11="Team",Raw_data!$AM33,IF(Dashboard!$B$11="Unit",Raw_data!$AN33,IF(Dashboard!$B$11="Legal entity",Raw_data!$AO33,IF(Dashboard!$B$11="Location",Raw_data!$AP33,Raw_data!$AQ33)))))</f>
        <v/>
      </c>
      <c r="H33">
        <f>--(AND(ISNUMBER(B33),B33&lt;0.5))</f>
        <v/>
      </c>
      <c r="I33">
        <f>IFERROR(MAX(0,(0.5-B33)*100),0)+IF(D33&gt;=24,20,0)+IF(Raw_data!$I33&gt;0,20,0)+IF(Raw_data!$AE33=TRUE,10,0)</f>
        <v/>
      </c>
      <c r="J33">
        <f>IFERROR(CHOOSE(MATCH(Dashboard!$B$11,{"Department","Team","Unit","Legal entity","Location","Lead"},0),INDEX(Lists!$B$3:$B$20,ROW()-1),INDEX(Lists!$C$3:$C$146,ROW()-1),INDEX(Lists!$D$3:$D$67,ROW()-1),INDEX(Lists!$E$3:$E$5,ROW()-1),INDEX(Lists!$F$3:$F$12,ROW()-1),INDEX(Lists!$G$3:$G$126,ROW()-1)),"")</f>
        <v/>
      </c>
      <c r="K33">
        <f>IF(J33="","",SUMPRODUCT(($A$2:$A$636=1)*($G$2:$G$636=J33)))</f>
        <v/>
      </c>
      <c r="L33">
        <f>IF(J33="","",SUMPRODUCT(($A$2:$A$636=1)*($G$2:$G$636=J33)*(ISNUMBER($B$2:$B$636))*($B$2:$B$636&lt;0.5)))</f>
        <v/>
      </c>
      <c r="M33">
        <f>IFERROR(L33/K33,"")</f>
        <v/>
      </c>
      <c r="N33">
        <f>IF(K33="","",M33+K33/100000+ROW()/100000000)</f>
        <v/>
      </c>
      <c r="R33">
        <f>IF(A33=1,IFERROR(I33,0)+ROW()/100000000,-1E+99)</f>
        <v/>
      </c>
      <c r="S33">
        <f>IF(A33=1,IFERROR(Raw_data!$T33,""),"")</f>
        <v/>
      </c>
      <c r="T33">
        <f>IF(A33=1,IFERROR(Raw_data!$AA33,""),"")</f>
        <v/>
      </c>
      <c r="U33">
        <f>IF(A33=1,IFERROR(Raw_data!$U33,""),"")</f>
        <v/>
      </c>
      <c r="V33">
        <f>IF(A33=1,IFERROR(Raw_data!$AB33,""),"")</f>
        <v/>
      </c>
    </row>
    <row r="34">
      <c r="A34">
        <f>--(AND(OR(Dashboard!$B$4="All",Raw_data!$AL34=Dashboard!$B$4),OR(Dashboard!$B$5="All",Raw_data!$AM34=Dashboard!$B$5),OR(Dashboard!$B$6="All",Raw_data!$AN34=Dashboard!$B$6),OR(Dashboard!$B$7="All",Raw_data!$AO34=Dashboard!$B$7),OR(Dashboard!$B$8="All",Raw_data!$AP34=Dashboard!$B$8),OR(Dashboard!$B$9="All",Raw_data!$AQ34=Dashboard!$B$9),OR(Dashboard!$B$10="All",Raw_data!$AF34=Dashboard!$B$10),OR(Raw_data!$F34="",Raw_data!$F34&lt;=TODAY())))</f>
        <v/>
      </c>
      <c r="B34">
        <f>IFERROR(IF(Dashboard!$B$3="Weighted",Raw_data!$U34,Raw_data!$T34),"")</f>
        <v/>
      </c>
      <c r="C34">
        <f>IFERROR(IF(Dashboard!$B$3="Weighted",Raw_data!$AB34,Raw_data!$AA34),"")</f>
        <v/>
      </c>
      <c r="D34">
        <f>IF(OR(Raw_data!$J34="",Raw_data!$J34&lt;=0,Raw_data!$K34=""),"",IF(Raw_data!$K34&gt;TODAY(),0,DATEDIF(Raw_data!$K34,TODAY(),"M")))</f>
        <v/>
      </c>
      <c r="E34">
        <f>--(AND(Raw_data!$AF34="No",OR(Raw_data!$AG34&lt;&gt;"",Raw_data!$AJ34&gt;0,Raw_data!$AK34&lt;&gt;"")))</f>
        <v/>
      </c>
      <c r="F34">
        <f>--(OR(AND(ISNUMBER(B34),B34&lt;0.5,OR(D34&gt;=24,Raw_data!$I34&gt;0)),Raw_data!$AE34=TRUE))</f>
        <v/>
      </c>
      <c r="G34">
        <f>IF(Dashboard!$B$11="Department",Raw_data!$AL34,IF(Dashboard!$B$11="Team",Raw_data!$AM34,IF(Dashboard!$B$11="Unit",Raw_data!$AN34,IF(Dashboard!$B$11="Legal entity",Raw_data!$AO34,IF(Dashboard!$B$11="Location",Raw_data!$AP34,Raw_data!$AQ34)))))</f>
        <v/>
      </c>
      <c r="H34">
        <f>--(AND(ISNUMBER(B34),B34&lt;0.5))</f>
        <v/>
      </c>
      <c r="I34">
        <f>IFERROR(MAX(0,(0.5-B34)*100),0)+IF(D34&gt;=24,20,0)+IF(Raw_data!$I34&gt;0,20,0)+IF(Raw_data!$AE34=TRUE,10,0)</f>
        <v/>
      </c>
      <c r="J34">
        <f>IFERROR(CHOOSE(MATCH(Dashboard!$B$11,{"Department","Team","Unit","Legal entity","Location","Lead"},0),INDEX(Lists!$B$3:$B$20,ROW()-1),INDEX(Lists!$C$3:$C$146,ROW()-1),INDEX(Lists!$D$3:$D$67,ROW()-1),INDEX(Lists!$E$3:$E$5,ROW()-1),INDEX(Lists!$F$3:$F$12,ROW()-1),INDEX(Lists!$G$3:$G$126,ROW()-1)),"")</f>
        <v/>
      </c>
      <c r="K34">
        <f>IF(J34="","",SUMPRODUCT(($A$2:$A$636=1)*($G$2:$G$636=J34)))</f>
        <v/>
      </c>
      <c r="L34">
        <f>IF(J34="","",SUMPRODUCT(($A$2:$A$636=1)*($G$2:$G$636=J34)*(ISNUMBER($B$2:$B$636))*($B$2:$B$636&lt;0.5)))</f>
        <v/>
      </c>
      <c r="M34">
        <f>IFERROR(L34/K34,"")</f>
        <v/>
      </c>
      <c r="N34">
        <f>IF(K34="","",M34+K34/100000+ROW()/100000000)</f>
        <v/>
      </c>
      <c r="R34">
        <f>IF(A34=1,IFERROR(I34,0)+ROW()/100000000,-1E+99)</f>
        <v/>
      </c>
      <c r="S34">
        <f>IF(A34=1,IFERROR(Raw_data!$T34,""),"")</f>
        <v/>
      </c>
      <c r="T34">
        <f>IF(A34=1,IFERROR(Raw_data!$AA34,""),"")</f>
        <v/>
      </c>
      <c r="U34">
        <f>IF(A34=1,IFERROR(Raw_data!$U34,""),"")</f>
        <v/>
      </c>
      <c r="V34">
        <f>IF(A34=1,IFERROR(Raw_data!$AB34,""),"")</f>
        <v/>
      </c>
    </row>
    <row r="35">
      <c r="A35">
        <f>--(AND(OR(Dashboard!$B$4="All",Raw_data!$AL35=Dashboard!$B$4),OR(Dashboard!$B$5="All",Raw_data!$AM35=Dashboard!$B$5),OR(Dashboard!$B$6="All",Raw_data!$AN35=Dashboard!$B$6),OR(Dashboard!$B$7="All",Raw_data!$AO35=Dashboard!$B$7),OR(Dashboard!$B$8="All",Raw_data!$AP35=Dashboard!$B$8),OR(Dashboard!$B$9="All",Raw_data!$AQ35=Dashboard!$B$9),OR(Dashboard!$B$10="All",Raw_data!$AF35=Dashboard!$B$10),OR(Raw_data!$F35="",Raw_data!$F35&lt;=TODAY())))</f>
        <v/>
      </c>
      <c r="B35">
        <f>IFERROR(IF(Dashboard!$B$3="Weighted",Raw_data!$U35,Raw_data!$T35),"")</f>
        <v/>
      </c>
      <c r="C35">
        <f>IFERROR(IF(Dashboard!$B$3="Weighted",Raw_data!$AB35,Raw_data!$AA35),"")</f>
        <v/>
      </c>
      <c r="D35">
        <f>IF(OR(Raw_data!$J35="",Raw_data!$J35&lt;=0,Raw_data!$K35=""),"",IF(Raw_data!$K35&gt;TODAY(),0,DATEDIF(Raw_data!$K35,TODAY(),"M")))</f>
        <v/>
      </c>
      <c r="E35">
        <f>--(AND(Raw_data!$AF35="No",OR(Raw_data!$AG35&lt;&gt;"",Raw_data!$AJ35&gt;0,Raw_data!$AK35&lt;&gt;"")))</f>
        <v/>
      </c>
      <c r="F35">
        <f>--(OR(AND(ISNUMBER(B35),B35&lt;0.5,OR(D35&gt;=24,Raw_data!$I35&gt;0)),Raw_data!$AE35=TRUE))</f>
        <v/>
      </c>
      <c r="G35">
        <f>IF(Dashboard!$B$11="Department",Raw_data!$AL35,IF(Dashboard!$B$11="Team",Raw_data!$AM35,IF(Dashboard!$B$11="Unit",Raw_data!$AN35,IF(Dashboard!$B$11="Legal entity",Raw_data!$AO35,IF(Dashboard!$B$11="Location",Raw_data!$AP35,Raw_data!$AQ35)))))</f>
        <v/>
      </c>
      <c r="H35">
        <f>--(AND(ISNUMBER(B35),B35&lt;0.5))</f>
        <v/>
      </c>
      <c r="I35">
        <f>IFERROR(MAX(0,(0.5-B35)*100),0)+IF(D35&gt;=24,20,0)+IF(Raw_data!$I35&gt;0,20,0)+IF(Raw_data!$AE35=TRUE,10,0)</f>
        <v/>
      </c>
      <c r="J35">
        <f>IFERROR(CHOOSE(MATCH(Dashboard!$B$11,{"Department","Team","Unit","Legal entity","Location","Lead"},0),INDEX(Lists!$B$3:$B$20,ROW()-1),INDEX(Lists!$C$3:$C$146,ROW()-1),INDEX(Lists!$D$3:$D$67,ROW()-1),INDEX(Lists!$E$3:$E$5,ROW()-1),INDEX(Lists!$F$3:$F$12,ROW()-1),INDEX(Lists!$G$3:$G$126,ROW()-1)),"")</f>
        <v/>
      </c>
      <c r="K35">
        <f>IF(J35="","",SUMPRODUCT(($A$2:$A$636=1)*($G$2:$G$636=J35)))</f>
        <v/>
      </c>
      <c r="L35">
        <f>IF(J35="","",SUMPRODUCT(($A$2:$A$636=1)*($G$2:$G$636=J35)*(ISNUMBER($B$2:$B$636))*($B$2:$B$636&lt;0.5)))</f>
        <v/>
      </c>
      <c r="M35">
        <f>IFERROR(L35/K35,"")</f>
        <v/>
      </c>
      <c r="N35">
        <f>IF(K35="","",M35+K35/100000+ROW()/100000000)</f>
        <v/>
      </c>
      <c r="R35">
        <f>IF(A35=1,IFERROR(I35,0)+ROW()/100000000,-1E+99)</f>
        <v/>
      </c>
      <c r="S35">
        <f>IF(A35=1,IFERROR(Raw_data!$T35,""),"")</f>
        <v/>
      </c>
      <c r="T35">
        <f>IF(A35=1,IFERROR(Raw_data!$AA35,""),"")</f>
        <v/>
      </c>
      <c r="U35">
        <f>IF(A35=1,IFERROR(Raw_data!$U35,""),"")</f>
        <v/>
      </c>
      <c r="V35">
        <f>IF(A35=1,IFERROR(Raw_data!$AB35,""),"")</f>
        <v/>
      </c>
    </row>
    <row r="36">
      <c r="A36">
        <f>--(AND(OR(Dashboard!$B$4="All",Raw_data!$AL36=Dashboard!$B$4),OR(Dashboard!$B$5="All",Raw_data!$AM36=Dashboard!$B$5),OR(Dashboard!$B$6="All",Raw_data!$AN36=Dashboard!$B$6),OR(Dashboard!$B$7="All",Raw_data!$AO36=Dashboard!$B$7),OR(Dashboard!$B$8="All",Raw_data!$AP36=Dashboard!$B$8),OR(Dashboard!$B$9="All",Raw_data!$AQ36=Dashboard!$B$9),OR(Dashboard!$B$10="All",Raw_data!$AF36=Dashboard!$B$10),OR(Raw_data!$F36="",Raw_data!$F36&lt;=TODAY())))</f>
        <v/>
      </c>
      <c r="B36">
        <f>IFERROR(IF(Dashboard!$B$3="Weighted",Raw_data!$U36,Raw_data!$T36),"")</f>
        <v/>
      </c>
      <c r="C36">
        <f>IFERROR(IF(Dashboard!$B$3="Weighted",Raw_data!$AB36,Raw_data!$AA36),"")</f>
        <v/>
      </c>
      <c r="D36">
        <f>IF(OR(Raw_data!$J36="",Raw_data!$J36&lt;=0,Raw_data!$K36=""),"",IF(Raw_data!$K36&gt;TODAY(),0,DATEDIF(Raw_data!$K36,TODAY(),"M")))</f>
        <v/>
      </c>
      <c r="E36">
        <f>--(AND(Raw_data!$AF36="No",OR(Raw_data!$AG36&lt;&gt;"",Raw_data!$AJ36&gt;0,Raw_data!$AK36&lt;&gt;"")))</f>
        <v/>
      </c>
      <c r="F36">
        <f>--(OR(AND(ISNUMBER(B36),B36&lt;0.5,OR(D36&gt;=24,Raw_data!$I36&gt;0)),Raw_data!$AE36=TRUE))</f>
        <v/>
      </c>
      <c r="G36">
        <f>IF(Dashboard!$B$11="Department",Raw_data!$AL36,IF(Dashboard!$B$11="Team",Raw_data!$AM36,IF(Dashboard!$B$11="Unit",Raw_data!$AN36,IF(Dashboard!$B$11="Legal entity",Raw_data!$AO36,IF(Dashboard!$B$11="Location",Raw_data!$AP36,Raw_data!$AQ36)))))</f>
        <v/>
      </c>
      <c r="H36">
        <f>--(AND(ISNUMBER(B36),B36&lt;0.5))</f>
        <v/>
      </c>
      <c r="I36">
        <f>IFERROR(MAX(0,(0.5-B36)*100),0)+IF(D36&gt;=24,20,0)+IF(Raw_data!$I36&gt;0,20,0)+IF(Raw_data!$AE36=TRUE,10,0)</f>
        <v/>
      </c>
      <c r="J36">
        <f>IFERROR(CHOOSE(MATCH(Dashboard!$B$11,{"Department","Team","Unit","Legal entity","Location","Lead"},0),INDEX(Lists!$B$3:$B$20,ROW()-1),INDEX(Lists!$C$3:$C$146,ROW()-1),INDEX(Lists!$D$3:$D$67,ROW()-1),INDEX(Lists!$E$3:$E$5,ROW()-1),INDEX(Lists!$F$3:$F$12,ROW()-1),INDEX(Lists!$G$3:$G$126,ROW()-1)),"")</f>
        <v/>
      </c>
      <c r="K36">
        <f>IF(J36="","",SUMPRODUCT(($A$2:$A$636=1)*($G$2:$G$636=J36)))</f>
        <v/>
      </c>
      <c r="L36">
        <f>IF(J36="","",SUMPRODUCT(($A$2:$A$636=1)*($G$2:$G$636=J36)*(ISNUMBER($B$2:$B$636))*($B$2:$B$636&lt;0.5)))</f>
        <v/>
      </c>
      <c r="M36">
        <f>IFERROR(L36/K36,"")</f>
        <v/>
      </c>
      <c r="N36">
        <f>IF(K36="","",M36+K36/100000+ROW()/100000000)</f>
        <v/>
      </c>
      <c r="R36">
        <f>IF(A36=1,IFERROR(I36,0)+ROW()/100000000,-1E+99)</f>
        <v/>
      </c>
      <c r="S36">
        <f>IF(A36=1,IFERROR(Raw_data!$T36,""),"")</f>
        <v/>
      </c>
      <c r="T36">
        <f>IF(A36=1,IFERROR(Raw_data!$AA36,""),"")</f>
        <v/>
      </c>
      <c r="U36">
        <f>IF(A36=1,IFERROR(Raw_data!$U36,""),"")</f>
        <v/>
      </c>
      <c r="V36">
        <f>IF(A36=1,IFERROR(Raw_data!$AB36,""),"")</f>
        <v/>
      </c>
    </row>
    <row r="37">
      <c r="A37">
        <f>--(AND(OR(Dashboard!$B$4="All",Raw_data!$AL37=Dashboard!$B$4),OR(Dashboard!$B$5="All",Raw_data!$AM37=Dashboard!$B$5),OR(Dashboard!$B$6="All",Raw_data!$AN37=Dashboard!$B$6),OR(Dashboard!$B$7="All",Raw_data!$AO37=Dashboard!$B$7),OR(Dashboard!$B$8="All",Raw_data!$AP37=Dashboard!$B$8),OR(Dashboard!$B$9="All",Raw_data!$AQ37=Dashboard!$B$9),OR(Dashboard!$B$10="All",Raw_data!$AF37=Dashboard!$B$10),OR(Raw_data!$F37="",Raw_data!$F37&lt;=TODAY())))</f>
        <v/>
      </c>
      <c r="B37">
        <f>IFERROR(IF(Dashboard!$B$3="Weighted",Raw_data!$U37,Raw_data!$T37),"")</f>
        <v/>
      </c>
      <c r="C37">
        <f>IFERROR(IF(Dashboard!$B$3="Weighted",Raw_data!$AB37,Raw_data!$AA37),"")</f>
        <v/>
      </c>
      <c r="D37">
        <f>IF(OR(Raw_data!$J37="",Raw_data!$J37&lt;=0,Raw_data!$K37=""),"",IF(Raw_data!$K37&gt;TODAY(),0,DATEDIF(Raw_data!$K37,TODAY(),"M")))</f>
        <v/>
      </c>
      <c r="E37">
        <f>--(AND(Raw_data!$AF37="No",OR(Raw_data!$AG37&lt;&gt;"",Raw_data!$AJ37&gt;0,Raw_data!$AK37&lt;&gt;"")))</f>
        <v/>
      </c>
      <c r="F37">
        <f>--(OR(AND(ISNUMBER(B37),B37&lt;0.5,OR(D37&gt;=24,Raw_data!$I37&gt;0)),Raw_data!$AE37=TRUE))</f>
        <v/>
      </c>
      <c r="G37">
        <f>IF(Dashboard!$B$11="Department",Raw_data!$AL37,IF(Dashboard!$B$11="Team",Raw_data!$AM37,IF(Dashboard!$B$11="Unit",Raw_data!$AN37,IF(Dashboard!$B$11="Legal entity",Raw_data!$AO37,IF(Dashboard!$B$11="Location",Raw_data!$AP37,Raw_data!$AQ37)))))</f>
        <v/>
      </c>
      <c r="H37">
        <f>--(AND(ISNUMBER(B37),B37&lt;0.5))</f>
        <v/>
      </c>
      <c r="I37">
        <f>IFERROR(MAX(0,(0.5-B37)*100),0)+IF(D37&gt;=24,20,0)+IF(Raw_data!$I37&gt;0,20,0)+IF(Raw_data!$AE37=TRUE,10,0)</f>
        <v/>
      </c>
      <c r="J37">
        <f>IFERROR(CHOOSE(MATCH(Dashboard!$B$11,{"Department","Team","Unit","Legal entity","Location","Lead"},0),INDEX(Lists!$B$3:$B$20,ROW()-1),INDEX(Lists!$C$3:$C$146,ROW()-1),INDEX(Lists!$D$3:$D$67,ROW()-1),INDEX(Lists!$E$3:$E$5,ROW()-1),INDEX(Lists!$F$3:$F$12,ROW()-1),INDEX(Lists!$G$3:$G$126,ROW()-1)),"")</f>
        <v/>
      </c>
      <c r="K37">
        <f>IF(J37="","",SUMPRODUCT(($A$2:$A$636=1)*($G$2:$G$636=J37)))</f>
        <v/>
      </c>
      <c r="L37">
        <f>IF(J37="","",SUMPRODUCT(($A$2:$A$636=1)*($G$2:$G$636=J37)*(ISNUMBER($B$2:$B$636))*($B$2:$B$636&lt;0.5)))</f>
        <v/>
      </c>
      <c r="M37">
        <f>IFERROR(L37/K37,"")</f>
        <v/>
      </c>
      <c r="N37">
        <f>IF(K37="","",M37+K37/100000+ROW()/100000000)</f>
        <v/>
      </c>
      <c r="R37">
        <f>IF(A37=1,IFERROR(I37,0)+ROW()/100000000,-1E+99)</f>
        <v/>
      </c>
      <c r="S37">
        <f>IF(A37=1,IFERROR(Raw_data!$T37,""),"")</f>
        <v/>
      </c>
      <c r="T37">
        <f>IF(A37=1,IFERROR(Raw_data!$AA37,""),"")</f>
        <v/>
      </c>
      <c r="U37">
        <f>IF(A37=1,IFERROR(Raw_data!$U37,""),"")</f>
        <v/>
      </c>
      <c r="V37">
        <f>IF(A37=1,IFERROR(Raw_data!$AB37,""),"")</f>
        <v/>
      </c>
    </row>
    <row r="38">
      <c r="A38">
        <f>--(AND(OR(Dashboard!$B$4="All",Raw_data!$AL38=Dashboard!$B$4),OR(Dashboard!$B$5="All",Raw_data!$AM38=Dashboard!$B$5),OR(Dashboard!$B$6="All",Raw_data!$AN38=Dashboard!$B$6),OR(Dashboard!$B$7="All",Raw_data!$AO38=Dashboard!$B$7),OR(Dashboard!$B$8="All",Raw_data!$AP38=Dashboard!$B$8),OR(Dashboard!$B$9="All",Raw_data!$AQ38=Dashboard!$B$9),OR(Dashboard!$B$10="All",Raw_data!$AF38=Dashboard!$B$10),OR(Raw_data!$F38="",Raw_data!$F38&lt;=TODAY())))</f>
        <v/>
      </c>
      <c r="B38">
        <f>IFERROR(IF(Dashboard!$B$3="Weighted",Raw_data!$U38,Raw_data!$T38),"")</f>
        <v/>
      </c>
      <c r="C38">
        <f>IFERROR(IF(Dashboard!$B$3="Weighted",Raw_data!$AB38,Raw_data!$AA38),"")</f>
        <v/>
      </c>
      <c r="D38">
        <f>IF(OR(Raw_data!$J38="",Raw_data!$J38&lt;=0,Raw_data!$K38=""),"",IF(Raw_data!$K38&gt;TODAY(),0,DATEDIF(Raw_data!$K38,TODAY(),"M")))</f>
        <v/>
      </c>
      <c r="E38">
        <f>--(AND(Raw_data!$AF38="No",OR(Raw_data!$AG38&lt;&gt;"",Raw_data!$AJ38&gt;0,Raw_data!$AK38&lt;&gt;"")))</f>
        <v/>
      </c>
      <c r="F38">
        <f>--(OR(AND(ISNUMBER(B38),B38&lt;0.5,OR(D38&gt;=24,Raw_data!$I38&gt;0)),Raw_data!$AE38=TRUE))</f>
        <v/>
      </c>
      <c r="G38">
        <f>IF(Dashboard!$B$11="Department",Raw_data!$AL38,IF(Dashboard!$B$11="Team",Raw_data!$AM38,IF(Dashboard!$B$11="Unit",Raw_data!$AN38,IF(Dashboard!$B$11="Legal entity",Raw_data!$AO38,IF(Dashboard!$B$11="Location",Raw_data!$AP38,Raw_data!$AQ38)))))</f>
        <v/>
      </c>
      <c r="H38">
        <f>--(AND(ISNUMBER(B38),B38&lt;0.5))</f>
        <v/>
      </c>
      <c r="I38">
        <f>IFERROR(MAX(0,(0.5-B38)*100),0)+IF(D38&gt;=24,20,0)+IF(Raw_data!$I38&gt;0,20,0)+IF(Raw_data!$AE38=TRUE,10,0)</f>
        <v/>
      </c>
      <c r="J38">
        <f>IFERROR(CHOOSE(MATCH(Dashboard!$B$11,{"Department","Team","Unit","Legal entity","Location","Lead"},0),INDEX(Lists!$B$3:$B$20,ROW()-1),INDEX(Lists!$C$3:$C$146,ROW()-1),INDEX(Lists!$D$3:$D$67,ROW()-1),INDEX(Lists!$E$3:$E$5,ROW()-1),INDEX(Lists!$F$3:$F$12,ROW()-1),INDEX(Lists!$G$3:$G$126,ROW()-1)),"")</f>
        <v/>
      </c>
      <c r="K38">
        <f>IF(J38="","",SUMPRODUCT(($A$2:$A$636=1)*($G$2:$G$636=J38)))</f>
        <v/>
      </c>
      <c r="L38">
        <f>IF(J38="","",SUMPRODUCT(($A$2:$A$636=1)*($G$2:$G$636=J38)*(ISNUMBER($B$2:$B$636))*($B$2:$B$636&lt;0.5)))</f>
        <v/>
      </c>
      <c r="M38">
        <f>IFERROR(L38/K38,"")</f>
        <v/>
      </c>
      <c r="N38">
        <f>IF(K38="","",M38+K38/100000+ROW()/100000000)</f>
        <v/>
      </c>
      <c r="R38">
        <f>IF(A38=1,IFERROR(I38,0)+ROW()/100000000,-1E+99)</f>
        <v/>
      </c>
      <c r="S38">
        <f>IF(A38=1,IFERROR(Raw_data!$T38,""),"")</f>
        <v/>
      </c>
      <c r="T38">
        <f>IF(A38=1,IFERROR(Raw_data!$AA38,""),"")</f>
        <v/>
      </c>
      <c r="U38">
        <f>IF(A38=1,IFERROR(Raw_data!$U38,""),"")</f>
        <v/>
      </c>
      <c r="V38">
        <f>IF(A38=1,IFERROR(Raw_data!$AB38,""),"")</f>
        <v/>
      </c>
    </row>
    <row r="39">
      <c r="A39">
        <f>--(AND(OR(Dashboard!$B$4="All",Raw_data!$AL39=Dashboard!$B$4),OR(Dashboard!$B$5="All",Raw_data!$AM39=Dashboard!$B$5),OR(Dashboard!$B$6="All",Raw_data!$AN39=Dashboard!$B$6),OR(Dashboard!$B$7="All",Raw_data!$AO39=Dashboard!$B$7),OR(Dashboard!$B$8="All",Raw_data!$AP39=Dashboard!$B$8),OR(Dashboard!$B$9="All",Raw_data!$AQ39=Dashboard!$B$9),OR(Dashboard!$B$10="All",Raw_data!$AF39=Dashboard!$B$10),OR(Raw_data!$F39="",Raw_data!$F39&lt;=TODAY())))</f>
        <v/>
      </c>
      <c r="B39">
        <f>IFERROR(IF(Dashboard!$B$3="Weighted",Raw_data!$U39,Raw_data!$T39),"")</f>
        <v/>
      </c>
      <c r="C39">
        <f>IFERROR(IF(Dashboard!$B$3="Weighted",Raw_data!$AB39,Raw_data!$AA39),"")</f>
        <v/>
      </c>
      <c r="D39">
        <f>IF(OR(Raw_data!$J39="",Raw_data!$J39&lt;=0,Raw_data!$K39=""),"",IF(Raw_data!$K39&gt;TODAY(),0,DATEDIF(Raw_data!$K39,TODAY(),"M")))</f>
        <v/>
      </c>
      <c r="E39">
        <f>--(AND(Raw_data!$AF39="No",OR(Raw_data!$AG39&lt;&gt;"",Raw_data!$AJ39&gt;0,Raw_data!$AK39&lt;&gt;"")))</f>
        <v/>
      </c>
      <c r="F39">
        <f>--(OR(AND(ISNUMBER(B39),B39&lt;0.5,OR(D39&gt;=24,Raw_data!$I39&gt;0)),Raw_data!$AE39=TRUE))</f>
        <v/>
      </c>
      <c r="G39">
        <f>IF(Dashboard!$B$11="Department",Raw_data!$AL39,IF(Dashboard!$B$11="Team",Raw_data!$AM39,IF(Dashboard!$B$11="Unit",Raw_data!$AN39,IF(Dashboard!$B$11="Legal entity",Raw_data!$AO39,IF(Dashboard!$B$11="Location",Raw_data!$AP39,Raw_data!$AQ39)))))</f>
        <v/>
      </c>
      <c r="H39">
        <f>--(AND(ISNUMBER(B39),B39&lt;0.5))</f>
        <v/>
      </c>
      <c r="I39">
        <f>IFERROR(MAX(0,(0.5-B39)*100),0)+IF(D39&gt;=24,20,0)+IF(Raw_data!$I39&gt;0,20,0)+IF(Raw_data!$AE39=TRUE,10,0)</f>
        <v/>
      </c>
      <c r="J39">
        <f>IFERROR(CHOOSE(MATCH(Dashboard!$B$11,{"Department","Team","Unit","Legal entity","Location","Lead"},0),INDEX(Lists!$B$3:$B$20,ROW()-1),INDEX(Lists!$C$3:$C$146,ROW()-1),INDEX(Lists!$D$3:$D$67,ROW()-1),INDEX(Lists!$E$3:$E$5,ROW()-1),INDEX(Lists!$F$3:$F$12,ROW()-1),INDEX(Lists!$G$3:$G$126,ROW()-1)),"")</f>
        <v/>
      </c>
      <c r="K39">
        <f>IF(J39="","",SUMPRODUCT(($A$2:$A$636=1)*($G$2:$G$636=J39)))</f>
        <v/>
      </c>
      <c r="L39">
        <f>IF(J39="","",SUMPRODUCT(($A$2:$A$636=1)*($G$2:$G$636=J39)*(ISNUMBER($B$2:$B$636))*($B$2:$B$636&lt;0.5)))</f>
        <v/>
      </c>
      <c r="M39">
        <f>IFERROR(L39/K39,"")</f>
        <v/>
      </c>
      <c r="N39">
        <f>IF(K39="","",M39+K39/100000+ROW()/100000000)</f>
        <v/>
      </c>
      <c r="R39">
        <f>IF(A39=1,IFERROR(I39,0)+ROW()/100000000,-1E+99)</f>
        <v/>
      </c>
      <c r="S39">
        <f>IF(A39=1,IFERROR(Raw_data!$T39,""),"")</f>
        <v/>
      </c>
      <c r="T39">
        <f>IF(A39=1,IFERROR(Raw_data!$AA39,""),"")</f>
        <v/>
      </c>
      <c r="U39">
        <f>IF(A39=1,IFERROR(Raw_data!$U39,""),"")</f>
        <v/>
      </c>
      <c r="V39">
        <f>IF(A39=1,IFERROR(Raw_data!$AB39,""),"")</f>
        <v/>
      </c>
    </row>
    <row r="40">
      <c r="A40">
        <f>--(AND(OR(Dashboard!$B$4="All",Raw_data!$AL40=Dashboard!$B$4),OR(Dashboard!$B$5="All",Raw_data!$AM40=Dashboard!$B$5),OR(Dashboard!$B$6="All",Raw_data!$AN40=Dashboard!$B$6),OR(Dashboard!$B$7="All",Raw_data!$AO40=Dashboard!$B$7),OR(Dashboard!$B$8="All",Raw_data!$AP40=Dashboard!$B$8),OR(Dashboard!$B$9="All",Raw_data!$AQ40=Dashboard!$B$9),OR(Dashboard!$B$10="All",Raw_data!$AF40=Dashboard!$B$10),OR(Raw_data!$F40="",Raw_data!$F40&lt;=TODAY())))</f>
        <v/>
      </c>
      <c r="B40">
        <f>IFERROR(IF(Dashboard!$B$3="Weighted",Raw_data!$U40,Raw_data!$T40),"")</f>
        <v/>
      </c>
      <c r="C40">
        <f>IFERROR(IF(Dashboard!$B$3="Weighted",Raw_data!$AB40,Raw_data!$AA40),"")</f>
        <v/>
      </c>
      <c r="D40">
        <f>IF(OR(Raw_data!$J40="",Raw_data!$J40&lt;=0,Raw_data!$K40=""),"",IF(Raw_data!$K40&gt;TODAY(),0,DATEDIF(Raw_data!$K40,TODAY(),"M")))</f>
        <v/>
      </c>
      <c r="E40">
        <f>--(AND(Raw_data!$AF40="No",OR(Raw_data!$AG40&lt;&gt;"",Raw_data!$AJ40&gt;0,Raw_data!$AK40&lt;&gt;"")))</f>
        <v/>
      </c>
      <c r="F40">
        <f>--(OR(AND(ISNUMBER(B40),B40&lt;0.5,OR(D40&gt;=24,Raw_data!$I40&gt;0)),Raw_data!$AE40=TRUE))</f>
        <v/>
      </c>
      <c r="G40">
        <f>IF(Dashboard!$B$11="Department",Raw_data!$AL40,IF(Dashboard!$B$11="Team",Raw_data!$AM40,IF(Dashboard!$B$11="Unit",Raw_data!$AN40,IF(Dashboard!$B$11="Legal entity",Raw_data!$AO40,IF(Dashboard!$B$11="Location",Raw_data!$AP40,Raw_data!$AQ40)))))</f>
        <v/>
      </c>
      <c r="H40">
        <f>--(AND(ISNUMBER(B40),B40&lt;0.5))</f>
        <v/>
      </c>
      <c r="I40">
        <f>IFERROR(MAX(0,(0.5-B40)*100),0)+IF(D40&gt;=24,20,0)+IF(Raw_data!$I40&gt;0,20,0)+IF(Raw_data!$AE40=TRUE,10,0)</f>
        <v/>
      </c>
      <c r="J40">
        <f>IFERROR(CHOOSE(MATCH(Dashboard!$B$11,{"Department","Team","Unit","Legal entity","Location","Lead"},0),INDEX(Lists!$B$3:$B$20,ROW()-1),INDEX(Lists!$C$3:$C$146,ROW()-1),INDEX(Lists!$D$3:$D$67,ROW()-1),INDEX(Lists!$E$3:$E$5,ROW()-1),INDEX(Lists!$F$3:$F$12,ROW()-1),INDEX(Lists!$G$3:$G$126,ROW()-1)),"")</f>
        <v/>
      </c>
      <c r="K40">
        <f>IF(J40="","",SUMPRODUCT(($A$2:$A$636=1)*($G$2:$G$636=J40)))</f>
        <v/>
      </c>
      <c r="L40">
        <f>IF(J40="","",SUMPRODUCT(($A$2:$A$636=1)*($G$2:$G$636=J40)*(ISNUMBER($B$2:$B$636))*($B$2:$B$636&lt;0.5)))</f>
        <v/>
      </c>
      <c r="M40">
        <f>IFERROR(L40/K40,"")</f>
        <v/>
      </c>
      <c r="N40">
        <f>IF(K40="","",M40+K40/100000+ROW()/100000000)</f>
        <v/>
      </c>
      <c r="R40">
        <f>IF(A40=1,IFERROR(I40,0)+ROW()/100000000,-1E+99)</f>
        <v/>
      </c>
      <c r="S40">
        <f>IF(A40=1,IFERROR(Raw_data!$T40,""),"")</f>
        <v/>
      </c>
      <c r="T40">
        <f>IF(A40=1,IFERROR(Raw_data!$AA40,""),"")</f>
        <v/>
      </c>
      <c r="U40">
        <f>IF(A40=1,IFERROR(Raw_data!$U40,""),"")</f>
        <v/>
      </c>
      <c r="V40">
        <f>IF(A40=1,IFERROR(Raw_data!$AB40,""),"")</f>
        <v/>
      </c>
    </row>
    <row r="41">
      <c r="A41">
        <f>--(AND(OR(Dashboard!$B$4="All",Raw_data!$AL41=Dashboard!$B$4),OR(Dashboard!$B$5="All",Raw_data!$AM41=Dashboard!$B$5),OR(Dashboard!$B$6="All",Raw_data!$AN41=Dashboard!$B$6),OR(Dashboard!$B$7="All",Raw_data!$AO41=Dashboard!$B$7),OR(Dashboard!$B$8="All",Raw_data!$AP41=Dashboard!$B$8),OR(Dashboard!$B$9="All",Raw_data!$AQ41=Dashboard!$B$9),OR(Dashboard!$B$10="All",Raw_data!$AF41=Dashboard!$B$10),OR(Raw_data!$F41="",Raw_data!$F41&lt;=TODAY())))</f>
        <v/>
      </c>
      <c r="B41">
        <f>IFERROR(IF(Dashboard!$B$3="Weighted",Raw_data!$U41,Raw_data!$T41),"")</f>
        <v/>
      </c>
      <c r="C41">
        <f>IFERROR(IF(Dashboard!$B$3="Weighted",Raw_data!$AB41,Raw_data!$AA41),"")</f>
        <v/>
      </c>
      <c r="D41">
        <f>IF(OR(Raw_data!$J41="",Raw_data!$J41&lt;=0,Raw_data!$K41=""),"",IF(Raw_data!$K41&gt;TODAY(),0,DATEDIF(Raw_data!$K41,TODAY(),"M")))</f>
        <v/>
      </c>
      <c r="E41">
        <f>--(AND(Raw_data!$AF41="No",OR(Raw_data!$AG41&lt;&gt;"",Raw_data!$AJ41&gt;0,Raw_data!$AK41&lt;&gt;"")))</f>
        <v/>
      </c>
      <c r="F41">
        <f>--(OR(AND(ISNUMBER(B41),B41&lt;0.5,OR(D41&gt;=24,Raw_data!$I41&gt;0)),Raw_data!$AE41=TRUE))</f>
        <v/>
      </c>
      <c r="G41">
        <f>IF(Dashboard!$B$11="Department",Raw_data!$AL41,IF(Dashboard!$B$11="Team",Raw_data!$AM41,IF(Dashboard!$B$11="Unit",Raw_data!$AN41,IF(Dashboard!$B$11="Legal entity",Raw_data!$AO41,IF(Dashboard!$B$11="Location",Raw_data!$AP41,Raw_data!$AQ41)))))</f>
        <v/>
      </c>
      <c r="H41">
        <f>--(AND(ISNUMBER(B41),B41&lt;0.5))</f>
        <v/>
      </c>
      <c r="I41">
        <f>IFERROR(MAX(0,(0.5-B41)*100),0)+IF(D41&gt;=24,20,0)+IF(Raw_data!$I41&gt;0,20,0)+IF(Raw_data!$AE41=TRUE,10,0)</f>
        <v/>
      </c>
      <c r="J41">
        <f>IFERROR(CHOOSE(MATCH(Dashboard!$B$11,{"Department","Team","Unit","Legal entity","Location","Lead"},0),INDEX(Lists!$B$3:$B$20,ROW()-1),INDEX(Lists!$C$3:$C$146,ROW()-1),INDEX(Lists!$D$3:$D$67,ROW()-1),INDEX(Lists!$E$3:$E$5,ROW()-1),INDEX(Lists!$F$3:$F$12,ROW()-1),INDEX(Lists!$G$3:$G$126,ROW()-1)),"")</f>
        <v/>
      </c>
      <c r="K41">
        <f>IF(J41="","",SUMPRODUCT(($A$2:$A$636=1)*($G$2:$G$636=J41)))</f>
        <v/>
      </c>
      <c r="L41">
        <f>IF(J41="","",SUMPRODUCT(($A$2:$A$636=1)*($G$2:$G$636=J41)*(ISNUMBER($B$2:$B$636))*($B$2:$B$636&lt;0.5)))</f>
        <v/>
      </c>
      <c r="M41">
        <f>IFERROR(L41/K41,"")</f>
        <v/>
      </c>
      <c r="N41">
        <f>IF(K41="","",M41+K41/100000+ROW()/100000000)</f>
        <v/>
      </c>
      <c r="R41">
        <f>IF(A41=1,IFERROR(I41,0)+ROW()/100000000,-1E+99)</f>
        <v/>
      </c>
      <c r="S41">
        <f>IF(A41=1,IFERROR(Raw_data!$T41,""),"")</f>
        <v/>
      </c>
      <c r="T41">
        <f>IF(A41=1,IFERROR(Raw_data!$AA41,""),"")</f>
        <v/>
      </c>
      <c r="U41">
        <f>IF(A41=1,IFERROR(Raw_data!$U41,""),"")</f>
        <v/>
      </c>
      <c r="V41">
        <f>IF(A41=1,IFERROR(Raw_data!$AB41,""),"")</f>
        <v/>
      </c>
    </row>
    <row r="42">
      <c r="A42">
        <f>--(AND(OR(Dashboard!$B$4="All",Raw_data!$AL42=Dashboard!$B$4),OR(Dashboard!$B$5="All",Raw_data!$AM42=Dashboard!$B$5),OR(Dashboard!$B$6="All",Raw_data!$AN42=Dashboard!$B$6),OR(Dashboard!$B$7="All",Raw_data!$AO42=Dashboard!$B$7),OR(Dashboard!$B$8="All",Raw_data!$AP42=Dashboard!$B$8),OR(Dashboard!$B$9="All",Raw_data!$AQ42=Dashboard!$B$9),OR(Dashboard!$B$10="All",Raw_data!$AF42=Dashboard!$B$10),OR(Raw_data!$F42="",Raw_data!$F42&lt;=TODAY())))</f>
        <v/>
      </c>
      <c r="B42">
        <f>IFERROR(IF(Dashboard!$B$3="Weighted",Raw_data!$U42,Raw_data!$T42),"")</f>
        <v/>
      </c>
      <c r="C42">
        <f>IFERROR(IF(Dashboard!$B$3="Weighted",Raw_data!$AB42,Raw_data!$AA42),"")</f>
        <v/>
      </c>
      <c r="D42">
        <f>IF(OR(Raw_data!$J42="",Raw_data!$J42&lt;=0,Raw_data!$K42=""),"",IF(Raw_data!$K42&gt;TODAY(),0,DATEDIF(Raw_data!$K42,TODAY(),"M")))</f>
        <v/>
      </c>
      <c r="E42">
        <f>--(AND(Raw_data!$AF42="No",OR(Raw_data!$AG42&lt;&gt;"",Raw_data!$AJ42&gt;0,Raw_data!$AK42&lt;&gt;"")))</f>
        <v/>
      </c>
      <c r="F42">
        <f>--(OR(AND(ISNUMBER(B42),B42&lt;0.5,OR(D42&gt;=24,Raw_data!$I42&gt;0)),Raw_data!$AE42=TRUE))</f>
        <v/>
      </c>
      <c r="G42">
        <f>IF(Dashboard!$B$11="Department",Raw_data!$AL42,IF(Dashboard!$B$11="Team",Raw_data!$AM42,IF(Dashboard!$B$11="Unit",Raw_data!$AN42,IF(Dashboard!$B$11="Legal entity",Raw_data!$AO42,IF(Dashboard!$B$11="Location",Raw_data!$AP42,Raw_data!$AQ42)))))</f>
        <v/>
      </c>
      <c r="H42">
        <f>--(AND(ISNUMBER(B42),B42&lt;0.5))</f>
        <v/>
      </c>
      <c r="I42">
        <f>IFERROR(MAX(0,(0.5-B42)*100),0)+IF(D42&gt;=24,20,0)+IF(Raw_data!$I42&gt;0,20,0)+IF(Raw_data!$AE42=TRUE,10,0)</f>
        <v/>
      </c>
      <c r="J42">
        <f>IFERROR(CHOOSE(MATCH(Dashboard!$B$11,{"Department","Team","Unit","Legal entity","Location","Lead"},0),INDEX(Lists!$B$3:$B$20,ROW()-1),INDEX(Lists!$C$3:$C$146,ROW()-1),INDEX(Lists!$D$3:$D$67,ROW()-1),INDEX(Lists!$E$3:$E$5,ROW()-1),INDEX(Lists!$F$3:$F$12,ROW()-1),INDEX(Lists!$G$3:$G$126,ROW()-1)),"")</f>
        <v/>
      </c>
      <c r="K42">
        <f>IF(J42="","",SUMPRODUCT(($A$2:$A$636=1)*($G$2:$G$636=J42)))</f>
        <v/>
      </c>
      <c r="L42">
        <f>IF(J42="","",SUMPRODUCT(($A$2:$A$636=1)*($G$2:$G$636=J42)*(ISNUMBER($B$2:$B$636))*($B$2:$B$636&lt;0.5)))</f>
        <v/>
      </c>
      <c r="M42">
        <f>IFERROR(L42/K42,"")</f>
        <v/>
      </c>
      <c r="N42">
        <f>IF(K42="","",M42+K42/100000+ROW()/100000000)</f>
        <v/>
      </c>
      <c r="R42">
        <f>IF(A42=1,IFERROR(I42,0)+ROW()/100000000,-1E+99)</f>
        <v/>
      </c>
      <c r="S42">
        <f>IF(A42=1,IFERROR(Raw_data!$T42,""),"")</f>
        <v/>
      </c>
      <c r="T42">
        <f>IF(A42=1,IFERROR(Raw_data!$AA42,""),"")</f>
        <v/>
      </c>
      <c r="U42">
        <f>IF(A42=1,IFERROR(Raw_data!$U42,""),"")</f>
        <v/>
      </c>
      <c r="V42">
        <f>IF(A42=1,IFERROR(Raw_data!$AB42,""),"")</f>
        <v/>
      </c>
    </row>
    <row r="43">
      <c r="A43">
        <f>--(AND(OR(Dashboard!$B$4="All",Raw_data!$AL43=Dashboard!$B$4),OR(Dashboard!$B$5="All",Raw_data!$AM43=Dashboard!$B$5),OR(Dashboard!$B$6="All",Raw_data!$AN43=Dashboard!$B$6),OR(Dashboard!$B$7="All",Raw_data!$AO43=Dashboard!$B$7),OR(Dashboard!$B$8="All",Raw_data!$AP43=Dashboard!$B$8),OR(Dashboard!$B$9="All",Raw_data!$AQ43=Dashboard!$B$9),OR(Dashboard!$B$10="All",Raw_data!$AF43=Dashboard!$B$10),OR(Raw_data!$F43="",Raw_data!$F43&lt;=TODAY())))</f>
        <v/>
      </c>
      <c r="B43">
        <f>IFERROR(IF(Dashboard!$B$3="Weighted",Raw_data!$U43,Raw_data!$T43),"")</f>
        <v/>
      </c>
      <c r="C43">
        <f>IFERROR(IF(Dashboard!$B$3="Weighted",Raw_data!$AB43,Raw_data!$AA43),"")</f>
        <v/>
      </c>
      <c r="D43">
        <f>IF(OR(Raw_data!$J43="",Raw_data!$J43&lt;=0,Raw_data!$K43=""),"",IF(Raw_data!$K43&gt;TODAY(),0,DATEDIF(Raw_data!$K43,TODAY(),"M")))</f>
        <v/>
      </c>
      <c r="E43">
        <f>--(AND(Raw_data!$AF43="No",OR(Raw_data!$AG43&lt;&gt;"",Raw_data!$AJ43&gt;0,Raw_data!$AK43&lt;&gt;"")))</f>
        <v/>
      </c>
      <c r="F43">
        <f>--(OR(AND(ISNUMBER(B43),B43&lt;0.5,OR(D43&gt;=24,Raw_data!$I43&gt;0)),Raw_data!$AE43=TRUE))</f>
        <v/>
      </c>
      <c r="G43">
        <f>IF(Dashboard!$B$11="Department",Raw_data!$AL43,IF(Dashboard!$B$11="Team",Raw_data!$AM43,IF(Dashboard!$B$11="Unit",Raw_data!$AN43,IF(Dashboard!$B$11="Legal entity",Raw_data!$AO43,IF(Dashboard!$B$11="Location",Raw_data!$AP43,Raw_data!$AQ43)))))</f>
        <v/>
      </c>
      <c r="H43">
        <f>--(AND(ISNUMBER(B43),B43&lt;0.5))</f>
        <v/>
      </c>
      <c r="I43">
        <f>IFERROR(MAX(0,(0.5-B43)*100),0)+IF(D43&gt;=24,20,0)+IF(Raw_data!$I43&gt;0,20,0)+IF(Raw_data!$AE43=TRUE,10,0)</f>
        <v/>
      </c>
      <c r="J43">
        <f>IFERROR(CHOOSE(MATCH(Dashboard!$B$11,{"Department","Team","Unit","Legal entity","Location","Lead"},0),INDEX(Lists!$B$3:$B$20,ROW()-1),INDEX(Lists!$C$3:$C$146,ROW()-1),INDEX(Lists!$D$3:$D$67,ROW()-1),INDEX(Lists!$E$3:$E$5,ROW()-1),INDEX(Lists!$F$3:$F$12,ROW()-1),INDEX(Lists!$G$3:$G$126,ROW()-1)),"")</f>
        <v/>
      </c>
      <c r="K43">
        <f>IF(J43="","",SUMPRODUCT(($A$2:$A$636=1)*($G$2:$G$636=J43)))</f>
        <v/>
      </c>
      <c r="L43">
        <f>IF(J43="","",SUMPRODUCT(($A$2:$A$636=1)*($G$2:$G$636=J43)*(ISNUMBER($B$2:$B$636))*($B$2:$B$636&lt;0.5)))</f>
        <v/>
      </c>
      <c r="M43">
        <f>IFERROR(L43/K43,"")</f>
        <v/>
      </c>
      <c r="N43">
        <f>IF(K43="","",M43+K43/100000+ROW()/100000000)</f>
        <v/>
      </c>
      <c r="R43">
        <f>IF(A43=1,IFERROR(I43,0)+ROW()/100000000,-1E+99)</f>
        <v/>
      </c>
      <c r="S43">
        <f>IF(A43=1,IFERROR(Raw_data!$T43,""),"")</f>
        <v/>
      </c>
      <c r="T43">
        <f>IF(A43=1,IFERROR(Raw_data!$AA43,""),"")</f>
        <v/>
      </c>
      <c r="U43">
        <f>IF(A43=1,IFERROR(Raw_data!$U43,""),"")</f>
        <v/>
      </c>
      <c r="V43">
        <f>IF(A43=1,IFERROR(Raw_data!$AB43,""),"")</f>
        <v/>
      </c>
    </row>
    <row r="44">
      <c r="A44">
        <f>--(AND(OR(Dashboard!$B$4="All",Raw_data!$AL44=Dashboard!$B$4),OR(Dashboard!$B$5="All",Raw_data!$AM44=Dashboard!$B$5),OR(Dashboard!$B$6="All",Raw_data!$AN44=Dashboard!$B$6),OR(Dashboard!$B$7="All",Raw_data!$AO44=Dashboard!$B$7),OR(Dashboard!$B$8="All",Raw_data!$AP44=Dashboard!$B$8),OR(Dashboard!$B$9="All",Raw_data!$AQ44=Dashboard!$B$9),OR(Dashboard!$B$10="All",Raw_data!$AF44=Dashboard!$B$10),OR(Raw_data!$F44="",Raw_data!$F44&lt;=TODAY())))</f>
        <v/>
      </c>
      <c r="B44">
        <f>IFERROR(IF(Dashboard!$B$3="Weighted",Raw_data!$U44,Raw_data!$T44),"")</f>
        <v/>
      </c>
      <c r="C44">
        <f>IFERROR(IF(Dashboard!$B$3="Weighted",Raw_data!$AB44,Raw_data!$AA44),"")</f>
        <v/>
      </c>
      <c r="D44">
        <f>IF(OR(Raw_data!$J44="",Raw_data!$J44&lt;=0,Raw_data!$K44=""),"",IF(Raw_data!$K44&gt;TODAY(),0,DATEDIF(Raw_data!$K44,TODAY(),"M")))</f>
        <v/>
      </c>
      <c r="E44">
        <f>--(AND(Raw_data!$AF44="No",OR(Raw_data!$AG44&lt;&gt;"",Raw_data!$AJ44&gt;0,Raw_data!$AK44&lt;&gt;"")))</f>
        <v/>
      </c>
      <c r="F44">
        <f>--(OR(AND(ISNUMBER(B44),B44&lt;0.5,OR(D44&gt;=24,Raw_data!$I44&gt;0)),Raw_data!$AE44=TRUE))</f>
        <v/>
      </c>
      <c r="G44">
        <f>IF(Dashboard!$B$11="Department",Raw_data!$AL44,IF(Dashboard!$B$11="Team",Raw_data!$AM44,IF(Dashboard!$B$11="Unit",Raw_data!$AN44,IF(Dashboard!$B$11="Legal entity",Raw_data!$AO44,IF(Dashboard!$B$11="Location",Raw_data!$AP44,Raw_data!$AQ44)))))</f>
        <v/>
      </c>
      <c r="H44">
        <f>--(AND(ISNUMBER(B44),B44&lt;0.5))</f>
        <v/>
      </c>
      <c r="I44">
        <f>IFERROR(MAX(0,(0.5-B44)*100),0)+IF(D44&gt;=24,20,0)+IF(Raw_data!$I44&gt;0,20,0)+IF(Raw_data!$AE44=TRUE,10,0)</f>
        <v/>
      </c>
      <c r="J44">
        <f>IFERROR(CHOOSE(MATCH(Dashboard!$B$11,{"Department","Team","Unit","Legal entity","Location","Lead"},0),INDEX(Lists!$B$3:$B$20,ROW()-1),INDEX(Lists!$C$3:$C$146,ROW()-1),INDEX(Lists!$D$3:$D$67,ROW()-1),INDEX(Lists!$E$3:$E$5,ROW()-1),INDEX(Lists!$F$3:$F$12,ROW()-1),INDEX(Lists!$G$3:$G$126,ROW()-1)),"")</f>
        <v/>
      </c>
      <c r="K44">
        <f>IF(J44="","",SUMPRODUCT(($A$2:$A$636=1)*($G$2:$G$636=J44)))</f>
        <v/>
      </c>
      <c r="L44">
        <f>IF(J44="","",SUMPRODUCT(($A$2:$A$636=1)*($G$2:$G$636=J44)*(ISNUMBER($B$2:$B$636))*($B$2:$B$636&lt;0.5)))</f>
        <v/>
      </c>
      <c r="M44">
        <f>IFERROR(L44/K44,"")</f>
        <v/>
      </c>
      <c r="N44">
        <f>IF(K44="","",M44+K44/100000+ROW()/100000000)</f>
        <v/>
      </c>
      <c r="R44">
        <f>IF(A44=1,IFERROR(I44,0)+ROW()/100000000,-1E+99)</f>
        <v/>
      </c>
      <c r="S44">
        <f>IF(A44=1,IFERROR(Raw_data!$T44,""),"")</f>
        <v/>
      </c>
      <c r="T44">
        <f>IF(A44=1,IFERROR(Raw_data!$AA44,""),"")</f>
        <v/>
      </c>
      <c r="U44">
        <f>IF(A44=1,IFERROR(Raw_data!$U44,""),"")</f>
        <v/>
      </c>
      <c r="V44">
        <f>IF(A44=1,IFERROR(Raw_data!$AB44,""),"")</f>
        <v/>
      </c>
    </row>
    <row r="45">
      <c r="A45">
        <f>--(AND(OR(Dashboard!$B$4="All",Raw_data!$AL45=Dashboard!$B$4),OR(Dashboard!$B$5="All",Raw_data!$AM45=Dashboard!$B$5),OR(Dashboard!$B$6="All",Raw_data!$AN45=Dashboard!$B$6),OR(Dashboard!$B$7="All",Raw_data!$AO45=Dashboard!$B$7),OR(Dashboard!$B$8="All",Raw_data!$AP45=Dashboard!$B$8),OR(Dashboard!$B$9="All",Raw_data!$AQ45=Dashboard!$B$9),OR(Dashboard!$B$10="All",Raw_data!$AF45=Dashboard!$B$10),OR(Raw_data!$F45="",Raw_data!$F45&lt;=TODAY())))</f>
        <v/>
      </c>
      <c r="B45">
        <f>IFERROR(IF(Dashboard!$B$3="Weighted",Raw_data!$U45,Raw_data!$T45),"")</f>
        <v/>
      </c>
      <c r="C45">
        <f>IFERROR(IF(Dashboard!$B$3="Weighted",Raw_data!$AB45,Raw_data!$AA45),"")</f>
        <v/>
      </c>
      <c r="D45">
        <f>IF(OR(Raw_data!$J45="",Raw_data!$J45&lt;=0,Raw_data!$K45=""),"",IF(Raw_data!$K45&gt;TODAY(),0,DATEDIF(Raw_data!$K45,TODAY(),"M")))</f>
        <v/>
      </c>
      <c r="E45">
        <f>--(AND(Raw_data!$AF45="No",OR(Raw_data!$AG45&lt;&gt;"",Raw_data!$AJ45&gt;0,Raw_data!$AK45&lt;&gt;"")))</f>
        <v/>
      </c>
      <c r="F45">
        <f>--(OR(AND(ISNUMBER(B45),B45&lt;0.5,OR(D45&gt;=24,Raw_data!$I45&gt;0)),Raw_data!$AE45=TRUE))</f>
        <v/>
      </c>
      <c r="G45">
        <f>IF(Dashboard!$B$11="Department",Raw_data!$AL45,IF(Dashboard!$B$11="Team",Raw_data!$AM45,IF(Dashboard!$B$11="Unit",Raw_data!$AN45,IF(Dashboard!$B$11="Legal entity",Raw_data!$AO45,IF(Dashboard!$B$11="Location",Raw_data!$AP45,Raw_data!$AQ45)))))</f>
        <v/>
      </c>
      <c r="H45">
        <f>--(AND(ISNUMBER(B45),B45&lt;0.5))</f>
        <v/>
      </c>
      <c r="I45">
        <f>IFERROR(MAX(0,(0.5-B45)*100),0)+IF(D45&gt;=24,20,0)+IF(Raw_data!$I45&gt;0,20,0)+IF(Raw_data!$AE45=TRUE,10,0)</f>
        <v/>
      </c>
      <c r="J45">
        <f>IFERROR(CHOOSE(MATCH(Dashboard!$B$11,{"Department","Team","Unit","Legal entity","Location","Lead"},0),INDEX(Lists!$B$3:$B$20,ROW()-1),INDEX(Lists!$C$3:$C$146,ROW()-1),INDEX(Lists!$D$3:$D$67,ROW()-1),INDEX(Lists!$E$3:$E$5,ROW()-1),INDEX(Lists!$F$3:$F$12,ROW()-1),INDEX(Lists!$G$3:$G$126,ROW()-1)),"")</f>
        <v/>
      </c>
      <c r="K45">
        <f>IF(J45="","",SUMPRODUCT(($A$2:$A$636=1)*($G$2:$G$636=J45)))</f>
        <v/>
      </c>
      <c r="L45">
        <f>IF(J45="","",SUMPRODUCT(($A$2:$A$636=1)*($G$2:$G$636=J45)*(ISNUMBER($B$2:$B$636))*($B$2:$B$636&lt;0.5)))</f>
        <v/>
      </c>
      <c r="M45">
        <f>IFERROR(L45/K45,"")</f>
        <v/>
      </c>
      <c r="N45">
        <f>IF(K45="","",M45+K45/100000+ROW()/100000000)</f>
        <v/>
      </c>
      <c r="R45">
        <f>IF(A45=1,IFERROR(I45,0)+ROW()/100000000,-1E+99)</f>
        <v/>
      </c>
      <c r="S45">
        <f>IF(A45=1,IFERROR(Raw_data!$T45,""),"")</f>
        <v/>
      </c>
      <c r="T45">
        <f>IF(A45=1,IFERROR(Raw_data!$AA45,""),"")</f>
        <v/>
      </c>
      <c r="U45">
        <f>IF(A45=1,IFERROR(Raw_data!$U45,""),"")</f>
        <v/>
      </c>
      <c r="V45">
        <f>IF(A45=1,IFERROR(Raw_data!$AB45,""),"")</f>
        <v/>
      </c>
    </row>
    <row r="46">
      <c r="A46">
        <f>--(AND(OR(Dashboard!$B$4="All",Raw_data!$AL46=Dashboard!$B$4),OR(Dashboard!$B$5="All",Raw_data!$AM46=Dashboard!$B$5),OR(Dashboard!$B$6="All",Raw_data!$AN46=Dashboard!$B$6),OR(Dashboard!$B$7="All",Raw_data!$AO46=Dashboard!$B$7),OR(Dashboard!$B$8="All",Raw_data!$AP46=Dashboard!$B$8),OR(Dashboard!$B$9="All",Raw_data!$AQ46=Dashboard!$B$9),OR(Dashboard!$B$10="All",Raw_data!$AF46=Dashboard!$B$10),OR(Raw_data!$F46="",Raw_data!$F46&lt;=TODAY())))</f>
        <v/>
      </c>
      <c r="B46">
        <f>IFERROR(IF(Dashboard!$B$3="Weighted",Raw_data!$U46,Raw_data!$T46),"")</f>
        <v/>
      </c>
      <c r="C46">
        <f>IFERROR(IF(Dashboard!$B$3="Weighted",Raw_data!$AB46,Raw_data!$AA46),"")</f>
        <v/>
      </c>
      <c r="D46">
        <f>IF(OR(Raw_data!$J46="",Raw_data!$J46&lt;=0,Raw_data!$K46=""),"",IF(Raw_data!$K46&gt;TODAY(),0,DATEDIF(Raw_data!$K46,TODAY(),"M")))</f>
        <v/>
      </c>
      <c r="E46">
        <f>--(AND(Raw_data!$AF46="No",OR(Raw_data!$AG46&lt;&gt;"",Raw_data!$AJ46&gt;0,Raw_data!$AK46&lt;&gt;"")))</f>
        <v/>
      </c>
      <c r="F46">
        <f>--(OR(AND(ISNUMBER(B46),B46&lt;0.5,OR(D46&gt;=24,Raw_data!$I46&gt;0)),Raw_data!$AE46=TRUE))</f>
        <v/>
      </c>
      <c r="G46">
        <f>IF(Dashboard!$B$11="Department",Raw_data!$AL46,IF(Dashboard!$B$11="Team",Raw_data!$AM46,IF(Dashboard!$B$11="Unit",Raw_data!$AN46,IF(Dashboard!$B$11="Legal entity",Raw_data!$AO46,IF(Dashboard!$B$11="Location",Raw_data!$AP46,Raw_data!$AQ46)))))</f>
        <v/>
      </c>
      <c r="H46">
        <f>--(AND(ISNUMBER(B46),B46&lt;0.5))</f>
        <v/>
      </c>
      <c r="I46">
        <f>IFERROR(MAX(0,(0.5-B46)*100),0)+IF(D46&gt;=24,20,0)+IF(Raw_data!$I46&gt;0,20,0)+IF(Raw_data!$AE46=TRUE,10,0)</f>
        <v/>
      </c>
      <c r="J46">
        <f>IFERROR(CHOOSE(MATCH(Dashboard!$B$11,{"Department","Team","Unit","Legal entity","Location","Lead"},0),INDEX(Lists!$B$3:$B$20,ROW()-1),INDEX(Lists!$C$3:$C$146,ROW()-1),INDEX(Lists!$D$3:$D$67,ROW()-1),INDEX(Lists!$E$3:$E$5,ROW()-1),INDEX(Lists!$F$3:$F$12,ROW()-1),INDEX(Lists!$G$3:$G$126,ROW()-1)),"")</f>
        <v/>
      </c>
      <c r="K46">
        <f>IF(J46="","",SUMPRODUCT(($A$2:$A$636=1)*($G$2:$G$636=J46)))</f>
        <v/>
      </c>
      <c r="L46">
        <f>IF(J46="","",SUMPRODUCT(($A$2:$A$636=1)*($G$2:$G$636=J46)*(ISNUMBER($B$2:$B$636))*($B$2:$B$636&lt;0.5)))</f>
        <v/>
      </c>
      <c r="M46">
        <f>IFERROR(L46/K46,"")</f>
        <v/>
      </c>
      <c r="N46">
        <f>IF(K46="","",M46+K46/100000+ROW()/100000000)</f>
        <v/>
      </c>
      <c r="R46">
        <f>IF(A46=1,IFERROR(I46,0)+ROW()/100000000,-1E+99)</f>
        <v/>
      </c>
      <c r="S46">
        <f>IF(A46=1,IFERROR(Raw_data!$T46,""),"")</f>
        <v/>
      </c>
      <c r="T46">
        <f>IF(A46=1,IFERROR(Raw_data!$AA46,""),"")</f>
        <v/>
      </c>
      <c r="U46">
        <f>IF(A46=1,IFERROR(Raw_data!$U46,""),"")</f>
        <v/>
      </c>
      <c r="V46">
        <f>IF(A46=1,IFERROR(Raw_data!$AB46,""),"")</f>
        <v/>
      </c>
    </row>
    <row r="47">
      <c r="A47">
        <f>--(AND(OR(Dashboard!$B$4="All",Raw_data!$AL47=Dashboard!$B$4),OR(Dashboard!$B$5="All",Raw_data!$AM47=Dashboard!$B$5),OR(Dashboard!$B$6="All",Raw_data!$AN47=Dashboard!$B$6),OR(Dashboard!$B$7="All",Raw_data!$AO47=Dashboard!$B$7),OR(Dashboard!$B$8="All",Raw_data!$AP47=Dashboard!$B$8),OR(Dashboard!$B$9="All",Raw_data!$AQ47=Dashboard!$B$9),OR(Dashboard!$B$10="All",Raw_data!$AF47=Dashboard!$B$10),OR(Raw_data!$F47="",Raw_data!$F47&lt;=TODAY())))</f>
        <v/>
      </c>
      <c r="B47">
        <f>IFERROR(IF(Dashboard!$B$3="Weighted",Raw_data!$U47,Raw_data!$T47),"")</f>
        <v/>
      </c>
      <c r="C47">
        <f>IFERROR(IF(Dashboard!$B$3="Weighted",Raw_data!$AB47,Raw_data!$AA47),"")</f>
        <v/>
      </c>
      <c r="D47">
        <f>IF(OR(Raw_data!$J47="",Raw_data!$J47&lt;=0,Raw_data!$K47=""),"",IF(Raw_data!$K47&gt;TODAY(),0,DATEDIF(Raw_data!$K47,TODAY(),"M")))</f>
        <v/>
      </c>
      <c r="E47">
        <f>--(AND(Raw_data!$AF47="No",OR(Raw_data!$AG47&lt;&gt;"",Raw_data!$AJ47&gt;0,Raw_data!$AK47&lt;&gt;"")))</f>
        <v/>
      </c>
      <c r="F47">
        <f>--(OR(AND(ISNUMBER(B47),B47&lt;0.5,OR(D47&gt;=24,Raw_data!$I47&gt;0)),Raw_data!$AE47=TRUE))</f>
        <v/>
      </c>
      <c r="G47">
        <f>IF(Dashboard!$B$11="Department",Raw_data!$AL47,IF(Dashboard!$B$11="Team",Raw_data!$AM47,IF(Dashboard!$B$11="Unit",Raw_data!$AN47,IF(Dashboard!$B$11="Legal entity",Raw_data!$AO47,IF(Dashboard!$B$11="Location",Raw_data!$AP47,Raw_data!$AQ47)))))</f>
        <v/>
      </c>
      <c r="H47">
        <f>--(AND(ISNUMBER(B47),B47&lt;0.5))</f>
        <v/>
      </c>
      <c r="I47">
        <f>IFERROR(MAX(0,(0.5-B47)*100),0)+IF(D47&gt;=24,20,0)+IF(Raw_data!$I47&gt;0,20,0)+IF(Raw_data!$AE47=TRUE,10,0)</f>
        <v/>
      </c>
      <c r="J47">
        <f>IFERROR(CHOOSE(MATCH(Dashboard!$B$11,{"Department","Team","Unit","Legal entity","Location","Lead"},0),INDEX(Lists!$B$3:$B$20,ROW()-1),INDEX(Lists!$C$3:$C$146,ROW()-1),INDEX(Lists!$D$3:$D$67,ROW()-1),INDEX(Lists!$E$3:$E$5,ROW()-1),INDEX(Lists!$F$3:$F$12,ROW()-1),INDEX(Lists!$G$3:$G$126,ROW()-1)),"")</f>
        <v/>
      </c>
      <c r="K47">
        <f>IF(J47="","",SUMPRODUCT(($A$2:$A$636=1)*($G$2:$G$636=J47)))</f>
        <v/>
      </c>
      <c r="L47">
        <f>IF(J47="","",SUMPRODUCT(($A$2:$A$636=1)*($G$2:$G$636=J47)*(ISNUMBER($B$2:$B$636))*($B$2:$B$636&lt;0.5)))</f>
        <v/>
      </c>
      <c r="M47">
        <f>IFERROR(L47/K47,"")</f>
        <v/>
      </c>
      <c r="N47">
        <f>IF(K47="","",M47+K47/100000+ROW()/100000000)</f>
        <v/>
      </c>
      <c r="R47">
        <f>IF(A47=1,IFERROR(I47,0)+ROW()/100000000,-1E+99)</f>
        <v/>
      </c>
      <c r="S47">
        <f>IF(A47=1,IFERROR(Raw_data!$T47,""),"")</f>
        <v/>
      </c>
      <c r="T47">
        <f>IF(A47=1,IFERROR(Raw_data!$AA47,""),"")</f>
        <v/>
      </c>
      <c r="U47">
        <f>IF(A47=1,IFERROR(Raw_data!$U47,""),"")</f>
        <v/>
      </c>
      <c r="V47">
        <f>IF(A47=1,IFERROR(Raw_data!$AB47,""),"")</f>
        <v/>
      </c>
    </row>
    <row r="48">
      <c r="A48">
        <f>--(AND(OR(Dashboard!$B$4="All",Raw_data!$AL48=Dashboard!$B$4),OR(Dashboard!$B$5="All",Raw_data!$AM48=Dashboard!$B$5),OR(Dashboard!$B$6="All",Raw_data!$AN48=Dashboard!$B$6),OR(Dashboard!$B$7="All",Raw_data!$AO48=Dashboard!$B$7),OR(Dashboard!$B$8="All",Raw_data!$AP48=Dashboard!$B$8),OR(Dashboard!$B$9="All",Raw_data!$AQ48=Dashboard!$B$9),OR(Dashboard!$B$10="All",Raw_data!$AF48=Dashboard!$B$10),OR(Raw_data!$F48="",Raw_data!$F48&lt;=TODAY())))</f>
        <v/>
      </c>
      <c r="B48">
        <f>IFERROR(IF(Dashboard!$B$3="Weighted",Raw_data!$U48,Raw_data!$T48),"")</f>
        <v/>
      </c>
      <c r="C48">
        <f>IFERROR(IF(Dashboard!$B$3="Weighted",Raw_data!$AB48,Raw_data!$AA48),"")</f>
        <v/>
      </c>
      <c r="D48">
        <f>IF(OR(Raw_data!$J48="",Raw_data!$J48&lt;=0,Raw_data!$K48=""),"",IF(Raw_data!$K48&gt;TODAY(),0,DATEDIF(Raw_data!$K48,TODAY(),"M")))</f>
        <v/>
      </c>
      <c r="E48">
        <f>--(AND(Raw_data!$AF48="No",OR(Raw_data!$AG48&lt;&gt;"",Raw_data!$AJ48&gt;0,Raw_data!$AK48&lt;&gt;"")))</f>
        <v/>
      </c>
      <c r="F48">
        <f>--(OR(AND(ISNUMBER(B48),B48&lt;0.5,OR(D48&gt;=24,Raw_data!$I48&gt;0)),Raw_data!$AE48=TRUE))</f>
        <v/>
      </c>
      <c r="G48">
        <f>IF(Dashboard!$B$11="Department",Raw_data!$AL48,IF(Dashboard!$B$11="Team",Raw_data!$AM48,IF(Dashboard!$B$11="Unit",Raw_data!$AN48,IF(Dashboard!$B$11="Legal entity",Raw_data!$AO48,IF(Dashboard!$B$11="Location",Raw_data!$AP48,Raw_data!$AQ48)))))</f>
        <v/>
      </c>
      <c r="H48">
        <f>--(AND(ISNUMBER(B48),B48&lt;0.5))</f>
        <v/>
      </c>
      <c r="I48">
        <f>IFERROR(MAX(0,(0.5-B48)*100),0)+IF(D48&gt;=24,20,0)+IF(Raw_data!$I48&gt;0,20,0)+IF(Raw_data!$AE48=TRUE,10,0)</f>
        <v/>
      </c>
      <c r="J48">
        <f>IFERROR(CHOOSE(MATCH(Dashboard!$B$11,{"Department","Team","Unit","Legal entity","Location","Lead"},0),INDEX(Lists!$B$3:$B$20,ROW()-1),INDEX(Lists!$C$3:$C$146,ROW()-1),INDEX(Lists!$D$3:$D$67,ROW()-1),INDEX(Lists!$E$3:$E$5,ROW()-1),INDEX(Lists!$F$3:$F$12,ROW()-1),INDEX(Lists!$G$3:$G$126,ROW()-1)),"")</f>
        <v/>
      </c>
      <c r="K48">
        <f>IF(J48="","",SUMPRODUCT(($A$2:$A$636=1)*($G$2:$G$636=J48)))</f>
        <v/>
      </c>
      <c r="L48">
        <f>IF(J48="","",SUMPRODUCT(($A$2:$A$636=1)*($G$2:$G$636=J48)*(ISNUMBER($B$2:$B$636))*($B$2:$B$636&lt;0.5)))</f>
        <v/>
      </c>
      <c r="M48">
        <f>IFERROR(L48/K48,"")</f>
        <v/>
      </c>
      <c r="N48">
        <f>IF(K48="","",M48+K48/100000+ROW()/100000000)</f>
        <v/>
      </c>
      <c r="R48">
        <f>IF(A48=1,IFERROR(I48,0)+ROW()/100000000,-1E+99)</f>
        <v/>
      </c>
      <c r="S48">
        <f>IF(A48=1,IFERROR(Raw_data!$T48,""),"")</f>
        <v/>
      </c>
      <c r="T48">
        <f>IF(A48=1,IFERROR(Raw_data!$AA48,""),"")</f>
        <v/>
      </c>
      <c r="U48">
        <f>IF(A48=1,IFERROR(Raw_data!$U48,""),"")</f>
        <v/>
      </c>
      <c r="V48">
        <f>IF(A48=1,IFERROR(Raw_data!$AB48,""),"")</f>
        <v/>
      </c>
    </row>
    <row r="49">
      <c r="A49">
        <f>--(AND(OR(Dashboard!$B$4="All",Raw_data!$AL49=Dashboard!$B$4),OR(Dashboard!$B$5="All",Raw_data!$AM49=Dashboard!$B$5),OR(Dashboard!$B$6="All",Raw_data!$AN49=Dashboard!$B$6),OR(Dashboard!$B$7="All",Raw_data!$AO49=Dashboard!$B$7),OR(Dashboard!$B$8="All",Raw_data!$AP49=Dashboard!$B$8),OR(Dashboard!$B$9="All",Raw_data!$AQ49=Dashboard!$B$9),OR(Dashboard!$B$10="All",Raw_data!$AF49=Dashboard!$B$10),OR(Raw_data!$F49="",Raw_data!$F49&lt;=TODAY())))</f>
        <v/>
      </c>
      <c r="B49">
        <f>IFERROR(IF(Dashboard!$B$3="Weighted",Raw_data!$U49,Raw_data!$T49),"")</f>
        <v/>
      </c>
      <c r="C49">
        <f>IFERROR(IF(Dashboard!$B$3="Weighted",Raw_data!$AB49,Raw_data!$AA49),"")</f>
        <v/>
      </c>
      <c r="D49">
        <f>IF(OR(Raw_data!$J49="",Raw_data!$J49&lt;=0,Raw_data!$K49=""),"",IF(Raw_data!$K49&gt;TODAY(),0,DATEDIF(Raw_data!$K49,TODAY(),"M")))</f>
        <v/>
      </c>
      <c r="E49">
        <f>--(AND(Raw_data!$AF49="No",OR(Raw_data!$AG49&lt;&gt;"",Raw_data!$AJ49&gt;0,Raw_data!$AK49&lt;&gt;"")))</f>
        <v/>
      </c>
      <c r="F49">
        <f>--(OR(AND(ISNUMBER(B49),B49&lt;0.5,OR(D49&gt;=24,Raw_data!$I49&gt;0)),Raw_data!$AE49=TRUE))</f>
        <v/>
      </c>
      <c r="G49">
        <f>IF(Dashboard!$B$11="Department",Raw_data!$AL49,IF(Dashboard!$B$11="Team",Raw_data!$AM49,IF(Dashboard!$B$11="Unit",Raw_data!$AN49,IF(Dashboard!$B$11="Legal entity",Raw_data!$AO49,IF(Dashboard!$B$11="Location",Raw_data!$AP49,Raw_data!$AQ49)))))</f>
        <v/>
      </c>
      <c r="H49">
        <f>--(AND(ISNUMBER(B49),B49&lt;0.5))</f>
        <v/>
      </c>
      <c r="I49">
        <f>IFERROR(MAX(0,(0.5-B49)*100),0)+IF(D49&gt;=24,20,0)+IF(Raw_data!$I49&gt;0,20,0)+IF(Raw_data!$AE49=TRUE,10,0)</f>
        <v/>
      </c>
      <c r="J49">
        <f>IFERROR(CHOOSE(MATCH(Dashboard!$B$11,{"Department","Team","Unit","Legal entity","Location","Lead"},0),INDEX(Lists!$B$3:$B$20,ROW()-1),INDEX(Lists!$C$3:$C$146,ROW()-1),INDEX(Lists!$D$3:$D$67,ROW()-1),INDEX(Lists!$E$3:$E$5,ROW()-1),INDEX(Lists!$F$3:$F$12,ROW()-1),INDEX(Lists!$G$3:$G$126,ROW()-1)),"")</f>
        <v/>
      </c>
      <c r="K49">
        <f>IF(J49="","",SUMPRODUCT(($A$2:$A$636=1)*($G$2:$G$636=J49)))</f>
        <v/>
      </c>
      <c r="L49">
        <f>IF(J49="","",SUMPRODUCT(($A$2:$A$636=1)*($G$2:$G$636=J49)*(ISNUMBER($B$2:$B$636))*($B$2:$B$636&lt;0.5)))</f>
        <v/>
      </c>
      <c r="M49">
        <f>IFERROR(L49/K49,"")</f>
        <v/>
      </c>
      <c r="N49">
        <f>IF(K49="","",M49+K49/100000+ROW()/100000000)</f>
        <v/>
      </c>
      <c r="R49">
        <f>IF(A49=1,IFERROR(I49,0)+ROW()/100000000,-1E+99)</f>
        <v/>
      </c>
      <c r="S49">
        <f>IF(A49=1,IFERROR(Raw_data!$T49,""),"")</f>
        <v/>
      </c>
      <c r="T49">
        <f>IF(A49=1,IFERROR(Raw_data!$AA49,""),"")</f>
        <v/>
      </c>
      <c r="U49">
        <f>IF(A49=1,IFERROR(Raw_data!$U49,""),"")</f>
        <v/>
      </c>
      <c r="V49">
        <f>IF(A49=1,IFERROR(Raw_data!$AB49,""),"")</f>
        <v/>
      </c>
    </row>
    <row r="50">
      <c r="A50">
        <f>--(AND(OR(Dashboard!$B$4="All",Raw_data!$AL50=Dashboard!$B$4),OR(Dashboard!$B$5="All",Raw_data!$AM50=Dashboard!$B$5),OR(Dashboard!$B$6="All",Raw_data!$AN50=Dashboard!$B$6),OR(Dashboard!$B$7="All",Raw_data!$AO50=Dashboard!$B$7),OR(Dashboard!$B$8="All",Raw_data!$AP50=Dashboard!$B$8),OR(Dashboard!$B$9="All",Raw_data!$AQ50=Dashboard!$B$9),OR(Dashboard!$B$10="All",Raw_data!$AF50=Dashboard!$B$10),OR(Raw_data!$F50="",Raw_data!$F50&lt;=TODAY())))</f>
        <v/>
      </c>
      <c r="B50">
        <f>IFERROR(IF(Dashboard!$B$3="Weighted",Raw_data!$U50,Raw_data!$T50),"")</f>
        <v/>
      </c>
      <c r="C50">
        <f>IFERROR(IF(Dashboard!$B$3="Weighted",Raw_data!$AB50,Raw_data!$AA50),"")</f>
        <v/>
      </c>
      <c r="D50">
        <f>IF(OR(Raw_data!$J50="",Raw_data!$J50&lt;=0,Raw_data!$K50=""),"",IF(Raw_data!$K50&gt;TODAY(),0,DATEDIF(Raw_data!$K50,TODAY(),"M")))</f>
        <v/>
      </c>
      <c r="E50">
        <f>--(AND(Raw_data!$AF50="No",OR(Raw_data!$AG50&lt;&gt;"",Raw_data!$AJ50&gt;0,Raw_data!$AK50&lt;&gt;"")))</f>
        <v/>
      </c>
      <c r="F50">
        <f>--(OR(AND(ISNUMBER(B50),B50&lt;0.5,OR(D50&gt;=24,Raw_data!$I50&gt;0)),Raw_data!$AE50=TRUE))</f>
        <v/>
      </c>
      <c r="G50">
        <f>IF(Dashboard!$B$11="Department",Raw_data!$AL50,IF(Dashboard!$B$11="Team",Raw_data!$AM50,IF(Dashboard!$B$11="Unit",Raw_data!$AN50,IF(Dashboard!$B$11="Legal entity",Raw_data!$AO50,IF(Dashboard!$B$11="Location",Raw_data!$AP50,Raw_data!$AQ50)))))</f>
        <v/>
      </c>
      <c r="H50">
        <f>--(AND(ISNUMBER(B50),B50&lt;0.5))</f>
        <v/>
      </c>
      <c r="I50">
        <f>IFERROR(MAX(0,(0.5-B50)*100),0)+IF(D50&gt;=24,20,0)+IF(Raw_data!$I50&gt;0,20,0)+IF(Raw_data!$AE50=TRUE,10,0)</f>
        <v/>
      </c>
      <c r="J50">
        <f>IFERROR(CHOOSE(MATCH(Dashboard!$B$11,{"Department","Team","Unit","Legal entity","Location","Lead"},0),INDEX(Lists!$B$3:$B$20,ROW()-1),INDEX(Lists!$C$3:$C$146,ROW()-1),INDEX(Lists!$D$3:$D$67,ROW()-1),INDEX(Lists!$E$3:$E$5,ROW()-1),INDEX(Lists!$F$3:$F$12,ROW()-1),INDEX(Lists!$G$3:$G$126,ROW()-1)),"")</f>
        <v/>
      </c>
      <c r="K50">
        <f>IF(J50="","",SUMPRODUCT(($A$2:$A$636=1)*($G$2:$G$636=J50)))</f>
        <v/>
      </c>
      <c r="L50">
        <f>IF(J50="","",SUMPRODUCT(($A$2:$A$636=1)*($G$2:$G$636=J50)*(ISNUMBER($B$2:$B$636))*($B$2:$B$636&lt;0.5)))</f>
        <v/>
      </c>
      <c r="M50">
        <f>IFERROR(L50/K50,"")</f>
        <v/>
      </c>
      <c r="N50">
        <f>IF(K50="","",M50+K50/100000+ROW()/100000000)</f>
        <v/>
      </c>
      <c r="R50">
        <f>IF(A50=1,IFERROR(I50,0)+ROW()/100000000,-1E+99)</f>
        <v/>
      </c>
      <c r="S50">
        <f>IF(A50=1,IFERROR(Raw_data!$T50,""),"")</f>
        <v/>
      </c>
      <c r="T50">
        <f>IF(A50=1,IFERROR(Raw_data!$AA50,""),"")</f>
        <v/>
      </c>
      <c r="U50">
        <f>IF(A50=1,IFERROR(Raw_data!$U50,""),"")</f>
        <v/>
      </c>
      <c r="V50">
        <f>IF(A50=1,IFERROR(Raw_data!$AB50,""),"")</f>
        <v/>
      </c>
    </row>
    <row r="51">
      <c r="A51">
        <f>--(AND(OR(Dashboard!$B$4="All",Raw_data!$AL51=Dashboard!$B$4),OR(Dashboard!$B$5="All",Raw_data!$AM51=Dashboard!$B$5),OR(Dashboard!$B$6="All",Raw_data!$AN51=Dashboard!$B$6),OR(Dashboard!$B$7="All",Raw_data!$AO51=Dashboard!$B$7),OR(Dashboard!$B$8="All",Raw_data!$AP51=Dashboard!$B$8),OR(Dashboard!$B$9="All",Raw_data!$AQ51=Dashboard!$B$9),OR(Dashboard!$B$10="All",Raw_data!$AF51=Dashboard!$B$10),OR(Raw_data!$F51="",Raw_data!$F51&lt;=TODAY())))</f>
        <v/>
      </c>
      <c r="B51">
        <f>IFERROR(IF(Dashboard!$B$3="Weighted",Raw_data!$U51,Raw_data!$T51),"")</f>
        <v/>
      </c>
      <c r="C51">
        <f>IFERROR(IF(Dashboard!$B$3="Weighted",Raw_data!$AB51,Raw_data!$AA51),"")</f>
        <v/>
      </c>
      <c r="D51">
        <f>IF(OR(Raw_data!$J51="",Raw_data!$J51&lt;=0,Raw_data!$K51=""),"",IF(Raw_data!$K51&gt;TODAY(),0,DATEDIF(Raw_data!$K51,TODAY(),"M")))</f>
        <v/>
      </c>
      <c r="E51">
        <f>--(AND(Raw_data!$AF51="No",OR(Raw_data!$AG51&lt;&gt;"",Raw_data!$AJ51&gt;0,Raw_data!$AK51&lt;&gt;"")))</f>
        <v/>
      </c>
      <c r="F51">
        <f>--(OR(AND(ISNUMBER(B51),B51&lt;0.5,OR(D51&gt;=24,Raw_data!$I51&gt;0)),Raw_data!$AE51=TRUE))</f>
        <v/>
      </c>
      <c r="G51">
        <f>IF(Dashboard!$B$11="Department",Raw_data!$AL51,IF(Dashboard!$B$11="Team",Raw_data!$AM51,IF(Dashboard!$B$11="Unit",Raw_data!$AN51,IF(Dashboard!$B$11="Legal entity",Raw_data!$AO51,IF(Dashboard!$B$11="Location",Raw_data!$AP51,Raw_data!$AQ51)))))</f>
        <v/>
      </c>
      <c r="H51">
        <f>--(AND(ISNUMBER(B51),B51&lt;0.5))</f>
        <v/>
      </c>
      <c r="I51">
        <f>IFERROR(MAX(0,(0.5-B51)*100),0)+IF(D51&gt;=24,20,0)+IF(Raw_data!$I51&gt;0,20,0)+IF(Raw_data!$AE51=TRUE,10,0)</f>
        <v/>
      </c>
      <c r="J51">
        <f>IFERROR(CHOOSE(MATCH(Dashboard!$B$11,{"Department","Team","Unit","Legal entity","Location","Lead"},0),INDEX(Lists!$B$3:$B$20,ROW()-1),INDEX(Lists!$C$3:$C$146,ROW()-1),INDEX(Lists!$D$3:$D$67,ROW()-1),INDEX(Lists!$E$3:$E$5,ROW()-1),INDEX(Lists!$F$3:$F$12,ROW()-1),INDEX(Lists!$G$3:$G$126,ROW()-1)),"")</f>
        <v/>
      </c>
      <c r="K51">
        <f>IF(J51="","",SUMPRODUCT(($A$2:$A$636=1)*($G$2:$G$636=J51)))</f>
        <v/>
      </c>
      <c r="L51">
        <f>IF(J51="","",SUMPRODUCT(($A$2:$A$636=1)*($G$2:$G$636=J51)*(ISNUMBER($B$2:$B$636))*($B$2:$B$636&lt;0.5)))</f>
        <v/>
      </c>
      <c r="M51">
        <f>IFERROR(L51/K51,"")</f>
        <v/>
      </c>
      <c r="N51">
        <f>IF(K51="","",M51+K51/100000+ROW()/100000000)</f>
        <v/>
      </c>
      <c r="R51">
        <f>IF(A51=1,IFERROR(I51,0)+ROW()/100000000,-1E+99)</f>
        <v/>
      </c>
      <c r="S51">
        <f>IF(A51=1,IFERROR(Raw_data!$T51,""),"")</f>
        <v/>
      </c>
      <c r="T51">
        <f>IF(A51=1,IFERROR(Raw_data!$AA51,""),"")</f>
        <v/>
      </c>
      <c r="U51">
        <f>IF(A51=1,IFERROR(Raw_data!$U51,""),"")</f>
        <v/>
      </c>
      <c r="V51">
        <f>IF(A51=1,IFERROR(Raw_data!$AB51,""),"")</f>
        <v/>
      </c>
    </row>
    <row r="52">
      <c r="A52">
        <f>--(AND(OR(Dashboard!$B$4="All",Raw_data!$AL52=Dashboard!$B$4),OR(Dashboard!$B$5="All",Raw_data!$AM52=Dashboard!$B$5),OR(Dashboard!$B$6="All",Raw_data!$AN52=Dashboard!$B$6),OR(Dashboard!$B$7="All",Raw_data!$AO52=Dashboard!$B$7),OR(Dashboard!$B$8="All",Raw_data!$AP52=Dashboard!$B$8),OR(Dashboard!$B$9="All",Raw_data!$AQ52=Dashboard!$B$9),OR(Dashboard!$B$10="All",Raw_data!$AF52=Dashboard!$B$10),OR(Raw_data!$F52="",Raw_data!$F52&lt;=TODAY())))</f>
        <v/>
      </c>
      <c r="B52">
        <f>IFERROR(IF(Dashboard!$B$3="Weighted",Raw_data!$U52,Raw_data!$T52),"")</f>
        <v/>
      </c>
      <c r="C52">
        <f>IFERROR(IF(Dashboard!$B$3="Weighted",Raw_data!$AB52,Raw_data!$AA52),"")</f>
        <v/>
      </c>
      <c r="D52">
        <f>IF(OR(Raw_data!$J52="",Raw_data!$J52&lt;=0,Raw_data!$K52=""),"",IF(Raw_data!$K52&gt;TODAY(),0,DATEDIF(Raw_data!$K52,TODAY(),"M")))</f>
        <v/>
      </c>
      <c r="E52">
        <f>--(AND(Raw_data!$AF52="No",OR(Raw_data!$AG52&lt;&gt;"",Raw_data!$AJ52&gt;0,Raw_data!$AK52&lt;&gt;"")))</f>
        <v/>
      </c>
      <c r="F52">
        <f>--(OR(AND(ISNUMBER(B52),B52&lt;0.5,OR(D52&gt;=24,Raw_data!$I52&gt;0)),Raw_data!$AE52=TRUE))</f>
        <v/>
      </c>
      <c r="G52">
        <f>IF(Dashboard!$B$11="Department",Raw_data!$AL52,IF(Dashboard!$B$11="Team",Raw_data!$AM52,IF(Dashboard!$B$11="Unit",Raw_data!$AN52,IF(Dashboard!$B$11="Legal entity",Raw_data!$AO52,IF(Dashboard!$B$11="Location",Raw_data!$AP52,Raw_data!$AQ52)))))</f>
        <v/>
      </c>
      <c r="H52">
        <f>--(AND(ISNUMBER(B52),B52&lt;0.5))</f>
        <v/>
      </c>
      <c r="I52">
        <f>IFERROR(MAX(0,(0.5-B52)*100),0)+IF(D52&gt;=24,20,0)+IF(Raw_data!$I52&gt;0,20,0)+IF(Raw_data!$AE52=TRUE,10,0)</f>
        <v/>
      </c>
      <c r="J52">
        <f>IFERROR(CHOOSE(MATCH(Dashboard!$B$11,{"Department","Team","Unit","Legal entity","Location","Lead"},0),INDEX(Lists!$B$3:$B$20,ROW()-1),INDEX(Lists!$C$3:$C$146,ROW()-1),INDEX(Lists!$D$3:$D$67,ROW()-1),INDEX(Lists!$E$3:$E$5,ROW()-1),INDEX(Lists!$F$3:$F$12,ROW()-1),INDEX(Lists!$G$3:$G$126,ROW()-1)),"")</f>
        <v/>
      </c>
      <c r="K52">
        <f>IF(J52="","",SUMPRODUCT(($A$2:$A$636=1)*($G$2:$G$636=J52)))</f>
        <v/>
      </c>
      <c r="L52">
        <f>IF(J52="","",SUMPRODUCT(($A$2:$A$636=1)*($G$2:$G$636=J52)*(ISNUMBER($B$2:$B$636))*($B$2:$B$636&lt;0.5)))</f>
        <v/>
      </c>
      <c r="M52">
        <f>IFERROR(L52/K52,"")</f>
        <v/>
      </c>
      <c r="N52">
        <f>IF(K52="","",M52+K52/100000+ROW()/100000000)</f>
        <v/>
      </c>
      <c r="R52">
        <f>IF(A52=1,IFERROR(I52,0)+ROW()/100000000,-1E+99)</f>
        <v/>
      </c>
      <c r="S52">
        <f>IF(A52=1,IFERROR(Raw_data!$T52,""),"")</f>
        <v/>
      </c>
      <c r="T52">
        <f>IF(A52=1,IFERROR(Raw_data!$AA52,""),"")</f>
        <v/>
      </c>
      <c r="U52">
        <f>IF(A52=1,IFERROR(Raw_data!$U52,""),"")</f>
        <v/>
      </c>
      <c r="V52">
        <f>IF(A52=1,IFERROR(Raw_data!$AB52,""),"")</f>
        <v/>
      </c>
    </row>
    <row r="53">
      <c r="A53">
        <f>--(AND(OR(Dashboard!$B$4="All",Raw_data!$AL53=Dashboard!$B$4),OR(Dashboard!$B$5="All",Raw_data!$AM53=Dashboard!$B$5),OR(Dashboard!$B$6="All",Raw_data!$AN53=Dashboard!$B$6),OR(Dashboard!$B$7="All",Raw_data!$AO53=Dashboard!$B$7),OR(Dashboard!$B$8="All",Raw_data!$AP53=Dashboard!$B$8),OR(Dashboard!$B$9="All",Raw_data!$AQ53=Dashboard!$B$9),OR(Dashboard!$B$10="All",Raw_data!$AF53=Dashboard!$B$10),OR(Raw_data!$F53="",Raw_data!$F53&lt;=TODAY())))</f>
        <v/>
      </c>
      <c r="B53">
        <f>IFERROR(IF(Dashboard!$B$3="Weighted",Raw_data!$U53,Raw_data!$T53),"")</f>
        <v/>
      </c>
      <c r="C53">
        <f>IFERROR(IF(Dashboard!$B$3="Weighted",Raw_data!$AB53,Raw_data!$AA53),"")</f>
        <v/>
      </c>
      <c r="D53">
        <f>IF(OR(Raw_data!$J53="",Raw_data!$J53&lt;=0,Raw_data!$K53=""),"",IF(Raw_data!$K53&gt;TODAY(),0,DATEDIF(Raw_data!$K53,TODAY(),"M")))</f>
        <v/>
      </c>
      <c r="E53">
        <f>--(AND(Raw_data!$AF53="No",OR(Raw_data!$AG53&lt;&gt;"",Raw_data!$AJ53&gt;0,Raw_data!$AK53&lt;&gt;"")))</f>
        <v/>
      </c>
      <c r="F53">
        <f>--(OR(AND(ISNUMBER(B53),B53&lt;0.5,OR(D53&gt;=24,Raw_data!$I53&gt;0)),Raw_data!$AE53=TRUE))</f>
        <v/>
      </c>
      <c r="G53">
        <f>IF(Dashboard!$B$11="Department",Raw_data!$AL53,IF(Dashboard!$B$11="Team",Raw_data!$AM53,IF(Dashboard!$B$11="Unit",Raw_data!$AN53,IF(Dashboard!$B$11="Legal entity",Raw_data!$AO53,IF(Dashboard!$B$11="Location",Raw_data!$AP53,Raw_data!$AQ53)))))</f>
        <v/>
      </c>
      <c r="H53">
        <f>--(AND(ISNUMBER(B53),B53&lt;0.5))</f>
        <v/>
      </c>
      <c r="I53">
        <f>IFERROR(MAX(0,(0.5-B53)*100),0)+IF(D53&gt;=24,20,0)+IF(Raw_data!$I53&gt;0,20,0)+IF(Raw_data!$AE53=TRUE,10,0)</f>
        <v/>
      </c>
      <c r="J53">
        <f>IFERROR(CHOOSE(MATCH(Dashboard!$B$11,{"Department","Team","Unit","Legal entity","Location","Lead"},0),INDEX(Lists!$B$3:$B$20,ROW()-1),INDEX(Lists!$C$3:$C$146,ROW()-1),INDEX(Lists!$D$3:$D$67,ROW()-1),INDEX(Lists!$E$3:$E$5,ROW()-1),INDEX(Lists!$F$3:$F$12,ROW()-1),INDEX(Lists!$G$3:$G$126,ROW()-1)),"")</f>
        <v/>
      </c>
      <c r="K53">
        <f>IF(J53="","",SUMPRODUCT(($A$2:$A$636=1)*($G$2:$G$636=J53)))</f>
        <v/>
      </c>
      <c r="L53">
        <f>IF(J53="","",SUMPRODUCT(($A$2:$A$636=1)*($G$2:$G$636=J53)*(ISNUMBER($B$2:$B$636))*($B$2:$B$636&lt;0.5)))</f>
        <v/>
      </c>
      <c r="M53">
        <f>IFERROR(L53/K53,"")</f>
        <v/>
      </c>
      <c r="N53">
        <f>IF(K53="","",M53+K53/100000+ROW()/100000000)</f>
        <v/>
      </c>
      <c r="R53">
        <f>IF(A53=1,IFERROR(I53,0)+ROW()/100000000,-1E+99)</f>
        <v/>
      </c>
      <c r="S53">
        <f>IF(A53=1,IFERROR(Raw_data!$T53,""),"")</f>
        <v/>
      </c>
      <c r="T53">
        <f>IF(A53=1,IFERROR(Raw_data!$AA53,""),"")</f>
        <v/>
      </c>
      <c r="U53">
        <f>IF(A53=1,IFERROR(Raw_data!$U53,""),"")</f>
        <v/>
      </c>
      <c r="V53">
        <f>IF(A53=1,IFERROR(Raw_data!$AB53,""),"")</f>
        <v/>
      </c>
    </row>
    <row r="54">
      <c r="A54">
        <f>--(AND(OR(Dashboard!$B$4="All",Raw_data!$AL54=Dashboard!$B$4),OR(Dashboard!$B$5="All",Raw_data!$AM54=Dashboard!$B$5),OR(Dashboard!$B$6="All",Raw_data!$AN54=Dashboard!$B$6),OR(Dashboard!$B$7="All",Raw_data!$AO54=Dashboard!$B$7),OR(Dashboard!$B$8="All",Raw_data!$AP54=Dashboard!$B$8),OR(Dashboard!$B$9="All",Raw_data!$AQ54=Dashboard!$B$9),OR(Dashboard!$B$10="All",Raw_data!$AF54=Dashboard!$B$10),OR(Raw_data!$F54="",Raw_data!$F54&lt;=TODAY())))</f>
        <v/>
      </c>
      <c r="B54">
        <f>IFERROR(IF(Dashboard!$B$3="Weighted",Raw_data!$U54,Raw_data!$T54),"")</f>
        <v/>
      </c>
      <c r="C54">
        <f>IFERROR(IF(Dashboard!$B$3="Weighted",Raw_data!$AB54,Raw_data!$AA54),"")</f>
        <v/>
      </c>
      <c r="D54">
        <f>IF(OR(Raw_data!$J54="",Raw_data!$J54&lt;=0,Raw_data!$K54=""),"",IF(Raw_data!$K54&gt;TODAY(),0,DATEDIF(Raw_data!$K54,TODAY(),"M")))</f>
        <v/>
      </c>
      <c r="E54">
        <f>--(AND(Raw_data!$AF54="No",OR(Raw_data!$AG54&lt;&gt;"",Raw_data!$AJ54&gt;0,Raw_data!$AK54&lt;&gt;"")))</f>
        <v/>
      </c>
      <c r="F54">
        <f>--(OR(AND(ISNUMBER(B54),B54&lt;0.5,OR(D54&gt;=24,Raw_data!$I54&gt;0)),Raw_data!$AE54=TRUE))</f>
        <v/>
      </c>
      <c r="G54">
        <f>IF(Dashboard!$B$11="Department",Raw_data!$AL54,IF(Dashboard!$B$11="Team",Raw_data!$AM54,IF(Dashboard!$B$11="Unit",Raw_data!$AN54,IF(Dashboard!$B$11="Legal entity",Raw_data!$AO54,IF(Dashboard!$B$11="Location",Raw_data!$AP54,Raw_data!$AQ54)))))</f>
        <v/>
      </c>
      <c r="H54">
        <f>--(AND(ISNUMBER(B54),B54&lt;0.5))</f>
        <v/>
      </c>
      <c r="I54">
        <f>IFERROR(MAX(0,(0.5-B54)*100),0)+IF(D54&gt;=24,20,0)+IF(Raw_data!$I54&gt;0,20,0)+IF(Raw_data!$AE54=TRUE,10,0)</f>
        <v/>
      </c>
      <c r="J54">
        <f>IFERROR(CHOOSE(MATCH(Dashboard!$B$11,{"Department","Team","Unit","Legal entity","Location","Lead"},0),INDEX(Lists!$B$3:$B$20,ROW()-1),INDEX(Lists!$C$3:$C$146,ROW()-1),INDEX(Lists!$D$3:$D$67,ROW()-1),INDEX(Lists!$E$3:$E$5,ROW()-1),INDEX(Lists!$F$3:$F$12,ROW()-1),INDEX(Lists!$G$3:$G$126,ROW()-1)),"")</f>
        <v/>
      </c>
      <c r="K54">
        <f>IF(J54="","",SUMPRODUCT(($A$2:$A$636=1)*($G$2:$G$636=J54)))</f>
        <v/>
      </c>
      <c r="L54">
        <f>IF(J54="","",SUMPRODUCT(($A$2:$A$636=1)*($G$2:$G$636=J54)*(ISNUMBER($B$2:$B$636))*($B$2:$B$636&lt;0.5)))</f>
        <v/>
      </c>
      <c r="M54">
        <f>IFERROR(L54/K54,"")</f>
        <v/>
      </c>
      <c r="N54">
        <f>IF(K54="","",M54+K54/100000+ROW()/100000000)</f>
        <v/>
      </c>
      <c r="R54">
        <f>IF(A54=1,IFERROR(I54,0)+ROW()/100000000,-1E+99)</f>
        <v/>
      </c>
      <c r="S54">
        <f>IF(A54=1,IFERROR(Raw_data!$T54,""),"")</f>
        <v/>
      </c>
      <c r="T54">
        <f>IF(A54=1,IFERROR(Raw_data!$AA54,""),"")</f>
        <v/>
      </c>
      <c r="U54">
        <f>IF(A54=1,IFERROR(Raw_data!$U54,""),"")</f>
        <v/>
      </c>
      <c r="V54">
        <f>IF(A54=1,IFERROR(Raw_data!$AB54,""),"")</f>
        <v/>
      </c>
    </row>
    <row r="55">
      <c r="A55">
        <f>--(AND(OR(Dashboard!$B$4="All",Raw_data!$AL55=Dashboard!$B$4),OR(Dashboard!$B$5="All",Raw_data!$AM55=Dashboard!$B$5),OR(Dashboard!$B$6="All",Raw_data!$AN55=Dashboard!$B$6),OR(Dashboard!$B$7="All",Raw_data!$AO55=Dashboard!$B$7),OR(Dashboard!$B$8="All",Raw_data!$AP55=Dashboard!$B$8),OR(Dashboard!$B$9="All",Raw_data!$AQ55=Dashboard!$B$9),OR(Dashboard!$B$10="All",Raw_data!$AF55=Dashboard!$B$10),OR(Raw_data!$F55="",Raw_data!$F55&lt;=TODAY())))</f>
        <v/>
      </c>
      <c r="B55">
        <f>IFERROR(IF(Dashboard!$B$3="Weighted",Raw_data!$U55,Raw_data!$T55),"")</f>
        <v/>
      </c>
      <c r="C55">
        <f>IFERROR(IF(Dashboard!$B$3="Weighted",Raw_data!$AB55,Raw_data!$AA55),"")</f>
        <v/>
      </c>
      <c r="D55">
        <f>IF(OR(Raw_data!$J55="",Raw_data!$J55&lt;=0,Raw_data!$K55=""),"",IF(Raw_data!$K55&gt;TODAY(),0,DATEDIF(Raw_data!$K55,TODAY(),"M")))</f>
        <v/>
      </c>
      <c r="E55">
        <f>--(AND(Raw_data!$AF55="No",OR(Raw_data!$AG55&lt;&gt;"",Raw_data!$AJ55&gt;0,Raw_data!$AK55&lt;&gt;"")))</f>
        <v/>
      </c>
      <c r="F55">
        <f>--(OR(AND(ISNUMBER(B55),B55&lt;0.5,OR(D55&gt;=24,Raw_data!$I55&gt;0)),Raw_data!$AE55=TRUE))</f>
        <v/>
      </c>
      <c r="G55">
        <f>IF(Dashboard!$B$11="Department",Raw_data!$AL55,IF(Dashboard!$B$11="Team",Raw_data!$AM55,IF(Dashboard!$B$11="Unit",Raw_data!$AN55,IF(Dashboard!$B$11="Legal entity",Raw_data!$AO55,IF(Dashboard!$B$11="Location",Raw_data!$AP55,Raw_data!$AQ55)))))</f>
        <v/>
      </c>
      <c r="H55">
        <f>--(AND(ISNUMBER(B55),B55&lt;0.5))</f>
        <v/>
      </c>
      <c r="I55">
        <f>IFERROR(MAX(0,(0.5-B55)*100),0)+IF(D55&gt;=24,20,0)+IF(Raw_data!$I55&gt;0,20,0)+IF(Raw_data!$AE55=TRUE,10,0)</f>
        <v/>
      </c>
      <c r="J55">
        <f>IFERROR(CHOOSE(MATCH(Dashboard!$B$11,{"Department","Team","Unit","Legal entity","Location","Lead"},0),INDEX(Lists!$B$3:$B$20,ROW()-1),INDEX(Lists!$C$3:$C$146,ROW()-1),INDEX(Lists!$D$3:$D$67,ROW()-1),INDEX(Lists!$E$3:$E$5,ROW()-1),INDEX(Lists!$F$3:$F$12,ROW()-1),INDEX(Lists!$G$3:$G$126,ROW()-1)),"")</f>
        <v/>
      </c>
      <c r="K55">
        <f>IF(J55="","",SUMPRODUCT(($A$2:$A$636=1)*($G$2:$G$636=J55)))</f>
        <v/>
      </c>
      <c r="L55">
        <f>IF(J55="","",SUMPRODUCT(($A$2:$A$636=1)*($G$2:$G$636=J55)*(ISNUMBER($B$2:$B$636))*($B$2:$B$636&lt;0.5)))</f>
        <v/>
      </c>
      <c r="M55">
        <f>IFERROR(L55/K55,"")</f>
        <v/>
      </c>
      <c r="N55">
        <f>IF(K55="","",M55+K55/100000+ROW()/100000000)</f>
        <v/>
      </c>
      <c r="R55">
        <f>IF(A55=1,IFERROR(I55,0)+ROW()/100000000,-1E+99)</f>
        <v/>
      </c>
      <c r="S55">
        <f>IF(A55=1,IFERROR(Raw_data!$T55,""),"")</f>
        <v/>
      </c>
      <c r="T55">
        <f>IF(A55=1,IFERROR(Raw_data!$AA55,""),"")</f>
        <v/>
      </c>
      <c r="U55">
        <f>IF(A55=1,IFERROR(Raw_data!$U55,""),"")</f>
        <v/>
      </c>
      <c r="V55">
        <f>IF(A55=1,IFERROR(Raw_data!$AB55,""),"")</f>
        <v/>
      </c>
    </row>
    <row r="56">
      <c r="A56">
        <f>--(AND(OR(Dashboard!$B$4="All",Raw_data!$AL56=Dashboard!$B$4),OR(Dashboard!$B$5="All",Raw_data!$AM56=Dashboard!$B$5),OR(Dashboard!$B$6="All",Raw_data!$AN56=Dashboard!$B$6),OR(Dashboard!$B$7="All",Raw_data!$AO56=Dashboard!$B$7),OR(Dashboard!$B$8="All",Raw_data!$AP56=Dashboard!$B$8),OR(Dashboard!$B$9="All",Raw_data!$AQ56=Dashboard!$B$9),OR(Dashboard!$B$10="All",Raw_data!$AF56=Dashboard!$B$10),OR(Raw_data!$F56="",Raw_data!$F56&lt;=TODAY())))</f>
        <v/>
      </c>
      <c r="B56">
        <f>IFERROR(IF(Dashboard!$B$3="Weighted",Raw_data!$U56,Raw_data!$T56),"")</f>
        <v/>
      </c>
      <c r="C56">
        <f>IFERROR(IF(Dashboard!$B$3="Weighted",Raw_data!$AB56,Raw_data!$AA56),"")</f>
        <v/>
      </c>
      <c r="D56">
        <f>IF(OR(Raw_data!$J56="",Raw_data!$J56&lt;=0,Raw_data!$K56=""),"",IF(Raw_data!$K56&gt;TODAY(),0,DATEDIF(Raw_data!$K56,TODAY(),"M")))</f>
        <v/>
      </c>
      <c r="E56">
        <f>--(AND(Raw_data!$AF56="No",OR(Raw_data!$AG56&lt;&gt;"",Raw_data!$AJ56&gt;0,Raw_data!$AK56&lt;&gt;"")))</f>
        <v/>
      </c>
      <c r="F56">
        <f>--(OR(AND(ISNUMBER(B56),B56&lt;0.5,OR(D56&gt;=24,Raw_data!$I56&gt;0)),Raw_data!$AE56=TRUE))</f>
        <v/>
      </c>
      <c r="G56">
        <f>IF(Dashboard!$B$11="Department",Raw_data!$AL56,IF(Dashboard!$B$11="Team",Raw_data!$AM56,IF(Dashboard!$B$11="Unit",Raw_data!$AN56,IF(Dashboard!$B$11="Legal entity",Raw_data!$AO56,IF(Dashboard!$B$11="Location",Raw_data!$AP56,Raw_data!$AQ56)))))</f>
        <v/>
      </c>
      <c r="H56">
        <f>--(AND(ISNUMBER(B56),B56&lt;0.5))</f>
        <v/>
      </c>
      <c r="I56">
        <f>IFERROR(MAX(0,(0.5-B56)*100),0)+IF(D56&gt;=24,20,0)+IF(Raw_data!$I56&gt;0,20,0)+IF(Raw_data!$AE56=TRUE,10,0)</f>
        <v/>
      </c>
      <c r="J56">
        <f>IFERROR(CHOOSE(MATCH(Dashboard!$B$11,{"Department","Team","Unit","Legal entity","Location","Lead"},0),INDEX(Lists!$B$3:$B$20,ROW()-1),INDEX(Lists!$C$3:$C$146,ROW()-1),INDEX(Lists!$D$3:$D$67,ROW()-1),INDEX(Lists!$E$3:$E$5,ROW()-1),INDEX(Lists!$F$3:$F$12,ROW()-1),INDEX(Lists!$G$3:$G$126,ROW()-1)),"")</f>
        <v/>
      </c>
      <c r="K56">
        <f>IF(J56="","",SUMPRODUCT(($A$2:$A$636=1)*($G$2:$G$636=J56)))</f>
        <v/>
      </c>
      <c r="L56">
        <f>IF(J56="","",SUMPRODUCT(($A$2:$A$636=1)*($G$2:$G$636=J56)*(ISNUMBER($B$2:$B$636))*($B$2:$B$636&lt;0.5)))</f>
        <v/>
      </c>
      <c r="M56">
        <f>IFERROR(L56/K56,"")</f>
        <v/>
      </c>
      <c r="N56">
        <f>IF(K56="","",M56+K56/100000+ROW()/100000000)</f>
        <v/>
      </c>
      <c r="R56">
        <f>IF(A56=1,IFERROR(I56,0)+ROW()/100000000,-1E+99)</f>
        <v/>
      </c>
      <c r="S56">
        <f>IF(A56=1,IFERROR(Raw_data!$T56,""),"")</f>
        <v/>
      </c>
      <c r="T56">
        <f>IF(A56=1,IFERROR(Raw_data!$AA56,""),"")</f>
        <v/>
      </c>
      <c r="U56">
        <f>IF(A56=1,IFERROR(Raw_data!$U56,""),"")</f>
        <v/>
      </c>
      <c r="V56">
        <f>IF(A56=1,IFERROR(Raw_data!$AB56,""),"")</f>
        <v/>
      </c>
    </row>
    <row r="57">
      <c r="A57">
        <f>--(AND(OR(Dashboard!$B$4="All",Raw_data!$AL57=Dashboard!$B$4),OR(Dashboard!$B$5="All",Raw_data!$AM57=Dashboard!$B$5),OR(Dashboard!$B$6="All",Raw_data!$AN57=Dashboard!$B$6),OR(Dashboard!$B$7="All",Raw_data!$AO57=Dashboard!$B$7),OR(Dashboard!$B$8="All",Raw_data!$AP57=Dashboard!$B$8),OR(Dashboard!$B$9="All",Raw_data!$AQ57=Dashboard!$B$9),OR(Dashboard!$B$10="All",Raw_data!$AF57=Dashboard!$B$10),OR(Raw_data!$F57="",Raw_data!$F57&lt;=TODAY())))</f>
        <v/>
      </c>
      <c r="B57">
        <f>IFERROR(IF(Dashboard!$B$3="Weighted",Raw_data!$U57,Raw_data!$T57),"")</f>
        <v/>
      </c>
      <c r="C57">
        <f>IFERROR(IF(Dashboard!$B$3="Weighted",Raw_data!$AB57,Raw_data!$AA57),"")</f>
        <v/>
      </c>
      <c r="D57">
        <f>IF(OR(Raw_data!$J57="",Raw_data!$J57&lt;=0,Raw_data!$K57=""),"",IF(Raw_data!$K57&gt;TODAY(),0,DATEDIF(Raw_data!$K57,TODAY(),"M")))</f>
        <v/>
      </c>
      <c r="E57">
        <f>--(AND(Raw_data!$AF57="No",OR(Raw_data!$AG57&lt;&gt;"",Raw_data!$AJ57&gt;0,Raw_data!$AK57&lt;&gt;"")))</f>
        <v/>
      </c>
      <c r="F57">
        <f>--(OR(AND(ISNUMBER(B57),B57&lt;0.5,OR(D57&gt;=24,Raw_data!$I57&gt;0)),Raw_data!$AE57=TRUE))</f>
        <v/>
      </c>
      <c r="G57">
        <f>IF(Dashboard!$B$11="Department",Raw_data!$AL57,IF(Dashboard!$B$11="Team",Raw_data!$AM57,IF(Dashboard!$B$11="Unit",Raw_data!$AN57,IF(Dashboard!$B$11="Legal entity",Raw_data!$AO57,IF(Dashboard!$B$11="Location",Raw_data!$AP57,Raw_data!$AQ57)))))</f>
        <v/>
      </c>
      <c r="H57">
        <f>--(AND(ISNUMBER(B57),B57&lt;0.5))</f>
        <v/>
      </c>
      <c r="I57">
        <f>IFERROR(MAX(0,(0.5-B57)*100),0)+IF(D57&gt;=24,20,0)+IF(Raw_data!$I57&gt;0,20,0)+IF(Raw_data!$AE57=TRUE,10,0)</f>
        <v/>
      </c>
      <c r="J57">
        <f>IFERROR(CHOOSE(MATCH(Dashboard!$B$11,{"Department","Team","Unit","Legal entity","Location","Lead"},0),INDEX(Lists!$B$3:$B$20,ROW()-1),INDEX(Lists!$C$3:$C$146,ROW()-1),INDEX(Lists!$D$3:$D$67,ROW()-1),INDEX(Lists!$E$3:$E$5,ROW()-1),INDEX(Lists!$F$3:$F$12,ROW()-1),INDEX(Lists!$G$3:$G$126,ROW()-1)),"")</f>
        <v/>
      </c>
      <c r="K57">
        <f>IF(J57="","",SUMPRODUCT(($A$2:$A$636=1)*($G$2:$G$636=J57)))</f>
        <v/>
      </c>
      <c r="L57">
        <f>IF(J57="","",SUMPRODUCT(($A$2:$A$636=1)*($G$2:$G$636=J57)*(ISNUMBER($B$2:$B$636))*($B$2:$B$636&lt;0.5)))</f>
        <v/>
      </c>
      <c r="M57">
        <f>IFERROR(L57/K57,"")</f>
        <v/>
      </c>
      <c r="N57">
        <f>IF(K57="","",M57+K57/100000+ROW()/100000000)</f>
        <v/>
      </c>
      <c r="R57">
        <f>IF(A57=1,IFERROR(I57,0)+ROW()/100000000,-1E+99)</f>
        <v/>
      </c>
      <c r="S57">
        <f>IF(A57=1,IFERROR(Raw_data!$T57,""),"")</f>
        <v/>
      </c>
      <c r="T57">
        <f>IF(A57=1,IFERROR(Raw_data!$AA57,""),"")</f>
        <v/>
      </c>
      <c r="U57">
        <f>IF(A57=1,IFERROR(Raw_data!$U57,""),"")</f>
        <v/>
      </c>
      <c r="V57">
        <f>IF(A57=1,IFERROR(Raw_data!$AB57,""),"")</f>
        <v/>
      </c>
    </row>
    <row r="58">
      <c r="A58">
        <f>--(AND(OR(Dashboard!$B$4="All",Raw_data!$AL58=Dashboard!$B$4),OR(Dashboard!$B$5="All",Raw_data!$AM58=Dashboard!$B$5),OR(Dashboard!$B$6="All",Raw_data!$AN58=Dashboard!$B$6),OR(Dashboard!$B$7="All",Raw_data!$AO58=Dashboard!$B$7),OR(Dashboard!$B$8="All",Raw_data!$AP58=Dashboard!$B$8),OR(Dashboard!$B$9="All",Raw_data!$AQ58=Dashboard!$B$9),OR(Dashboard!$B$10="All",Raw_data!$AF58=Dashboard!$B$10),OR(Raw_data!$F58="",Raw_data!$F58&lt;=TODAY())))</f>
        <v/>
      </c>
      <c r="B58">
        <f>IFERROR(IF(Dashboard!$B$3="Weighted",Raw_data!$U58,Raw_data!$T58),"")</f>
        <v/>
      </c>
      <c r="C58">
        <f>IFERROR(IF(Dashboard!$B$3="Weighted",Raw_data!$AB58,Raw_data!$AA58),"")</f>
        <v/>
      </c>
      <c r="D58">
        <f>IF(OR(Raw_data!$J58="",Raw_data!$J58&lt;=0,Raw_data!$K58=""),"",IF(Raw_data!$K58&gt;TODAY(),0,DATEDIF(Raw_data!$K58,TODAY(),"M")))</f>
        <v/>
      </c>
      <c r="E58">
        <f>--(AND(Raw_data!$AF58="No",OR(Raw_data!$AG58&lt;&gt;"",Raw_data!$AJ58&gt;0,Raw_data!$AK58&lt;&gt;"")))</f>
        <v/>
      </c>
      <c r="F58">
        <f>--(OR(AND(ISNUMBER(B58),B58&lt;0.5,OR(D58&gt;=24,Raw_data!$I58&gt;0)),Raw_data!$AE58=TRUE))</f>
        <v/>
      </c>
      <c r="G58">
        <f>IF(Dashboard!$B$11="Department",Raw_data!$AL58,IF(Dashboard!$B$11="Team",Raw_data!$AM58,IF(Dashboard!$B$11="Unit",Raw_data!$AN58,IF(Dashboard!$B$11="Legal entity",Raw_data!$AO58,IF(Dashboard!$B$11="Location",Raw_data!$AP58,Raw_data!$AQ58)))))</f>
        <v/>
      </c>
      <c r="H58">
        <f>--(AND(ISNUMBER(B58),B58&lt;0.5))</f>
        <v/>
      </c>
      <c r="I58">
        <f>IFERROR(MAX(0,(0.5-B58)*100),0)+IF(D58&gt;=24,20,0)+IF(Raw_data!$I58&gt;0,20,0)+IF(Raw_data!$AE58=TRUE,10,0)</f>
        <v/>
      </c>
      <c r="J58">
        <f>IFERROR(CHOOSE(MATCH(Dashboard!$B$11,{"Department","Team","Unit","Legal entity","Location","Lead"},0),INDEX(Lists!$B$3:$B$20,ROW()-1),INDEX(Lists!$C$3:$C$146,ROW()-1),INDEX(Lists!$D$3:$D$67,ROW()-1),INDEX(Lists!$E$3:$E$5,ROW()-1),INDEX(Lists!$F$3:$F$12,ROW()-1),INDEX(Lists!$G$3:$G$126,ROW()-1)),"")</f>
        <v/>
      </c>
      <c r="K58">
        <f>IF(J58="","",SUMPRODUCT(($A$2:$A$636=1)*($G$2:$G$636=J58)))</f>
        <v/>
      </c>
      <c r="L58">
        <f>IF(J58="","",SUMPRODUCT(($A$2:$A$636=1)*($G$2:$G$636=J58)*(ISNUMBER($B$2:$B$636))*($B$2:$B$636&lt;0.5)))</f>
        <v/>
      </c>
      <c r="M58">
        <f>IFERROR(L58/K58,"")</f>
        <v/>
      </c>
      <c r="N58">
        <f>IF(K58="","",M58+K58/100000+ROW()/100000000)</f>
        <v/>
      </c>
      <c r="R58">
        <f>IF(A58=1,IFERROR(I58,0)+ROW()/100000000,-1E+99)</f>
        <v/>
      </c>
      <c r="S58">
        <f>IF(A58=1,IFERROR(Raw_data!$T58,""),"")</f>
        <v/>
      </c>
      <c r="T58">
        <f>IF(A58=1,IFERROR(Raw_data!$AA58,""),"")</f>
        <v/>
      </c>
      <c r="U58">
        <f>IF(A58=1,IFERROR(Raw_data!$U58,""),"")</f>
        <v/>
      </c>
      <c r="V58">
        <f>IF(A58=1,IFERROR(Raw_data!$AB58,""),"")</f>
        <v/>
      </c>
    </row>
    <row r="59">
      <c r="A59">
        <f>--(AND(OR(Dashboard!$B$4="All",Raw_data!$AL59=Dashboard!$B$4),OR(Dashboard!$B$5="All",Raw_data!$AM59=Dashboard!$B$5),OR(Dashboard!$B$6="All",Raw_data!$AN59=Dashboard!$B$6),OR(Dashboard!$B$7="All",Raw_data!$AO59=Dashboard!$B$7),OR(Dashboard!$B$8="All",Raw_data!$AP59=Dashboard!$B$8),OR(Dashboard!$B$9="All",Raw_data!$AQ59=Dashboard!$B$9),OR(Dashboard!$B$10="All",Raw_data!$AF59=Dashboard!$B$10),OR(Raw_data!$F59="",Raw_data!$F59&lt;=TODAY())))</f>
        <v/>
      </c>
      <c r="B59">
        <f>IFERROR(IF(Dashboard!$B$3="Weighted",Raw_data!$U59,Raw_data!$T59),"")</f>
        <v/>
      </c>
      <c r="C59">
        <f>IFERROR(IF(Dashboard!$B$3="Weighted",Raw_data!$AB59,Raw_data!$AA59),"")</f>
        <v/>
      </c>
      <c r="D59">
        <f>IF(OR(Raw_data!$J59="",Raw_data!$J59&lt;=0,Raw_data!$K59=""),"",IF(Raw_data!$K59&gt;TODAY(),0,DATEDIF(Raw_data!$K59,TODAY(),"M")))</f>
        <v/>
      </c>
      <c r="E59">
        <f>--(AND(Raw_data!$AF59="No",OR(Raw_data!$AG59&lt;&gt;"",Raw_data!$AJ59&gt;0,Raw_data!$AK59&lt;&gt;"")))</f>
        <v/>
      </c>
      <c r="F59">
        <f>--(OR(AND(ISNUMBER(B59),B59&lt;0.5,OR(D59&gt;=24,Raw_data!$I59&gt;0)),Raw_data!$AE59=TRUE))</f>
        <v/>
      </c>
      <c r="G59">
        <f>IF(Dashboard!$B$11="Department",Raw_data!$AL59,IF(Dashboard!$B$11="Team",Raw_data!$AM59,IF(Dashboard!$B$11="Unit",Raw_data!$AN59,IF(Dashboard!$B$11="Legal entity",Raw_data!$AO59,IF(Dashboard!$B$11="Location",Raw_data!$AP59,Raw_data!$AQ59)))))</f>
        <v/>
      </c>
      <c r="H59">
        <f>--(AND(ISNUMBER(B59),B59&lt;0.5))</f>
        <v/>
      </c>
      <c r="I59">
        <f>IFERROR(MAX(0,(0.5-B59)*100),0)+IF(D59&gt;=24,20,0)+IF(Raw_data!$I59&gt;0,20,0)+IF(Raw_data!$AE59=TRUE,10,0)</f>
        <v/>
      </c>
      <c r="J59">
        <f>IFERROR(CHOOSE(MATCH(Dashboard!$B$11,{"Department","Team","Unit","Legal entity","Location","Lead"},0),INDEX(Lists!$B$3:$B$20,ROW()-1),INDEX(Lists!$C$3:$C$146,ROW()-1),INDEX(Lists!$D$3:$D$67,ROW()-1),INDEX(Lists!$E$3:$E$5,ROW()-1),INDEX(Lists!$F$3:$F$12,ROW()-1),INDEX(Lists!$G$3:$G$126,ROW()-1)),"")</f>
        <v/>
      </c>
      <c r="K59">
        <f>IF(J59="","",SUMPRODUCT(($A$2:$A$636=1)*($G$2:$G$636=J59)))</f>
        <v/>
      </c>
      <c r="L59">
        <f>IF(J59="","",SUMPRODUCT(($A$2:$A$636=1)*($G$2:$G$636=J59)*(ISNUMBER($B$2:$B$636))*($B$2:$B$636&lt;0.5)))</f>
        <v/>
      </c>
      <c r="M59">
        <f>IFERROR(L59/K59,"")</f>
        <v/>
      </c>
      <c r="N59">
        <f>IF(K59="","",M59+K59/100000+ROW()/100000000)</f>
        <v/>
      </c>
      <c r="R59">
        <f>IF(A59=1,IFERROR(I59,0)+ROW()/100000000,-1E+99)</f>
        <v/>
      </c>
      <c r="S59">
        <f>IF(A59=1,IFERROR(Raw_data!$T59,""),"")</f>
        <v/>
      </c>
      <c r="T59">
        <f>IF(A59=1,IFERROR(Raw_data!$AA59,""),"")</f>
        <v/>
      </c>
      <c r="U59">
        <f>IF(A59=1,IFERROR(Raw_data!$U59,""),"")</f>
        <v/>
      </c>
      <c r="V59">
        <f>IF(A59=1,IFERROR(Raw_data!$AB59,""),"")</f>
        <v/>
      </c>
    </row>
    <row r="60">
      <c r="A60">
        <f>--(AND(OR(Dashboard!$B$4="All",Raw_data!$AL60=Dashboard!$B$4),OR(Dashboard!$B$5="All",Raw_data!$AM60=Dashboard!$B$5),OR(Dashboard!$B$6="All",Raw_data!$AN60=Dashboard!$B$6),OR(Dashboard!$B$7="All",Raw_data!$AO60=Dashboard!$B$7),OR(Dashboard!$B$8="All",Raw_data!$AP60=Dashboard!$B$8),OR(Dashboard!$B$9="All",Raw_data!$AQ60=Dashboard!$B$9),OR(Dashboard!$B$10="All",Raw_data!$AF60=Dashboard!$B$10),OR(Raw_data!$F60="",Raw_data!$F60&lt;=TODAY())))</f>
        <v/>
      </c>
      <c r="B60">
        <f>IFERROR(IF(Dashboard!$B$3="Weighted",Raw_data!$U60,Raw_data!$T60),"")</f>
        <v/>
      </c>
      <c r="C60">
        <f>IFERROR(IF(Dashboard!$B$3="Weighted",Raw_data!$AB60,Raw_data!$AA60),"")</f>
        <v/>
      </c>
      <c r="D60">
        <f>IF(OR(Raw_data!$J60="",Raw_data!$J60&lt;=0,Raw_data!$K60=""),"",IF(Raw_data!$K60&gt;TODAY(),0,DATEDIF(Raw_data!$K60,TODAY(),"M")))</f>
        <v/>
      </c>
      <c r="E60">
        <f>--(AND(Raw_data!$AF60="No",OR(Raw_data!$AG60&lt;&gt;"",Raw_data!$AJ60&gt;0,Raw_data!$AK60&lt;&gt;"")))</f>
        <v/>
      </c>
      <c r="F60">
        <f>--(OR(AND(ISNUMBER(B60),B60&lt;0.5,OR(D60&gt;=24,Raw_data!$I60&gt;0)),Raw_data!$AE60=TRUE))</f>
        <v/>
      </c>
      <c r="G60">
        <f>IF(Dashboard!$B$11="Department",Raw_data!$AL60,IF(Dashboard!$B$11="Team",Raw_data!$AM60,IF(Dashboard!$B$11="Unit",Raw_data!$AN60,IF(Dashboard!$B$11="Legal entity",Raw_data!$AO60,IF(Dashboard!$B$11="Location",Raw_data!$AP60,Raw_data!$AQ60)))))</f>
        <v/>
      </c>
      <c r="H60">
        <f>--(AND(ISNUMBER(B60),B60&lt;0.5))</f>
        <v/>
      </c>
      <c r="I60">
        <f>IFERROR(MAX(0,(0.5-B60)*100),0)+IF(D60&gt;=24,20,0)+IF(Raw_data!$I60&gt;0,20,0)+IF(Raw_data!$AE60=TRUE,10,0)</f>
        <v/>
      </c>
      <c r="J60">
        <f>IFERROR(CHOOSE(MATCH(Dashboard!$B$11,{"Department","Team","Unit","Legal entity","Location","Lead"},0),INDEX(Lists!$B$3:$B$20,ROW()-1),INDEX(Lists!$C$3:$C$146,ROW()-1),INDEX(Lists!$D$3:$D$67,ROW()-1),INDEX(Lists!$E$3:$E$5,ROW()-1),INDEX(Lists!$F$3:$F$12,ROW()-1),INDEX(Lists!$G$3:$G$126,ROW()-1)),"")</f>
        <v/>
      </c>
      <c r="K60">
        <f>IF(J60="","",SUMPRODUCT(($A$2:$A$636=1)*($G$2:$G$636=J60)))</f>
        <v/>
      </c>
      <c r="L60">
        <f>IF(J60="","",SUMPRODUCT(($A$2:$A$636=1)*($G$2:$G$636=J60)*(ISNUMBER($B$2:$B$636))*($B$2:$B$636&lt;0.5)))</f>
        <v/>
      </c>
      <c r="M60">
        <f>IFERROR(L60/K60,"")</f>
        <v/>
      </c>
      <c r="N60">
        <f>IF(K60="","",M60+K60/100000+ROW()/100000000)</f>
        <v/>
      </c>
      <c r="R60">
        <f>IF(A60=1,IFERROR(I60,0)+ROW()/100000000,-1E+99)</f>
        <v/>
      </c>
      <c r="S60">
        <f>IF(A60=1,IFERROR(Raw_data!$T60,""),"")</f>
        <v/>
      </c>
      <c r="T60">
        <f>IF(A60=1,IFERROR(Raw_data!$AA60,""),"")</f>
        <v/>
      </c>
      <c r="U60">
        <f>IF(A60=1,IFERROR(Raw_data!$U60,""),"")</f>
        <v/>
      </c>
      <c r="V60">
        <f>IF(A60=1,IFERROR(Raw_data!$AB60,""),"")</f>
        <v/>
      </c>
    </row>
    <row r="61">
      <c r="A61">
        <f>--(AND(OR(Dashboard!$B$4="All",Raw_data!$AL61=Dashboard!$B$4),OR(Dashboard!$B$5="All",Raw_data!$AM61=Dashboard!$B$5),OR(Dashboard!$B$6="All",Raw_data!$AN61=Dashboard!$B$6),OR(Dashboard!$B$7="All",Raw_data!$AO61=Dashboard!$B$7),OR(Dashboard!$B$8="All",Raw_data!$AP61=Dashboard!$B$8),OR(Dashboard!$B$9="All",Raw_data!$AQ61=Dashboard!$B$9),OR(Dashboard!$B$10="All",Raw_data!$AF61=Dashboard!$B$10),OR(Raw_data!$F61="",Raw_data!$F61&lt;=TODAY())))</f>
        <v/>
      </c>
      <c r="B61">
        <f>IFERROR(IF(Dashboard!$B$3="Weighted",Raw_data!$U61,Raw_data!$T61),"")</f>
        <v/>
      </c>
      <c r="C61">
        <f>IFERROR(IF(Dashboard!$B$3="Weighted",Raw_data!$AB61,Raw_data!$AA61),"")</f>
        <v/>
      </c>
      <c r="D61">
        <f>IF(OR(Raw_data!$J61="",Raw_data!$J61&lt;=0,Raw_data!$K61=""),"",IF(Raw_data!$K61&gt;TODAY(),0,DATEDIF(Raw_data!$K61,TODAY(),"M")))</f>
        <v/>
      </c>
      <c r="E61">
        <f>--(AND(Raw_data!$AF61="No",OR(Raw_data!$AG61&lt;&gt;"",Raw_data!$AJ61&gt;0,Raw_data!$AK61&lt;&gt;"")))</f>
        <v/>
      </c>
      <c r="F61">
        <f>--(OR(AND(ISNUMBER(B61),B61&lt;0.5,OR(D61&gt;=24,Raw_data!$I61&gt;0)),Raw_data!$AE61=TRUE))</f>
        <v/>
      </c>
      <c r="G61">
        <f>IF(Dashboard!$B$11="Department",Raw_data!$AL61,IF(Dashboard!$B$11="Team",Raw_data!$AM61,IF(Dashboard!$B$11="Unit",Raw_data!$AN61,IF(Dashboard!$B$11="Legal entity",Raw_data!$AO61,IF(Dashboard!$B$11="Location",Raw_data!$AP61,Raw_data!$AQ61)))))</f>
        <v/>
      </c>
      <c r="H61">
        <f>--(AND(ISNUMBER(B61),B61&lt;0.5))</f>
        <v/>
      </c>
      <c r="I61">
        <f>IFERROR(MAX(0,(0.5-B61)*100),0)+IF(D61&gt;=24,20,0)+IF(Raw_data!$I61&gt;0,20,0)+IF(Raw_data!$AE61=TRUE,10,0)</f>
        <v/>
      </c>
      <c r="J61">
        <f>IFERROR(CHOOSE(MATCH(Dashboard!$B$11,{"Department","Team","Unit","Legal entity","Location","Lead"},0),INDEX(Lists!$B$3:$B$20,ROW()-1),INDEX(Lists!$C$3:$C$146,ROW()-1),INDEX(Lists!$D$3:$D$67,ROW()-1),INDEX(Lists!$E$3:$E$5,ROW()-1),INDEX(Lists!$F$3:$F$12,ROW()-1),INDEX(Lists!$G$3:$G$126,ROW()-1)),"")</f>
        <v/>
      </c>
      <c r="K61">
        <f>IF(J61="","",SUMPRODUCT(($A$2:$A$636=1)*($G$2:$G$636=J61)))</f>
        <v/>
      </c>
      <c r="L61">
        <f>IF(J61="","",SUMPRODUCT(($A$2:$A$636=1)*($G$2:$G$636=J61)*(ISNUMBER($B$2:$B$636))*($B$2:$B$636&lt;0.5)))</f>
        <v/>
      </c>
      <c r="M61">
        <f>IFERROR(L61/K61,"")</f>
        <v/>
      </c>
      <c r="N61">
        <f>IF(K61="","",M61+K61/100000+ROW()/100000000)</f>
        <v/>
      </c>
      <c r="R61">
        <f>IF(A61=1,IFERROR(I61,0)+ROW()/100000000,-1E+99)</f>
        <v/>
      </c>
      <c r="S61">
        <f>IF(A61=1,IFERROR(Raw_data!$T61,""),"")</f>
        <v/>
      </c>
      <c r="T61">
        <f>IF(A61=1,IFERROR(Raw_data!$AA61,""),"")</f>
        <v/>
      </c>
      <c r="U61">
        <f>IF(A61=1,IFERROR(Raw_data!$U61,""),"")</f>
        <v/>
      </c>
      <c r="V61">
        <f>IF(A61=1,IFERROR(Raw_data!$AB61,""),"")</f>
        <v/>
      </c>
    </row>
    <row r="62">
      <c r="A62">
        <f>--(AND(OR(Dashboard!$B$4="All",Raw_data!$AL62=Dashboard!$B$4),OR(Dashboard!$B$5="All",Raw_data!$AM62=Dashboard!$B$5),OR(Dashboard!$B$6="All",Raw_data!$AN62=Dashboard!$B$6),OR(Dashboard!$B$7="All",Raw_data!$AO62=Dashboard!$B$7),OR(Dashboard!$B$8="All",Raw_data!$AP62=Dashboard!$B$8),OR(Dashboard!$B$9="All",Raw_data!$AQ62=Dashboard!$B$9),OR(Dashboard!$B$10="All",Raw_data!$AF62=Dashboard!$B$10),OR(Raw_data!$F62="",Raw_data!$F62&lt;=TODAY())))</f>
        <v/>
      </c>
      <c r="B62">
        <f>IFERROR(IF(Dashboard!$B$3="Weighted",Raw_data!$U62,Raw_data!$T62),"")</f>
        <v/>
      </c>
      <c r="C62">
        <f>IFERROR(IF(Dashboard!$B$3="Weighted",Raw_data!$AB62,Raw_data!$AA62),"")</f>
        <v/>
      </c>
      <c r="D62">
        <f>IF(OR(Raw_data!$J62="",Raw_data!$J62&lt;=0,Raw_data!$K62=""),"",IF(Raw_data!$K62&gt;TODAY(),0,DATEDIF(Raw_data!$K62,TODAY(),"M")))</f>
        <v/>
      </c>
      <c r="E62">
        <f>--(AND(Raw_data!$AF62="No",OR(Raw_data!$AG62&lt;&gt;"",Raw_data!$AJ62&gt;0,Raw_data!$AK62&lt;&gt;"")))</f>
        <v/>
      </c>
      <c r="F62">
        <f>--(OR(AND(ISNUMBER(B62),B62&lt;0.5,OR(D62&gt;=24,Raw_data!$I62&gt;0)),Raw_data!$AE62=TRUE))</f>
        <v/>
      </c>
      <c r="G62">
        <f>IF(Dashboard!$B$11="Department",Raw_data!$AL62,IF(Dashboard!$B$11="Team",Raw_data!$AM62,IF(Dashboard!$B$11="Unit",Raw_data!$AN62,IF(Dashboard!$B$11="Legal entity",Raw_data!$AO62,IF(Dashboard!$B$11="Location",Raw_data!$AP62,Raw_data!$AQ62)))))</f>
        <v/>
      </c>
      <c r="H62">
        <f>--(AND(ISNUMBER(B62),B62&lt;0.5))</f>
        <v/>
      </c>
      <c r="I62">
        <f>IFERROR(MAX(0,(0.5-B62)*100),0)+IF(D62&gt;=24,20,0)+IF(Raw_data!$I62&gt;0,20,0)+IF(Raw_data!$AE62=TRUE,10,0)</f>
        <v/>
      </c>
      <c r="J62">
        <f>IFERROR(CHOOSE(MATCH(Dashboard!$B$11,{"Department","Team","Unit","Legal entity","Location","Lead"},0),INDEX(Lists!$B$3:$B$20,ROW()-1),INDEX(Lists!$C$3:$C$146,ROW()-1),INDEX(Lists!$D$3:$D$67,ROW()-1),INDEX(Lists!$E$3:$E$5,ROW()-1),INDEX(Lists!$F$3:$F$12,ROW()-1),INDEX(Lists!$G$3:$G$126,ROW()-1)),"")</f>
        <v/>
      </c>
      <c r="K62">
        <f>IF(J62="","",SUMPRODUCT(($A$2:$A$636=1)*($G$2:$G$636=J62)))</f>
        <v/>
      </c>
      <c r="L62">
        <f>IF(J62="","",SUMPRODUCT(($A$2:$A$636=1)*($G$2:$G$636=J62)*(ISNUMBER($B$2:$B$636))*($B$2:$B$636&lt;0.5)))</f>
        <v/>
      </c>
      <c r="M62">
        <f>IFERROR(L62/K62,"")</f>
        <v/>
      </c>
      <c r="N62">
        <f>IF(K62="","",M62+K62/100000+ROW()/100000000)</f>
        <v/>
      </c>
      <c r="R62">
        <f>IF(A62=1,IFERROR(I62,0)+ROW()/100000000,-1E+99)</f>
        <v/>
      </c>
      <c r="S62">
        <f>IF(A62=1,IFERROR(Raw_data!$T62,""),"")</f>
        <v/>
      </c>
      <c r="T62">
        <f>IF(A62=1,IFERROR(Raw_data!$AA62,""),"")</f>
        <v/>
      </c>
      <c r="U62">
        <f>IF(A62=1,IFERROR(Raw_data!$U62,""),"")</f>
        <v/>
      </c>
      <c r="V62">
        <f>IF(A62=1,IFERROR(Raw_data!$AB62,""),"")</f>
        <v/>
      </c>
    </row>
    <row r="63">
      <c r="A63">
        <f>--(AND(OR(Dashboard!$B$4="All",Raw_data!$AL63=Dashboard!$B$4),OR(Dashboard!$B$5="All",Raw_data!$AM63=Dashboard!$B$5),OR(Dashboard!$B$6="All",Raw_data!$AN63=Dashboard!$B$6),OR(Dashboard!$B$7="All",Raw_data!$AO63=Dashboard!$B$7),OR(Dashboard!$B$8="All",Raw_data!$AP63=Dashboard!$B$8),OR(Dashboard!$B$9="All",Raw_data!$AQ63=Dashboard!$B$9),OR(Dashboard!$B$10="All",Raw_data!$AF63=Dashboard!$B$10),OR(Raw_data!$F63="",Raw_data!$F63&lt;=TODAY())))</f>
        <v/>
      </c>
      <c r="B63">
        <f>IFERROR(IF(Dashboard!$B$3="Weighted",Raw_data!$U63,Raw_data!$T63),"")</f>
        <v/>
      </c>
      <c r="C63">
        <f>IFERROR(IF(Dashboard!$B$3="Weighted",Raw_data!$AB63,Raw_data!$AA63),"")</f>
        <v/>
      </c>
      <c r="D63">
        <f>IF(OR(Raw_data!$J63="",Raw_data!$J63&lt;=0,Raw_data!$K63=""),"",IF(Raw_data!$K63&gt;TODAY(),0,DATEDIF(Raw_data!$K63,TODAY(),"M")))</f>
        <v/>
      </c>
      <c r="E63">
        <f>--(AND(Raw_data!$AF63="No",OR(Raw_data!$AG63&lt;&gt;"",Raw_data!$AJ63&gt;0,Raw_data!$AK63&lt;&gt;"")))</f>
        <v/>
      </c>
      <c r="F63">
        <f>--(OR(AND(ISNUMBER(B63),B63&lt;0.5,OR(D63&gt;=24,Raw_data!$I63&gt;0)),Raw_data!$AE63=TRUE))</f>
        <v/>
      </c>
      <c r="G63">
        <f>IF(Dashboard!$B$11="Department",Raw_data!$AL63,IF(Dashboard!$B$11="Team",Raw_data!$AM63,IF(Dashboard!$B$11="Unit",Raw_data!$AN63,IF(Dashboard!$B$11="Legal entity",Raw_data!$AO63,IF(Dashboard!$B$11="Location",Raw_data!$AP63,Raw_data!$AQ63)))))</f>
        <v/>
      </c>
      <c r="H63">
        <f>--(AND(ISNUMBER(B63),B63&lt;0.5))</f>
        <v/>
      </c>
      <c r="I63">
        <f>IFERROR(MAX(0,(0.5-B63)*100),0)+IF(D63&gt;=24,20,0)+IF(Raw_data!$I63&gt;0,20,0)+IF(Raw_data!$AE63=TRUE,10,0)</f>
        <v/>
      </c>
      <c r="J63">
        <f>IFERROR(CHOOSE(MATCH(Dashboard!$B$11,{"Department","Team","Unit","Legal entity","Location","Lead"},0),INDEX(Lists!$B$3:$B$20,ROW()-1),INDEX(Lists!$C$3:$C$146,ROW()-1),INDEX(Lists!$D$3:$D$67,ROW()-1),INDEX(Lists!$E$3:$E$5,ROW()-1),INDEX(Lists!$F$3:$F$12,ROW()-1),INDEX(Lists!$G$3:$G$126,ROW()-1)),"")</f>
        <v/>
      </c>
      <c r="K63">
        <f>IF(J63="","",SUMPRODUCT(($A$2:$A$636=1)*($G$2:$G$636=J63)))</f>
        <v/>
      </c>
      <c r="L63">
        <f>IF(J63="","",SUMPRODUCT(($A$2:$A$636=1)*($G$2:$G$636=J63)*(ISNUMBER($B$2:$B$636))*($B$2:$B$636&lt;0.5)))</f>
        <v/>
      </c>
      <c r="M63">
        <f>IFERROR(L63/K63,"")</f>
        <v/>
      </c>
      <c r="N63">
        <f>IF(K63="","",M63+K63/100000+ROW()/100000000)</f>
        <v/>
      </c>
      <c r="R63">
        <f>IF(A63=1,IFERROR(I63,0)+ROW()/100000000,-1E+99)</f>
        <v/>
      </c>
      <c r="S63">
        <f>IF(A63=1,IFERROR(Raw_data!$T63,""),"")</f>
        <v/>
      </c>
      <c r="T63">
        <f>IF(A63=1,IFERROR(Raw_data!$AA63,""),"")</f>
        <v/>
      </c>
      <c r="U63">
        <f>IF(A63=1,IFERROR(Raw_data!$U63,""),"")</f>
        <v/>
      </c>
      <c r="V63">
        <f>IF(A63=1,IFERROR(Raw_data!$AB63,""),"")</f>
        <v/>
      </c>
    </row>
    <row r="64">
      <c r="A64">
        <f>--(AND(OR(Dashboard!$B$4="All",Raw_data!$AL64=Dashboard!$B$4),OR(Dashboard!$B$5="All",Raw_data!$AM64=Dashboard!$B$5),OR(Dashboard!$B$6="All",Raw_data!$AN64=Dashboard!$B$6),OR(Dashboard!$B$7="All",Raw_data!$AO64=Dashboard!$B$7),OR(Dashboard!$B$8="All",Raw_data!$AP64=Dashboard!$B$8),OR(Dashboard!$B$9="All",Raw_data!$AQ64=Dashboard!$B$9),OR(Dashboard!$B$10="All",Raw_data!$AF64=Dashboard!$B$10),OR(Raw_data!$F64="",Raw_data!$F64&lt;=TODAY())))</f>
        <v/>
      </c>
      <c r="B64">
        <f>IFERROR(IF(Dashboard!$B$3="Weighted",Raw_data!$U64,Raw_data!$T64),"")</f>
        <v/>
      </c>
      <c r="C64">
        <f>IFERROR(IF(Dashboard!$B$3="Weighted",Raw_data!$AB64,Raw_data!$AA64),"")</f>
        <v/>
      </c>
      <c r="D64">
        <f>IF(OR(Raw_data!$J64="",Raw_data!$J64&lt;=0,Raw_data!$K64=""),"",IF(Raw_data!$K64&gt;TODAY(),0,DATEDIF(Raw_data!$K64,TODAY(),"M")))</f>
        <v/>
      </c>
      <c r="E64">
        <f>--(AND(Raw_data!$AF64="No",OR(Raw_data!$AG64&lt;&gt;"",Raw_data!$AJ64&gt;0,Raw_data!$AK64&lt;&gt;"")))</f>
        <v/>
      </c>
      <c r="F64">
        <f>--(OR(AND(ISNUMBER(B64),B64&lt;0.5,OR(D64&gt;=24,Raw_data!$I64&gt;0)),Raw_data!$AE64=TRUE))</f>
        <v/>
      </c>
      <c r="G64">
        <f>IF(Dashboard!$B$11="Department",Raw_data!$AL64,IF(Dashboard!$B$11="Team",Raw_data!$AM64,IF(Dashboard!$B$11="Unit",Raw_data!$AN64,IF(Dashboard!$B$11="Legal entity",Raw_data!$AO64,IF(Dashboard!$B$11="Location",Raw_data!$AP64,Raw_data!$AQ64)))))</f>
        <v/>
      </c>
      <c r="H64">
        <f>--(AND(ISNUMBER(B64),B64&lt;0.5))</f>
        <v/>
      </c>
      <c r="I64">
        <f>IFERROR(MAX(0,(0.5-B64)*100),0)+IF(D64&gt;=24,20,0)+IF(Raw_data!$I64&gt;0,20,0)+IF(Raw_data!$AE64=TRUE,10,0)</f>
        <v/>
      </c>
      <c r="J64">
        <f>IFERROR(CHOOSE(MATCH(Dashboard!$B$11,{"Department","Team","Unit","Legal entity","Location","Lead"},0),INDEX(Lists!$B$3:$B$20,ROW()-1),INDEX(Lists!$C$3:$C$146,ROW()-1),INDEX(Lists!$D$3:$D$67,ROW()-1),INDEX(Lists!$E$3:$E$5,ROW()-1),INDEX(Lists!$F$3:$F$12,ROW()-1),INDEX(Lists!$G$3:$G$126,ROW()-1)),"")</f>
        <v/>
      </c>
      <c r="K64">
        <f>IF(J64="","",SUMPRODUCT(($A$2:$A$636=1)*($G$2:$G$636=J64)))</f>
        <v/>
      </c>
      <c r="L64">
        <f>IF(J64="","",SUMPRODUCT(($A$2:$A$636=1)*($G$2:$G$636=J64)*(ISNUMBER($B$2:$B$636))*($B$2:$B$636&lt;0.5)))</f>
        <v/>
      </c>
      <c r="M64">
        <f>IFERROR(L64/K64,"")</f>
        <v/>
      </c>
      <c r="N64">
        <f>IF(K64="","",M64+K64/100000+ROW()/100000000)</f>
        <v/>
      </c>
      <c r="R64">
        <f>IF(A64=1,IFERROR(I64,0)+ROW()/100000000,-1E+99)</f>
        <v/>
      </c>
      <c r="S64">
        <f>IF(A64=1,IFERROR(Raw_data!$T64,""),"")</f>
        <v/>
      </c>
      <c r="T64">
        <f>IF(A64=1,IFERROR(Raw_data!$AA64,""),"")</f>
        <v/>
      </c>
      <c r="U64">
        <f>IF(A64=1,IFERROR(Raw_data!$U64,""),"")</f>
        <v/>
      </c>
      <c r="V64">
        <f>IF(A64=1,IFERROR(Raw_data!$AB64,""),"")</f>
        <v/>
      </c>
    </row>
    <row r="65">
      <c r="A65">
        <f>--(AND(OR(Dashboard!$B$4="All",Raw_data!$AL65=Dashboard!$B$4),OR(Dashboard!$B$5="All",Raw_data!$AM65=Dashboard!$B$5),OR(Dashboard!$B$6="All",Raw_data!$AN65=Dashboard!$B$6),OR(Dashboard!$B$7="All",Raw_data!$AO65=Dashboard!$B$7),OR(Dashboard!$B$8="All",Raw_data!$AP65=Dashboard!$B$8),OR(Dashboard!$B$9="All",Raw_data!$AQ65=Dashboard!$B$9),OR(Dashboard!$B$10="All",Raw_data!$AF65=Dashboard!$B$10),OR(Raw_data!$F65="",Raw_data!$F65&lt;=TODAY())))</f>
        <v/>
      </c>
      <c r="B65">
        <f>IFERROR(IF(Dashboard!$B$3="Weighted",Raw_data!$U65,Raw_data!$T65),"")</f>
        <v/>
      </c>
      <c r="C65">
        <f>IFERROR(IF(Dashboard!$B$3="Weighted",Raw_data!$AB65,Raw_data!$AA65),"")</f>
        <v/>
      </c>
      <c r="D65">
        <f>IF(OR(Raw_data!$J65="",Raw_data!$J65&lt;=0,Raw_data!$K65=""),"",IF(Raw_data!$K65&gt;TODAY(),0,DATEDIF(Raw_data!$K65,TODAY(),"M")))</f>
        <v/>
      </c>
      <c r="E65">
        <f>--(AND(Raw_data!$AF65="No",OR(Raw_data!$AG65&lt;&gt;"",Raw_data!$AJ65&gt;0,Raw_data!$AK65&lt;&gt;"")))</f>
        <v/>
      </c>
      <c r="F65">
        <f>--(OR(AND(ISNUMBER(B65),B65&lt;0.5,OR(D65&gt;=24,Raw_data!$I65&gt;0)),Raw_data!$AE65=TRUE))</f>
        <v/>
      </c>
      <c r="G65">
        <f>IF(Dashboard!$B$11="Department",Raw_data!$AL65,IF(Dashboard!$B$11="Team",Raw_data!$AM65,IF(Dashboard!$B$11="Unit",Raw_data!$AN65,IF(Dashboard!$B$11="Legal entity",Raw_data!$AO65,IF(Dashboard!$B$11="Location",Raw_data!$AP65,Raw_data!$AQ65)))))</f>
        <v/>
      </c>
      <c r="H65">
        <f>--(AND(ISNUMBER(B65),B65&lt;0.5))</f>
        <v/>
      </c>
      <c r="I65">
        <f>IFERROR(MAX(0,(0.5-B65)*100),0)+IF(D65&gt;=24,20,0)+IF(Raw_data!$I65&gt;0,20,0)+IF(Raw_data!$AE65=TRUE,10,0)</f>
        <v/>
      </c>
      <c r="J65">
        <f>IFERROR(CHOOSE(MATCH(Dashboard!$B$11,{"Department","Team","Unit","Legal entity","Location","Lead"},0),INDEX(Lists!$B$3:$B$20,ROW()-1),INDEX(Lists!$C$3:$C$146,ROW()-1),INDEX(Lists!$D$3:$D$67,ROW()-1),INDEX(Lists!$E$3:$E$5,ROW()-1),INDEX(Lists!$F$3:$F$12,ROW()-1),INDEX(Lists!$G$3:$G$126,ROW()-1)),"")</f>
        <v/>
      </c>
      <c r="K65">
        <f>IF(J65="","",SUMPRODUCT(($A$2:$A$636=1)*($G$2:$G$636=J65)))</f>
        <v/>
      </c>
      <c r="L65">
        <f>IF(J65="","",SUMPRODUCT(($A$2:$A$636=1)*($G$2:$G$636=J65)*(ISNUMBER($B$2:$B$636))*($B$2:$B$636&lt;0.5)))</f>
        <v/>
      </c>
      <c r="M65">
        <f>IFERROR(L65/K65,"")</f>
        <v/>
      </c>
      <c r="N65">
        <f>IF(K65="","",M65+K65/100000+ROW()/100000000)</f>
        <v/>
      </c>
      <c r="R65">
        <f>IF(A65=1,IFERROR(I65,0)+ROW()/100000000,-1E+99)</f>
        <v/>
      </c>
      <c r="S65">
        <f>IF(A65=1,IFERROR(Raw_data!$T65,""),"")</f>
        <v/>
      </c>
      <c r="T65">
        <f>IF(A65=1,IFERROR(Raw_data!$AA65,""),"")</f>
        <v/>
      </c>
      <c r="U65">
        <f>IF(A65=1,IFERROR(Raw_data!$U65,""),"")</f>
        <v/>
      </c>
      <c r="V65">
        <f>IF(A65=1,IFERROR(Raw_data!$AB65,""),"")</f>
        <v/>
      </c>
    </row>
    <row r="66">
      <c r="A66">
        <f>--(AND(OR(Dashboard!$B$4="All",Raw_data!$AL66=Dashboard!$B$4),OR(Dashboard!$B$5="All",Raw_data!$AM66=Dashboard!$B$5),OR(Dashboard!$B$6="All",Raw_data!$AN66=Dashboard!$B$6),OR(Dashboard!$B$7="All",Raw_data!$AO66=Dashboard!$B$7),OR(Dashboard!$B$8="All",Raw_data!$AP66=Dashboard!$B$8),OR(Dashboard!$B$9="All",Raw_data!$AQ66=Dashboard!$B$9),OR(Dashboard!$B$10="All",Raw_data!$AF66=Dashboard!$B$10),OR(Raw_data!$F66="",Raw_data!$F66&lt;=TODAY())))</f>
        <v/>
      </c>
      <c r="B66">
        <f>IFERROR(IF(Dashboard!$B$3="Weighted",Raw_data!$U66,Raw_data!$T66),"")</f>
        <v/>
      </c>
      <c r="C66">
        <f>IFERROR(IF(Dashboard!$B$3="Weighted",Raw_data!$AB66,Raw_data!$AA66),"")</f>
        <v/>
      </c>
      <c r="D66">
        <f>IF(OR(Raw_data!$J66="",Raw_data!$J66&lt;=0,Raw_data!$K66=""),"",IF(Raw_data!$K66&gt;TODAY(),0,DATEDIF(Raw_data!$K66,TODAY(),"M")))</f>
        <v/>
      </c>
      <c r="E66">
        <f>--(AND(Raw_data!$AF66="No",OR(Raw_data!$AG66&lt;&gt;"",Raw_data!$AJ66&gt;0,Raw_data!$AK66&lt;&gt;"")))</f>
        <v/>
      </c>
      <c r="F66">
        <f>--(OR(AND(ISNUMBER(B66),B66&lt;0.5,OR(D66&gt;=24,Raw_data!$I66&gt;0)),Raw_data!$AE66=TRUE))</f>
        <v/>
      </c>
      <c r="G66">
        <f>IF(Dashboard!$B$11="Department",Raw_data!$AL66,IF(Dashboard!$B$11="Team",Raw_data!$AM66,IF(Dashboard!$B$11="Unit",Raw_data!$AN66,IF(Dashboard!$B$11="Legal entity",Raw_data!$AO66,IF(Dashboard!$B$11="Location",Raw_data!$AP66,Raw_data!$AQ66)))))</f>
        <v/>
      </c>
      <c r="H66">
        <f>--(AND(ISNUMBER(B66),B66&lt;0.5))</f>
        <v/>
      </c>
      <c r="I66">
        <f>IFERROR(MAX(0,(0.5-B66)*100),0)+IF(D66&gt;=24,20,0)+IF(Raw_data!$I66&gt;0,20,0)+IF(Raw_data!$AE66=TRUE,10,0)</f>
        <v/>
      </c>
      <c r="J66">
        <f>IFERROR(CHOOSE(MATCH(Dashboard!$B$11,{"Department","Team","Unit","Legal entity","Location","Lead"},0),INDEX(Lists!$B$3:$B$20,ROW()-1),INDEX(Lists!$C$3:$C$146,ROW()-1),INDEX(Lists!$D$3:$D$67,ROW()-1),INDEX(Lists!$E$3:$E$5,ROW()-1),INDEX(Lists!$F$3:$F$12,ROW()-1),INDEX(Lists!$G$3:$G$126,ROW()-1)),"")</f>
        <v/>
      </c>
      <c r="K66">
        <f>IF(J66="","",SUMPRODUCT(($A$2:$A$636=1)*($G$2:$G$636=J66)))</f>
        <v/>
      </c>
      <c r="L66">
        <f>IF(J66="","",SUMPRODUCT(($A$2:$A$636=1)*($G$2:$G$636=J66)*(ISNUMBER($B$2:$B$636))*($B$2:$B$636&lt;0.5)))</f>
        <v/>
      </c>
      <c r="M66">
        <f>IFERROR(L66/K66,"")</f>
        <v/>
      </c>
      <c r="N66">
        <f>IF(K66="","",M66+K66/100000+ROW()/100000000)</f>
        <v/>
      </c>
      <c r="R66">
        <f>IF(A66=1,IFERROR(I66,0)+ROW()/100000000,-1E+99)</f>
        <v/>
      </c>
      <c r="S66">
        <f>IF(A66=1,IFERROR(Raw_data!$T66,""),"")</f>
        <v/>
      </c>
      <c r="T66">
        <f>IF(A66=1,IFERROR(Raw_data!$AA66,""),"")</f>
        <v/>
      </c>
      <c r="U66">
        <f>IF(A66=1,IFERROR(Raw_data!$U66,""),"")</f>
        <v/>
      </c>
      <c r="V66">
        <f>IF(A66=1,IFERROR(Raw_data!$AB66,""),"")</f>
        <v/>
      </c>
    </row>
    <row r="67">
      <c r="A67">
        <f>--(AND(OR(Dashboard!$B$4="All",Raw_data!$AL67=Dashboard!$B$4),OR(Dashboard!$B$5="All",Raw_data!$AM67=Dashboard!$B$5),OR(Dashboard!$B$6="All",Raw_data!$AN67=Dashboard!$B$6),OR(Dashboard!$B$7="All",Raw_data!$AO67=Dashboard!$B$7),OR(Dashboard!$B$8="All",Raw_data!$AP67=Dashboard!$B$8),OR(Dashboard!$B$9="All",Raw_data!$AQ67=Dashboard!$B$9),OR(Dashboard!$B$10="All",Raw_data!$AF67=Dashboard!$B$10),OR(Raw_data!$F67="",Raw_data!$F67&lt;=TODAY())))</f>
        <v/>
      </c>
      <c r="B67">
        <f>IFERROR(IF(Dashboard!$B$3="Weighted",Raw_data!$U67,Raw_data!$T67),"")</f>
        <v/>
      </c>
      <c r="C67">
        <f>IFERROR(IF(Dashboard!$B$3="Weighted",Raw_data!$AB67,Raw_data!$AA67),"")</f>
        <v/>
      </c>
      <c r="D67">
        <f>IF(OR(Raw_data!$J67="",Raw_data!$J67&lt;=0,Raw_data!$K67=""),"",IF(Raw_data!$K67&gt;TODAY(),0,DATEDIF(Raw_data!$K67,TODAY(),"M")))</f>
        <v/>
      </c>
      <c r="E67">
        <f>--(AND(Raw_data!$AF67="No",OR(Raw_data!$AG67&lt;&gt;"",Raw_data!$AJ67&gt;0,Raw_data!$AK67&lt;&gt;"")))</f>
        <v/>
      </c>
      <c r="F67">
        <f>--(OR(AND(ISNUMBER(B67),B67&lt;0.5,OR(D67&gt;=24,Raw_data!$I67&gt;0)),Raw_data!$AE67=TRUE))</f>
        <v/>
      </c>
      <c r="G67">
        <f>IF(Dashboard!$B$11="Department",Raw_data!$AL67,IF(Dashboard!$B$11="Team",Raw_data!$AM67,IF(Dashboard!$B$11="Unit",Raw_data!$AN67,IF(Dashboard!$B$11="Legal entity",Raw_data!$AO67,IF(Dashboard!$B$11="Location",Raw_data!$AP67,Raw_data!$AQ67)))))</f>
        <v/>
      </c>
      <c r="H67">
        <f>--(AND(ISNUMBER(B67),B67&lt;0.5))</f>
        <v/>
      </c>
      <c r="I67">
        <f>IFERROR(MAX(0,(0.5-B67)*100),0)+IF(D67&gt;=24,20,0)+IF(Raw_data!$I67&gt;0,20,0)+IF(Raw_data!$AE67=TRUE,10,0)</f>
        <v/>
      </c>
      <c r="J67">
        <f>IFERROR(CHOOSE(MATCH(Dashboard!$B$11,{"Department","Team","Unit","Legal entity","Location","Lead"},0),INDEX(Lists!$B$3:$B$20,ROW()-1),INDEX(Lists!$C$3:$C$146,ROW()-1),INDEX(Lists!$D$3:$D$67,ROW()-1),INDEX(Lists!$E$3:$E$5,ROW()-1),INDEX(Lists!$F$3:$F$12,ROW()-1),INDEX(Lists!$G$3:$G$126,ROW()-1)),"")</f>
        <v/>
      </c>
      <c r="K67">
        <f>IF(J67="","",SUMPRODUCT(($A$2:$A$636=1)*($G$2:$G$636=J67)))</f>
        <v/>
      </c>
      <c r="L67">
        <f>IF(J67="","",SUMPRODUCT(($A$2:$A$636=1)*($G$2:$G$636=J67)*(ISNUMBER($B$2:$B$636))*($B$2:$B$636&lt;0.5)))</f>
        <v/>
      </c>
      <c r="M67">
        <f>IFERROR(L67/K67,"")</f>
        <v/>
      </c>
      <c r="N67">
        <f>IF(K67="","",M67+K67/100000+ROW()/100000000)</f>
        <v/>
      </c>
      <c r="R67">
        <f>IF(A67=1,IFERROR(I67,0)+ROW()/100000000,-1E+99)</f>
        <v/>
      </c>
      <c r="S67">
        <f>IF(A67=1,IFERROR(Raw_data!$T67,""),"")</f>
        <v/>
      </c>
      <c r="T67">
        <f>IF(A67=1,IFERROR(Raw_data!$AA67,""),"")</f>
        <v/>
      </c>
      <c r="U67">
        <f>IF(A67=1,IFERROR(Raw_data!$U67,""),"")</f>
        <v/>
      </c>
      <c r="V67">
        <f>IF(A67=1,IFERROR(Raw_data!$AB67,""),"")</f>
        <v/>
      </c>
    </row>
    <row r="68">
      <c r="A68">
        <f>--(AND(OR(Dashboard!$B$4="All",Raw_data!$AL68=Dashboard!$B$4),OR(Dashboard!$B$5="All",Raw_data!$AM68=Dashboard!$B$5),OR(Dashboard!$B$6="All",Raw_data!$AN68=Dashboard!$B$6),OR(Dashboard!$B$7="All",Raw_data!$AO68=Dashboard!$B$7),OR(Dashboard!$B$8="All",Raw_data!$AP68=Dashboard!$B$8),OR(Dashboard!$B$9="All",Raw_data!$AQ68=Dashboard!$B$9),OR(Dashboard!$B$10="All",Raw_data!$AF68=Dashboard!$B$10),OR(Raw_data!$F68="",Raw_data!$F68&lt;=TODAY())))</f>
        <v/>
      </c>
      <c r="B68">
        <f>IFERROR(IF(Dashboard!$B$3="Weighted",Raw_data!$U68,Raw_data!$T68),"")</f>
        <v/>
      </c>
      <c r="C68">
        <f>IFERROR(IF(Dashboard!$B$3="Weighted",Raw_data!$AB68,Raw_data!$AA68),"")</f>
        <v/>
      </c>
      <c r="D68">
        <f>IF(OR(Raw_data!$J68="",Raw_data!$J68&lt;=0,Raw_data!$K68=""),"",IF(Raw_data!$K68&gt;TODAY(),0,DATEDIF(Raw_data!$K68,TODAY(),"M")))</f>
        <v/>
      </c>
      <c r="E68">
        <f>--(AND(Raw_data!$AF68="No",OR(Raw_data!$AG68&lt;&gt;"",Raw_data!$AJ68&gt;0,Raw_data!$AK68&lt;&gt;"")))</f>
        <v/>
      </c>
      <c r="F68">
        <f>--(OR(AND(ISNUMBER(B68),B68&lt;0.5,OR(D68&gt;=24,Raw_data!$I68&gt;0)),Raw_data!$AE68=TRUE))</f>
        <v/>
      </c>
      <c r="G68">
        <f>IF(Dashboard!$B$11="Department",Raw_data!$AL68,IF(Dashboard!$B$11="Team",Raw_data!$AM68,IF(Dashboard!$B$11="Unit",Raw_data!$AN68,IF(Dashboard!$B$11="Legal entity",Raw_data!$AO68,IF(Dashboard!$B$11="Location",Raw_data!$AP68,Raw_data!$AQ68)))))</f>
        <v/>
      </c>
      <c r="H68">
        <f>--(AND(ISNUMBER(B68),B68&lt;0.5))</f>
        <v/>
      </c>
      <c r="I68">
        <f>IFERROR(MAX(0,(0.5-B68)*100),0)+IF(D68&gt;=24,20,0)+IF(Raw_data!$I68&gt;0,20,0)+IF(Raw_data!$AE68=TRUE,10,0)</f>
        <v/>
      </c>
      <c r="J68">
        <f>IFERROR(CHOOSE(MATCH(Dashboard!$B$11,{"Department","Team","Unit","Legal entity","Location","Lead"},0),INDEX(Lists!$B$3:$B$20,ROW()-1),INDEX(Lists!$C$3:$C$146,ROW()-1),INDEX(Lists!$D$3:$D$67,ROW()-1),INDEX(Lists!$E$3:$E$5,ROW()-1),INDEX(Lists!$F$3:$F$12,ROW()-1),INDEX(Lists!$G$3:$G$126,ROW()-1)),"")</f>
        <v/>
      </c>
      <c r="K68">
        <f>IF(J68="","",SUMPRODUCT(($A$2:$A$636=1)*($G$2:$G$636=J68)))</f>
        <v/>
      </c>
      <c r="L68">
        <f>IF(J68="","",SUMPRODUCT(($A$2:$A$636=1)*($G$2:$G$636=J68)*(ISNUMBER($B$2:$B$636))*($B$2:$B$636&lt;0.5)))</f>
        <v/>
      </c>
      <c r="M68">
        <f>IFERROR(L68/K68,"")</f>
        <v/>
      </c>
      <c r="N68">
        <f>IF(K68="","",M68+K68/100000+ROW()/100000000)</f>
        <v/>
      </c>
      <c r="R68">
        <f>IF(A68=1,IFERROR(I68,0)+ROW()/100000000,-1E+99)</f>
        <v/>
      </c>
      <c r="S68">
        <f>IF(A68=1,IFERROR(Raw_data!$T68,""),"")</f>
        <v/>
      </c>
      <c r="T68">
        <f>IF(A68=1,IFERROR(Raw_data!$AA68,""),"")</f>
        <v/>
      </c>
      <c r="U68">
        <f>IF(A68=1,IFERROR(Raw_data!$U68,""),"")</f>
        <v/>
      </c>
      <c r="V68">
        <f>IF(A68=1,IFERROR(Raw_data!$AB68,""),"")</f>
        <v/>
      </c>
    </row>
    <row r="69">
      <c r="A69">
        <f>--(AND(OR(Dashboard!$B$4="All",Raw_data!$AL69=Dashboard!$B$4),OR(Dashboard!$B$5="All",Raw_data!$AM69=Dashboard!$B$5),OR(Dashboard!$B$6="All",Raw_data!$AN69=Dashboard!$B$6),OR(Dashboard!$B$7="All",Raw_data!$AO69=Dashboard!$B$7),OR(Dashboard!$B$8="All",Raw_data!$AP69=Dashboard!$B$8),OR(Dashboard!$B$9="All",Raw_data!$AQ69=Dashboard!$B$9),OR(Dashboard!$B$10="All",Raw_data!$AF69=Dashboard!$B$10),OR(Raw_data!$F69="",Raw_data!$F69&lt;=TODAY())))</f>
        <v/>
      </c>
      <c r="B69">
        <f>IFERROR(IF(Dashboard!$B$3="Weighted",Raw_data!$U69,Raw_data!$T69),"")</f>
        <v/>
      </c>
      <c r="C69">
        <f>IFERROR(IF(Dashboard!$B$3="Weighted",Raw_data!$AB69,Raw_data!$AA69),"")</f>
        <v/>
      </c>
      <c r="D69">
        <f>IF(OR(Raw_data!$J69="",Raw_data!$J69&lt;=0,Raw_data!$K69=""),"",IF(Raw_data!$K69&gt;TODAY(),0,DATEDIF(Raw_data!$K69,TODAY(),"M")))</f>
        <v/>
      </c>
      <c r="E69">
        <f>--(AND(Raw_data!$AF69="No",OR(Raw_data!$AG69&lt;&gt;"",Raw_data!$AJ69&gt;0,Raw_data!$AK69&lt;&gt;"")))</f>
        <v/>
      </c>
      <c r="F69">
        <f>--(OR(AND(ISNUMBER(B69),B69&lt;0.5,OR(D69&gt;=24,Raw_data!$I69&gt;0)),Raw_data!$AE69=TRUE))</f>
        <v/>
      </c>
      <c r="G69">
        <f>IF(Dashboard!$B$11="Department",Raw_data!$AL69,IF(Dashboard!$B$11="Team",Raw_data!$AM69,IF(Dashboard!$B$11="Unit",Raw_data!$AN69,IF(Dashboard!$B$11="Legal entity",Raw_data!$AO69,IF(Dashboard!$B$11="Location",Raw_data!$AP69,Raw_data!$AQ69)))))</f>
        <v/>
      </c>
      <c r="H69">
        <f>--(AND(ISNUMBER(B69),B69&lt;0.5))</f>
        <v/>
      </c>
      <c r="I69">
        <f>IFERROR(MAX(0,(0.5-B69)*100),0)+IF(D69&gt;=24,20,0)+IF(Raw_data!$I69&gt;0,20,0)+IF(Raw_data!$AE69=TRUE,10,0)</f>
        <v/>
      </c>
      <c r="J69">
        <f>IFERROR(CHOOSE(MATCH(Dashboard!$B$11,{"Department","Team","Unit","Legal entity","Location","Lead"},0),INDEX(Lists!$B$3:$B$20,ROW()-1),INDEX(Lists!$C$3:$C$146,ROW()-1),INDEX(Lists!$D$3:$D$67,ROW()-1),INDEX(Lists!$E$3:$E$5,ROW()-1),INDEX(Lists!$F$3:$F$12,ROW()-1),INDEX(Lists!$G$3:$G$126,ROW()-1)),"")</f>
        <v/>
      </c>
      <c r="K69">
        <f>IF(J69="","",SUMPRODUCT(($A$2:$A$636=1)*($G$2:$G$636=J69)))</f>
        <v/>
      </c>
      <c r="L69">
        <f>IF(J69="","",SUMPRODUCT(($A$2:$A$636=1)*($G$2:$G$636=J69)*(ISNUMBER($B$2:$B$636))*($B$2:$B$636&lt;0.5)))</f>
        <v/>
      </c>
      <c r="M69">
        <f>IFERROR(L69/K69,"")</f>
        <v/>
      </c>
      <c r="N69">
        <f>IF(K69="","",M69+K69/100000+ROW()/100000000)</f>
        <v/>
      </c>
      <c r="R69">
        <f>IF(A69=1,IFERROR(I69,0)+ROW()/100000000,-1E+99)</f>
        <v/>
      </c>
      <c r="S69">
        <f>IF(A69=1,IFERROR(Raw_data!$T69,""),"")</f>
        <v/>
      </c>
      <c r="T69">
        <f>IF(A69=1,IFERROR(Raw_data!$AA69,""),"")</f>
        <v/>
      </c>
      <c r="U69">
        <f>IF(A69=1,IFERROR(Raw_data!$U69,""),"")</f>
        <v/>
      </c>
      <c r="V69">
        <f>IF(A69=1,IFERROR(Raw_data!$AB69,""),"")</f>
        <v/>
      </c>
    </row>
    <row r="70">
      <c r="A70">
        <f>--(AND(OR(Dashboard!$B$4="All",Raw_data!$AL70=Dashboard!$B$4),OR(Dashboard!$B$5="All",Raw_data!$AM70=Dashboard!$B$5),OR(Dashboard!$B$6="All",Raw_data!$AN70=Dashboard!$B$6),OR(Dashboard!$B$7="All",Raw_data!$AO70=Dashboard!$B$7),OR(Dashboard!$B$8="All",Raw_data!$AP70=Dashboard!$B$8),OR(Dashboard!$B$9="All",Raw_data!$AQ70=Dashboard!$B$9),OR(Dashboard!$B$10="All",Raw_data!$AF70=Dashboard!$B$10),OR(Raw_data!$F70="",Raw_data!$F70&lt;=TODAY())))</f>
        <v/>
      </c>
      <c r="B70">
        <f>IFERROR(IF(Dashboard!$B$3="Weighted",Raw_data!$U70,Raw_data!$T70),"")</f>
        <v/>
      </c>
      <c r="C70">
        <f>IFERROR(IF(Dashboard!$B$3="Weighted",Raw_data!$AB70,Raw_data!$AA70),"")</f>
        <v/>
      </c>
      <c r="D70">
        <f>IF(OR(Raw_data!$J70="",Raw_data!$J70&lt;=0,Raw_data!$K70=""),"",IF(Raw_data!$K70&gt;TODAY(),0,DATEDIF(Raw_data!$K70,TODAY(),"M")))</f>
        <v/>
      </c>
      <c r="E70">
        <f>--(AND(Raw_data!$AF70="No",OR(Raw_data!$AG70&lt;&gt;"",Raw_data!$AJ70&gt;0,Raw_data!$AK70&lt;&gt;"")))</f>
        <v/>
      </c>
      <c r="F70">
        <f>--(OR(AND(ISNUMBER(B70),B70&lt;0.5,OR(D70&gt;=24,Raw_data!$I70&gt;0)),Raw_data!$AE70=TRUE))</f>
        <v/>
      </c>
      <c r="G70">
        <f>IF(Dashboard!$B$11="Department",Raw_data!$AL70,IF(Dashboard!$B$11="Team",Raw_data!$AM70,IF(Dashboard!$B$11="Unit",Raw_data!$AN70,IF(Dashboard!$B$11="Legal entity",Raw_data!$AO70,IF(Dashboard!$B$11="Location",Raw_data!$AP70,Raw_data!$AQ70)))))</f>
        <v/>
      </c>
      <c r="H70">
        <f>--(AND(ISNUMBER(B70),B70&lt;0.5))</f>
        <v/>
      </c>
      <c r="I70">
        <f>IFERROR(MAX(0,(0.5-B70)*100),0)+IF(D70&gt;=24,20,0)+IF(Raw_data!$I70&gt;0,20,0)+IF(Raw_data!$AE70=TRUE,10,0)</f>
        <v/>
      </c>
      <c r="J70">
        <f>IFERROR(CHOOSE(MATCH(Dashboard!$B$11,{"Department","Team","Unit","Legal entity","Location","Lead"},0),INDEX(Lists!$B$3:$B$20,ROW()-1),INDEX(Lists!$C$3:$C$146,ROW()-1),INDEX(Lists!$D$3:$D$67,ROW()-1),INDEX(Lists!$E$3:$E$5,ROW()-1),INDEX(Lists!$F$3:$F$12,ROW()-1),INDEX(Lists!$G$3:$G$126,ROW()-1)),"")</f>
        <v/>
      </c>
      <c r="K70">
        <f>IF(J70="","",SUMPRODUCT(($A$2:$A$636=1)*($G$2:$G$636=J70)))</f>
        <v/>
      </c>
      <c r="L70">
        <f>IF(J70="","",SUMPRODUCT(($A$2:$A$636=1)*($G$2:$G$636=J70)*(ISNUMBER($B$2:$B$636))*($B$2:$B$636&lt;0.5)))</f>
        <v/>
      </c>
      <c r="M70">
        <f>IFERROR(L70/K70,"")</f>
        <v/>
      </c>
      <c r="N70">
        <f>IF(K70="","",M70+K70/100000+ROW()/100000000)</f>
        <v/>
      </c>
      <c r="R70">
        <f>IF(A70=1,IFERROR(I70,0)+ROW()/100000000,-1E+99)</f>
        <v/>
      </c>
      <c r="S70">
        <f>IF(A70=1,IFERROR(Raw_data!$T70,""),"")</f>
        <v/>
      </c>
      <c r="T70">
        <f>IF(A70=1,IFERROR(Raw_data!$AA70,""),"")</f>
        <v/>
      </c>
      <c r="U70">
        <f>IF(A70=1,IFERROR(Raw_data!$U70,""),"")</f>
        <v/>
      </c>
      <c r="V70">
        <f>IF(A70=1,IFERROR(Raw_data!$AB70,""),"")</f>
        <v/>
      </c>
    </row>
    <row r="71">
      <c r="A71">
        <f>--(AND(OR(Dashboard!$B$4="All",Raw_data!$AL71=Dashboard!$B$4),OR(Dashboard!$B$5="All",Raw_data!$AM71=Dashboard!$B$5),OR(Dashboard!$B$6="All",Raw_data!$AN71=Dashboard!$B$6),OR(Dashboard!$B$7="All",Raw_data!$AO71=Dashboard!$B$7),OR(Dashboard!$B$8="All",Raw_data!$AP71=Dashboard!$B$8),OR(Dashboard!$B$9="All",Raw_data!$AQ71=Dashboard!$B$9),OR(Dashboard!$B$10="All",Raw_data!$AF71=Dashboard!$B$10),OR(Raw_data!$F71="",Raw_data!$F71&lt;=TODAY())))</f>
        <v/>
      </c>
      <c r="B71">
        <f>IFERROR(IF(Dashboard!$B$3="Weighted",Raw_data!$U71,Raw_data!$T71),"")</f>
        <v/>
      </c>
      <c r="C71">
        <f>IFERROR(IF(Dashboard!$B$3="Weighted",Raw_data!$AB71,Raw_data!$AA71),"")</f>
        <v/>
      </c>
      <c r="D71">
        <f>IF(OR(Raw_data!$J71="",Raw_data!$J71&lt;=0,Raw_data!$K71=""),"",IF(Raw_data!$K71&gt;TODAY(),0,DATEDIF(Raw_data!$K71,TODAY(),"M")))</f>
        <v/>
      </c>
      <c r="E71">
        <f>--(AND(Raw_data!$AF71="No",OR(Raw_data!$AG71&lt;&gt;"",Raw_data!$AJ71&gt;0,Raw_data!$AK71&lt;&gt;"")))</f>
        <v/>
      </c>
      <c r="F71">
        <f>--(OR(AND(ISNUMBER(B71),B71&lt;0.5,OR(D71&gt;=24,Raw_data!$I71&gt;0)),Raw_data!$AE71=TRUE))</f>
        <v/>
      </c>
      <c r="G71">
        <f>IF(Dashboard!$B$11="Department",Raw_data!$AL71,IF(Dashboard!$B$11="Team",Raw_data!$AM71,IF(Dashboard!$B$11="Unit",Raw_data!$AN71,IF(Dashboard!$B$11="Legal entity",Raw_data!$AO71,IF(Dashboard!$B$11="Location",Raw_data!$AP71,Raw_data!$AQ71)))))</f>
        <v/>
      </c>
      <c r="H71">
        <f>--(AND(ISNUMBER(B71),B71&lt;0.5))</f>
        <v/>
      </c>
      <c r="I71">
        <f>IFERROR(MAX(0,(0.5-B71)*100),0)+IF(D71&gt;=24,20,0)+IF(Raw_data!$I71&gt;0,20,0)+IF(Raw_data!$AE71=TRUE,10,0)</f>
        <v/>
      </c>
      <c r="J71">
        <f>IFERROR(CHOOSE(MATCH(Dashboard!$B$11,{"Department","Team","Unit","Legal entity","Location","Lead"},0),INDEX(Lists!$B$3:$B$20,ROW()-1),INDEX(Lists!$C$3:$C$146,ROW()-1),INDEX(Lists!$D$3:$D$67,ROW()-1),INDEX(Lists!$E$3:$E$5,ROW()-1),INDEX(Lists!$F$3:$F$12,ROW()-1),INDEX(Lists!$G$3:$G$126,ROW()-1)),"")</f>
        <v/>
      </c>
      <c r="K71">
        <f>IF(J71="","",SUMPRODUCT(($A$2:$A$636=1)*($G$2:$G$636=J71)))</f>
        <v/>
      </c>
      <c r="L71">
        <f>IF(J71="","",SUMPRODUCT(($A$2:$A$636=1)*($G$2:$G$636=J71)*(ISNUMBER($B$2:$B$636))*($B$2:$B$636&lt;0.5)))</f>
        <v/>
      </c>
      <c r="M71">
        <f>IFERROR(L71/K71,"")</f>
        <v/>
      </c>
      <c r="N71">
        <f>IF(K71="","",M71+K71/100000+ROW()/100000000)</f>
        <v/>
      </c>
      <c r="R71">
        <f>IF(A71=1,IFERROR(I71,0)+ROW()/100000000,-1E+99)</f>
        <v/>
      </c>
      <c r="S71">
        <f>IF(A71=1,IFERROR(Raw_data!$T71,""),"")</f>
        <v/>
      </c>
      <c r="T71">
        <f>IF(A71=1,IFERROR(Raw_data!$AA71,""),"")</f>
        <v/>
      </c>
      <c r="U71">
        <f>IF(A71=1,IFERROR(Raw_data!$U71,""),"")</f>
        <v/>
      </c>
      <c r="V71">
        <f>IF(A71=1,IFERROR(Raw_data!$AB71,""),"")</f>
        <v/>
      </c>
    </row>
    <row r="72">
      <c r="A72">
        <f>--(AND(OR(Dashboard!$B$4="All",Raw_data!$AL72=Dashboard!$B$4),OR(Dashboard!$B$5="All",Raw_data!$AM72=Dashboard!$B$5),OR(Dashboard!$B$6="All",Raw_data!$AN72=Dashboard!$B$6),OR(Dashboard!$B$7="All",Raw_data!$AO72=Dashboard!$B$7),OR(Dashboard!$B$8="All",Raw_data!$AP72=Dashboard!$B$8),OR(Dashboard!$B$9="All",Raw_data!$AQ72=Dashboard!$B$9),OR(Dashboard!$B$10="All",Raw_data!$AF72=Dashboard!$B$10),OR(Raw_data!$F72="",Raw_data!$F72&lt;=TODAY())))</f>
        <v/>
      </c>
      <c r="B72">
        <f>IFERROR(IF(Dashboard!$B$3="Weighted",Raw_data!$U72,Raw_data!$T72),"")</f>
        <v/>
      </c>
      <c r="C72">
        <f>IFERROR(IF(Dashboard!$B$3="Weighted",Raw_data!$AB72,Raw_data!$AA72),"")</f>
        <v/>
      </c>
      <c r="D72">
        <f>IF(OR(Raw_data!$J72="",Raw_data!$J72&lt;=0,Raw_data!$K72=""),"",IF(Raw_data!$K72&gt;TODAY(),0,DATEDIF(Raw_data!$K72,TODAY(),"M")))</f>
        <v/>
      </c>
      <c r="E72">
        <f>--(AND(Raw_data!$AF72="No",OR(Raw_data!$AG72&lt;&gt;"",Raw_data!$AJ72&gt;0,Raw_data!$AK72&lt;&gt;"")))</f>
        <v/>
      </c>
      <c r="F72">
        <f>--(OR(AND(ISNUMBER(B72),B72&lt;0.5,OR(D72&gt;=24,Raw_data!$I72&gt;0)),Raw_data!$AE72=TRUE))</f>
        <v/>
      </c>
      <c r="G72">
        <f>IF(Dashboard!$B$11="Department",Raw_data!$AL72,IF(Dashboard!$B$11="Team",Raw_data!$AM72,IF(Dashboard!$B$11="Unit",Raw_data!$AN72,IF(Dashboard!$B$11="Legal entity",Raw_data!$AO72,IF(Dashboard!$B$11="Location",Raw_data!$AP72,Raw_data!$AQ72)))))</f>
        <v/>
      </c>
      <c r="H72">
        <f>--(AND(ISNUMBER(B72),B72&lt;0.5))</f>
        <v/>
      </c>
      <c r="I72">
        <f>IFERROR(MAX(0,(0.5-B72)*100),0)+IF(D72&gt;=24,20,0)+IF(Raw_data!$I72&gt;0,20,0)+IF(Raw_data!$AE72=TRUE,10,0)</f>
        <v/>
      </c>
      <c r="J72">
        <f>IFERROR(CHOOSE(MATCH(Dashboard!$B$11,{"Department","Team","Unit","Legal entity","Location","Lead"},0),INDEX(Lists!$B$3:$B$20,ROW()-1),INDEX(Lists!$C$3:$C$146,ROW()-1),INDEX(Lists!$D$3:$D$67,ROW()-1),INDEX(Lists!$E$3:$E$5,ROW()-1),INDEX(Lists!$F$3:$F$12,ROW()-1),INDEX(Lists!$G$3:$G$126,ROW()-1)),"")</f>
        <v/>
      </c>
      <c r="K72">
        <f>IF(J72="","",SUMPRODUCT(($A$2:$A$636=1)*($G$2:$G$636=J72)))</f>
        <v/>
      </c>
      <c r="L72">
        <f>IF(J72="","",SUMPRODUCT(($A$2:$A$636=1)*($G$2:$G$636=J72)*(ISNUMBER($B$2:$B$636))*($B$2:$B$636&lt;0.5)))</f>
        <v/>
      </c>
      <c r="M72">
        <f>IFERROR(L72/K72,"")</f>
        <v/>
      </c>
      <c r="N72">
        <f>IF(K72="","",M72+K72/100000+ROW()/100000000)</f>
        <v/>
      </c>
      <c r="R72">
        <f>IF(A72=1,IFERROR(I72,0)+ROW()/100000000,-1E+99)</f>
        <v/>
      </c>
      <c r="S72">
        <f>IF(A72=1,IFERROR(Raw_data!$T72,""),"")</f>
        <v/>
      </c>
      <c r="T72">
        <f>IF(A72=1,IFERROR(Raw_data!$AA72,""),"")</f>
        <v/>
      </c>
      <c r="U72">
        <f>IF(A72=1,IFERROR(Raw_data!$U72,""),"")</f>
        <v/>
      </c>
      <c r="V72">
        <f>IF(A72=1,IFERROR(Raw_data!$AB72,""),"")</f>
        <v/>
      </c>
    </row>
    <row r="73">
      <c r="A73">
        <f>--(AND(OR(Dashboard!$B$4="All",Raw_data!$AL73=Dashboard!$B$4),OR(Dashboard!$B$5="All",Raw_data!$AM73=Dashboard!$B$5),OR(Dashboard!$B$6="All",Raw_data!$AN73=Dashboard!$B$6),OR(Dashboard!$B$7="All",Raw_data!$AO73=Dashboard!$B$7),OR(Dashboard!$B$8="All",Raw_data!$AP73=Dashboard!$B$8),OR(Dashboard!$B$9="All",Raw_data!$AQ73=Dashboard!$B$9),OR(Dashboard!$B$10="All",Raw_data!$AF73=Dashboard!$B$10),OR(Raw_data!$F73="",Raw_data!$F73&lt;=TODAY())))</f>
        <v/>
      </c>
      <c r="B73">
        <f>IFERROR(IF(Dashboard!$B$3="Weighted",Raw_data!$U73,Raw_data!$T73),"")</f>
        <v/>
      </c>
      <c r="C73">
        <f>IFERROR(IF(Dashboard!$B$3="Weighted",Raw_data!$AB73,Raw_data!$AA73),"")</f>
        <v/>
      </c>
      <c r="D73">
        <f>IF(OR(Raw_data!$J73="",Raw_data!$J73&lt;=0,Raw_data!$K73=""),"",IF(Raw_data!$K73&gt;TODAY(),0,DATEDIF(Raw_data!$K73,TODAY(),"M")))</f>
        <v/>
      </c>
      <c r="E73">
        <f>--(AND(Raw_data!$AF73="No",OR(Raw_data!$AG73&lt;&gt;"",Raw_data!$AJ73&gt;0,Raw_data!$AK73&lt;&gt;"")))</f>
        <v/>
      </c>
      <c r="F73">
        <f>--(OR(AND(ISNUMBER(B73),B73&lt;0.5,OR(D73&gt;=24,Raw_data!$I73&gt;0)),Raw_data!$AE73=TRUE))</f>
        <v/>
      </c>
      <c r="G73">
        <f>IF(Dashboard!$B$11="Department",Raw_data!$AL73,IF(Dashboard!$B$11="Team",Raw_data!$AM73,IF(Dashboard!$B$11="Unit",Raw_data!$AN73,IF(Dashboard!$B$11="Legal entity",Raw_data!$AO73,IF(Dashboard!$B$11="Location",Raw_data!$AP73,Raw_data!$AQ73)))))</f>
        <v/>
      </c>
      <c r="H73">
        <f>--(AND(ISNUMBER(B73),B73&lt;0.5))</f>
        <v/>
      </c>
      <c r="I73">
        <f>IFERROR(MAX(0,(0.5-B73)*100),0)+IF(D73&gt;=24,20,0)+IF(Raw_data!$I73&gt;0,20,0)+IF(Raw_data!$AE73=TRUE,10,0)</f>
        <v/>
      </c>
      <c r="J73">
        <f>IFERROR(CHOOSE(MATCH(Dashboard!$B$11,{"Department","Team","Unit","Legal entity","Location","Lead"},0),INDEX(Lists!$B$3:$B$20,ROW()-1),INDEX(Lists!$C$3:$C$146,ROW()-1),INDEX(Lists!$D$3:$D$67,ROW()-1),INDEX(Lists!$E$3:$E$5,ROW()-1),INDEX(Lists!$F$3:$F$12,ROW()-1),INDEX(Lists!$G$3:$G$126,ROW()-1)),"")</f>
        <v/>
      </c>
      <c r="K73">
        <f>IF(J73="","",SUMPRODUCT(($A$2:$A$636=1)*($G$2:$G$636=J73)))</f>
        <v/>
      </c>
      <c r="L73">
        <f>IF(J73="","",SUMPRODUCT(($A$2:$A$636=1)*($G$2:$G$636=J73)*(ISNUMBER($B$2:$B$636))*($B$2:$B$636&lt;0.5)))</f>
        <v/>
      </c>
      <c r="M73">
        <f>IFERROR(L73/K73,"")</f>
        <v/>
      </c>
      <c r="N73">
        <f>IF(K73="","",M73+K73/100000+ROW()/100000000)</f>
        <v/>
      </c>
      <c r="R73">
        <f>IF(A73=1,IFERROR(I73,0)+ROW()/100000000,-1E+99)</f>
        <v/>
      </c>
      <c r="S73">
        <f>IF(A73=1,IFERROR(Raw_data!$T73,""),"")</f>
        <v/>
      </c>
      <c r="T73">
        <f>IF(A73=1,IFERROR(Raw_data!$AA73,""),"")</f>
        <v/>
      </c>
      <c r="U73">
        <f>IF(A73=1,IFERROR(Raw_data!$U73,""),"")</f>
        <v/>
      </c>
      <c r="V73">
        <f>IF(A73=1,IFERROR(Raw_data!$AB73,""),"")</f>
        <v/>
      </c>
    </row>
    <row r="74">
      <c r="A74">
        <f>--(AND(OR(Dashboard!$B$4="All",Raw_data!$AL74=Dashboard!$B$4),OR(Dashboard!$B$5="All",Raw_data!$AM74=Dashboard!$B$5),OR(Dashboard!$B$6="All",Raw_data!$AN74=Dashboard!$B$6),OR(Dashboard!$B$7="All",Raw_data!$AO74=Dashboard!$B$7),OR(Dashboard!$B$8="All",Raw_data!$AP74=Dashboard!$B$8),OR(Dashboard!$B$9="All",Raw_data!$AQ74=Dashboard!$B$9),OR(Dashboard!$B$10="All",Raw_data!$AF74=Dashboard!$B$10),OR(Raw_data!$F74="",Raw_data!$F74&lt;=TODAY())))</f>
        <v/>
      </c>
      <c r="B74">
        <f>IFERROR(IF(Dashboard!$B$3="Weighted",Raw_data!$U74,Raw_data!$T74),"")</f>
        <v/>
      </c>
      <c r="C74">
        <f>IFERROR(IF(Dashboard!$B$3="Weighted",Raw_data!$AB74,Raw_data!$AA74),"")</f>
        <v/>
      </c>
      <c r="D74">
        <f>IF(OR(Raw_data!$J74="",Raw_data!$J74&lt;=0,Raw_data!$K74=""),"",IF(Raw_data!$K74&gt;TODAY(),0,DATEDIF(Raw_data!$K74,TODAY(),"M")))</f>
        <v/>
      </c>
      <c r="E74">
        <f>--(AND(Raw_data!$AF74="No",OR(Raw_data!$AG74&lt;&gt;"",Raw_data!$AJ74&gt;0,Raw_data!$AK74&lt;&gt;"")))</f>
        <v/>
      </c>
      <c r="F74">
        <f>--(OR(AND(ISNUMBER(B74),B74&lt;0.5,OR(D74&gt;=24,Raw_data!$I74&gt;0)),Raw_data!$AE74=TRUE))</f>
        <v/>
      </c>
      <c r="G74">
        <f>IF(Dashboard!$B$11="Department",Raw_data!$AL74,IF(Dashboard!$B$11="Team",Raw_data!$AM74,IF(Dashboard!$B$11="Unit",Raw_data!$AN74,IF(Dashboard!$B$11="Legal entity",Raw_data!$AO74,IF(Dashboard!$B$11="Location",Raw_data!$AP74,Raw_data!$AQ74)))))</f>
        <v/>
      </c>
      <c r="H74">
        <f>--(AND(ISNUMBER(B74),B74&lt;0.5))</f>
        <v/>
      </c>
      <c r="I74">
        <f>IFERROR(MAX(0,(0.5-B74)*100),0)+IF(D74&gt;=24,20,0)+IF(Raw_data!$I74&gt;0,20,0)+IF(Raw_data!$AE74=TRUE,10,0)</f>
        <v/>
      </c>
      <c r="J74">
        <f>IFERROR(CHOOSE(MATCH(Dashboard!$B$11,{"Department","Team","Unit","Legal entity","Location","Lead"},0),INDEX(Lists!$B$3:$B$20,ROW()-1),INDEX(Lists!$C$3:$C$146,ROW()-1),INDEX(Lists!$D$3:$D$67,ROW()-1),INDEX(Lists!$E$3:$E$5,ROW()-1),INDEX(Lists!$F$3:$F$12,ROW()-1),INDEX(Lists!$G$3:$G$126,ROW()-1)),"")</f>
        <v/>
      </c>
      <c r="K74">
        <f>IF(J74="","",SUMPRODUCT(($A$2:$A$636=1)*($G$2:$G$636=J74)))</f>
        <v/>
      </c>
      <c r="L74">
        <f>IF(J74="","",SUMPRODUCT(($A$2:$A$636=1)*($G$2:$G$636=J74)*(ISNUMBER($B$2:$B$636))*($B$2:$B$636&lt;0.5)))</f>
        <v/>
      </c>
      <c r="M74">
        <f>IFERROR(L74/K74,"")</f>
        <v/>
      </c>
      <c r="N74">
        <f>IF(K74="","",M74+K74/100000+ROW()/100000000)</f>
        <v/>
      </c>
      <c r="R74">
        <f>IF(A74=1,IFERROR(I74,0)+ROW()/100000000,-1E+99)</f>
        <v/>
      </c>
      <c r="S74">
        <f>IF(A74=1,IFERROR(Raw_data!$T74,""),"")</f>
        <v/>
      </c>
      <c r="T74">
        <f>IF(A74=1,IFERROR(Raw_data!$AA74,""),"")</f>
        <v/>
      </c>
      <c r="U74">
        <f>IF(A74=1,IFERROR(Raw_data!$U74,""),"")</f>
        <v/>
      </c>
      <c r="V74">
        <f>IF(A74=1,IFERROR(Raw_data!$AB74,""),"")</f>
        <v/>
      </c>
    </row>
    <row r="75">
      <c r="A75">
        <f>--(AND(OR(Dashboard!$B$4="All",Raw_data!$AL75=Dashboard!$B$4),OR(Dashboard!$B$5="All",Raw_data!$AM75=Dashboard!$B$5),OR(Dashboard!$B$6="All",Raw_data!$AN75=Dashboard!$B$6),OR(Dashboard!$B$7="All",Raw_data!$AO75=Dashboard!$B$7),OR(Dashboard!$B$8="All",Raw_data!$AP75=Dashboard!$B$8),OR(Dashboard!$B$9="All",Raw_data!$AQ75=Dashboard!$B$9),OR(Dashboard!$B$10="All",Raw_data!$AF75=Dashboard!$B$10),OR(Raw_data!$F75="",Raw_data!$F75&lt;=TODAY())))</f>
        <v/>
      </c>
      <c r="B75">
        <f>IFERROR(IF(Dashboard!$B$3="Weighted",Raw_data!$U75,Raw_data!$T75),"")</f>
        <v/>
      </c>
      <c r="C75">
        <f>IFERROR(IF(Dashboard!$B$3="Weighted",Raw_data!$AB75,Raw_data!$AA75),"")</f>
        <v/>
      </c>
      <c r="D75">
        <f>IF(OR(Raw_data!$J75="",Raw_data!$J75&lt;=0,Raw_data!$K75=""),"",IF(Raw_data!$K75&gt;TODAY(),0,DATEDIF(Raw_data!$K75,TODAY(),"M")))</f>
        <v/>
      </c>
      <c r="E75">
        <f>--(AND(Raw_data!$AF75="No",OR(Raw_data!$AG75&lt;&gt;"",Raw_data!$AJ75&gt;0,Raw_data!$AK75&lt;&gt;"")))</f>
        <v/>
      </c>
      <c r="F75">
        <f>--(OR(AND(ISNUMBER(B75),B75&lt;0.5,OR(D75&gt;=24,Raw_data!$I75&gt;0)),Raw_data!$AE75=TRUE))</f>
        <v/>
      </c>
      <c r="G75">
        <f>IF(Dashboard!$B$11="Department",Raw_data!$AL75,IF(Dashboard!$B$11="Team",Raw_data!$AM75,IF(Dashboard!$B$11="Unit",Raw_data!$AN75,IF(Dashboard!$B$11="Legal entity",Raw_data!$AO75,IF(Dashboard!$B$11="Location",Raw_data!$AP75,Raw_data!$AQ75)))))</f>
        <v/>
      </c>
      <c r="H75">
        <f>--(AND(ISNUMBER(B75),B75&lt;0.5))</f>
        <v/>
      </c>
      <c r="I75">
        <f>IFERROR(MAX(0,(0.5-B75)*100),0)+IF(D75&gt;=24,20,0)+IF(Raw_data!$I75&gt;0,20,0)+IF(Raw_data!$AE75=TRUE,10,0)</f>
        <v/>
      </c>
      <c r="J75">
        <f>IFERROR(CHOOSE(MATCH(Dashboard!$B$11,{"Department","Team","Unit","Legal entity","Location","Lead"},0),INDEX(Lists!$B$3:$B$20,ROW()-1),INDEX(Lists!$C$3:$C$146,ROW()-1),INDEX(Lists!$D$3:$D$67,ROW()-1),INDEX(Lists!$E$3:$E$5,ROW()-1),INDEX(Lists!$F$3:$F$12,ROW()-1),INDEX(Lists!$G$3:$G$126,ROW()-1)),"")</f>
        <v/>
      </c>
      <c r="K75">
        <f>IF(J75="","",SUMPRODUCT(($A$2:$A$636=1)*($G$2:$G$636=J75)))</f>
        <v/>
      </c>
      <c r="L75">
        <f>IF(J75="","",SUMPRODUCT(($A$2:$A$636=1)*($G$2:$G$636=J75)*(ISNUMBER($B$2:$B$636))*($B$2:$B$636&lt;0.5)))</f>
        <v/>
      </c>
      <c r="M75">
        <f>IFERROR(L75/K75,"")</f>
        <v/>
      </c>
      <c r="N75">
        <f>IF(K75="","",M75+K75/100000+ROW()/100000000)</f>
        <v/>
      </c>
      <c r="R75">
        <f>IF(A75=1,IFERROR(I75,0)+ROW()/100000000,-1E+99)</f>
        <v/>
      </c>
      <c r="S75">
        <f>IF(A75=1,IFERROR(Raw_data!$T75,""),"")</f>
        <v/>
      </c>
      <c r="T75">
        <f>IF(A75=1,IFERROR(Raw_data!$AA75,""),"")</f>
        <v/>
      </c>
      <c r="U75">
        <f>IF(A75=1,IFERROR(Raw_data!$U75,""),"")</f>
        <v/>
      </c>
      <c r="V75">
        <f>IF(A75=1,IFERROR(Raw_data!$AB75,""),"")</f>
        <v/>
      </c>
    </row>
    <row r="76">
      <c r="A76">
        <f>--(AND(OR(Dashboard!$B$4="All",Raw_data!$AL76=Dashboard!$B$4),OR(Dashboard!$B$5="All",Raw_data!$AM76=Dashboard!$B$5),OR(Dashboard!$B$6="All",Raw_data!$AN76=Dashboard!$B$6),OR(Dashboard!$B$7="All",Raw_data!$AO76=Dashboard!$B$7),OR(Dashboard!$B$8="All",Raw_data!$AP76=Dashboard!$B$8),OR(Dashboard!$B$9="All",Raw_data!$AQ76=Dashboard!$B$9),OR(Dashboard!$B$10="All",Raw_data!$AF76=Dashboard!$B$10),OR(Raw_data!$F76="",Raw_data!$F76&lt;=TODAY())))</f>
        <v/>
      </c>
      <c r="B76">
        <f>IFERROR(IF(Dashboard!$B$3="Weighted",Raw_data!$U76,Raw_data!$T76),"")</f>
        <v/>
      </c>
      <c r="C76">
        <f>IFERROR(IF(Dashboard!$B$3="Weighted",Raw_data!$AB76,Raw_data!$AA76),"")</f>
        <v/>
      </c>
      <c r="D76">
        <f>IF(OR(Raw_data!$J76="",Raw_data!$J76&lt;=0,Raw_data!$K76=""),"",IF(Raw_data!$K76&gt;TODAY(),0,DATEDIF(Raw_data!$K76,TODAY(),"M")))</f>
        <v/>
      </c>
      <c r="E76">
        <f>--(AND(Raw_data!$AF76="No",OR(Raw_data!$AG76&lt;&gt;"",Raw_data!$AJ76&gt;0,Raw_data!$AK76&lt;&gt;"")))</f>
        <v/>
      </c>
      <c r="F76">
        <f>--(OR(AND(ISNUMBER(B76),B76&lt;0.5,OR(D76&gt;=24,Raw_data!$I76&gt;0)),Raw_data!$AE76=TRUE))</f>
        <v/>
      </c>
      <c r="G76">
        <f>IF(Dashboard!$B$11="Department",Raw_data!$AL76,IF(Dashboard!$B$11="Team",Raw_data!$AM76,IF(Dashboard!$B$11="Unit",Raw_data!$AN76,IF(Dashboard!$B$11="Legal entity",Raw_data!$AO76,IF(Dashboard!$B$11="Location",Raw_data!$AP76,Raw_data!$AQ76)))))</f>
        <v/>
      </c>
      <c r="H76">
        <f>--(AND(ISNUMBER(B76),B76&lt;0.5))</f>
        <v/>
      </c>
      <c r="I76">
        <f>IFERROR(MAX(0,(0.5-B76)*100),0)+IF(D76&gt;=24,20,0)+IF(Raw_data!$I76&gt;0,20,0)+IF(Raw_data!$AE76=TRUE,10,0)</f>
        <v/>
      </c>
      <c r="J76">
        <f>IFERROR(CHOOSE(MATCH(Dashboard!$B$11,{"Department","Team","Unit","Legal entity","Location","Lead"},0),INDEX(Lists!$B$3:$B$20,ROW()-1),INDEX(Lists!$C$3:$C$146,ROW()-1),INDEX(Lists!$D$3:$D$67,ROW()-1),INDEX(Lists!$E$3:$E$5,ROW()-1),INDEX(Lists!$F$3:$F$12,ROW()-1),INDEX(Lists!$G$3:$G$126,ROW()-1)),"")</f>
        <v/>
      </c>
      <c r="K76">
        <f>IF(J76="","",SUMPRODUCT(($A$2:$A$636=1)*($G$2:$G$636=J76)))</f>
        <v/>
      </c>
      <c r="L76">
        <f>IF(J76="","",SUMPRODUCT(($A$2:$A$636=1)*($G$2:$G$636=J76)*(ISNUMBER($B$2:$B$636))*($B$2:$B$636&lt;0.5)))</f>
        <v/>
      </c>
      <c r="M76">
        <f>IFERROR(L76/K76,"")</f>
        <v/>
      </c>
      <c r="N76">
        <f>IF(K76="","",M76+K76/100000+ROW()/100000000)</f>
        <v/>
      </c>
      <c r="R76">
        <f>IF(A76=1,IFERROR(I76,0)+ROW()/100000000,-1E+99)</f>
        <v/>
      </c>
      <c r="S76">
        <f>IF(A76=1,IFERROR(Raw_data!$T76,""),"")</f>
        <v/>
      </c>
      <c r="T76">
        <f>IF(A76=1,IFERROR(Raw_data!$AA76,""),"")</f>
        <v/>
      </c>
      <c r="U76">
        <f>IF(A76=1,IFERROR(Raw_data!$U76,""),"")</f>
        <v/>
      </c>
      <c r="V76">
        <f>IF(A76=1,IFERROR(Raw_data!$AB76,""),"")</f>
        <v/>
      </c>
    </row>
    <row r="77">
      <c r="A77">
        <f>--(AND(OR(Dashboard!$B$4="All",Raw_data!$AL77=Dashboard!$B$4),OR(Dashboard!$B$5="All",Raw_data!$AM77=Dashboard!$B$5),OR(Dashboard!$B$6="All",Raw_data!$AN77=Dashboard!$B$6),OR(Dashboard!$B$7="All",Raw_data!$AO77=Dashboard!$B$7),OR(Dashboard!$B$8="All",Raw_data!$AP77=Dashboard!$B$8),OR(Dashboard!$B$9="All",Raw_data!$AQ77=Dashboard!$B$9),OR(Dashboard!$B$10="All",Raw_data!$AF77=Dashboard!$B$10),OR(Raw_data!$F77="",Raw_data!$F77&lt;=TODAY())))</f>
        <v/>
      </c>
      <c r="B77">
        <f>IFERROR(IF(Dashboard!$B$3="Weighted",Raw_data!$U77,Raw_data!$T77),"")</f>
        <v/>
      </c>
      <c r="C77">
        <f>IFERROR(IF(Dashboard!$B$3="Weighted",Raw_data!$AB77,Raw_data!$AA77),"")</f>
        <v/>
      </c>
      <c r="D77">
        <f>IF(OR(Raw_data!$J77="",Raw_data!$J77&lt;=0,Raw_data!$K77=""),"",IF(Raw_data!$K77&gt;TODAY(),0,DATEDIF(Raw_data!$K77,TODAY(),"M")))</f>
        <v/>
      </c>
      <c r="E77">
        <f>--(AND(Raw_data!$AF77="No",OR(Raw_data!$AG77&lt;&gt;"",Raw_data!$AJ77&gt;0,Raw_data!$AK77&lt;&gt;"")))</f>
        <v/>
      </c>
      <c r="F77">
        <f>--(OR(AND(ISNUMBER(B77),B77&lt;0.5,OR(D77&gt;=24,Raw_data!$I77&gt;0)),Raw_data!$AE77=TRUE))</f>
        <v/>
      </c>
      <c r="G77">
        <f>IF(Dashboard!$B$11="Department",Raw_data!$AL77,IF(Dashboard!$B$11="Team",Raw_data!$AM77,IF(Dashboard!$B$11="Unit",Raw_data!$AN77,IF(Dashboard!$B$11="Legal entity",Raw_data!$AO77,IF(Dashboard!$B$11="Location",Raw_data!$AP77,Raw_data!$AQ77)))))</f>
        <v/>
      </c>
      <c r="H77">
        <f>--(AND(ISNUMBER(B77),B77&lt;0.5))</f>
        <v/>
      </c>
      <c r="I77">
        <f>IFERROR(MAX(0,(0.5-B77)*100),0)+IF(D77&gt;=24,20,0)+IF(Raw_data!$I77&gt;0,20,0)+IF(Raw_data!$AE77=TRUE,10,0)</f>
        <v/>
      </c>
      <c r="J77">
        <f>IFERROR(CHOOSE(MATCH(Dashboard!$B$11,{"Department","Team","Unit","Legal entity","Location","Lead"},0),INDEX(Lists!$B$3:$B$20,ROW()-1),INDEX(Lists!$C$3:$C$146,ROW()-1),INDEX(Lists!$D$3:$D$67,ROW()-1),INDEX(Lists!$E$3:$E$5,ROW()-1),INDEX(Lists!$F$3:$F$12,ROW()-1),INDEX(Lists!$G$3:$G$126,ROW()-1)),"")</f>
        <v/>
      </c>
      <c r="K77">
        <f>IF(J77="","",SUMPRODUCT(($A$2:$A$636=1)*($G$2:$G$636=J77)))</f>
        <v/>
      </c>
      <c r="L77">
        <f>IF(J77="","",SUMPRODUCT(($A$2:$A$636=1)*($G$2:$G$636=J77)*(ISNUMBER($B$2:$B$636))*($B$2:$B$636&lt;0.5)))</f>
        <v/>
      </c>
      <c r="M77">
        <f>IFERROR(L77/K77,"")</f>
        <v/>
      </c>
      <c r="N77">
        <f>IF(K77="","",M77+K77/100000+ROW()/100000000)</f>
        <v/>
      </c>
      <c r="R77">
        <f>IF(A77=1,IFERROR(I77,0)+ROW()/100000000,-1E+99)</f>
        <v/>
      </c>
      <c r="S77">
        <f>IF(A77=1,IFERROR(Raw_data!$T77,""),"")</f>
        <v/>
      </c>
      <c r="T77">
        <f>IF(A77=1,IFERROR(Raw_data!$AA77,""),"")</f>
        <v/>
      </c>
      <c r="U77">
        <f>IF(A77=1,IFERROR(Raw_data!$U77,""),"")</f>
        <v/>
      </c>
      <c r="V77">
        <f>IF(A77=1,IFERROR(Raw_data!$AB77,""),"")</f>
        <v/>
      </c>
    </row>
    <row r="78">
      <c r="A78">
        <f>--(AND(OR(Dashboard!$B$4="All",Raw_data!$AL78=Dashboard!$B$4),OR(Dashboard!$B$5="All",Raw_data!$AM78=Dashboard!$B$5),OR(Dashboard!$B$6="All",Raw_data!$AN78=Dashboard!$B$6),OR(Dashboard!$B$7="All",Raw_data!$AO78=Dashboard!$B$7),OR(Dashboard!$B$8="All",Raw_data!$AP78=Dashboard!$B$8),OR(Dashboard!$B$9="All",Raw_data!$AQ78=Dashboard!$B$9),OR(Dashboard!$B$10="All",Raw_data!$AF78=Dashboard!$B$10),OR(Raw_data!$F78="",Raw_data!$F78&lt;=TODAY())))</f>
        <v/>
      </c>
      <c r="B78">
        <f>IFERROR(IF(Dashboard!$B$3="Weighted",Raw_data!$U78,Raw_data!$T78),"")</f>
        <v/>
      </c>
      <c r="C78">
        <f>IFERROR(IF(Dashboard!$B$3="Weighted",Raw_data!$AB78,Raw_data!$AA78),"")</f>
        <v/>
      </c>
      <c r="D78">
        <f>IF(OR(Raw_data!$J78="",Raw_data!$J78&lt;=0,Raw_data!$K78=""),"",IF(Raw_data!$K78&gt;TODAY(),0,DATEDIF(Raw_data!$K78,TODAY(),"M")))</f>
        <v/>
      </c>
      <c r="E78">
        <f>--(AND(Raw_data!$AF78="No",OR(Raw_data!$AG78&lt;&gt;"",Raw_data!$AJ78&gt;0,Raw_data!$AK78&lt;&gt;"")))</f>
        <v/>
      </c>
      <c r="F78">
        <f>--(OR(AND(ISNUMBER(B78),B78&lt;0.5,OR(D78&gt;=24,Raw_data!$I78&gt;0)),Raw_data!$AE78=TRUE))</f>
        <v/>
      </c>
      <c r="G78">
        <f>IF(Dashboard!$B$11="Department",Raw_data!$AL78,IF(Dashboard!$B$11="Team",Raw_data!$AM78,IF(Dashboard!$B$11="Unit",Raw_data!$AN78,IF(Dashboard!$B$11="Legal entity",Raw_data!$AO78,IF(Dashboard!$B$11="Location",Raw_data!$AP78,Raw_data!$AQ78)))))</f>
        <v/>
      </c>
      <c r="H78">
        <f>--(AND(ISNUMBER(B78),B78&lt;0.5))</f>
        <v/>
      </c>
      <c r="I78">
        <f>IFERROR(MAX(0,(0.5-B78)*100),0)+IF(D78&gt;=24,20,0)+IF(Raw_data!$I78&gt;0,20,0)+IF(Raw_data!$AE78=TRUE,10,0)</f>
        <v/>
      </c>
      <c r="J78">
        <f>IFERROR(CHOOSE(MATCH(Dashboard!$B$11,{"Department","Team","Unit","Legal entity","Location","Lead"},0),INDEX(Lists!$B$3:$B$20,ROW()-1),INDEX(Lists!$C$3:$C$146,ROW()-1),INDEX(Lists!$D$3:$D$67,ROW()-1),INDEX(Lists!$E$3:$E$5,ROW()-1),INDEX(Lists!$F$3:$F$12,ROW()-1),INDEX(Lists!$G$3:$G$126,ROW()-1)),"")</f>
        <v/>
      </c>
      <c r="K78">
        <f>IF(J78="","",SUMPRODUCT(($A$2:$A$636=1)*($G$2:$G$636=J78)))</f>
        <v/>
      </c>
      <c r="L78">
        <f>IF(J78="","",SUMPRODUCT(($A$2:$A$636=1)*($G$2:$G$636=J78)*(ISNUMBER($B$2:$B$636))*($B$2:$B$636&lt;0.5)))</f>
        <v/>
      </c>
      <c r="M78">
        <f>IFERROR(L78/K78,"")</f>
        <v/>
      </c>
      <c r="N78">
        <f>IF(K78="","",M78+K78/100000+ROW()/100000000)</f>
        <v/>
      </c>
      <c r="R78">
        <f>IF(A78=1,IFERROR(I78,0)+ROW()/100000000,-1E+99)</f>
        <v/>
      </c>
      <c r="S78">
        <f>IF(A78=1,IFERROR(Raw_data!$T78,""),"")</f>
        <v/>
      </c>
      <c r="T78">
        <f>IF(A78=1,IFERROR(Raw_data!$AA78,""),"")</f>
        <v/>
      </c>
      <c r="U78">
        <f>IF(A78=1,IFERROR(Raw_data!$U78,""),"")</f>
        <v/>
      </c>
      <c r="V78">
        <f>IF(A78=1,IFERROR(Raw_data!$AB78,""),"")</f>
        <v/>
      </c>
    </row>
    <row r="79">
      <c r="A79">
        <f>--(AND(OR(Dashboard!$B$4="All",Raw_data!$AL79=Dashboard!$B$4),OR(Dashboard!$B$5="All",Raw_data!$AM79=Dashboard!$B$5),OR(Dashboard!$B$6="All",Raw_data!$AN79=Dashboard!$B$6),OR(Dashboard!$B$7="All",Raw_data!$AO79=Dashboard!$B$7),OR(Dashboard!$B$8="All",Raw_data!$AP79=Dashboard!$B$8),OR(Dashboard!$B$9="All",Raw_data!$AQ79=Dashboard!$B$9),OR(Dashboard!$B$10="All",Raw_data!$AF79=Dashboard!$B$10),OR(Raw_data!$F79="",Raw_data!$F79&lt;=TODAY())))</f>
        <v/>
      </c>
      <c r="B79">
        <f>IFERROR(IF(Dashboard!$B$3="Weighted",Raw_data!$U79,Raw_data!$T79),"")</f>
        <v/>
      </c>
      <c r="C79">
        <f>IFERROR(IF(Dashboard!$B$3="Weighted",Raw_data!$AB79,Raw_data!$AA79),"")</f>
        <v/>
      </c>
      <c r="D79">
        <f>IF(OR(Raw_data!$J79="",Raw_data!$J79&lt;=0,Raw_data!$K79=""),"",IF(Raw_data!$K79&gt;TODAY(),0,DATEDIF(Raw_data!$K79,TODAY(),"M")))</f>
        <v/>
      </c>
      <c r="E79">
        <f>--(AND(Raw_data!$AF79="No",OR(Raw_data!$AG79&lt;&gt;"",Raw_data!$AJ79&gt;0,Raw_data!$AK79&lt;&gt;"")))</f>
        <v/>
      </c>
      <c r="F79">
        <f>--(OR(AND(ISNUMBER(B79),B79&lt;0.5,OR(D79&gt;=24,Raw_data!$I79&gt;0)),Raw_data!$AE79=TRUE))</f>
        <v/>
      </c>
      <c r="G79">
        <f>IF(Dashboard!$B$11="Department",Raw_data!$AL79,IF(Dashboard!$B$11="Team",Raw_data!$AM79,IF(Dashboard!$B$11="Unit",Raw_data!$AN79,IF(Dashboard!$B$11="Legal entity",Raw_data!$AO79,IF(Dashboard!$B$11="Location",Raw_data!$AP79,Raw_data!$AQ79)))))</f>
        <v/>
      </c>
      <c r="H79">
        <f>--(AND(ISNUMBER(B79),B79&lt;0.5))</f>
        <v/>
      </c>
      <c r="I79">
        <f>IFERROR(MAX(0,(0.5-B79)*100),0)+IF(D79&gt;=24,20,0)+IF(Raw_data!$I79&gt;0,20,0)+IF(Raw_data!$AE79=TRUE,10,0)</f>
        <v/>
      </c>
      <c r="J79">
        <f>IFERROR(CHOOSE(MATCH(Dashboard!$B$11,{"Department","Team","Unit","Legal entity","Location","Lead"},0),INDEX(Lists!$B$3:$B$20,ROW()-1),INDEX(Lists!$C$3:$C$146,ROW()-1),INDEX(Lists!$D$3:$D$67,ROW()-1),INDEX(Lists!$E$3:$E$5,ROW()-1),INDEX(Lists!$F$3:$F$12,ROW()-1),INDEX(Lists!$G$3:$G$126,ROW()-1)),"")</f>
        <v/>
      </c>
      <c r="K79">
        <f>IF(J79="","",SUMPRODUCT(($A$2:$A$636=1)*($G$2:$G$636=J79)))</f>
        <v/>
      </c>
      <c r="L79">
        <f>IF(J79="","",SUMPRODUCT(($A$2:$A$636=1)*($G$2:$G$636=J79)*(ISNUMBER($B$2:$B$636))*($B$2:$B$636&lt;0.5)))</f>
        <v/>
      </c>
      <c r="M79">
        <f>IFERROR(L79/K79,"")</f>
        <v/>
      </c>
      <c r="N79">
        <f>IF(K79="","",M79+K79/100000+ROW()/100000000)</f>
        <v/>
      </c>
      <c r="R79">
        <f>IF(A79=1,IFERROR(I79,0)+ROW()/100000000,-1E+99)</f>
        <v/>
      </c>
      <c r="S79">
        <f>IF(A79=1,IFERROR(Raw_data!$T79,""),"")</f>
        <v/>
      </c>
      <c r="T79">
        <f>IF(A79=1,IFERROR(Raw_data!$AA79,""),"")</f>
        <v/>
      </c>
      <c r="U79">
        <f>IF(A79=1,IFERROR(Raw_data!$U79,""),"")</f>
        <v/>
      </c>
      <c r="V79">
        <f>IF(A79=1,IFERROR(Raw_data!$AB79,""),"")</f>
        <v/>
      </c>
    </row>
    <row r="80">
      <c r="A80">
        <f>--(AND(OR(Dashboard!$B$4="All",Raw_data!$AL80=Dashboard!$B$4),OR(Dashboard!$B$5="All",Raw_data!$AM80=Dashboard!$B$5),OR(Dashboard!$B$6="All",Raw_data!$AN80=Dashboard!$B$6),OR(Dashboard!$B$7="All",Raw_data!$AO80=Dashboard!$B$7),OR(Dashboard!$B$8="All",Raw_data!$AP80=Dashboard!$B$8),OR(Dashboard!$B$9="All",Raw_data!$AQ80=Dashboard!$B$9),OR(Dashboard!$B$10="All",Raw_data!$AF80=Dashboard!$B$10),OR(Raw_data!$F80="",Raw_data!$F80&lt;=TODAY())))</f>
        <v/>
      </c>
      <c r="B80">
        <f>IFERROR(IF(Dashboard!$B$3="Weighted",Raw_data!$U80,Raw_data!$T80),"")</f>
        <v/>
      </c>
      <c r="C80">
        <f>IFERROR(IF(Dashboard!$B$3="Weighted",Raw_data!$AB80,Raw_data!$AA80),"")</f>
        <v/>
      </c>
      <c r="D80">
        <f>IF(OR(Raw_data!$J80="",Raw_data!$J80&lt;=0,Raw_data!$K80=""),"",IF(Raw_data!$K80&gt;TODAY(),0,DATEDIF(Raw_data!$K80,TODAY(),"M")))</f>
        <v/>
      </c>
      <c r="E80">
        <f>--(AND(Raw_data!$AF80="No",OR(Raw_data!$AG80&lt;&gt;"",Raw_data!$AJ80&gt;0,Raw_data!$AK80&lt;&gt;"")))</f>
        <v/>
      </c>
      <c r="F80">
        <f>--(OR(AND(ISNUMBER(B80),B80&lt;0.5,OR(D80&gt;=24,Raw_data!$I80&gt;0)),Raw_data!$AE80=TRUE))</f>
        <v/>
      </c>
      <c r="G80">
        <f>IF(Dashboard!$B$11="Department",Raw_data!$AL80,IF(Dashboard!$B$11="Team",Raw_data!$AM80,IF(Dashboard!$B$11="Unit",Raw_data!$AN80,IF(Dashboard!$B$11="Legal entity",Raw_data!$AO80,IF(Dashboard!$B$11="Location",Raw_data!$AP80,Raw_data!$AQ80)))))</f>
        <v/>
      </c>
      <c r="H80">
        <f>--(AND(ISNUMBER(B80),B80&lt;0.5))</f>
        <v/>
      </c>
      <c r="I80">
        <f>IFERROR(MAX(0,(0.5-B80)*100),0)+IF(D80&gt;=24,20,0)+IF(Raw_data!$I80&gt;0,20,0)+IF(Raw_data!$AE80=TRUE,10,0)</f>
        <v/>
      </c>
      <c r="J80">
        <f>IFERROR(CHOOSE(MATCH(Dashboard!$B$11,{"Department","Team","Unit","Legal entity","Location","Lead"},0),INDEX(Lists!$B$3:$B$20,ROW()-1),INDEX(Lists!$C$3:$C$146,ROW()-1),INDEX(Lists!$D$3:$D$67,ROW()-1),INDEX(Lists!$E$3:$E$5,ROW()-1),INDEX(Lists!$F$3:$F$12,ROW()-1),INDEX(Lists!$G$3:$G$126,ROW()-1)),"")</f>
        <v/>
      </c>
      <c r="K80">
        <f>IF(J80="","",SUMPRODUCT(($A$2:$A$636=1)*($G$2:$G$636=J80)))</f>
        <v/>
      </c>
      <c r="L80">
        <f>IF(J80="","",SUMPRODUCT(($A$2:$A$636=1)*($G$2:$G$636=J80)*(ISNUMBER($B$2:$B$636))*($B$2:$B$636&lt;0.5)))</f>
        <v/>
      </c>
      <c r="M80">
        <f>IFERROR(L80/K80,"")</f>
        <v/>
      </c>
      <c r="N80">
        <f>IF(K80="","",M80+K80/100000+ROW()/100000000)</f>
        <v/>
      </c>
      <c r="R80">
        <f>IF(A80=1,IFERROR(I80,0)+ROW()/100000000,-1E+99)</f>
        <v/>
      </c>
      <c r="S80">
        <f>IF(A80=1,IFERROR(Raw_data!$T80,""),"")</f>
        <v/>
      </c>
      <c r="T80">
        <f>IF(A80=1,IFERROR(Raw_data!$AA80,""),"")</f>
        <v/>
      </c>
      <c r="U80">
        <f>IF(A80=1,IFERROR(Raw_data!$U80,""),"")</f>
        <v/>
      </c>
      <c r="V80">
        <f>IF(A80=1,IFERROR(Raw_data!$AB80,""),"")</f>
        <v/>
      </c>
    </row>
    <row r="81">
      <c r="A81">
        <f>--(AND(OR(Dashboard!$B$4="All",Raw_data!$AL81=Dashboard!$B$4),OR(Dashboard!$B$5="All",Raw_data!$AM81=Dashboard!$B$5),OR(Dashboard!$B$6="All",Raw_data!$AN81=Dashboard!$B$6),OR(Dashboard!$B$7="All",Raw_data!$AO81=Dashboard!$B$7),OR(Dashboard!$B$8="All",Raw_data!$AP81=Dashboard!$B$8),OR(Dashboard!$B$9="All",Raw_data!$AQ81=Dashboard!$B$9),OR(Dashboard!$B$10="All",Raw_data!$AF81=Dashboard!$B$10),OR(Raw_data!$F81="",Raw_data!$F81&lt;=TODAY())))</f>
        <v/>
      </c>
      <c r="B81">
        <f>IFERROR(IF(Dashboard!$B$3="Weighted",Raw_data!$U81,Raw_data!$T81),"")</f>
        <v/>
      </c>
      <c r="C81">
        <f>IFERROR(IF(Dashboard!$B$3="Weighted",Raw_data!$AB81,Raw_data!$AA81),"")</f>
        <v/>
      </c>
      <c r="D81">
        <f>IF(OR(Raw_data!$J81="",Raw_data!$J81&lt;=0,Raw_data!$K81=""),"",IF(Raw_data!$K81&gt;TODAY(),0,DATEDIF(Raw_data!$K81,TODAY(),"M")))</f>
        <v/>
      </c>
      <c r="E81">
        <f>--(AND(Raw_data!$AF81="No",OR(Raw_data!$AG81&lt;&gt;"",Raw_data!$AJ81&gt;0,Raw_data!$AK81&lt;&gt;"")))</f>
        <v/>
      </c>
      <c r="F81">
        <f>--(OR(AND(ISNUMBER(B81),B81&lt;0.5,OR(D81&gt;=24,Raw_data!$I81&gt;0)),Raw_data!$AE81=TRUE))</f>
        <v/>
      </c>
      <c r="G81">
        <f>IF(Dashboard!$B$11="Department",Raw_data!$AL81,IF(Dashboard!$B$11="Team",Raw_data!$AM81,IF(Dashboard!$B$11="Unit",Raw_data!$AN81,IF(Dashboard!$B$11="Legal entity",Raw_data!$AO81,IF(Dashboard!$B$11="Location",Raw_data!$AP81,Raw_data!$AQ81)))))</f>
        <v/>
      </c>
      <c r="H81">
        <f>--(AND(ISNUMBER(B81),B81&lt;0.5))</f>
        <v/>
      </c>
      <c r="I81">
        <f>IFERROR(MAX(0,(0.5-B81)*100),0)+IF(D81&gt;=24,20,0)+IF(Raw_data!$I81&gt;0,20,0)+IF(Raw_data!$AE81=TRUE,10,0)</f>
        <v/>
      </c>
      <c r="J81">
        <f>IFERROR(CHOOSE(MATCH(Dashboard!$B$11,{"Department","Team","Unit","Legal entity","Location","Lead"},0),INDEX(Lists!$B$3:$B$20,ROW()-1),INDEX(Lists!$C$3:$C$146,ROW()-1),INDEX(Lists!$D$3:$D$67,ROW()-1),INDEX(Lists!$E$3:$E$5,ROW()-1),INDEX(Lists!$F$3:$F$12,ROW()-1),INDEX(Lists!$G$3:$G$126,ROW()-1)),"")</f>
        <v/>
      </c>
      <c r="K81">
        <f>IF(J81="","",SUMPRODUCT(($A$2:$A$636=1)*($G$2:$G$636=J81)))</f>
        <v/>
      </c>
      <c r="L81">
        <f>IF(J81="","",SUMPRODUCT(($A$2:$A$636=1)*($G$2:$G$636=J81)*(ISNUMBER($B$2:$B$636))*($B$2:$B$636&lt;0.5)))</f>
        <v/>
      </c>
      <c r="M81">
        <f>IFERROR(L81/K81,"")</f>
        <v/>
      </c>
      <c r="N81">
        <f>IF(K81="","",M81+K81/100000+ROW()/100000000)</f>
        <v/>
      </c>
      <c r="R81">
        <f>IF(A81=1,IFERROR(I81,0)+ROW()/100000000,-1E+99)</f>
        <v/>
      </c>
      <c r="S81">
        <f>IF(A81=1,IFERROR(Raw_data!$T81,""),"")</f>
        <v/>
      </c>
      <c r="T81">
        <f>IF(A81=1,IFERROR(Raw_data!$AA81,""),"")</f>
        <v/>
      </c>
      <c r="U81">
        <f>IF(A81=1,IFERROR(Raw_data!$U81,""),"")</f>
        <v/>
      </c>
      <c r="V81">
        <f>IF(A81=1,IFERROR(Raw_data!$AB81,""),"")</f>
        <v/>
      </c>
    </row>
    <row r="82">
      <c r="A82">
        <f>--(AND(OR(Dashboard!$B$4="All",Raw_data!$AL82=Dashboard!$B$4),OR(Dashboard!$B$5="All",Raw_data!$AM82=Dashboard!$B$5),OR(Dashboard!$B$6="All",Raw_data!$AN82=Dashboard!$B$6),OR(Dashboard!$B$7="All",Raw_data!$AO82=Dashboard!$B$7),OR(Dashboard!$B$8="All",Raw_data!$AP82=Dashboard!$B$8),OR(Dashboard!$B$9="All",Raw_data!$AQ82=Dashboard!$B$9),OR(Dashboard!$B$10="All",Raw_data!$AF82=Dashboard!$B$10),OR(Raw_data!$F82="",Raw_data!$F82&lt;=TODAY())))</f>
        <v/>
      </c>
      <c r="B82">
        <f>IFERROR(IF(Dashboard!$B$3="Weighted",Raw_data!$U82,Raw_data!$T82),"")</f>
        <v/>
      </c>
      <c r="C82">
        <f>IFERROR(IF(Dashboard!$B$3="Weighted",Raw_data!$AB82,Raw_data!$AA82),"")</f>
        <v/>
      </c>
      <c r="D82">
        <f>IF(OR(Raw_data!$J82="",Raw_data!$J82&lt;=0,Raw_data!$K82=""),"",IF(Raw_data!$K82&gt;TODAY(),0,DATEDIF(Raw_data!$K82,TODAY(),"M")))</f>
        <v/>
      </c>
      <c r="E82">
        <f>--(AND(Raw_data!$AF82="No",OR(Raw_data!$AG82&lt;&gt;"",Raw_data!$AJ82&gt;0,Raw_data!$AK82&lt;&gt;"")))</f>
        <v/>
      </c>
      <c r="F82">
        <f>--(OR(AND(ISNUMBER(B82),B82&lt;0.5,OR(D82&gt;=24,Raw_data!$I82&gt;0)),Raw_data!$AE82=TRUE))</f>
        <v/>
      </c>
      <c r="G82">
        <f>IF(Dashboard!$B$11="Department",Raw_data!$AL82,IF(Dashboard!$B$11="Team",Raw_data!$AM82,IF(Dashboard!$B$11="Unit",Raw_data!$AN82,IF(Dashboard!$B$11="Legal entity",Raw_data!$AO82,IF(Dashboard!$B$11="Location",Raw_data!$AP82,Raw_data!$AQ82)))))</f>
        <v/>
      </c>
      <c r="H82">
        <f>--(AND(ISNUMBER(B82),B82&lt;0.5))</f>
        <v/>
      </c>
      <c r="I82">
        <f>IFERROR(MAX(0,(0.5-B82)*100),0)+IF(D82&gt;=24,20,0)+IF(Raw_data!$I82&gt;0,20,0)+IF(Raw_data!$AE82=TRUE,10,0)</f>
        <v/>
      </c>
      <c r="J82">
        <f>IFERROR(CHOOSE(MATCH(Dashboard!$B$11,{"Department","Team","Unit","Legal entity","Location","Lead"},0),INDEX(Lists!$B$3:$B$20,ROW()-1),INDEX(Lists!$C$3:$C$146,ROW()-1),INDEX(Lists!$D$3:$D$67,ROW()-1),INDEX(Lists!$E$3:$E$5,ROW()-1),INDEX(Lists!$F$3:$F$12,ROW()-1),INDEX(Lists!$G$3:$G$126,ROW()-1)),"")</f>
        <v/>
      </c>
      <c r="K82">
        <f>IF(J82="","",SUMPRODUCT(($A$2:$A$636=1)*($G$2:$G$636=J82)))</f>
        <v/>
      </c>
      <c r="L82">
        <f>IF(J82="","",SUMPRODUCT(($A$2:$A$636=1)*($G$2:$G$636=J82)*(ISNUMBER($B$2:$B$636))*($B$2:$B$636&lt;0.5)))</f>
        <v/>
      </c>
      <c r="M82">
        <f>IFERROR(L82/K82,"")</f>
        <v/>
      </c>
      <c r="N82">
        <f>IF(K82="","",M82+K82/100000+ROW()/100000000)</f>
        <v/>
      </c>
      <c r="R82">
        <f>IF(A82=1,IFERROR(I82,0)+ROW()/100000000,-1E+99)</f>
        <v/>
      </c>
      <c r="S82">
        <f>IF(A82=1,IFERROR(Raw_data!$T82,""),"")</f>
        <v/>
      </c>
      <c r="T82">
        <f>IF(A82=1,IFERROR(Raw_data!$AA82,""),"")</f>
        <v/>
      </c>
      <c r="U82">
        <f>IF(A82=1,IFERROR(Raw_data!$U82,""),"")</f>
        <v/>
      </c>
      <c r="V82">
        <f>IF(A82=1,IFERROR(Raw_data!$AB82,""),"")</f>
        <v/>
      </c>
    </row>
    <row r="83">
      <c r="A83">
        <f>--(AND(OR(Dashboard!$B$4="All",Raw_data!$AL83=Dashboard!$B$4),OR(Dashboard!$B$5="All",Raw_data!$AM83=Dashboard!$B$5),OR(Dashboard!$B$6="All",Raw_data!$AN83=Dashboard!$B$6),OR(Dashboard!$B$7="All",Raw_data!$AO83=Dashboard!$B$7),OR(Dashboard!$B$8="All",Raw_data!$AP83=Dashboard!$B$8),OR(Dashboard!$B$9="All",Raw_data!$AQ83=Dashboard!$B$9),OR(Dashboard!$B$10="All",Raw_data!$AF83=Dashboard!$B$10),OR(Raw_data!$F83="",Raw_data!$F83&lt;=TODAY())))</f>
        <v/>
      </c>
      <c r="B83">
        <f>IFERROR(IF(Dashboard!$B$3="Weighted",Raw_data!$U83,Raw_data!$T83),"")</f>
        <v/>
      </c>
      <c r="C83">
        <f>IFERROR(IF(Dashboard!$B$3="Weighted",Raw_data!$AB83,Raw_data!$AA83),"")</f>
        <v/>
      </c>
      <c r="D83">
        <f>IF(OR(Raw_data!$J83="",Raw_data!$J83&lt;=0,Raw_data!$K83=""),"",IF(Raw_data!$K83&gt;TODAY(),0,DATEDIF(Raw_data!$K83,TODAY(),"M")))</f>
        <v/>
      </c>
      <c r="E83">
        <f>--(AND(Raw_data!$AF83="No",OR(Raw_data!$AG83&lt;&gt;"",Raw_data!$AJ83&gt;0,Raw_data!$AK83&lt;&gt;"")))</f>
        <v/>
      </c>
      <c r="F83">
        <f>--(OR(AND(ISNUMBER(B83),B83&lt;0.5,OR(D83&gt;=24,Raw_data!$I83&gt;0)),Raw_data!$AE83=TRUE))</f>
        <v/>
      </c>
      <c r="G83">
        <f>IF(Dashboard!$B$11="Department",Raw_data!$AL83,IF(Dashboard!$B$11="Team",Raw_data!$AM83,IF(Dashboard!$B$11="Unit",Raw_data!$AN83,IF(Dashboard!$B$11="Legal entity",Raw_data!$AO83,IF(Dashboard!$B$11="Location",Raw_data!$AP83,Raw_data!$AQ83)))))</f>
        <v/>
      </c>
      <c r="H83">
        <f>--(AND(ISNUMBER(B83),B83&lt;0.5))</f>
        <v/>
      </c>
      <c r="I83">
        <f>IFERROR(MAX(0,(0.5-B83)*100),0)+IF(D83&gt;=24,20,0)+IF(Raw_data!$I83&gt;0,20,0)+IF(Raw_data!$AE83=TRUE,10,0)</f>
        <v/>
      </c>
      <c r="J83">
        <f>IFERROR(CHOOSE(MATCH(Dashboard!$B$11,{"Department","Team","Unit","Legal entity","Location","Lead"},0),INDEX(Lists!$B$3:$B$20,ROW()-1),INDEX(Lists!$C$3:$C$146,ROW()-1),INDEX(Lists!$D$3:$D$67,ROW()-1),INDEX(Lists!$E$3:$E$5,ROW()-1),INDEX(Lists!$F$3:$F$12,ROW()-1),INDEX(Lists!$G$3:$G$126,ROW()-1)),"")</f>
        <v/>
      </c>
      <c r="K83">
        <f>IF(J83="","",SUMPRODUCT(($A$2:$A$636=1)*($G$2:$G$636=J83)))</f>
        <v/>
      </c>
      <c r="L83">
        <f>IF(J83="","",SUMPRODUCT(($A$2:$A$636=1)*($G$2:$G$636=J83)*(ISNUMBER($B$2:$B$636))*($B$2:$B$636&lt;0.5)))</f>
        <v/>
      </c>
      <c r="M83">
        <f>IFERROR(L83/K83,"")</f>
        <v/>
      </c>
      <c r="N83">
        <f>IF(K83="","",M83+K83/100000+ROW()/100000000)</f>
        <v/>
      </c>
      <c r="R83">
        <f>IF(A83=1,IFERROR(I83,0)+ROW()/100000000,-1E+99)</f>
        <v/>
      </c>
      <c r="S83">
        <f>IF(A83=1,IFERROR(Raw_data!$T83,""),"")</f>
        <v/>
      </c>
      <c r="T83">
        <f>IF(A83=1,IFERROR(Raw_data!$AA83,""),"")</f>
        <v/>
      </c>
      <c r="U83">
        <f>IF(A83=1,IFERROR(Raw_data!$U83,""),"")</f>
        <v/>
      </c>
      <c r="V83">
        <f>IF(A83=1,IFERROR(Raw_data!$AB83,""),"")</f>
        <v/>
      </c>
    </row>
    <row r="84">
      <c r="A84">
        <f>--(AND(OR(Dashboard!$B$4="All",Raw_data!$AL84=Dashboard!$B$4),OR(Dashboard!$B$5="All",Raw_data!$AM84=Dashboard!$B$5),OR(Dashboard!$B$6="All",Raw_data!$AN84=Dashboard!$B$6),OR(Dashboard!$B$7="All",Raw_data!$AO84=Dashboard!$B$7),OR(Dashboard!$B$8="All",Raw_data!$AP84=Dashboard!$B$8),OR(Dashboard!$B$9="All",Raw_data!$AQ84=Dashboard!$B$9),OR(Dashboard!$B$10="All",Raw_data!$AF84=Dashboard!$B$10),OR(Raw_data!$F84="",Raw_data!$F84&lt;=TODAY())))</f>
        <v/>
      </c>
      <c r="B84">
        <f>IFERROR(IF(Dashboard!$B$3="Weighted",Raw_data!$U84,Raw_data!$T84),"")</f>
        <v/>
      </c>
      <c r="C84">
        <f>IFERROR(IF(Dashboard!$B$3="Weighted",Raw_data!$AB84,Raw_data!$AA84),"")</f>
        <v/>
      </c>
      <c r="D84">
        <f>IF(OR(Raw_data!$J84="",Raw_data!$J84&lt;=0,Raw_data!$K84=""),"",IF(Raw_data!$K84&gt;TODAY(),0,DATEDIF(Raw_data!$K84,TODAY(),"M")))</f>
        <v/>
      </c>
      <c r="E84">
        <f>--(AND(Raw_data!$AF84="No",OR(Raw_data!$AG84&lt;&gt;"",Raw_data!$AJ84&gt;0,Raw_data!$AK84&lt;&gt;"")))</f>
        <v/>
      </c>
      <c r="F84">
        <f>--(OR(AND(ISNUMBER(B84),B84&lt;0.5,OR(D84&gt;=24,Raw_data!$I84&gt;0)),Raw_data!$AE84=TRUE))</f>
        <v/>
      </c>
      <c r="G84">
        <f>IF(Dashboard!$B$11="Department",Raw_data!$AL84,IF(Dashboard!$B$11="Team",Raw_data!$AM84,IF(Dashboard!$B$11="Unit",Raw_data!$AN84,IF(Dashboard!$B$11="Legal entity",Raw_data!$AO84,IF(Dashboard!$B$11="Location",Raw_data!$AP84,Raw_data!$AQ84)))))</f>
        <v/>
      </c>
      <c r="H84">
        <f>--(AND(ISNUMBER(B84),B84&lt;0.5))</f>
        <v/>
      </c>
      <c r="I84">
        <f>IFERROR(MAX(0,(0.5-B84)*100),0)+IF(D84&gt;=24,20,0)+IF(Raw_data!$I84&gt;0,20,0)+IF(Raw_data!$AE84=TRUE,10,0)</f>
        <v/>
      </c>
      <c r="J84">
        <f>IFERROR(CHOOSE(MATCH(Dashboard!$B$11,{"Department","Team","Unit","Legal entity","Location","Lead"},0),INDEX(Lists!$B$3:$B$20,ROW()-1),INDEX(Lists!$C$3:$C$146,ROW()-1),INDEX(Lists!$D$3:$D$67,ROW()-1),INDEX(Lists!$E$3:$E$5,ROW()-1),INDEX(Lists!$F$3:$F$12,ROW()-1),INDEX(Lists!$G$3:$G$126,ROW()-1)),"")</f>
        <v/>
      </c>
      <c r="K84">
        <f>IF(J84="","",SUMPRODUCT(($A$2:$A$636=1)*($G$2:$G$636=J84)))</f>
        <v/>
      </c>
      <c r="L84">
        <f>IF(J84="","",SUMPRODUCT(($A$2:$A$636=1)*($G$2:$G$636=J84)*(ISNUMBER($B$2:$B$636))*($B$2:$B$636&lt;0.5)))</f>
        <v/>
      </c>
      <c r="M84">
        <f>IFERROR(L84/K84,"")</f>
        <v/>
      </c>
      <c r="N84">
        <f>IF(K84="","",M84+K84/100000+ROW()/100000000)</f>
        <v/>
      </c>
      <c r="R84">
        <f>IF(A84=1,IFERROR(I84,0)+ROW()/100000000,-1E+99)</f>
        <v/>
      </c>
      <c r="S84">
        <f>IF(A84=1,IFERROR(Raw_data!$T84,""),"")</f>
        <v/>
      </c>
      <c r="T84">
        <f>IF(A84=1,IFERROR(Raw_data!$AA84,""),"")</f>
        <v/>
      </c>
      <c r="U84">
        <f>IF(A84=1,IFERROR(Raw_data!$U84,""),"")</f>
        <v/>
      </c>
      <c r="V84">
        <f>IF(A84=1,IFERROR(Raw_data!$AB84,""),"")</f>
        <v/>
      </c>
    </row>
    <row r="85">
      <c r="A85">
        <f>--(AND(OR(Dashboard!$B$4="All",Raw_data!$AL85=Dashboard!$B$4),OR(Dashboard!$B$5="All",Raw_data!$AM85=Dashboard!$B$5),OR(Dashboard!$B$6="All",Raw_data!$AN85=Dashboard!$B$6),OR(Dashboard!$B$7="All",Raw_data!$AO85=Dashboard!$B$7),OR(Dashboard!$B$8="All",Raw_data!$AP85=Dashboard!$B$8),OR(Dashboard!$B$9="All",Raw_data!$AQ85=Dashboard!$B$9),OR(Dashboard!$B$10="All",Raw_data!$AF85=Dashboard!$B$10),OR(Raw_data!$F85="",Raw_data!$F85&lt;=TODAY())))</f>
        <v/>
      </c>
      <c r="B85">
        <f>IFERROR(IF(Dashboard!$B$3="Weighted",Raw_data!$U85,Raw_data!$T85),"")</f>
        <v/>
      </c>
      <c r="C85">
        <f>IFERROR(IF(Dashboard!$B$3="Weighted",Raw_data!$AB85,Raw_data!$AA85),"")</f>
        <v/>
      </c>
      <c r="D85">
        <f>IF(OR(Raw_data!$J85="",Raw_data!$J85&lt;=0,Raw_data!$K85=""),"",IF(Raw_data!$K85&gt;TODAY(),0,DATEDIF(Raw_data!$K85,TODAY(),"M")))</f>
        <v/>
      </c>
      <c r="E85">
        <f>--(AND(Raw_data!$AF85="No",OR(Raw_data!$AG85&lt;&gt;"",Raw_data!$AJ85&gt;0,Raw_data!$AK85&lt;&gt;"")))</f>
        <v/>
      </c>
      <c r="F85">
        <f>--(OR(AND(ISNUMBER(B85),B85&lt;0.5,OR(D85&gt;=24,Raw_data!$I85&gt;0)),Raw_data!$AE85=TRUE))</f>
        <v/>
      </c>
      <c r="G85">
        <f>IF(Dashboard!$B$11="Department",Raw_data!$AL85,IF(Dashboard!$B$11="Team",Raw_data!$AM85,IF(Dashboard!$B$11="Unit",Raw_data!$AN85,IF(Dashboard!$B$11="Legal entity",Raw_data!$AO85,IF(Dashboard!$B$11="Location",Raw_data!$AP85,Raw_data!$AQ85)))))</f>
        <v/>
      </c>
      <c r="H85">
        <f>--(AND(ISNUMBER(B85),B85&lt;0.5))</f>
        <v/>
      </c>
      <c r="I85">
        <f>IFERROR(MAX(0,(0.5-B85)*100),0)+IF(D85&gt;=24,20,0)+IF(Raw_data!$I85&gt;0,20,0)+IF(Raw_data!$AE85=TRUE,10,0)</f>
        <v/>
      </c>
      <c r="J85">
        <f>IFERROR(CHOOSE(MATCH(Dashboard!$B$11,{"Department","Team","Unit","Legal entity","Location","Lead"},0),INDEX(Lists!$B$3:$B$20,ROW()-1),INDEX(Lists!$C$3:$C$146,ROW()-1),INDEX(Lists!$D$3:$D$67,ROW()-1),INDEX(Lists!$E$3:$E$5,ROW()-1),INDEX(Lists!$F$3:$F$12,ROW()-1),INDEX(Lists!$G$3:$G$126,ROW()-1)),"")</f>
        <v/>
      </c>
      <c r="K85">
        <f>IF(J85="","",SUMPRODUCT(($A$2:$A$636=1)*($G$2:$G$636=J85)))</f>
        <v/>
      </c>
      <c r="L85">
        <f>IF(J85="","",SUMPRODUCT(($A$2:$A$636=1)*($G$2:$G$636=J85)*(ISNUMBER($B$2:$B$636))*($B$2:$B$636&lt;0.5)))</f>
        <v/>
      </c>
      <c r="M85">
        <f>IFERROR(L85/K85,"")</f>
        <v/>
      </c>
      <c r="N85">
        <f>IF(K85="","",M85+K85/100000+ROW()/100000000)</f>
        <v/>
      </c>
      <c r="R85">
        <f>IF(A85=1,IFERROR(I85,0)+ROW()/100000000,-1E+99)</f>
        <v/>
      </c>
      <c r="S85">
        <f>IF(A85=1,IFERROR(Raw_data!$T85,""),"")</f>
        <v/>
      </c>
      <c r="T85">
        <f>IF(A85=1,IFERROR(Raw_data!$AA85,""),"")</f>
        <v/>
      </c>
      <c r="U85">
        <f>IF(A85=1,IFERROR(Raw_data!$U85,""),"")</f>
        <v/>
      </c>
      <c r="V85">
        <f>IF(A85=1,IFERROR(Raw_data!$AB85,""),"")</f>
        <v/>
      </c>
    </row>
    <row r="86">
      <c r="A86">
        <f>--(AND(OR(Dashboard!$B$4="All",Raw_data!$AL86=Dashboard!$B$4),OR(Dashboard!$B$5="All",Raw_data!$AM86=Dashboard!$B$5),OR(Dashboard!$B$6="All",Raw_data!$AN86=Dashboard!$B$6),OR(Dashboard!$B$7="All",Raw_data!$AO86=Dashboard!$B$7),OR(Dashboard!$B$8="All",Raw_data!$AP86=Dashboard!$B$8),OR(Dashboard!$B$9="All",Raw_data!$AQ86=Dashboard!$B$9),OR(Dashboard!$B$10="All",Raw_data!$AF86=Dashboard!$B$10),OR(Raw_data!$F86="",Raw_data!$F86&lt;=TODAY())))</f>
        <v/>
      </c>
      <c r="B86">
        <f>IFERROR(IF(Dashboard!$B$3="Weighted",Raw_data!$U86,Raw_data!$T86),"")</f>
        <v/>
      </c>
      <c r="C86">
        <f>IFERROR(IF(Dashboard!$B$3="Weighted",Raw_data!$AB86,Raw_data!$AA86),"")</f>
        <v/>
      </c>
      <c r="D86">
        <f>IF(OR(Raw_data!$J86="",Raw_data!$J86&lt;=0,Raw_data!$K86=""),"",IF(Raw_data!$K86&gt;TODAY(),0,DATEDIF(Raw_data!$K86,TODAY(),"M")))</f>
        <v/>
      </c>
      <c r="E86">
        <f>--(AND(Raw_data!$AF86="No",OR(Raw_data!$AG86&lt;&gt;"",Raw_data!$AJ86&gt;0,Raw_data!$AK86&lt;&gt;"")))</f>
        <v/>
      </c>
      <c r="F86">
        <f>--(OR(AND(ISNUMBER(B86),B86&lt;0.5,OR(D86&gt;=24,Raw_data!$I86&gt;0)),Raw_data!$AE86=TRUE))</f>
        <v/>
      </c>
      <c r="G86">
        <f>IF(Dashboard!$B$11="Department",Raw_data!$AL86,IF(Dashboard!$B$11="Team",Raw_data!$AM86,IF(Dashboard!$B$11="Unit",Raw_data!$AN86,IF(Dashboard!$B$11="Legal entity",Raw_data!$AO86,IF(Dashboard!$B$11="Location",Raw_data!$AP86,Raw_data!$AQ86)))))</f>
        <v/>
      </c>
      <c r="H86">
        <f>--(AND(ISNUMBER(B86),B86&lt;0.5))</f>
        <v/>
      </c>
      <c r="I86">
        <f>IFERROR(MAX(0,(0.5-B86)*100),0)+IF(D86&gt;=24,20,0)+IF(Raw_data!$I86&gt;0,20,0)+IF(Raw_data!$AE86=TRUE,10,0)</f>
        <v/>
      </c>
      <c r="J86">
        <f>IFERROR(CHOOSE(MATCH(Dashboard!$B$11,{"Department","Team","Unit","Legal entity","Location","Lead"},0),INDEX(Lists!$B$3:$B$20,ROW()-1),INDEX(Lists!$C$3:$C$146,ROW()-1),INDEX(Lists!$D$3:$D$67,ROW()-1),INDEX(Lists!$E$3:$E$5,ROW()-1),INDEX(Lists!$F$3:$F$12,ROW()-1),INDEX(Lists!$G$3:$G$126,ROW()-1)),"")</f>
        <v/>
      </c>
      <c r="K86">
        <f>IF(J86="","",SUMPRODUCT(($A$2:$A$636=1)*($G$2:$G$636=J86)))</f>
        <v/>
      </c>
      <c r="L86">
        <f>IF(J86="","",SUMPRODUCT(($A$2:$A$636=1)*($G$2:$G$636=J86)*(ISNUMBER($B$2:$B$636))*($B$2:$B$636&lt;0.5)))</f>
        <v/>
      </c>
      <c r="M86">
        <f>IFERROR(L86/K86,"")</f>
        <v/>
      </c>
      <c r="N86">
        <f>IF(K86="","",M86+K86/100000+ROW()/100000000)</f>
        <v/>
      </c>
      <c r="R86">
        <f>IF(A86=1,IFERROR(I86,0)+ROW()/100000000,-1E+99)</f>
        <v/>
      </c>
      <c r="S86">
        <f>IF(A86=1,IFERROR(Raw_data!$T86,""),"")</f>
        <v/>
      </c>
      <c r="T86">
        <f>IF(A86=1,IFERROR(Raw_data!$AA86,""),"")</f>
        <v/>
      </c>
      <c r="U86">
        <f>IF(A86=1,IFERROR(Raw_data!$U86,""),"")</f>
        <v/>
      </c>
      <c r="V86">
        <f>IF(A86=1,IFERROR(Raw_data!$AB86,""),"")</f>
        <v/>
      </c>
    </row>
    <row r="87">
      <c r="A87">
        <f>--(AND(OR(Dashboard!$B$4="All",Raw_data!$AL87=Dashboard!$B$4),OR(Dashboard!$B$5="All",Raw_data!$AM87=Dashboard!$B$5),OR(Dashboard!$B$6="All",Raw_data!$AN87=Dashboard!$B$6),OR(Dashboard!$B$7="All",Raw_data!$AO87=Dashboard!$B$7),OR(Dashboard!$B$8="All",Raw_data!$AP87=Dashboard!$B$8),OR(Dashboard!$B$9="All",Raw_data!$AQ87=Dashboard!$B$9),OR(Dashboard!$B$10="All",Raw_data!$AF87=Dashboard!$B$10),OR(Raw_data!$F87="",Raw_data!$F87&lt;=TODAY())))</f>
        <v/>
      </c>
      <c r="B87">
        <f>IFERROR(IF(Dashboard!$B$3="Weighted",Raw_data!$U87,Raw_data!$T87),"")</f>
        <v/>
      </c>
      <c r="C87">
        <f>IFERROR(IF(Dashboard!$B$3="Weighted",Raw_data!$AB87,Raw_data!$AA87),"")</f>
        <v/>
      </c>
      <c r="D87">
        <f>IF(OR(Raw_data!$J87="",Raw_data!$J87&lt;=0,Raw_data!$K87=""),"",IF(Raw_data!$K87&gt;TODAY(),0,DATEDIF(Raw_data!$K87,TODAY(),"M")))</f>
        <v/>
      </c>
      <c r="E87">
        <f>--(AND(Raw_data!$AF87="No",OR(Raw_data!$AG87&lt;&gt;"",Raw_data!$AJ87&gt;0,Raw_data!$AK87&lt;&gt;"")))</f>
        <v/>
      </c>
      <c r="F87">
        <f>--(OR(AND(ISNUMBER(B87),B87&lt;0.5,OR(D87&gt;=24,Raw_data!$I87&gt;0)),Raw_data!$AE87=TRUE))</f>
        <v/>
      </c>
      <c r="G87">
        <f>IF(Dashboard!$B$11="Department",Raw_data!$AL87,IF(Dashboard!$B$11="Team",Raw_data!$AM87,IF(Dashboard!$B$11="Unit",Raw_data!$AN87,IF(Dashboard!$B$11="Legal entity",Raw_data!$AO87,IF(Dashboard!$B$11="Location",Raw_data!$AP87,Raw_data!$AQ87)))))</f>
        <v/>
      </c>
      <c r="H87">
        <f>--(AND(ISNUMBER(B87),B87&lt;0.5))</f>
        <v/>
      </c>
      <c r="I87">
        <f>IFERROR(MAX(0,(0.5-B87)*100),0)+IF(D87&gt;=24,20,0)+IF(Raw_data!$I87&gt;0,20,0)+IF(Raw_data!$AE87=TRUE,10,0)</f>
        <v/>
      </c>
      <c r="J87">
        <f>IFERROR(CHOOSE(MATCH(Dashboard!$B$11,{"Department","Team","Unit","Legal entity","Location","Lead"},0),INDEX(Lists!$B$3:$B$20,ROW()-1),INDEX(Lists!$C$3:$C$146,ROW()-1),INDEX(Lists!$D$3:$D$67,ROW()-1),INDEX(Lists!$E$3:$E$5,ROW()-1),INDEX(Lists!$F$3:$F$12,ROW()-1),INDEX(Lists!$G$3:$G$126,ROW()-1)),"")</f>
        <v/>
      </c>
      <c r="K87">
        <f>IF(J87="","",SUMPRODUCT(($A$2:$A$636=1)*($G$2:$G$636=J87)))</f>
        <v/>
      </c>
      <c r="L87">
        <f>IF(J87="","",SUMPRODUCT(($A$2:$A$636=1)*($G$2:$G$636=J87)*(ISNUMBER($B$2:$B$636))*($B$2:$B$636&lt;0.5)))</f>
        <v/>
      </c>
      <c r="M87">
        <f>IFERROR(L87/K87,"")</f>
        <v/>
      </c>
      <c r="N87">
        <f>IF(K87="","",M87+K87/100000+ROW()/100000000)</f>
        <v/>
      </c>
      <c r="R87">
        <f>IF(A87=1,IFERROR(I87,0)+ROW()/100000000,-1E+99)</f>
        <v/>
      </c>
      <c r="S87">
        <f>IF(A87=1,IFERROR(Raw_data!$T87,""),"")</f>
        <v/>
      </c>
      <c r="T87">
        <f>IF(A87=1,IFERROR(Raw_data!$AA87,""),"")</f>
        <v/>
      </c>
      <c r="U87">
        <f>IF(A87=1,IFERROR(Raw_data!$U87,""),"")</f>
        <v/>
      </c>
      <c r="V87">
        <f>IF(A87=1,IFERROR(Raw_data!$AB87,""),"")</f>
        <v/>
      </c>
    </row>
    <row r="88">
      <c r="A88">
        <f>--(AND(OR(Dashboard!$B$4="All",Raw_data!$AL88=Dashboard!$B$4),OR(Dashboard!$B$5="All",Raw_data!$AM88=Dashboard!$B$5),OR(Dashboard!$B$6="All",Raw_data!$AN88=Dashboard!$B$6),OR(Dashboard!$B$7="All",Raw_data!$AO88=Dashboard!$B$7),OR(Dashboard!$B$8="All",Raw_data!$AP88=Dashboard!$B$8),OR(Dashboard!$B$9="All",Raw_data!$AQ88=Dashboard!$B$9),OR(Dashboard!$B$10="All",Raw_data!$AF88=Dashboard!$B$10),OR(Raw_data!$F88="",Raw_data!$F88&lt;=TODAY())))</f>
        <v/>
      </c>
      <c r="B88">
        <f>IFERROR(IF(Dashboard!$B$3="Weighted",Raw_data!$U88,Raw_data!$T88),"")</f>
        <v/>
      </c>
      <c r="C88">
        <f>IFERROR(IF(Dashboard!$B$3="Weighted",Raw_data!$AB88,Raw_data!$AA88),"")</f>
        <v/>
      </c>
      <c r="D88">
        <f>IF(OR(Raw_data!$J88="",Raw_data!$J88&lt;=0,Raw_data!$K88=""),"",IF(Raw_data!$K88&gt;TODAY(),0,DATEDIF(Raw_data!$K88,TODAY(),"M")))</f>
        <v/>
      </c>
      <c r="E88">
        <f>--(AND(Raw_data!$AF88="No",OR(Raw_data!$AG88&lt;&gt;"",Raw_data!$AJ88&gt;0,Raw_data!$AK88&lt;&gt;"")))</f>
        <v/>
      </c>
      <c r="F88">
        <f>--(OR(AND(ISNUMBER(B88),B88&lt;0.5,OR(D88&gt;=24,Raw_data!$I88&gt;0)),Raw_data!$AE88=TRUE))</f>
        <v/>
      </c>
      <c r="G88">
        <f>IF(Dashboard!$B$11="Department",Raw_data!$AL88,IF(Dashboard!$B$11="Team",Raw_data!$AM88,IF(Dashboard!$B$11="Unit",Raw_data!$AN88,IF(Dashboard!$B$11="Legal entity",Raw_data!$AO88,IF(Dashboard!$B$11="Location",Raw_data!$AP88,Raw_data!$AQ88)))))</f>
        <v/>
      </c>
      <c r="H88">
        <f>--(AND(ISNUMBER(B88),B88&lt;0.5))</f>
        <v/>
      </c>
      <c r="I88">
        <f>IFERROR(MAX(0,(0.5-B88)*100),0)+IF(D88&gt;=24,20,0)+IF(Raw_data!$I88&gt;0,20,0)+IF(Raw_data!$AE88=TRUE,10,0)</f>
        <v/>
      </c>
      <c r="J88">
        <f>IFERROR(CHOOSE(MATCH(Dashboard!$B$11,{"Department","Team","Unit","Legal entity","Location","Lead"},0),INDEX(Lists!$B$3:$B$20,ROW()-1),INDEX(Lists!$C$3:$C$146,ROW()-1),INDEX(Lists!$D$3:$D$67,ROW()-1),INDEX(Lists!$E$3:$E$5,ROW()-1),INDEX(Lists!$F$3:$F$12,ROW()-1),INDEX(Lists!$G$3:$G$126,ROW()-1)),"")</f>
        <v/>
      </c>
      <c r="K88">
        <f>IF(J88="","",SUMPRODUCT(($A$2:$A$636=1)*($G$2:$G$636=J88)))</f>
        <v/>
      </c>
      <c r="L88">
        <f>IF(J88="","",SUMPRODUCT(($A$2:$A$636=1)*($G$2:$G$636=J88)*(ISNUMBER($B$2:$B$636))*($B$2:$B$636&lt;0.5)))</f>
        <v/>
      </c>
      <c r="M88">
        <f>IFERROR(L88/K88,"")</f>
        <v/>
      </c>
      <c r="N88">
        <f>IF(K88="","",M88+K88/100000+ROW()/100000000)</f>
        <v/>
      </c>
      <c r="R88">
        <f>IF(A88=1,IFERROR(I88,0)+ROW()/100000000,-1E+99)</f>
        <v/>
      </c>
      <c r="S88">
        <f>IF(A88=1,IFERROR(Raw_data!$T88,""),"")</f>
        <v/>
      </c>
      <c r="T88">
        <f>IF(A88=1,IFERROR(Raw_data!$AA88,""),"")</f>
        <v/>
      </c>
      <c r="U88">
        <f>IF(A88=1,IFERROR(Raw_data!$U88,""),"")</f>
        <v/>
      </c>
      <c r="V88">
        <f>IF(A88=1,IFERROR(Raw_data!$AB88,""),"")</f>
        <v/>
      </c>
    </row>
    <row r="89">
      <c r="A89">
        <f>--(AND(OR(Dashboard!$B$4="All",Raw_data!$AL89=Dashboard!$B$4),OR(Dashboard!$B$5="All",Raw_data!$AM89=Dashboard!$B$5),OR(Dashboard!$B$6="All",Raw_data!$AN89=Dashboard!$B$6),OR(Dashboard!$B$7="All",Raw_data!$AO89=Dashboard!$B$7),OR(Dashboard!$B$8="All",Raw_data!$AP89=Dashboard!$B$8),OR(Dashboard!$B$9="All",Raw_data!$AQ89=Dashboard!$B$9),OR(Dashboard!$B$10="All",Raw_data!$AF89=Dashboard!$B$10),OR(Raw_data!$F89="",Raw_data!$F89&lt;=TODAY())))</f>
        <v/>
      </c>
      <c r="B89">
        <f>IFERROR(IF(Dashboard!$B$3="Weighted",Raw_data!$U89,Raw_data!$T89),"")</f>
        <v/>
      </c>
      <c r="C89">
        <f>IFERROR(IF(Dashboard!$B$3="Weighted",Raw_data!$AB89,Raw_data!$AA89),"")</f>
        <v/>
      </c>
      <c r="D89">
        <f>IF(OR(Raw_data!$J89="",Raw_data!$J89&lt;=0,Raw_data!$K89=""),"",IF(Raw_data!$K89&gt;TODAY(),0,DATEDIF(Raw_data!$K89,TODAY(),"M")))</f>
        <v/>
      </c>
      <c r="E89">
        <f>--(AND(Raw_data!$AF89="No",OR(Raw_data!$AG89&lt;&gt;"",Raw_data!$AJ89&gt;0,Raw_data!$AK89&lt;&gt;"")))</f>
        <v/>
      </c>
      <c r="F89">
        <f>--(OR(AND(ISNUMBER(B89),B89&lt;0.5,OR(D89&gt;=24,Raw_data!$I89&gt;0)),Raw_data!$AE89=TRUE))</f>
        <v/>
      </c>
      <c r="G89">
        <f>IF(Dashboard!$B$11="Department",Raw_data!$AL89,IF(Dashboard!$B$11="Team",Raw_data!$AM89,IF(Dashboard!$B$11="Unit",Raw_data!$AN89,IF(Dashboard!$B$11="Legal entity",Raw_data!$AO89,IF(Dashboard!$B$11="Location",Raw_data!$AP89,Raw_data!$AQ89)))))</f>
        <v/>
      </c>
      <c r="H89">
        <f>--(AND(ISNUMBER(B89),B89&lt;0.5))</f>
        <v/>
      </c>
      <c r="I89">
        <f>IFERROR(MAX(0,(0.5-B89)*100),0)+IF(D89&gt;=24,20,0)+IF(Raw_data!$I89&gt;0,20,0)+IF(Raw_data!$AE89=TRUE,10,0)</f>
        <v/>
      </c>
      <c r="J89">
        <f>IFERROR(CHOOSE(MATCH(Dashboard!$B$11,{"Department","Team","Unit","Legal entity","Location","Lead"},0),INDEX(Lists!$B$3:$B$20,ROW()-1),INDEX(Lists!$C$3:$C$146,ROW()-1),INDEX(Lists!$D$3:$D$67,ROW()-1),INDEX(Lists!$E$3:$E$5,ROW()-1),INDEX(Lists!$F$3:$F$12,ROW()-1),INDEX(Lists!$G$3:$G$126,ROW()-1)),"")</f>
        <v/>
      </c>
      <c r="K89">
        <f>IF(J89="","",SUMPRODUCT(($A$2:$A$636=1)*($G$2:$G$636=J89)))</f>
        <v/>
      </c>
      <c r="L89">
        <f>IF(J89="","",SUMPRODUCT(($A$2:$A$636=1)*($G$2:$G$636=J89)*(ISNUMBER($B$2:$B$636))*($B$2:$B$636&lt;0.5)))</f>
        <v/>
      </c>
      <c r="M89">
        <f>IFERROR(L89/K89,"")</f>
        <v/>
      </c>
      <c r="N89">
        <f>IF(K89="","",M89+K89/100000+ROW()/100000000)</f>
        <v/>
      </c>
      <c r="R89">
        <f>IF(A89=1,IFERROR(I89,0)+ROW()/100000000,-1E+99)</f>
        <v/>
      </c>
      <c r="S89">
        <f>IF(A89=1,IFERROR(Raw_data!$T89,""),"")</f>
        <v/>
      </c>
      <c r="T89">
        <f>IF(A89=1,IFERROR(Raw_data!$AA89,""),"")</f>
        <v/>
      </c>
      <c r="U89">
        <f>IF(A89=1,IFERROR(Raw_data!$U89,""),"")</f>
        <v/>
      </c>
      <c r="V89">
        <f>IF(A89=1,IFERROR(Raw_data!$AB89,""),"")</f>
        <v/>
      </c>
    </row>
    <row r="90">
      <c r="A90">
        <f>--(AND(OR(Dashboard!$B$4="All",Raw_data!$AL90=Dashboard!$B$4),OR(Dashboard!$B$5="All",Raw_data!$AM90=Dashboard!$B$5),OR(Dashboard!$B$6="All",Raw_data!$AN90=Dashboard!$B$6),OR(Dashboard!$B$7="All",Raw_data!$AO90=Dashboard!$B$7),OR(Dashboard!$B$8="All",Raw_data!$AP90=Dashboard!$B$8),OR(Dashboard!$B$9="All",Raw_data!$AQ90=Dashboard!$B$9),OR(Dashboard!$B$10="All",Raw_data!$AF90=Dashboard!$B$10),OR(Raw_data!$F90="",Raw_data!$F90&lt;=TODAY())))</f>
        <v/>
      </c>
      <c r="B90">
        <f>IFERROR(IF(Dashboard!$B$3="Weighted",Raw_data!$U90,Raw_data!$T90),"")</f>
        <v/>
      </c>
      <c r="C90">
        <f>IFERROR(IF(Dashboard!$B$3="Weighted",Raw_data!$AB90,Raw_data!$AA90),"")</f>
        <v/>
      </c>
      <c r="D90">
        <f>IF(OR(Raw_data!$J90="",Raw_data!$J90&lt;=0,Raw_data!$K90=""),"",IF(Raw_data!$K90&gt;TODAY(),0,DATEDIF(Raw_data!$K90,TODAY(),"M")))</f>
        <v/>
      </c>
      <c r="E90">
        <f>--(AND(Raw_data!$AF90="No",OR(Raw_data!$AG90&lt;&gt;"",Raw_data!$AJ90&gt;0,Raw_data!$AK90&lt;&gt;"")))</f>
        <v/>
      </c>
      <c r="F90">
        <f>--(OR(AND(ISNUMBER(B90),B90&lt;0.5,OR(D90&gt;=24,Raw_data!$I90&gt;0)),Raw_data!$AE90=TRUE))</f>
        <v/>
      </c>
      <c r="G90">
        <f>IF(Dashboard!$B$11="Department",Raw_data!$AL90,IF(Dashboard!$B$11="Team",Raw_data!$AM90,IF(Dashboard!$B$11="Unit",Raw_data!$AN90,IF(Dashboard!$B$11="Legal entity",Raw_data!$AO90,IF(Dashboard!$B$11="Location",Raw_data!$AP90,Raw_data!$AQ90)))))</f>
        <v/>
      </c>
      <c r="H90">
        <f>--(AND(ISNUMBER(B90),B90&lt;0.5))</f>
        <v/>
      </c>
      <c r="I90">
        <f>IFERROR(MAX(0,(0.5-B90)*100),0)+IF(D90&gt;=24,20,0)+IF(Raw_data!$I90&gt;0,20,0)+IF(Raw_data!$AE90=TRUE,10,0)</f>
        <v/>
      </c>
      <c r="J90">
        <f>IFERROR(CHOOSE(MATCH(Dashboard!$B$11,{"Department","Team","Unit","Legal entity","Location","Lead"},0),INDEX(Lists!$B$3:$B$20,ROW()-1),INDEX(Lists!$C$3:$C$146,ROW()-1),INDEX(Lists!$D$3:$D$67,ROW()-1),INDEX(Lists!$E$3:$E$5,ROW()-1),INDEX(Lists!$F$3:$F$12,ROW()-1),INDEX(Lists!$G$3:$G$126,ROW()-1)),"")</f>
        <v/>
      </c>
      <c r="K90">
        <f>IF(J90="","",SUMPRODUCT(($A$2:$A$636=1)*($G$2:$G$636=J90)))</f>
        <v/>
      </c>
      <c r="L90">
        <f>IF(J90="","",SUMPRODUCT(($A$2:$A$636=1)*($G$2:$G$636=J90)*(ISNUMBER($B$2:$B$636))*($B$2:$B$636&lt;0.5)))</f>
        <v/>
      </c>
      <c r="M90">
        <f>IFERROR(L90/K90,"")</f>
        <v/>
      </c>
      <c r="N90">
        <f>IF(K90="","",M90+K90/100000+ROW()/100000000)</f>
        <v/>
      </c>
      <c r="R90">
        <f>IF(A90=1,IFERROR(I90,0)+ROW()/100000000,-1E+99)</f>
        <v/>
      </c>
      <c r="S90">
        <f>IF(A90=1,IFERROR(Raw_data!$T90,""),"")</f>
        <v/>
      </c>
      <c r="T90">
        <f>IF(A90=1,IFERROR(Raw_data!$AA90,""),"")</f>
        <v/>
      </c>
      <c r="U90">
        <f>IF(A90=1,IFERROR(Raw_data!$U90,""),"")</f>
        <v/>
      </c>
      <c r="V90">
        <f>IF(A90=1,IFERROR(Raw_data!$AB90,""),"")</f>
        <v/>
      </c>
    </row>
    <row r="91">
      <c r="A91">
        <f>--(AND(OR(Dashboard!$B$4="All",Raw_data!$AL91=Dashboard!$B$4),OR(Dashboard!$B$5="All",Raw_data!$AM91=Dashboard!$B$5),OR(Dashboard!$B$6="All",Raw_data!$AN91=Dashboard!$B$6),OR(Dashboard!$B$7="All",Raw_data!$AO91=Dashboard!$B$7),OR(Dashboard!$B$8="All",Raw_data!$AP91=Dashboard!$B$8),OR(Dashboard!$B$9="All",Raw_data!$AQ91=Dashboard!$B$9),OR(Dashboard!$B$10="All",Raw_data!$AF91=Dashboard!$B$10),OR(Raw_data!$F91="",Raw_data!$F91&lt;=TODAY())))</f>
        <v/>
      </c>
      <c r="B91">
        <f>IFERROR(IF(Dashboard!$B$3="Weighted",Raw_data!$U91,Raw_data!$T91),"")</f>
        <v/>
      </c>
      <c r="C91">
        <f>IFERROR(IF(Dashboard!$B$3="Weighted",Raw_data!$AB91,Raw_data!$AA91),"")</f>
        <v/>
      </c>
      <c r="D91">
        <f>IF(OR(Raw_data!$J91="",Raw_data!$J91&lt;=0,Raw_data!$K91=""),"",IF(Raw_data!$K91&gt;TODAY(),0,DATEDIF(Raw_data!$K91,TODAY(),"M")))</f>
        <v/>
      </c>
      <c r="E91">
        <f>--(AND(Raw_data!$AF91="No",OR(Raw_data!$AG91&lt;&gt;"",Raw_data!$AJ91&gt;0,Raw_data!$AK91&lt;&gt;"")))</f>
        <v/>
      </c>
      <c r="F91">
        <f>--(OR(AND(ISNUMBER(B91),B91&lt;0.5,OR(D91&gt;=24,Raw_data!$I91&gt;0)),Raw_data!$AE91=TRUE))</f>
        <v/>
      </c>
      <c r="G91">
        <f>IF(Dashboard!$B$11="Department",Raw_data!$AL91,IF(Dashboard!$B$11="Team",Raw_data!$AM91,IF(Dashboard!$B$11="Unit",Raw_data!$AN91,IF(Dashboard!$B$11="Legal entity",Raw_data!$AO91,IF(Dashboard!$B$11="Location",Raw_data!$AP91,Raw_data!$AQ91)))))</f>
        <v/>
      </c>
      <c r="H91">
        <f>--(AND(ISNUMBER(B91),B91&lt;0.5))</f>
        <v/>
      </c>
      <c r="I91">
        <f>IFERROR(MAX(0,(0.5-B91)*100),0)+IF(D91&gt;=24,20,0)+IF(Raw_data!$I91&gt;0,20,0)+IF(Raw_data!$AE91=TRUE,10,0)</f>
        <v/>
      </c>
      <c r="J91">
        <f>IFERROR(CHOOSE(MATCH(Dashboard!$B$11,{"Department","Team","Unit","Legal entity","Location","Lead"},0),INDEX(Lists!$B$3:$B$20,ROW()-1),INDEX(Lists!$C$3:$C$146,ROW()-1),INDEX(Lists!$D$3:$D$67,ROW()-1),INDEX(Lists!$E$3:$E$5,ROW()-1),INDEX(Lists!$F$3:$F$12,ROW()-1),INDEX(Lists!$G$3:$G$126,ROW()-1)),"")</f>
        <v/>
      </c>
      <c r="K91">
        <f>IF(J91="","",SUMPRODUCT(($A$2:$A$636=1)*($G$2:$G$636=J91)))</f>
        <v/>
      </c>
      <c r="L91">
        <f>IF(J91="","",SUMPRODUCT(($A$2:$A$636=1)*($G$2:$G$636=J91)*(ISNUMBER($B$2:$B$636))*($B$2:$B$636&lt;0.5)))</f>
        <v/>
      </c>
      <c r="M91">
        <f>IFERROR(L91/K91,"")</f>
        <v/>
      </c>
      <c r="N91">
        <f>IF(K91="","",M91+K91/100000+ROW()/100000000)</f>
        <v/>
      </c>
      <c r="R91">
        <f>IF(A91=1,IFERROR(I91,0)+ROW()/100000000,-1E+99)</f>
        <v/>
      </c>
      <c r="S91">
        <f>IF(A91=1,IFERROR(Raw_data!$T91,""),"")</f>
        <v/>
      </c>
      <c r="T91">
        <f>IF(A91=1,IFERROR(Raw_data!$AA91,""),"")</f>
        <v/>
      </c>
      <c r="U91">
        <f>IF(A91=1,IFERROR(Raw_data!$U91,""),"")</f>
        <v/>
      </c>
      <c r="V91">
        <f>IF(A91=1,IFERROR(Raw_data!$AB91,""),"")</f>
        <v/>
      </c>
    </row>
    <row r="92">
      <c r="A92">
        <f>--(AND(OR(Dashboard!$B$4="All",Raw_data!$AL92=Dashboard!$B$4),OR(Dashboard!$B$5="All",Raw_data!$AM92=Dashboard!$B$5),OR(Dashboard!$B$6="All",Raw_data!$AN92=Dashboard!$B$6),OR(Dashboard!$B$7="All",Raw_data!$AO92=Dashboard!$B$7),OR(Dashboard!$B$8="All",Raw_data!$AP92=Dashboard!$B$8),OR(Dashboard!$B$9="All",Raw_data!$AQ92=Dashboard!$B$9),OR(Dashboard!$B$10="All",Raw_data!$AF92=Dashboard!$B$10),OR(Raw_data!$F92="",Raw_data!$F92&lt;=TODAY())))</f>
        <v/>
      </c>
      <c r="B92">
        <f>IFERROR(IF(Dashboard!$B$3="Weighted",Raw_data!$U92,Raw_data!$T92),"")</f>
        <v/>
      </c>
      <c r="C92">
        <f>IFERROR(IF(Dashboard!$B$3="Weighted",Raw_data!$AB92,Raw_data!$AA92),"")</f>
        <v/>
      </c>
      <c r="D92">
        <f>IF(OR(Raw_data!$J92="",Raw_data!$J92&lt;=0,Raw_data!$K92=""),"",IF(Raw_data!$K92&gt;TODAY(),0,DATEDIF(Raw_data!$K92,TODAY(),"M")))</f>
        <v/>
      </c>
      <c r="E92">
        <f>--(AND(Raw_data!$AF92="No",OR(Raw_data!$AG92&lt;&gt;"",Raw_data!$AJ92&gt;0,Raw_data!$AK92&lt;&gt;"")))</f>
        <v/>
      </c>
      <c r="F92">
        <f>--(OR(AND(ISNUMBER(B92),B92&lt;0.5,OR(D92&gt;=24,Raw_data!$I92&gt;0)),Raw_data!$AE92=TRUE))</f>
        <v/>
      </c>
      <c r="G92">
        <f>IF(Dashboard!$B$11="Department",Raw_data!$AL92,IF(Dashboard!$B$11="Team",Raw_data!$AM92,IF(Dashboard!$B$11="Unit",Raw_data!$AN92,IF(Dashboard!$B$11="Legal entity",Raw_data!$AO92,IF(Dashboard!$B$11="Location",Raw_data!$AP92,Raw_data!$AQ92)))))</f>
        <v/>
      </c>
      <c r="H92">
        <f>--(AND(ISNUMBER(B92),B92&lt;0.5))</f>
        <v/>
      </c>
      <c r="I92">
        <f>IFERROR(MAX(0,(0.5-B92)*100),0)+IF(D92&gt;=24,20,0)+IF(Raw_data!$I92&gt;0,20,0)+IF(Raw_data!$AE92=TRUE,10,0)</f>
        <v/>
      </c>
      <c r="J92">
        <f>IFERROR(CHOOSE(MATCH(Dashboard!$B$11,{"Department","Team","Unit","Legal entity","Location","Lead"},0),INDEX(Lists!$B$3:$B$20,ROW()-1),INDEX(Lists!$C$3:$C$146,ROW()-1),INDEX(Lists!$D$3:$D$67,ROW()-1),INDEX(Lists!$E$3:$E$5,ROW()-1),INDEX(Lists!$F$3:$F$12,ROW()-1),INDEX(Lists!$G$3:$G$126,ROW()-1)),"")</f>
        <v/>
      </c>
      <c r="K92">
        <f>IF(J92="","",SUMPRODUCT(($A$2:$A$636=1)*($G$2:$G$636=J92)))</f>
        <v/>
      </c>
      <c r="L92">
        <f>IF(J92="","",SUMPRODUCT(($A$2:$A$636=1)*($G$2:$G$636=J92)*(ISNUMBER($B$2:$B$636))*($B$2:$B$636&lt;0.5)))</f>
        <v/>
      </c>
      <c r="M92">
        <f>IFERROR(L92/K92,"")</f>
        <v/>
      </c>
      <c r="N92">
        <f>IF(K92="","",M92+K92/100000+ROW()/100000000)</f>
        <v/>
      </c>
      <c r="R92">
        <f>IF(A92=1,IFERROR(I92,0)+ROW()/100000000,-1E+99)</f>
        <v/>
      </c>
      <c r="S92">
        <f>IF(A92=1,IFERROR(Raw_data!$T92,""),"")</f>
        <v/>
      </c>
      <c r="T92">
        <f>IF(A92=1,IFERROR(Raw_data!$AA92,""),"")</f>
        <v/>
      </c>
      <c r="U92">
        <f>IF(A92=1,IFERROR(Raw_data!$U92,""),"")</f>
        <v/>
      </c>
      <c r="V92">
        <f>IF(A92=1,IFERROR(Raw_data!$AB92,""),"")</f>
        <v/>
      </c>
    </row>
    <row r="93">
      <c r="A93">
        <f>--(AND(OR(Dashboard!$B$4="All",Raw_data!$AL93=Dashboard!$B$4),OR(Dashboard!$B$5="All",Raw_data!$AM93=Dashboard!$B$5),OR(Dashboard!$B$6="All",Raw_data!$AN93=Dashboard!$B$6),OR(Dashboard!$B$7="All",Raw_data!$AO93=Dashboard!$B$7),OR(Dashboard!$B$8="All",Raw_data!$AP93=Dashboard!$B$8),OR(Dashboard!$B$9="All",Raw_data!$AQ93=Dashboard!$B$9),OR(Dashboard!$B$10="All",Raw_data!$AF93=Dashboard!$B$10),OR(Raw_data!$F93="",Raw_data!$F93&lt;=TODAY())))</f>
        <v/>
      </c>
      <c r="B93">
        <f>IFERROR(IF(Dashboard!$B$3="Weighted",Raw_data!$U93,Raw_data!$T93),"")</f>
        <v/>
      </c>
      <c r="C93">
        <f>IFERROR(IF(Dashboard!$B$3="Weighted",Raw_data!$AB93,Raw_data!$AA93),"")</f>
        <v/>
      </c>
      <c r="D93">
        <f>IF(OR(Raw_data!$J93="",Raw_data!$J93&lt;=0,Raw_data!$K93=""),"",IF(Raw_data!$K93&gt;TODAY(),0,DATEDIF(Raw_data!$K93,TODAY(),"M")))</f>
        <v/>
      </c>
      <c r="E93">
        <f>--(AND(Raw_data!$AF93="No",OR(Raw_data!$AG93&lt;&gt;"",Raw_data!$AJ93&gt;0,Raw_data!$AK93&lt;&gt;"")))</f>
        <v/>
      </c>
      <c r="F93">
        <f>--(OR(AND(ISNUMBER(B93),B93&lt;0.5,OR(D93&gt;=24,Raw_data!$I93&gt;0)),Raw_data!$AE93=TRUE))</f>
        <v/>
      </c>
      <c r="G93">
        <f>IF(Dashboard!$B$11="Department",Raw_data!$AL93,IF(Dashboard!$B$11="Team",Raw_data!$AM93,IF(Dashboard!$B$11="Unit",Raw_data!$AN93,IF(Dashboard!$B$11="Legal entity",Raw_data!$AO93,IF(Dashboard!$B$11="Location",Raw_data!$AP93,Raw_data!$AQ93)))))</f>
        <v/>
      </c>
      <c r="H93">
        <f>--(AND(ISNUMBER(B93),B93&lt;0.5))</f>
        <v/>
      </c>
      <c r="I93">
        <f>IFERROR(MAX(0,(0.5-B93)*100),0)+IF(D93&gt;=24,20,0)+IF(Raw_data!$I93&gt;0,20,0)+IF(Raw_data!$AE93=TRUE,10,0)</f>
        <v/>
      </c>
      <c r="J93">
        <f>IFERROR(CHOOSE(MATCH(Dashboard!$B$11,{"Department","Team","Unit","Legal entity","Location","Lead"},0),INDEX(Lists!$B$3:$B$20,ROW()-1),INDEX(Lists!$C$3:$C$146,ROW()-1),INDEX(Lists!$D$3:$D$67,ROW()-1),INDEX(Lists!$E$3:$E$5,ROW()-1),INDEX(Lists!$F$3:$F$12,ROW()-1),INDEX(Lists!$G$3:$G$126,ROW()-1)),"")</f>
        <v/>
      </c>
      <c r="K93">
        <f>IF(J93="","",SUMPRODUCT(($A$2:$A$636=1)*($G$2:$G$636=J93)))</f>
        <v/>
      </c>
      <c r="L93">
        <f>IF(J93="","",SUMPRODUCT(($A$2:$A$636=1)*($G$2:$G$636=J93)*(ISNUMBER($B$2:$B$636))*($B$2:$B$636&lt;0.5)))</f>
        <v/>
      </c>
      <c r="M93">
        <f>IFERROR(L93/K93,"")</f>
        <v/>
      </c>
      <c r="N93">
        <f>IF(K93="","",M93+K93/100000+ROW()/100000000)</f>
        <v/>
      </c>
      <c r="R93">
        <f>IF(A93=1,IFERROR(I93,0)+ROW()/100000000,-1E+99)</f>
        <v/>
      </c>
      <c r="S93">
        <f>IF(A93=1,IFERROR(Raw_data!$T93,""),"")</f>
        <v/>
      </c>
      <c r="T93">
        <f>IF(A93=1,IFERROR(Raw_data!$AA93,""),"")</f>
        <v/>
      </c>
      <c r="U93">
        <f>IF(A93=1,IFERROR(Raw_data!$U93,""),"")</f>
        <v/>
      </c>
      <c r="V93">
        <f>IF(A93=1,IFERROR(Raw_data!$AB93,""),"")</f>
        <v/>
      </c>
    </row>
    <row r="94">
      <c r="A94">
        <f>--(AND(OR(Dashboard!$B$4="All",Raw_data!$AL94=Dashboard!$B$4),OR(Dashboard!$B$5="All",Raw_data!$AM94=Dashboard!$B$5),OR(Dashboard!$B$6="All",Raw_data!$AN94=Dashboard!$B$6),OR(Dashboard!$B$7="All",Raw_data!$AO94=Dashboard!$B$7),OR(Dashboard!$B$8="All",Raw_data!$AP94=Dashboard!$B$8),OR(Dashboard!$B$9="All",Raw_data!$AQ94=Dashboard!$B$9),OR(Dashboard!$B$10="All",Raw_data!$AF94=Dashboard!$B$10),OR(Raw_data!$F94="",Raw_data!$F94&lt;=TODAY())))</f>
        <v/>
      </c>
      <c r="B94">
        <f>IFERROR(IF(Dashboard!$B$3="Weighted",Raw_data!$U94,Raw_data!$T94),"")</f>
        <v/>
      </c>
      <c r="C94">
        <f>IFERROR(IF(Dashboard!$B$3="Weighted",Raw_data!$AB94,Raw_data!$AA94),"")</f>
        <v/>
      </c>
      <c r="D94">
        <f>IF(OR(Raw_data!$J94="",Raw_data!$J94&lt;=0,Raw_data!$K94=""),"",IF(Raw_data!$K94&gt;TODAY(),0,DATEDIF(Raw_data!$K94,TODAY(),"M")))</f>
        <v/>
      </c>
      <c r="E94">
        <f>--(AND(Raw_data!$AF94="No",OR(Raw_data!$AG94&lt;&gt;"",Raw_data!$AJ94&gt;0,Raw_data!$AK94&lt;&gt;"")))</f>
        <v/>
      </c>
      <c r="F94">
        <f>--(OR(AND(ISNUMBER(B94),B94&lt;0.5,OR(D94&gt;=24,Raw_data!$I94&gt;0)),Raw_data!$AE94=TRUE))</f>
        <v/>
      </c>
      <c r="G94">
        <f>IF(Dashboard!$B$11="Department",Raw_data!$AL94,IF(Dashboard!$B$11="Team",Raw_data!$AM94,IF(Dashboard!$B$11="Unit",Raw_data!$AN94,IF(Dashboard!$B$11="Legal entity",Raw_data!$AO94,IF(Dashboard!$B$11="Location",Raw_data!$AP94,Raw_data!$AQ94)))))</f>
        <v/>
      </c>
      <c r="H94">
        <f>--(AND(ISNUMBER(B94),B94&lt;0.5))</f>
        <v/>
      </c>
      <c r="I94">
        <f>IFERROR(MAX(0,(0.5-B94)*100),0)+IF(D94&gt;=24,20,0)+IF(Raw_data!$I94&gt;0,20,0)+IF(Raw_data!$AE94=TRUE,10,0)</f>
        <v/>
      </c>
      <c r="J94">
        <f>IFERROR(CHOOSE(MATCH(Dashboard!$B$11,{"Department","Team","Unit","Legal entity","Location","Lead"},0),INDEX(Lists!$B$3:$B$20,ROW()-1),INDEX(Lists!$C$3:$C$146,ROW()-1),INDEX(Lists!$D$3:$D$67,ROW()-1),INDEX(Lists!$E$3:$E$5,ROW()-1),INDEX(Lists!$F$3:$F$12,ROW()-1),INDEX(Lists!$G$3:$G$126,ROW()-1)),"")</f>
        <v/>
      </c>
      <c r="K94">
        <f>IF(J94="","",SUMPRODUCT(($A$2:$A$636=1)*($G$2:$G$636=J94)))</f>
        <v/>
      </c>
      <c r="L94">
        <f>IF(J94="","",SUMPRODUCT(($A$2:$A$636=1)*($G$2:$G$636=J94)*(ISNUMBER($B$2:$B$636))*($B$2:$B$636&lt;0.5)))</f>
        <v/>
      </c>
      <c r="M94">
        <f>IFERROR(L94/K94,"")</f>
        <v/>
      </c>
      <c r="N94">
        <f>IF(K94="","",M94+K94/100000+ROW()/100000000)</f>
        <v/>
      </c>
      <c r="R94">
        <f>IF(A94=1,IFERROR(I94,0)+ROW()/100000000,-1E+99)</f>
        <v/>
      </c>
      <c r="S94">
        <f>IF(A94=1,IFERROR(Raw_data!$T94,""),"")</f>
        <v/>
      </c>
      <c r="T94">
        <f>IF(A94=1,IFERROR(Raw_data!$AA94,""),"")</f>
        <v/>
      </c>
      <c r="U94">
        <f>IF(A94=1,IFERROR(Raw_data!$U94,""),"")</f>
        <v/>
      </c>
      <c r="V94">
        <f>IF(A94=1,IFERROR(Raw_data!$AB94,""),"")</f>
        <v/>
      </c>
    </row>
    <row r="95">
      <c r="A95">
        <f>--(AND(OR(Dashboard!$B$4="All",Raw_data!$AL95=Dashboard!$B$4),OR(Dashboard!$B$5="All",Raw_data!$AM95=Dashboard!$B$5),OR(Dashboard!$B$6="All",Raw_data!$AN95=Dashboard!$B$6),OR(Dashboard!$B$7="All",Raw_data!$AO95=Dashboard!$B$7),OR(Dashboard!$B$8="All",Raw_data!$AP95=Dashboard!$B$8),OR(Dashboard!$B$9="All",Raw_data!$AQ95=Dashboard!$B$9),OR(Dashboard!$B$10="All",Raw_data!$AF95=Dashboard!$B$10),OR(Raw_data!$F95="",Raw_data!$F95&lt;=TODAY())))</f>
        <v/>
      </c>
      <c r="B95">
        <f>IFERROR(IF(Dashboard!$B$3="Weighted",Raw_data!$U95,Raw_data!$T95),"")</f>
        <v/>
      </c>
      <c r="C95">
        <f>IFERROR(IF(Dashboard!$B$3="Weighted",Raw_data!$AB95,Raw_data!$AA95),"")</f>
        <v/>
      </c>
      <c r="D95">
        <f>IF(OR(Raw_data!$J95="",Raw_data!$J95&lt;=0,Raw_data!$K95=""),"",IF(Raw_data!$K95&gt;TODAY(),0,DATEDIF(Raw_data!$K95,TODAY(),"M")))</f>
        <v/>
      </c>
      <c r="E95">
        <f>--(AND(Raw_data!$AF95="No",OR(Raw_data!$AG95&lt;&gt;"",Raw_data!$AJ95&gt;0,Raw_data!$AK95&lt;&gt;"")))</f>
        <v/>
      </c>
      <c r="F95">
        <f>--(OR(AND(ISNUMBER(B95),B95&lt;0.5,OR(D95&gt;=24,Raw_data!$I95&gt;0)),Raw_data!$AE95=TRUE))</f>
        <v/>
      </c>
      <c r="G95">
        <f>IF(Dashboard!$B$11="Department",Raw_data!$AL95,IF(Dashboard!$B$11="Team",Raw_data!$AM95,IF(Dashboard!$B$11="Unit",Raw_data!$AN95,IF(Dashboard!$B$11="Legal entity",Raw_data!$AO95,IF(Dashboard!$B$11="Location",Raw_data!$AP95,Raw_data!$AQ95)))))</f>
        <v/>
      </c>
      <c r="H95">
        <f>--(AND(ISNUMBER(B95),B95&lt;0.5))</f>
        <v/>
      </c>
      <c r="I95">
        <f>IFERROR(MAX(0,(0.5-B95)*100),0)+IF(D95&gt;=24,20,0)+IF(Raw_data!$I95&gt;0,20,0)+IF(Raw_data!$AE95=TRUE,10,0)</f>
        <v/>
      </c>
      <c r="J95">
        <f>IFERROR(CHOOSE(MATCH(Dashboard!$B$11,{"Department","Team","Unit","Legal entity","Location","Lead"},0),INDEX(Lists!$B$3:$B$20,ROW()-1),INDEX(Lists!$C$3:$C$146,ROW()-1),INDEX(Lists!$D$3:$D$67,ROW()-1),INDEX(Lists!$E$3:$E$5,ROW()-1),INDEX(Lists!$F$3:$F$12,ROW()-1),INDEX(Lists!$G$3:$G$126,ROW()-1)),"")</f>
        <v/>
      </c>
      <c r="K95">
        <f>IF(J95="","",SUMPRODUCT(($A$2:$A$636=1)*($G$2:$G$636=J95)))</f>
        <v/>
      </c>
      <c r="L95">
        <f>IF(J95="","",SUMPRODUCT(($A$2:$A$636=1)*($G$2:$G$636=J95)*(ISNUMBER($B$2:$B$636))*($B$2:$B$636&lt;0.5)))</f>
        <v/>
      </c>
      <c r="M95">
        <f>IFERROR(L95/K95,"")</f>
        <v/>
      </c>
      <c r="N95">
        <f>IF(K95="","",M95+K95/100000+ROW()/100000000)</f>
        <v/>
      </c>
      <c r="R95">
        <f>IF(A95=1,IFERROR(I95,0)+ROW()/100000000,-1E+99)</f>
        <v/>
      </c>
      <c r="S95">
        <f>IF(A95=1,IFERROR(Raw_data!$T95,""),"")</f>
        <v/>
      </c>
      <c r="T95">
        <f>IF(A95=1,IFERROR(Raw_data!$AA95,""),"")</f>
        <v/>
      </c>
      <c r="U95">
        <f>IF(A95=1,IFERROR(Raw_data!$U95,""),"")</f>
        <v/>
      </c>
      <c r="V95">
        <f>IF(A95=1,IFERROR(Raw_data!$AB95,""),"")</f>
        <v/>
      </c>
    </row>
    <row r="96">
      <c r="A96">
        <f>--(AND(OR(Dashboard!$B$4="All",Raw_data!$AL96=Dashboard!$B$4),OR(Dashboard!$B$5="All",Raw_data!$AM96=Dashboard!$B$5),OR(Dashboard!$B$6="All",Raw_data!$AN96=Dashboard!$B$6),OR(Dashboard!$B$7="All",Raw_data!$AO96=Dashboard!$B$7),OR(Dashboard!$B$8="All",Raw_data!$AP96=Dashboard!$B$8),OR(Dashboard!$B$9="All",Raw_data!$AQ96=Dashboard!$B$9),OR(Dashboard!$B$10="All",Raw_data!$AF96=Dashboard!$B$10),OR(Raw_data!$F96="",Raw_data!$F96&lt;=TODAY())))</f>
        <v/>
      </c>
      <c r="B96">
        <f>IFERROR(IF(Dashboard!$B$3="Weighted",Raw_data!$U96,Raw_data!$T96),"")</f>
        <v/>
      </c>
      <c r="C96">
        <f>IFERROR(IF(Dashboard!$B$3="Weighted",Raw_data!$AB96,Raw_data!$AA96),"")</f>
        <v/>
      </c>
      <c r="D96">
        <f>IF(OR(Raw_data!$J96="",Raw_data!$J96&lt;=0,Raw_data!$K96=""),"",IF(Raw_data!$K96&gt;TODAY(),0,DATEDIF(Raw_data!$K96,TODAY(),"M")))</f>
        <v/>
      </c>
      <c r="E96">
        <f>--(AND(Raw_data!$AF96="No",OR(Raw_data!$AG96&lt;&gt;"",Raw_data!$AJ96&gt;0,Raw_data!$AK96&lt;&gt;"")))</f>
        <v/>
      </c>
      <c r="F96">
        <f>--(OR(AND(ISNUMBER(B96),B96&lt;0.5,OR(D96&gt;=24,Raw_data!$I96&gt;0)),Raw_data!$AE96=TRUE))</f>
        <v/>
      </c>
      <c r="G96">
        <f>IF(Dashboard!$B$11="Department",Raw_data!$AL96,IF(Dashboard!$B$11="Team",Raw_data!$AM96,IF(Dashboard!$B$11="Unit",Raw_data!$AN96,IF(Dashboard!$B$11="Legal entity",Raw_data!$AO96,IF(Dashboard!$B$11="Location",Raw_data!$AP96,Raw_data!$AQ96)))))</f>
        <v/>
      </c>
      <c r="H96">
        <f>--(AND(ISNUMBER(B96),B96&lt;0.5))</f>
        <v/>
      </c>
      <c r="I96">
        <f>IFERROR(MAX(0,(0.5-B96)*100),0)+IF(D96&gt;=24,20,0)+IF(Raw_data!$I96&gt;0,20,0)+IF(Raw_data!$AE96=TRUE,10,0)</f>
        <v/>
      </c>
      <c r="J96">
        <f>IFERROR(CHOOSE(MATCH(Dashboard!$B$11,{"Department","Team","Unit","Legal entity","Location","Lead"},0),INDEX(Lists!$B$3:$B$20,ROW()-1),INDEX(Lists!$C$3:$C$146,ROW()-1),INDEX(Lists!$D$3:$D$67,ROW()-1),INDEX(Lists!$E$3:$E$5,ROW()-1),INDEX(Lists!$F$3:$F$12,ROW()-1),INDEX(Lists!$G$3:$G$126,ROW()-1)),"")</f>
        <v/>
      </c>
      <c r="K96">
        <f>IF(J96="","",SUMPRODUCT(($A$2:$A$636=1)*($G$2:$G$636=J96)))</f>
        <v/>
      </c>
      <c r="L96">
        <f>IF(J96="","",SUMPRODUCT(($A$2:$A$636=1)*($G$2:$G$636=J96)*(ISNUMBER($B$2:$B$636))*($B$2:$B$636&lt;0.5)))</f>
        <v/>
      </c>
      <c r="M96">
        <f>IFERROR(L96/K96,"")</f>
        <v/>
      </c>
      <c r="N96">
        <f>IF(K96="","",M96+K96/100000+ROW()/100000000)</f>
        <v/>
      </c>
      <c r="R96">
        <f>IF(A96=1,IFERROR(I96,0)+ROW()/100000000,-1E+99)</f>
        <v/>
      </c>
      <c r="S96">
        <f>IF(A96=1,IFERROR(Raw_data!$T96,""),"")</f>
        <v/>
      </c>
      <c r="T96">
        <f>IF(A96=1,IFERROR(Raw_data!$AA96,""),"")</f>
        <v/>
      </c>
      <c r="U96">
        <f>IF(A96=1,IFERROR(Raw_data!$U96,""),"")</f>
        <v/>
      </c>
      <c r="V96">
        <f>IF(A96=1,IFERROR(Raw_data!$AB96,""),"")</f>
        <v/>
      </c>
    </row>
    <row r="97">
      <c r="A97">
        <f>--(AND(OR(Dashboard!$B$4="All",Raw_data!$AL97=Dashboard!$B$4),OR(Dashboard!$B$5="All",Raw_data!$AM97=Dashboard!$B$5),OR(Dashboard!$B$6="All",Raw_data!$AN97=Dashboard!$B$6),OR(Dashboard!$B$7="All",Raw_data!$AO97=Dashboard!$B$7),OR(Dashboard!$B$8="All",Raw_data!$AP97=Dashboard!$B$8),OR(Dashboard!$B$9="All",Raw_data!$AQ97=Dashboard!$B$9),OR(Dashboard!$B$10="All",Raw_data!$AF97=Dashboard!$B$10),OR(Raw_data!$F97="",Raw_data!$F97&lt;=TODAY())))</f>
        <v/>
      </c>
      <c r="B97">
        <f>IFERROR(IF(Dashboard!$B$3="Weighted",Raw_data!$U97,Raw_data!$T97),"")</f>
        <v/>
      </c>
      <c r="C97">
        <f>IFERROR(IF(Dashboard!$B$3="Weighted",Raw_data!$AB97,Raw_data!$AA97),"")</f>
        <v/>
      </c>
      <c r="D97">
        <f>IF(OR(Raw_data!$J97="",Raw_data!$J97&lt;=0,Raw_data!$K97=""),"",IF(Raw_data!$K97&gt;TODAY(),0,DATEDIF(Raw_data!$K97,TODAY(),"M")))</f>
        <v/>
      </c>
      <c r="E97">
        <f>--(AND(Raw_data!$AF97="No",OR(Raw_data!$AG97&lt;&gt;"",Raw_data!$AJ97&gt;0,Raw_data!$AK97&lt;&gt;"")))</f>
        <v/>
      </c>
      <c r="F97">
        <f>--(OR(AND(ISNUMBER(B97),B97&lt;0.5,OR(D97&gt;=24,Raw_data!$I97&gt;0)),Raw_data!$AE97=TRUE))</f>
        <v/>
      </c>
      <c r="G97">
        <f>IF(Dashboard!$B$11="Department",Raw_data!$AL97,IF(Dashboard!$B$11="Team",Raw_data!$AM97,IF(Dashboard!$B$11="Unit",Raw_data!$AN97,IF(Dashboard!$B$11="Legal entity",Raw_data!$AO97,IF(Dashboard!$B$11="Location",Raw_data!$AP97,Raw_data!$AQ97)))))</f>
        <v/>
      </c>
      <c r="H97">
        <f>--(AND(ISNUMBER(B97),B97&lt;0.5))</f>
        <v/>
      </c>
      <c r="I97">
        <f>IFERROR(MAX(0,(0.5-B97)*100),0)+IF(D97&gt;=24,20,0)+IF(Raw_data!$I97&gt;0,20,0)+IF(Raw_data!$AE97=TRUE,10,0)</f>
        <v/>
      </c>
      <c r="J97">
        <f>IFERROR(CHOOSE(MATCH(Dashboard!$B$11,{"Department","Team","Unit","Legal entity","Location","Lead"},0),INDEX(Lists!$B$3:$B$20,ROW()-1),INDEX(Lists!$C$3:$C$146,ROW()-1),INDEX(Lists!$D$3:$D$67,ROW()-1),INDEX(Lists!$E$3:$E$5,ROW()-1),INDEX(Lists!$F$3:$F$12,ROW()-1),INDEX(Lists!$G$3:$G$126,ROW()-1)),"")</f>
        <v/>
      </c>
      <c r="K97">
        <f>IF(J97="","",SUMPRODUCT(($A$2:$A$636=1)*($G$2:$G$636=J97)))</f>
        <v/>
      </c>
      <c r="L97">
        <f>IF(J97="","",SUMPRODUCT(($A$2:$A$636=1)*($G$2:$G$636=J97)*(ISNUMBER($B$2:$B$636))*($B$2:$B$636&lt;0.5)))</f>
        <v/>
      </c>
      <c r="M97">
        <f>IFERROR(L97/K97,"")</f>
        <v/>
      </c>
      <c r="N97">
        <f>IF(K97="","",M97+K97/100000+ROW()/100000000)</f>
        <v/>
      </c>
      <c r="R97">
        <f>IF(A97=1,IFERROR(I97,0)+ROW()/100000000,-1E+99)</f>
        <v/>
      </c>
      <c r="S97">
        <f>IF(A97=1,IFERROR(Raw_data!$T97,""),"")</f>
        <v/>
      </c>
      <c r="T97">
        <f>IF(A97=1,IFERROR(Raw_data!$AA97,""),"")</f>
        <v/>
      </c>
      <c r="U97">
        <f>IF(A97=1,IFERROR(Raw_data!$U97,""),"")</f>
        <v/>
      </c>
      <c r="V97">
        <f>IF(A97=1,IFERROR(Raw_data!$AB97,""),"")</f>
        <v/>
      </c>
    </row>
    <row r="98">
      <c r="A98">
        <f>--(AND(OR(Dashboard!$B$4="All",Raw_data!$AL98=Dashboard!$B$4),OR(Dashboard!$B$5="All",Raw_data!$AM98=Dashboard!$B$5),OR(Dashboard!$B$6="All",Raw_data!$AN98=Dashboard!$B$6),OR(Dashboard!$B$7="All",Raw_data!$AO98=Dashboard!$B$7),OR(Dashboard!$B$8="All",Raw_data!$AP98=Dashboard!$B$8),OR(Dashboard!$B$9="All",Raw_data!$AQ98=Dashboard!$B$9),OR(Dashboard!$B$10="All",Raw_data!$AF98=Dashboard!$B$10),OR(Raw_data!$F98="",Raw_data!$F98&lt;=TODAY())))</f>
        <v/>
      </c>
      <c r="B98">
        <f>IFERROR(IF(Dashboard!$B$3="Weighted",Raw_data!$U98,Raw_data!$T98),"")</f>
        <v/>
      </c>
      <c r="C98">
        <f>IFERROR(IF(Dashboard!$B$3="Weighted",Raw_data!$AB98,Raw_data!$AA98),"")</f>
        <v/>
      </c>
      <c r="D98">
        <f>IF(OR(Raw_data!$J98="",Raw_data!$J98&lt;=0,Raw_data!$K98=""),"",IF(Raw_data!$K98&gt;TODAY(),0,DATEDIF(Raw_data!$K98,TODAY(),"M")))</f>
        <v/>
      </c>
      <c r="E98">
        <f>--(AND(Raw_data!$AF98="No",OR(Raw_data!$AG98&lt;&gt;"",Raw_data!$AJ98&gt;0,Raw_data!$AK98&lt;&gt;"")))</f>
        <v/>
      </c>
      <c r="F98">
        <f>--(OR(AND(ISNUMBER(B98),B98&lt;0.5,OR(D98&gt;=24,Raw_data!$I98&gt;0)),Raw_data!$AE98=TRUE))</f>
        <v/>
      </c>
      <c r="G98">
        <f>IF(Dashboard!$B$11="Department",Raw_data!$AL98,IF(Dashboard!$B$11="Team",Raw_data!$AM98,IF(Dashboard!$B$11="Unit",Raw_data!$AN98,IF(Dashboard!$B$11="Legal entity",Raw_data!$AO98,IF(Dashboard!$B$11="Location",Raw_data!$AP98,Raw_data!$AQ98)))))</f>
        <v/>
      </c>
      <c r="H98">
        <f>--(AND(ISNUMBER(B98),B98&lt;0.5))</f>
        <v/>
      </c>
      <c r="I98">
        <f>IFERROR(MAX(0,(0.5-B98)*100),0)+IF(D98&gt;=24,20,0)+IF(Raw_data!$I98&gt;0,20,0)+IF(Raw_data!$AE98=TRUE,10,0)</f>
        <v/>
      </c>
      <c r="J98">
        <f>IFERROR(CHOOSE(MATCH(Dashboard!$B$11,{"Department","Team","Unit","Legal entity","Location","Lead"},0),INDEX(Lists!$B$3:$B$20,ROW()-1),INDEX(Lists!$C$3:$C$146,ROW()-1),INDEX(Lists!$D$3:$D$67,ROW()-1),INDEX(Lists!$E$3:$E$5,ROW()-1),INDEX(Lists!$F$3:$F$12,ROW()-1),INDEX(Lists!$G$3:$G$126,ROW()-1)),"")</f>
        <v/>
      </c>
      <c r="K98">
        <f>IF(J98="","",SUMPRODUCT(($A$2:$A$636=1)*($G$2:$G$636=J98)))</f>
        <v/>
      </c>
      <c r="L98">
        <f>IF(J98="","",SUMPRODUCT(($A$2:$A$636=1)*($G$2:$G$636=J98)*(ISNUMBER($B$2:$B$636))*($B$2:$B$636&lt;0.5)))</f>
        <v/>
      </c>
      <c r="M98">
        <f>IFERROR(L98/K98,"")</f>
        <v/>
      </c>
      <c r="N98">
        <f>IF(K98="","",M98+K98/100000+ROW()/100000000)</f>
        <v/>
      </c>
      <c r="R98">
        <f>IF(A98=1,IFERROR(I98,0)+ROW()/100000000,-1E+99)</f>
        <v/>
      </c>
      <c r="S98">
        <f>IF(A98=1,IFERROR(Raw_data!$T98,""),"")</f>
        <v/>
      </c>
      <c r="T98">
        <f>IF(A98=1,IFERROR(Raw_data!$AA98,""),"")</f>
        <v/>
      </c>
      <c r="U98">
        <f>IF(A98=1,IFERROR(Raw_data!$U98,""),"")</f>
        <v/>
      </c>
      <c r="V98">
        <f>IF(A98=1,IFERROR(Raw_data!$AB98,""),"")</f>
        <v/>
      </c>
    </row>
    <row r="99">
      <c r="A99">
        <f>--(AND(OR(Dashboard!$B$4="All",Raw_data!$AL99=Dashboard!$B$4),OR(Dashboard!$B$5="All",Raw_data!$AM99=Dashboard!$B$5),OR(Dashboard!$B$6="All",Raw_data!$AN99=Dashboard!$B$6),OR(Dashboard!$B$7="All",Raw_data!$AO99=Dashboard!$B$7),OR(Dashboard!$B$8="All",Raw_data!$AP99=Dashboard!$B$8),OR(Dashboard!$B$9="All",Raw_data!$AQ99=Dashboard!$B$9),OR(Dashboard!$B$10="All",Raw_data!$AF99=Dashboard!$B$10),OR(Raw_data!$F99="",Raw_data!$F99&lt;=TODAY())))</f>
        <v/>
      </c>
      <c r="B99">
        <f>IFERROR(IF(Dashboard!$B$3="Weighted",Raw_data!$U99,Raw_data!$T99),"")</f>
        <v/>
      </c>
      <c r="C99">
        <f>IFERROR(IF(Dashboard!$B$3="Weighted",Raw_data!$AB99,Raw_data!$AA99),"")</f>
        <v/>
      </c>
      <c r="D99">
        <f>IF(OR(Raw_data!$J99="",Raw_data!$J99&lt;=0,Raw_data!$K99=""),"",IF(Raw_data!$K99&gt;TODAY(),0,DATEDIF(Raw_data!$K99,TODAY(),"M")))</f>
        <v/>
      </c>
      <c r="E99">
        <f>--(AND(Raw_data!$AF99="No",OR(Raw_data!$AG99&lt;&gt;"",Raw_data!$AJ99&gt;0,Raw_data!$AK99&lt;&gt;"")))</f>
        <v/>
      </c>
      <c r="F99">
        <f>--(OR(AND(ISNUMBER(B99),B99&lt;0.5,OR(D99&gt;=24,Raw_data!$I99&gt;0)),Raw_data!$AE99=TRUE))</f>
        <v/>
      </c>
      <c r="G99">
        <f>IF(Dashboard!$B$11="Department",Raw_data!$AL99,IF(Dashboard!$B$11="Team",Raw_data!$AM99,IF(Dashboard!$B$11="Unit",Raw_data!$AN99,IF(Dashboard!$B$11="Legal entity",Raw_data!$AO99,IF(Dashboard!$B$11="Location",Raw_data!$AP99,Raw_data!$AQ99)))))</f>
        <v/>
      </c>
      <c r="H99">
        <f>--(AND(ISNUMBER(B99),B99&lt;0.5))</f>
        <v/>
      </c>
      <c r="I99">
        <f>IFERROR(MAX(0,(0.5-B99)*100),0)+IF(D99&gt;=24,20,0)+IF(Raw_data!$I99&gt;0,20,0)+IF(Raw_data!$AE99=TRUE,10,0)</f>
        <v/>
      </c>
      <c r="J99">
        <f>IFERROR(CHOOSE(MATCH(Dashboard!$B$11,{"Department","Team","Unit","Legal entity","Location","Lead"},0),INDEX(Lists!$B$3:$B$20,ROW()-1),INDEX(Lists!$C$3:$C$146,ROW()-1),INDEX(Lists!$D$3:$D$67,ROW()-1),INDEX(Lists!$E$3:$E$5,ROW()-1),INDEX(Lists!$F$3:$F$12,ROW()-1),INDEX(Lists!$G$3:$G$126,ROW()-1)),"")</f>
        <v/>
      </c>
      <c r="K99">
        <f>IF(J99="","",SUMPRODUCT(($A$2:$A$636=1)*($G$2:$G$636=J99)))</f>
        <v/>
      </c>
      <c r="L99">
        <f>IF(J99="","",SUMPRODUCT(($A$2:$A$636=1)*($G$2:$G$636=J99)*(ISNUMBER($B$2:$B$636))*($B$2:$B$636&lt;0.5)))</f>
        <v/>
      </c>
      <c r="M99">
        <f>IFERROR(L99/K99,"")</f>
        <v/>
      </c>
      <c r="N99">
        <f>IF(K99="","",M99+K99/100000+ROW()/100000000)</f>
        <v/>
      </c>
      <c r="R99">
        <f>IF(A99=1,IFERROR(I99,0)+ROW()/100000000,-1E+99)</f>
        <v/>
      </c>
      <c r="S99">
        <f>IF(A99=1,IFERROR(Raw_data!$T99,""),"")</f>
        <v/>
      </c>
      <c r="T99">
        <f>IF(A99=1,IFERROR(Raw_data!$AA99,""),"")</f>
        <v/>
      </c>
      <c r="U99">
        <f>IF(A99=1,IFERROR(Raw_data!$U99,""),"")</f>
        <v/>
      </c>
      <c r="V99">
        <f>IF(A99=1,IFERROR(Raw_data!$AB99,""),"")</f>
        <v/>
      </c>
    </row>
    <row r="100">
      <c r="A100">
        <f>--(AND(OR(Dashboard!$B$4="All",Raw_data!$AL100=Dashboard!$B$4),OR(Dashboard!$B$5="All",Raw_data!$AM100=Dashboard!$B$5),OR(Dashboard!$B$6="All",Raw_data!$AN100=Dashboard!$B$6),OR(Dashboard!$B$7="All",Raw_data!$AO100=Dashboard!$B$7),OR(Dashboard!$B$8="All",Raw_data!$AP100=Dashboard!$B$8),OR(Dashboard!$B$9="All",Raw_data!$AQ100=Dashboard!$B$9),OR(Dashboard!$B$10="All",Raw_data!$AF100=Dashboard!$B$10),OR(Raw_data!$F100="",Raw_data!$F100&lt;=TODAY())))</f>
        <v/>
      </c>
      <c r="B100">
        <f>IFERROR(IF(Dashboard!$B$3="Weighted",Raw_data!$U100,Raw_data!$T100),"")</f>
        <v/>
      </c>
      <c r="C100">
        <f>IFERROR(IF(Dashboard!$B$3="Weighted",Raw_data!$AB100,Raw_data!$AA100),"")</f>
        <v/>
      </c>
      <c r="D100">
        <f>IF(OR(Raw_data!$J100="",Raw_data!$J100&lt;=0,Raw_data!$K100=""),"",IF(Raw_data!$K100&gt;TODAY(),0,DATEDIF(Raw_data!$K100,TODAY(),"M")))</f>
        <v/>
      </c>
      <c r="E100">
        <f>--(AND(Raw_data!$AF100="No",OR(Raw_data!$AG100&lt;&gt;"",Raw_data!$AJ100&gt;0,Raw_data!$AK100&lt;&gt;"")))</f>
        <v/>
      </c>
      <c r="F100">
        <f>--(OR(AND(ISNUMBER(B100),B100&lt;0.5,OR(D100&gt;=24,Raw_data!$I100&gt;0)),Raw_data!$AE100=TRUE))</f>
        <v/>
      </c>
      <c r="G100">
        <f>IF(Dashboard!$B$11="Department",Raw_data!$AL100,IF(Dashboard!$B$11="Team",Raw_data!$AM100,IF(Dashboard!$B$11="Unit",Raw_data!$AN100,IF(Dashboard!$B$11="Legal entity",Raw_data!$AO100,IF(Dashboard!$B$11="Location",Raw_data!$AP100,Raw_data!$AQ100)))))</f>
        <v/>
      </c>
      <c r="H100">
        <f>--(AND(ISNUMBER(B100),B100&lt;0.5))</f>
        <v/>
      </c>
      <c r="I100">
        <f>IFERROR(MAX(0,(0.5-B100)*100),0)+IF(D100&gt;=24,20,0)+IF(Raw_data!$I100&gt;0,20,0)+IF(Raw_data!$AE100=TRUE,10,0)</f>
        <v/>
      </c>
      <c r="J100">
        <f>IFERROR(CHOOSE(MATCH(Dashboard!$B$11,{"Department","Team","Unit","Legal entity","Location","Lead"},0),INDEX(Lists!$B$3:$B$20,ROW()-1),INDEX(Lists!$C$3:$C$146,ROW()-1),INDEX(Lists!$D$3:$D$67,ROW()-1),INDEX(Lists!$E$3:$E$5,ROW()-1),INDEX(Lists!$F$3:$F$12,ROW()-1),INDEX(Lists!$G$3:$G$126,ROW()-1)),"")</f>
        <v/>
      </c>
      <c r="K100">
        <f>IF(J100="","",SUMPRODUCT(($A$2:$A$636=1)*($G$2:$G$636=J100)))</f>
        <v/>
      </c>
      <c r="L100">
        <f>IF(J100="","",SUMPRODUCT(($A$2:$A$636=1)*($G$2:$G$636=J100)*(ISNUMBER($B$2:$B$636))*($B$2:$B$636&lt;0.5)))</f>
        <v/>
      </c>
      <c r="M100">
        <f>IFERROR(L100/K100,"")</f>
        <v/>
      </c>
      <c r="N100">
        <f>IF(K100="","",M100+K100/100000+ROW()/100000000)</f>
        <v/>
      </c>
      <c r="R100">
        <f>IF(A100=1,IFERROR(I100,0)+ROW()/100000000,-1E+99)</f>
        <v/>
      </c>
      <c r="S100">
        <f>IF(A100=1,IFERROR(Raw_data!$T100,""),"")</f>
        <v/>
      </c>
      <c r="T100">
        <f>IF(A100=1,IFERROR(Raw_data!$AA100,""),"")</f>
        <v/>
      </c>
      <c r="U100">
        <f>IF(A100=1,IFERROR(Raw_data!$U100,""),"")</f>
        <v/>
      </c>
      <c r="V100">
        <f>IF(A100=1,IFERROR(Raw_data!$AB100,""),"")</f>
        <v/>
      </c>
    </row>
    <row r="101">
      <c r="A101">
        <f>--(AND(OR(Dashboard!$B$4="All",Raw_data!$AL101=Dashboard!$B$4),OR(Dashboard!$B$5="All",Raw_data!$AM101=Dashboard!$B$5),OR(Dashboard!$B$6="All",Raw_data!$AN101=Dashboard!$B$6),OR(Dashboard!$B$7="All",Raw_data!$AO101=Dashboard!$B$7),OR(Dashboard!$B$8="All",Raw_data!$AP101=Dashboard!$B$8),OR(Dashboard!$B$9="All",Raw_data!$AQ101=Dashboard!$B$9),OR(Dashboard!$B$10="All",Raw_data!$AF101=Dashboard!$B$10),OR(Raw_data!$F101="",Raw_data!$F101&lt;=TODAY())))</f>
        <v/>
      </c>
      <c r="B101">
        <f>IFERROR(IF(Dashboard!$B$3="Weighted",Raw_data!$U101,Raw_data!$T101),"")</f>
        <v/>
      </c>
      <c r="C101">
        <f>IFERROR(IF(Dashboard!$B$3="Weighted",Raw_data!$AB101,Raw_data!$AA101),"")</f>
        <v/>
      </c>
      <c r="D101">
        <f>IF(OR(Raw_data!$J101="",Raw_data!$J101&lt;=0,Raw_data!$K101=""),"",IF(Raw_data!$K101&gt;TODAY(),0,DATEDIF(Raw_data!$K101,TODAY(),"M")))</f>
        <v/>
      </c>
      <c r="E101">
        <f>--(AND(Raw_data!$AF101="No",OR(Raw_data!$AG101&lt;&gt;"",Raw_data!$AJ101&gt;0,Raw_data!$AK101&lt;&gt;"")))</f>
        <v/>
      </c>
      <c r="F101">
        <f>--(OR(AND(ISNUMBER(B101),B101&lt;0.5,OR(D101&gt;=24,Raw_data!$I101&gt;0)),Raw_data!$AE101=TRUE))</f>
        <v/>
      </c>
      <c r="G101">
        <f>IF(Dashboard!$B$11="Department",Raw_data!$AL101,IF(Dashboard!$B$11="Team",Raw_data!$AM101,IF(Dashboard!$B$11="Unit",Raw_data!$AN101,IF(Dashboard!$B$11="Legal entity",Raw_data!$AO101,IF(Dashboard!$B$11="Location",Raw_data!$AP101,Raw_data!$AQ101)))))</f>
        <v/>
      </c>
      <c r="H101">
        <f>--(AND(ISNUMBER(B101),B101&lt;0.5))</f>
        <v/>
      </c>
      <c r="I101">
        <f>IFERROR(MAX(0,(0.5-B101)*100),0)+IF(D101&gt;=24,20,0)+IF(Raw_data!$I101&gt;0,20,0)+IF(Raw_data!$AE101=TRUE,10,0)</f>
        <v/>
      </c>
      <c r="J101">
        <f>IFERROR(CHOOSE(MATCH(Dashboard!$B$11,{"Department","Team","Unit","Legal entity","Location","Lead"},0),INDEX(Lists!$B$3:$B$20,ROW()-1),INDEX(Lists!$C$3:$C$146,ROW()-1),INDEX(Lists!$D$3:$D$67,ROW()-1),INDEX(Lists!$E$3:$E$5,ROW()-1),INDEX(Lists!$F$3:$F$12,ROW()-1),INDEX(Lists!$G$3:$G$126,ROW()-1)),"")</f>
        <v/>
      </c>
      <c r="K101">
        <f>IF(J101="","",SUMPRODUCT(($A$2:$A$636=1)*($G$2:$G$636=J101)))</f>
        <v/>
      </c>
      <c r="L101">
        <f>IF(J101="","",SUMPRODUCT(($A$2:$A$636=1)*($G$2:$G$636=J101)*(ISNUMBER($B$2:$B$636))*($B$2:$B$636&lt;0.5)))</f>
        <v/>
      </c>
      <c r="M101">
        <f>IFERROR(L101/K101,"")</f>
        <v/>
      </c>
      <c r="N101">
        <f>IF(K101="","",M101+K101/100000+ROW()/100000000)</f>
        <v/>
      </c>
      <c r="R101">
        <f>IF(A101=1,IFERROR(I101,0)+ROW()/100000000,-1E+99)</f>
        <v/>
      </c>
      <c r="S101">
        <f>IF(A101=1,IFERROR(Raw_data!$T101,""),"")</f>
        <v/>
      </c>
      <c r="T101">
        <f>IF(A101=1,IFERROR(Raw_data!$AA101,""),"")</f>
        <v/>
      </c>
      <c r="U101">
        <f>IF(A101=1,IFERROR(Raw_data!$U101,""),"")</f>
        <v/>
      </c>
      <c r="V101">
        <f>IF(A101=1,IFERROR(Raw_data!$AB101,""),"")</f>
        <v/>
      </c>
    </row>
    <row r="102">
      <c r="A102">
        <f>--(AND(OR(Dashboard!$B$4="All",Raw_data!$AL102=Dashboard!$B$4),OR(Dashboard!$B$5="All",Raw_data!$AM102=Dashboard!$B$5),OR(Dashboard!$B$6="All",Raw_data!$AN102=Dashboard!$B$6),OR(Dashboard!$B$7="All",Raw_data!$AO102=Dashboard!$B$7),OR(Dashboard!$B$8="All",Raw_data!$AP102=Dashboard!$B$8),OR(Dashboard!$B$9="All",Raw_data!$AQ102=Dashboard!$B$9),OR(Dashboard!$B$10="All",Raw_data!$AF102=Dashboard!$B$10),OR(Raw_data!$F102="",Raw_data!$F102&lt;=TODAY())))</f>
        <v/>
      </c>
      <c r="B102">
        <f>IFERROR(IF(Dashboard!$B$3="Weighted",Raw_data!$U102,Raw_data!$T102),"")</f>
        <v/>
      </c>
      <c r="C102">
        <f>IFERROR(IF(Dashboard!$B$3="Weighted",Raw_data!$AB102,Raw_data!$AA102),"")</f>
        <v/>
      </c>
      <c r="D102">
        <f>IF(OR(Raw_data!$J102="",Raw_data!$J102&lt;=0,Raw_data!$K102=""),"",IF(Raw_data!$K102&gt;TODAY(),0,DATEDIF(Raw_data!$K102,TODAY(),"M")))</f>
        <v/>
      </c>
      <c r="E102">
        <f>--(AND(Raw_data!$AF102="No",OR(Raw_data!$AG102&lt;&gt;"",Raw_data!$AJ102&gt;0,Raw_data!$AK102&lt;&gt;"")))</f>
        <v/>
      </c>
      <c r="F102">
        <f>--(OR(AND(ISNUMBER(B102),B102&lt;0.5,OR(D102&gt;=24,Raw_data!$I102&gt;0)),Raw_data!$AE102=TRUE))</f>
        <v/>
      </c>
      <c r="G102">
        <f>IF(Dashboard!$B$11="Department",Raw_data!$AL102,IF(Dashboard!$B$11="Team",Raw_data!$AM102,IF(Dashboard!$B$11="Unit",Raw_data!$AN102,IF(Dashboard!$B$11="Legal entity",Raw_data!$AO102,IF(Dashboard!$B$11="Location",Raw_data!$AP102,Raw_data!$AQ102)))))</f>
        <v/>
      </c>
      <c r="H102">
        <f>--(AND(ISNUMBER(B102),B102&lt;0.5))</f>
        <v/>
      </c>
      <c r="I102">
        <f>IFERROR(MAX(0,(0.5-B102)*100),0)+IF(D102&gt;=24,20,0)+IF(Raw_data!$I102&gt;0,20,0)+IF(Raw_data!$AE102=TRUE,10,0)</f>
        <v/>
      </c>
      <c r="J102">
        <f>IFERROR(CHOOSE(MATCH(Dashboard!$B$11,{"Department","Team","Unit","Legal entity","Location","Lead"},0),INDEX(Lists!$B$3:$B$20,ROW()-1),INDEX(Lists!$C$3:$C$146,ROW()-1),INDEX(Lists!$D$3:$D$67,ROW()-1),INDEX(Lists!$E$3:$E$5,ROW()-1),INDEX(Lists!$F$3:$F$12,ROW()-1),INDEX(Lists!$G$3:$G$126,ROW()-1)),"")</f>
        <v/>
      </c>
      <c r="K102">
        <f>IF(J102="","",SUMPRODUCT(($A$2:$A$636=1)*($G$2:$G$636=J102)))</f>
        <v/>
      </c>
      <c r="L102">
        <f>IF(J102="","",SUMPRODUCT(($A$2:$A$636=1)*($G$2:$G$636=J102)*(ISNUMBER($B$2:$B$636))*($B$2:$B$636&lt;0.5)))</f>
        <v/>
      </c>
      <c r="M102">
        <f>IFERROR(L102/K102,"")</f>
        <v/>
      </c>
      <c r="N102">
        <f>IF(K102="","",M102+K102/100000+ROW()/100000000)</f>
        <v/>
      </c>
      <c r="R102">
        <f>IF(A102=1,IFERROR(I102,0)+ROW()/100000000,-1E+99)</f>
        <v/>
      </c>
      <c r="S102">
        <f>IF(A102=1,IFERROR(Raw_data!$T102,""),"")</f>
        <v/>
      </c>
      <c r="T102">
        <f>IF(A102=1,IFERROR(Raw_data!$AA102,""),"")</f>
        <v/>
      </c>
      <c r="U102">
        <f>IF(A102=1,IFERROR(Raw_data!$U102,""),"")</f>
        <v/>
      </c>
      <c r="V102">
        <f>IF(A102=1,IFERROR(Raw_data!$AB102,""),"")</f>
        <v/>
      </c>
    </row>
    <row r="103">
      <c r="A103">
        <f>--(AND(OR(Dashboard!$B$4="All",Raw_data!$AL103=Dashboard!$B$4),OR(Dashboard!$B$5="All",Raw_data!$AM103=Dashboard!$B$5),OR(Dashboard!$B$6="All",Raw_data!$AN103=Dashboard!$B$6),OR(Dashboard!$B$7="All",Raw_data!$AO103=Dashboard!$B$7),OR(Dashboard!$B$8="All",Raw_data!$AP103=Dashboard!$B$8),OR(Dashboard!$B$9="All",Raw_data!$AQ103=Dashboard!$B$9),OR(Dashboard!$B$10="All",Raw_data!$AF103=Dashboard!$B$10),OR(Raw_data!$F103="",Raw_data!$F103&lt;=TODAY())))</f>
        <v/>
      </c>
      <c r="B103">
        <f>IFERROR(IF(Dashboard!$B$3="Weighted",Raw_data!$U103,Raw_data!$T103),"")</f>
        <v/>
      </c>
      <c r="C103">
        <f>IFERROR(IF(Dashboard!$B$3="Weighted",Raw_data!$AB103,Raw_data!$AA103),"")</f>
        <v/>
      </c>
      <c r="D103">
        <f>IF(OR(Raw_data!$J103="",Raw_data!$J103&lt;=0,Raw_data!$K103=""),"",IF(Raw_data!$K103&gt;TODAY(),0,DATEDIF(Raw_data!$K103,TODAY(),"M")))</f>
        <v/>
      </c>
      <c r="E103">
        <f>--(AND(Raw_data!$AF103="No",OR(Raw_data!$AG103&lt;&gt;"",Raw_data!$AJ103&gt;0,Raw_data!$AK103&lt;&gt;"")))</f>
        <v/>
      </c>
      <c r="F103">
        <f>--(OR(AND(ISNUMBER(B103),B103&lt;0.5,OR(D103&gt;=24,Raw_data!$I103&gt;0)),Raw_data!$AE103=TRUE))</f>
        <v/>
      </c>
      <c r="G103">
        <f>IF(Dashboard!$B$11="Department",Raw_data!$AL103,IF(Dashboard!$B$11="Team",Raw_data!$AM103,IF(Dashboard!$B$11="Unit",Raw_data!$AN103,IF(Dashboard!$B$11="Legal entity",Raw_data!$AO103,IF(Dashboard!$B$11="Location",Raw_data!$AP103,Raw_data!$AQ103)))))</f>
        <v/>
      </c>
      <c r="H103">
        <f>--(AND(ISNUMBER(B103),B103&lt;0.5))</f>
        <v/>
      </c>
      <c r="I103">
        <f>IFERROR(MAX(0,(0.5-B103)*100),0)+IF(D103&gt;=24,20,0)+IF(Raw_data!$I103&gt;0,20,0)+IF(Raw_data!$AE103=TRUE,10,0)</f>
        <v/>
      </c>
      <c r="J103">
        <f>IFERROR(CHOOSE(MATCH(Dashboard!$B$11,{"Department","Team","Unit","Legal entity","Location","Lead"},0),INDEX(Lists!$B$3:$B$20,ROW()-1),INDEX(Lists!$C$3:$C$146,ROW()-1),INDEX(Lists!$D$3:$D$67,ROW()-1),INDEX(Lists!$E$3:$E$5,ROW()-1),INDEX(Lists!$F$3:$F$12,ROW()-1),INDEX(Lists!$G$3:$G$126,ROW()-1)),"")</f>
        <v/>
      </c>
      <c r="K103">
        <f>IF(J103="","",SUMPRODUCT(($A$2:$A$636=1)*($G$2:$G$636=J103)))</f>
        <v/>
      </c>
      <c r="L103">
        <f>IF(J103="","",SUMPRODUCT(($A$2:$A$636=1)*($G$2:$G$636=J103)*(ISNUMBER($B$2:$B$636))*($B$2:$B$636&lt;0.5)))</f>
        <v/>
      </c>
      <c r="M103">
        <f>IFERROR(L103/K103,"")</f>
        <v/>
      </c>
      <c r="N103">
        <f>IF(K103="","",M103+K103/100000+ROW()/100000000)</f>
        <v/>
      </c>
      <c r="R103">
        <f>IF(A103=1,IFERROR(I103,0)+ROW()/100000000,-1E+99)</f>
        <v/>
      </c>
      <c r="S103">
        <f>IF(A103=1,IFERROR(Raw_data!$T103,""),"")</f>
        <v/>
      </c>
      <c r="T103">
        <f>IF(A103=1,IFERROR(Raw_data!$AA103,""),"")</f>
        <v/>
      </c>
      <c r="U103">
        <f>IF(A103=1,IFERROR(Raw_data!$U103,""),"")</f>
        <v/>
      </c>
      <c r="V103">
        <f>IF(A103=1,IFERROR(Raw_data!$AB103,""),"")</f>
        <v/>
      </c>
    </row>
    <row r="104">
      <c r="A104">
        <f>--(AND(OR(Dashboard!$B$4="All",Raw_data!$AL104=Dashboard!$B$4),OR(Dashboard!$B$5="All",Raw_data!$AM104=Dashboard!$B$5),OR(Dashboard!$B$6="All",Raw_data!$AN104=Dashboard!$B$6),OR(Dashboard!$B$7="All",Raw_data!$AO104=Dashboard!$B$7),OR(Dashboard!$B$8="All",Raw_data!$AP104=Dashboard!$B$8),OR(Dashboard!$B$9="All",Raw_data!$AQ104=Dashboard!$B$9),OR(Dashboard!$B$10="All",Raw_data!$AF104=Dashboard!$B$10),OR(Raw_data!$F104="",Raw_data!$F104&lt;=TODAY())))</f>
        <v/>
      </c>
      <c r="B104">
        <f>IFERROR(IF(Dashboard!$B$3="Weighted",Raw_data!$U104,Raw_data!$T104),"")</f>
        <v/>
      </c>
      <c r="C104">
        <f>IFERROR(IF(Dashboard!$B$3="Weighted",Raw_data!$AB104,Raw_data!$AA104),"")</f>
        <v/>
      </c>
      <c r="D104">
        <f>IF(OR(Raw_data!$J104="",Raw_data!$J104&lt;=0,Raw_data!$K104=""),"",IF(Raw_data!$K104&gt;TODAY(),0,DATEDIF(Raw_data!$K104,TODAY(),"M")))</f>
        <v/>
      </c>
      <c r="E104">
        <f>--(AND(Raw_data!$AF104="No",OR(Raw_data!$AG104&lt;&gt;"",Raw_data!$AJ104&gt;0,Raw_data!$AK104&lt;&gt;"")))</f>
        <v/>
      </c>
      <c r="F104">
        <f>--(OR(AND(ISNUMBER(B104),B104&lt;0.5,OR(D104&gt;=24,Raw_data!$I104&gt;0)),Raw_data!$AE104=TRUE))</f>
        <v/>
      </c>
      <c r="G104">
        <f>IF(Dashboard!$B$11="Department",Raw_data!$AL104,IF(Dashboard!$B$11="Team",Raw_data!$AM104,IF(Dashboard!$B$11="Unit",Raw_data!$AN104,IF(Dashboard!$B$11="Legal entity",Raw_data!$AO104,IF(Dashboard!$B$11="Location",Raw_data!$AP104,Raw_data!$AQ104)))))</f>
        <v/>
      </c>
      <c r="H104">
        <f>--(AND(ISNUMBER(B104),B104&lt;0.5))</f>
        <v/>
      </c>
      <c r="I104">
        <f>IFERROR(MAX(0,(0.5-B104)*100),0)+IF(D104&gt;=24,20,0)+IF(Raw_data!$I104&gt;0,20,0)+IF(Raw_data!$AE104=TRUE,10,0)</f>
        <v/>
      </c>
      <c r="J104">
        <f>IFERROR(CHOOSE(MATCH(Dashboard!$B$11,{"Department","Team","Unit","Legal entity","Location","Lead"},0),INDEX(Lists!$B$3:$B$20,ROW()-1),INDEX(Lists!$C$3:$C$146,ROW()-1),INDEX(Lists!$D$3:$D$67,ROW()-1),INDEX(Lists!$E$3:$E$5,ROW()-1),INDEX(Lists!$F$3:$F$12,ROW()-1),INDEX(Lists!$G$3:$G$126,ROW()-1)),"")</f>
        <v/>
      </c>
      <c r="K104">
        <f>IF(J104="","",SUMPRODUCT(($A$2:$A$636=1)*($G$2:$G$636=J104)))</f>
        <v/>
      </c>
      <c r="L104">
        <f>IF(J104="","",SUMPRODUCT(($A$2:$A$636=1)*($G$2:$G$636=J104)*(ISNUMBER($B$2:$B$636))*($B$2:$B$636&lt;0.5)))</f>
        <v/>
      </c>
      <c r="M104">
        <f>IFERROR(L104/K104,"")</f>
        <v/>
      </c>
      <c r="N104">
        <f>IF(K104="","",M104+K104/100000+ROW()/100000000)</f>
        <v/>
      </c>
      <c r="R104">
        <f>IF(A104=1,IFERROR(I104,0)+ROW()/100000000,-1E+99)</f>
        <v/>
      </c>
      <c r="S104">
        <f>IF(A104=1,IFERROR(Raw_data!$T104,""),"")</f>
        <v/>
      </c>
      <c r="T104">
        <f>IF(A104=1,IFERROR(Raw_data!$AA104,""),"")</f>
        <v/>
      </c>
      <c r="U104">
        <f>IF(A104=1,IFERROR(Raw_data!$U104,""),"")</f>
        <v/>
      </c>
      <c r="V104">
        <f>IF(A104=1,IFERROR(Raw_data!$AB104,""),"")</f>
        <v/>
      </c>
    </row>
    <row r="105">
      <c r="A105">
        <f>--(AND(OR(Dashboard!$B$4="All",Raw_data!$AL105=Dashboard!$B$4),OR(Dashboard!$B$5="All",Raw_data!$AM105=Dashboard!$B$5),OR(Dashboard!$B$6="All",Raw_data!$AN105=Dashboard!$B$6),OR(Dashboard!$B$7="All",Raw_data!$AO105=Dashboard!$B$7),OR(Dashboard!$B$8="All",Raw_data!$AP105=Dashboard!$B$8),OR(Dashboard!$B$9="All",Raw_data!$AQ105=Dashboard!$B$9),OR(Dashboard!$B$10="All",Raw_data!$AF105=Dashboard!$B$10),OR(Raw_data!$F105="",Raw_data!$F105&lt;=TODAY())))</f>
        <v/>
      </c>
      <c r="B105">
        <f>IFERROR(IF(Dashboard!$B$3="Weighted",Raw_data!$U105,Raw_data!$T105),"")</f>
        <v/>
      </c>
      <c r="C105">
        <f>IFERROR(IF(Dashboard!$B$3="Weighted",Raw_data!$AB105,Raw_data!$AA105),"")</f>
        <v/>
      </c>
      <c r="D105">
        <f>IF(OR(Raw_data!$J105="",Raw_data!$J105&lt;=0,Raw_data!$K105=""),"",IF(Raw_data!$K105&gt;TODAY(),0,DATEDIF(Raw_data!$K105,TODAY(),"M")))</f>
        <v/>
      </c>
      <c r="E105">
        <f>--(AND(Raw_data!$AF105="No",OR(Raw_data!$AG105&lt;&gt;"",Raw_data!$AJ105&gt;0,Raw_data!$AK105&lt;&gt;"")))</f>
        <v/>
      </c>
      <c r="F105">
        <f>--(OR(AND(ISNUMBER(B105),B105&lt;0.5,OR(D105&gt;=24,Raw_data!$I105&gt;0)),Raw_data!$AE105=TRUE))</f>
        <v/>
      </c>
      <c r="G105">
        <f>IF(Dashboard!$B$11="Department",Raw_data!$AL105,IF(Dashboard!$B$11="Team",Raw_data!$AM105,IF(Dashboard!$B$11="Unit",Raw_data!$AN105,IF(Dashboard!$B$11="Legal entity",Raw_data!$AO105,IF(Dashboard!$B$11="Location",Raw_data!$AP105,Raw_data!$AQ105)))))</f>
        <v/>
      </c>
      <c r="H105">
        <f>--(AND(ISNUMBER(B105),B105&lt;0.5))</f>
        <v/>
      </c>
      <c r="I105">
        <f>IFERROR(MAX(0,(0.5-B105)*100),0)+IF(D105&gt;=24,20,0)+IF(Raw_data!$I105&gt;0,20,0)+IF(Raw_data!$AE105=TRUE,10,0)</f>
        <v/>
      </c>
      <c r="J105">
        <f>IFERROR(CHOOSE(MATCH(Dashboard!$B$11,{"Department","Team","Unit","Legal entity","Location","Lead"},0),INDEX(Lists!$B$3:$B$20,ROW()-1),INDEX(Lists!$C$3:$C$146,ROW()-1),INDEX(Lists!$D$3:$D$67,ROW()-1),INDEX(Lists!$E$3:$E$5,ROW()-1),INDEX(Lists!$F$3:$F$12,ROW()-1),INDEX(Lists!$G$3:$G$126,ROW()-1)),"")</f>
        <v/>
      </c>
      <c r="K105">
        <f>IF(J105="","",SUMPRODUCT(($A$2:$A$636=1)*($G$2:$G$636=J105)))</f>
        <v/>
      </c>
      <c r="L105">
        <f>IF(J105="","",SUMPRODUCT(($A$2:$A$636=1)*($G$2:$G$636=J105)*(ISNUMBER($B$2:$B$636))*($B$2:$B$636&lt;0.5)))</f>
        <v/>
      </c>
      <c r="M105">
        <f>IFERROR(L105/K105,"")</f>
        <v/>
      </c>
      <c r="N105">
        <f>IF(K105="","",M105+K105/100000+ROW()/100000000)</f>
        <v/>
      </c>
      <c r="R105">
        <f>IF(A105=1,IFERROR(I105,0)+ROW()/100000000,-1E+99)</f>
        <v/>
      </c>
      <c r="S105">
        <f>IF(A105=1,IFERROR(Raw_data!$T105,""),"")</f>
        <v/>
      </c>
      <c r="T105">
        <f>IF(A105=1,IFERROR(Raw_data!$AA105,""),"")</f>
        <v/>
      </c>
      <c r="U105">
        <f>IF(A105=1,IFERROR(Raw_data!$U105,""),"")</f>
        <v/>
      </c>
      <c r="V105">
        <f>IF(A105=1,IFERROR(Raw_data!$AB105,""),"")</f>
        <v/>
      </c>
    </row>
    <row r="106">
      <c r="A106">
        <f>--(AND(OR(Dashboard!$B$4="All",Raw_data!$AL106=Dashboard!$B$4),OR(Dashboard!$B$5="All",Raw_data!$AM106=Dashboard!$B$5),OR(Dashboard!$B$6="All",Raw_data!$AN106=Dashboard!$B$6),OR(Dashboard!$B$7="All",Raw_data!$AO106=Dashboard!$B$7),OR(Dashboard!$B$8="All",Raw_data!$AP106=Dashboard!$B$8),OR(Dashboard!$B$9="All",Raw_data!$AQ106=Dashboard!$B$9),OR(Dashboard!$B$10="All",Raw_data!$AF106=Dashboard!$B$10),OR(Raw_data!$F106="",Raw_data!$F106&lt;=TODAY())))</f>
        <v/>
      </c>
      <c r="B106">
        <f>IFERROR(IF(Dashboard!$B$3="Weighted",Raw_data!$U106,Raw_data!$T106),"")</f>
        <v/>
      </c>
      <c r="C106">
        <f>IFERROR(IF(Dashboard!$B$3="Weighted",Raw_data!$AB106,Raw_data!$AA106),"")</f>
        <v/>
      </c>
      <c r="D106">
        <f>IF(OR(Raw_data!$J106="",Raw_data!$J106&lt;=0,Raw_data!$K106=""),"",IF(Raw_data!$K106&gt;TODAY(),0,DATEDIF(Raw_data!$K106,TODAY(),"M")))</f>
        <v/>
      </c>
      <c r="E106">
        <f>--(AND(Raw_data!$AF106="No",OR(Raw_data!$AG106&lt;&gt;"",Raw_data!$AJ106&gt;0,Raw_data!$AK106&lt;&gt;"")))</f>
        <v/>
      </c>
      <c r="F106">
        <f>--(OR(AND(ISNUMBER(B106),B106&lt;0.5,OR(D106&gt;=24,Raw_data!$I106&gt;0)),Raw_data!$AE106=TRUE))</f>
        <v/>
      </c>
      <c r="G106">
        <f>IF(Dashboard!$B$11="Department",Raw_data!$AL106,IF(Dashboard!$B$11="Team",Raw_data!$AM106,IF(Dashboard!$B$11="Unit",Raw_data!$AN106,IF(Dashboard!$B$11="Legal entity",Raw_data!$AO106,IF(Dashboard!$B$11="Location",Raw_data!$AP106,Raw_data!$AQ106)))))</f>
        <v/>
      </c>
      <c r="H106">
        <f>--(AND(ISNUMBER(B106),B106&lt;0.5))</f>
        <v/>
      </c>
      <c r="I106">
        <f>IFERROR(MAX(0,(0.5-B106)*100),0)+IF(D106&gt;=24,20,0)+IF(Raw_data!$I106&gt;0,20,0)+IF(Raw_data!$AE106=TRUE,10,0)</f>
        <v/>
      </c>
      <c r="J106">
        <f>IFERROR(CHOOSE(MATCH(Dashboard!$B$11,{"Department","Team","Unit","Legal entity","Location","Lead"},0),INDEX(Lists!$B$3:$B$20,ROW()-1),INDEX(Lists!$C$3:$C$146,ROW()-1),INDEX(Lists!$D$3:$D$67,ROW()-1),INDEX(Lists!$E$3:$E$5,ROW()-1),INDEX(Lists!$F$3:$F$12,ROW()-1),INDEX(Lists!$G$3:$G$126,ROW()-1)),"")</f>
        <v/>
      </c>
      <c r="K106">
        <f>IF(J106="","",SUMPRODUCT(($A$2:$A$636=1)*($G$2:$G$636=J106)))</f>
        <v/>
      </c>
      <c r="L106">
        <f>IF(J106="","",SUMPRODUCT(($A$2:$A$636=1)*($G$2:$G$636=J106)*(ISNUMBER($B$2:$B$636))*($B$2:$B$636&lt;0.5)))</f>
        <v/>
      </c>
      <c r="M106">
        <f>IFERROR(L106/K106,"")</f>
        <v/>
      </c>
      <c r="N106">
        <f>IF(K106="","",M106+K106/100000+ROW()/100000000)</f>
        <v/>
      </c>
      <c r="R106">
        <f>IF(A106=1,IFERROR(I106,0)+ROW()/100000000,-1E+99)</f>
        <v/>
      </c>
      <c r="S106">
        <f>IF(A106=1,IFERROR(Raw_data!$T106,""),"")</f>
        <v/>
      </c>
      <c r="T106">
        <f>IF(A106=1,IFERROR(Raw_data!$AA106,""),"")</f>
        <v/>
      </c>
      <c r="U106">
        <f>IF(A106=1,IFERROR(Raw_data!$U106,""),"")</f>
        <v/>
      </c>
      <c r="V106">
        <f>IF(A106=1,IFERROR(Raw_data!$AB106,""),"")</f>
        <v/>
      </c>
    </row>
    <row r="107">
      <c r="A107">
        <f>--(AND(OR(Dashboard!$B$4="All",Raw_data!$AL107=Dashboard!$B$4),OR(Dashboard!$B$5="All",Raw_data!$AM107=Dashboard!$B$5),OR(Dashboard!$B$6="All",Raw_data!$AN107=Dashboard!$B$6),OR(Dashboard!$B$7="All",Raw_data!$AO107=Dashboard!$B$7),OR(Dashboard!$B$8="All",Raw_data!$AP107=Dashboard!$B$8),OR(Dashboard!$B$9="All",Raw_data!$AQ107=Dashboard!$B$9),OR(Dashboard!$B$10="All",Raw_data!$AF107=Dashboard!$B$10),OR(Raw_data!$F107="",Raw_data!$F107&lt;=TODAY())))</f>
        <v/>
      </c>
      <c r="B107">
        <f>IFERROR(IF(Dashboard!$B$3="Weighted",Raw_data!$U107,Raw_data!$T107),"")</f>
        <v/>
      </c>
      <c r="C107">
        <f>IFERROR(IF(Dashboard!$B$3="Weighted",Raw_data!$AB107,Raw_data!$AA107),"")</f>
        <v/>
      </c>
      <c r="D107">
        <f>IF(OR(Raw_data!$J107="",Raw_data!$J107&lt;=0,Raw_data!$K107=""),"",IF(Raw_data!$K107&gt;TODAY(),0,DATEDIF(Raw_data!$K107,TODAY(),"M")))</f>
        <v/>
      </c>
      <c r="E107">
        <f>--(AND(Raw_data!$AF107="No",OR(Raw_data!$AG107&lt;&gt;"",Raw_data!$AJ107&gt;0,Raw_data!$AK107&lt;&gt;"")))</f>
        <v/>
      </c>
      <c r="F107">
        <f>--(OR(AND(ISNUMBER(B107),B107&lt;0.5,OR(D107&gt;=24,Raw_data!$I107&gt;0)),Raw_data!$AE107=TRUE))</f>
        <v/>
      </c>
      <c r="G107">
        <f>IF(Dashboard!$B$11="Department",Raw_data!$AL107,IF(Dashboard!$B$11="Team",Raw_data!$AM107,IF(Dashboard!$B$11="Unit",Raw_data!$AN107,IF(Dashboard!$B$11="Legal entity",Raw_data!$AO107,IF(Dashboard!$B$11="Location",Raw_data!$AP107,Raw_data!$AQ107)))))</f>
        <v/>
      </c>
      <c r="H107">
        <f>--(AND(ISNUMBER(B107),B107&lt;0.5))</f>
        <v/>
      </c>
      <c r="I107">
        <f>IFERROR(MAX(0,(0.5-B107)*100),0)+IF(D107&gt;=24,20,0)+IF(Raw_data!$I107&gt;0,20,0)+IF(Raw_data!$AE107=TRUE,10,0)</f>
        <v/>
      </c>
      <c r="J107">
        <f>IFERROR(CHOOSE(MATCH(Dashboard!$B$11,{"Department","Team","Unit","Legal entity","Location","Lead"},0),INDEX(Lists!$B$3:$B$20,ROW()-1),INDEX(Lists!$C$3:$C$146,ROW()-1),INDEX(Lists!$D$3:$D$67,ROW()-1),INDEX(Lists!$E$3:$E$5,ROW()-1),INDEX(Lists!$F$3:$F$12,ROW()-1),INDEX(Lists!$G$3:$G$126,ROW()-1)),"")</f>
        <v/>
      </c>
      <c r="K107">
        <f>IF(J107="","",SUMPRODUCT(($A$2:$A$636=1)*($G$2:$G$636=J107)))</f>
        <v/>
      </c>
      <c r="L107">
        <f>IF(J107="","",SUMPRODUCT(($A$2:$A$636=1)*($G$2:$G$636=J107)*(ISNUMBER($B$2:$B$636))*($B$2:$B$636&lt;0.5)))</f>
        <v/>
      </c>
      <c r="M107">
        <f>IFERROR(L107/K107,"")</f>
        <v/>
      </c>
      <c r="N107">
        <f>IF(K107="","",M107+K107/100000+ROW()/100000000)</f>
        <v/>
      </c>
      <c r="R107">
        <f>IF(A107=1,IFERROR(I107,0)+ROW()/100000000,-1E+99)</f>
        <v/>
      </c>
      <c r="S107">
        <f>IF(A107=1,IFERROR(Raw_data!$T107,""),"")</f>
        <v/>
      </c>
      <c r="T107">
        <f>IF(A107=1,IFERROR(Raw_data!$AA107,""),"")</f>
        <v/>
      </c>
      <c r="U107">
        <f>IF(A107=1,IFERROR(Raw_data!$U107,""),"")</f>
        <v/>
      </c>
      <c r="V107">
        <f>IF(A107=1,IFERROR(Raw_data!$AB107,""),"")</f>
        <v/>
      </c>
    </row>
    <row r="108">
      <c r="A108">
        <f>--(AND(OR(Dashboard!$B$4="All",Raw_data!$AL108=Dashboard!$B$4),OR(Dashboard!$B$5="All",Raw_data!$AM108=Dashboard!$B$5),OR(Dashboard!$B$6="All",Raw_data!$AN108=Dashboard!$B$6),OR(Dashboard!$B$7="All",Raw_data!$AO108=Dashboard!$B$7),OR(Dashboard!$B$8="All",Raw_data!$AP108=Dashboard!$B$8),OR(Dashboard!$B$9="All",Raw_data!$AQ108=Dashboard!$B$9),OR(Dashboard!$B$10="All",Raw_data!$AF108=Dashboard!$B$10),OR(Raw_data!$F108="",Raw_data!$F108&lt;=TODAY())))</f>
        <v/>
      </c>
      <c r="B108">
        <f>IFERROR(IF(Dashboard!$B$3="Weighted",Raw_data!$U108,Raw_data!$T108),"")</f>
        <v/>
      </c>
      <c r="C108">
        <f>IFERROR(IF(Dashboard!$B$3="Weighted",Raw_data!$AB108,Raw_data!$AA108),"")</f>
        <v/>
      </c>
      <c r="D108">
        <f>IF(OR(Raw_data!$J108="",Raw_data!$J108&lt;=0,Raw_data!$K108=""),"",IF(Raw_data!$K108&gt;TODAY(),0,DATEDIF(Raw_data!$K108,TODAY(),"M")))</f>
        <v/>
      </c>
      <c r="E108">
        <f>--(AND(Raw_data!$AF108="No",OR(Raw_data!$AG108&lt;&gt;"",Raw_data!$AJ108&gt;0,Raw_data!$AK108&lt;&gt;"")))</f>
        <v/>
      </c>
      <c r="F108">
        <f>--(OR(AND(ISNUMBER(B108),B108&lt;0.5,OR(D108&gt;=24,Raw_data!$I108&gt;0)),Raw_data!$AE108=TRUE))</f>
        <v/>
      </c>
      <c r="G108">
        <f>IF(Dashboard!$B$11="Department",Raw_data!$AL108,IF(Dashboard!$B$11="Team",Raw_data!$AM108,IF(Dashboard!$B$11="Unit",Raw_data!$AN108,IF(Dashboard!$B$11="Legal entity",Raw_data!$AO108,IF(Dashboard!$B$11="Location",Raw_data!$AP108,Raw_data!$AQ108)))))</f>
        <v/>
      </c>
      <c r="H108">
        <f>--(AND(ISNUMBER(B108),B108&lt;0.5))</f>
        <v/>
      </c>
      <c r="I108">
        <f>IFERROR(MAX(0,(0.5-B108)*100),0)+IF(D108&gt;=24,20,0)+IF(Raw_data!$I108&gt;0,20,0)+IF(Raw_data!$AE108=TRUE,10,0)</f>
        <v/>
      </c>
      <c r="J108">
        <f>IFERROR(CHOOSE(MATCH(Dashboard!$B$11,{"Department","Team","Unit","Legal entity","Location","Lead"},0),INDEX(Lists!$B$3:$B$20,ROW()-1),INDEX(Lists!$C$3:$C$146,ROW()-1),INDEX(Lists!$D$3:$D$67,ROW()-1),INDEX(Lists!$E$3:$E$5,ROW()-1),INDEX(Lists!$F$3:$F$12,ROW()-1),INDEX(Lists!$G$3:$G$126,ROW()-1)),"")</f>
        <v/>
      </c>
      <c r="K108">
        <f>IF(J108="","",SUMPRODUCT(($A$2:$A$636=1)*($G$2:$G$636=J108)))</f>
        <v/>
      </c>
      <c r="L108">
        <f>IF(J108="","",SUMPRODUCT(($A$2:$A$636=1)*($G$2:$G$636=J108)*(ISNUMBER($B$2:$B$636))*($B$2:$B$636&lt;0.5)))</f>
        <v/>
      </c>
      <c r="M108">
        <f>IFERROR(L108/K108,"")</f>
        <v/>
      </c>
      <c r="N108">
        <f>IF(K108="","",M108+K108/100000+ROW()/100000000)</f>
        <v/>
      </c>
      <c r="R108">
        <f>IF(A108=1,IFERROR(I108,0)+ROW()/100000000,-1E+99)</f>
        <v/>
      </c>
      <c r="S108">
        <f>IF(A108=1,IFERROR(Raw_data!$T108,""),"")</f>
        <v/>
      </c>
      <c r="T108">
        <f>IF(A108=1,IFERROR(Raw_data!$AA108,""),"")</f>
        <v/>
      </c>
      <c r="U108">
        <f>IF(A108=1,IFERROR(Raw_data!$U108,""),"")</f>
        <v/>
      </c>
      <c r="V108">
        <f>IF(A108=1,IFERROR(Raw_data!$AB108,""),"")</f>
        <v/>
      </c>
    </row>
    <row r="109">
      <c r="A109">
        <f>--(AND(OR(Dashboard!$B$4="All",Raw_data!$AL109=Dashboard!$B$4),OR(Dashboard!$B$5="All",Raw_data!$AM109=Dashboard!$B$5),OR(Dashboard!$B$6="All",Raw_data!$AN109=Dashboard!$B$6),OR(Dashboard!$B$7="All",Raw_data!$AO109=Dashboard!$B$7),OR(Dashboard!$B$8="All",Raw_data!$AP109=Dashboard!$B$8),OR(Dashboard!$B$9="All",Raw_data!$AQ109=Dashboard!$B$9),OR(Dashboard!$B$10="All",Raw_data!$AF109=Dashboard!$B$10),OR(Raw_data!$F109="",Raw_data!$F109&lt;=TODAY())))</f>
        <v/>
      </c>
      <c r="B109">
        <f>IFERROR(IF(Dashboard!$B$3="Weighted",Raw_data!$U109,Raw_data!$T109),"")</f>
        <v/>
      </c>
      <c r="C109">
        <f>IFERROR(IF(Dashboard!$B$3="Weighted",Raw_data!$AB109,Raw_data!$AA109),"")</f>
        <v/>
      </c>
      <c r="D109">
        <f>IF(OR(Raw_data!$J109="",Raw_data!$J109&lt;=0,Raw_data!$K109=""),"",IF(Raw_data!$K109&gt;TODAY(),0,DATEDIF(Raw_data!$K109,TODAY(),"M")))</f>
        <v/>
      </c>
      <c r="E109">
        <f>--(AND(Raw_data!$AF109="No",OR(Raw_data!$AG109&lt;&gt;"",Raw_data!$AJ109&gt;0,Raw_data!$AK109&lt;&gt;"")))</f>
        <v/>
      </c>
      <c r="F109">
        <f>--(OR(AND(ISNUMBER(B109),B109&lt;0.5,OR(D109&gt;=24,Raw_data!$I109&gt;0)),Raw_data!$AE109=TRUE))</f>
        <v/>
      </c>
      <c r="G109">
        <f>IF(Dashboard!$B$11="Department",Raw_data!$AL109,IF(Dashboard!$B$11="Team",Raw_data!$AM109,IF(Dashboard!$B$11="Unit",Raw_data!$AN109,IF(Dashboard!$B$11="Legal entity",Raw_data!$AO109,IF(Dashboard!$B$11="Location",Raw_data!$AP109,Raw_data!$AQ109)))))</f>
        <v/>
      </c>
      <c r="H109">
        <f>--(AND(ISNUMBER(B109),B109&lt;0.5))</f>
        <v/>
      </c>
      <c r="I109">
        <f>IFERROR(MAX(0,(0.5-B109)*100),0)+IF(D109&gt;=24,20,0)+IF(Raw_data!$I109&gt;0,20,0)+IF(Raw_data!$AE109=TRUE,10,0)</f>
        <v/>
      </c>
      <c r="J109">
        <f>IFERROR(CHOOSE(MATCH(Dashboard!$B$11,{"Department","Team","Unit","Legal entity","Location","Lead"},0),INDEX(Lists!$B$3:$B$20,ROW()-1),INDEX(Lists!$C$3:$C$146,ROW()-1),INDEX(Lists!$D$3:$D$67,ROW()-1),INDEX(Lists!$E$3:$E$5,ROW()-1),INDEX(Lists!$F$3:$F$12,ROW()-1),INDEX(Lists!$G$3:$G$126,ROW()-1)),"")</f>
        <v/>
      </c>
      <c r="K109">
        <f>IF(J109="","",SUMPRODUCT(($A$2:$A$636=1)*($G$2:$G$636=J109)))</f>
        <v/>
      </c>
      <c r="L109">
        <f>IF(J109="","",SUMPRODUCT(($A$2:$A$636=1)*($G$2:$G$636=J109)*(ISNUMBER($B$2:$B$636))*($B$2:$B$636&lt;0.5)))</f>
        <v/>
      </c>
      <c r="M109">
        <f>IFERROR(L109/K109,"")</f>
        <v/>
      </c>
      <c r="N109">
        <f>IF(K109="","",M109+K109/100000+ROW()/100000000)</f>
        <v/>
      </c>
      <c r="R109">
        <f>IF(A109=1,IFERROR(I109,0)+ROW()/100000000,-1E+99)</f>
        <v/>
      </c>
      <c r="S109">
        <f>IF(A109=1,IFERROR(Raw_data!$T109,""),"")</f>
        <v/>
      </c>
      <c r="T109">
        <f>IF(A109=1,IFERROR(Raw_data!$AA109,""),"")</f>
        <v/>
      </c>
      <c r="U109">
        <f>IF(A109=1,IFERROR(Raw_data!$U109,""),"")</f>
        <v/>
      </c>
      <c r="V109">
        <f>IF(A109=1,IFERROR(Raw_data!$AB109,""),"")</f>
        <v/>
      </c>
    </row>
    <row r="110">
      <c r="A110">
        <f>--(AND(OR(Dashboard!$B$4="All",Raw_data!$AL110=Dashboard!$B$4),OR(Dashboard!$B$5="All",Raw_data!$AM110=Dashboard!$B$5),OR(Dashboard!$B$6="All",Raw_data!$AN110=Dashboard!$B$6),OR(Dashboard!$B$7="All",Raw_data!$AO110=Dashboard!$B$7),OR(Dashboard!$B$8="All",Raw_data!$AP110=Dashboard!$B$8),OR(Dashboard!$B$9="All",Raw_data!$AQ110=Dashboard!$B$9),OR(Dashboard!$B$10="All",Raw_data!$AF110=Dashboard!$B$10),OR(Raw_data!$F110="",Raw_data!$F110&lt;=TODAY())))</f>
        <v/>
      </c>
      <c r="B110">
        <f>IFERROR(IF(Dashboard!$B$3="Weighted",Raw_data!$U110,Raw_data!$T110),"")</f>
        <v/>
      </c>
      <c r="C110">
        <f>IFERROR(IF(Dashboard!$B$3="Weighted",Raw_data!$AB110,Raw_data!$AA110),"")</f>
        <v/>
      </c>
      <c r="D110">
        <f>IF(OR(Raw_data!$J110="",Raw_data!$J110&lt;=0,Raw_data!$K110=""),"",IF(Raw_data!$K110&gt;TODAY(),0,DATEDIF(Raw_data!$K110,TODAY(),"M")))</f>
        <v/>
      </c>
      <c r="E110">
        <f>--(AND(Raw_data!$AF110="No",OR(Raw_data!$AG110&lt;&gt;"",Raw_data!$AJ110&gt;0,Raw_data!$AK110&lt;&gt;"")))</f>
        <v/>
      </c>
      <c r="F110">
        <f>--(OR(AND(ISNUMBER(B110),B110&lt;0.5,OR(D110&gt;=24,Raw_data!$I110&gt;0)),Raw_data!$AE110=TRUE))</f>
        <v/>
      </c>
      <c r="G110">
        <f>IF(Dashboard!$B$11="Department",Raw_data!$AL110,IF(Dashboard!$B$11="Team",Raw_data!$AM110,IF(Dashboard!$B$11="Unit",Raw_data!$AN110,IF(Dashboard!$B$11="Legal entity",Raw_data!$AO110,IF(Dashboard!$B$11="Location",Raw_data!$AP110,Raw_data!$AQ110)))))</f>
        <v/>
      </c>
      <c r="H110">
        <f>--(AND(ISNUMBER(B110),B110&lt;0.5))</f>
        <v/>
      </c>
      <c r="I110">
        <f>IFERROR(MAX(0,(0.5-B110)*100),0)+IF(D110&gt;=24,20,0)+IF(Raw_data!$I110&gt;0,20,0)+IF(Raw_data!$AE110=TRUE,10,0)</f>
        <v/>
      </c>
      <c r="J110">
        <f>IFERROR(CHOOSE(MATCH(Dashboard!$B$11,{"Department","Team","Unit","Legal entity","Location","Lead"},0),INDEX(Lists!$B$3:$B$20,ROW()-1),INDEX(Lists!$C$3:$C$146,ROW()-1),INDEX(Lists!$D$3:$D$67,ROW()-1),INDEX(Lists!$E$3:$E$5,ROW()-1),INDEX(Lists!$F$3:$F$12,ROW()-1),INDEX(Lists!$G$3:$G$126,ROW()-1)),"")</f>
        <v/>
      </c>
      <c r="K110">
        <f>IF(J110="","",SUMPRODUCT(($A$2:$A$636=1)*($G$2:$G$636=J110)))</f>
        <v/>
      </c>
      <c r="L110">
        <f>IF(J110="","",SUMPRODUCT(($A$2:$A$636=1)*($G$2:$G$636=J110)*(ISNUMBER($B$2:$B$636))*($B$2:$B$636&lt;0.5)))</f>
        <v/>
      </c>
      <c r="M110">
        <f>IFERROR(L110/K110,"")</f>
        <v/>
      </c>
      <c r="N110">
        <f>IF(K110="","",M110+K110/100000+ROW()/100000000)</f>
        <v/>
      </c>
      <c r="R110">
        <f>IF(A110=1,IFERROR(I110,0)+ROW()/100000000,-1E+99)</f>
        <v/>
      </c>
      <c r="S110">
        <f>IF(A110=1,IFERROR(Raw_data!$T110,""),"")</f>
        <v/>
      </c>
      <c r="T110">
        <f>IF(A110=1,IFERROR(Raw_data!$AA110,""),"")</f>
        <v/>
      </c>
      <c r="U110">
        <f>IF(A110=1,IFERROR(Raw_data!$U110,""),"")</f>
        <v/>
      </c>
      <c r="V110">
        <f>IF(A110=1,IFERROR(Raw_data!$AB110,""),"")</f>
        <v/>
      </c>
    </row>
    <row r="111">
      <c r="A111">
        <f>--(AND(OR(Dashboard!$B$4="All",Raw_data!$AL111=Dashboard!$B$4),OR(Dashboard!$B$5="All",Raw_data!$AM111=Dashboard!$B$5),OR(Dashboard!$B$6="All",Raw_data!$AN111=Dashboard!$B$6),OR(Dashboard!$B$7="All",Raw_data!$AO111=Dashboard!$B$7),OR(Dashboard!$B$8="All",Raw_data!$AP111=Dashboard!$B$8),OR(Dashboard!$B$9="All",Raw_data!$AQ111=Dashboard!$B$9),OR(Dashboard!$B$10="All",Raw_data!$AF111=Dashboard!$B$10),OR(Raw_data!$F111="",Raw_data!$F111&lt;=TODAY())))</f>
        <v/>
      </c>
      <c r="B111">
        <f>IFERROR(IF(Dashboard!$B$3="Weighted",Raw_data!$U111,Raw_data!$T111),"")</f>
        <v/>
      </c>
      <c r="C111">
        <f>IFERROR(IF(Dashboard!$B$3="Weighted",Raw_data!$AB111,Raw_data!$AA111),"")</f>
        <v/>
      </c>
      <c r="D111">
        <f>IF(OR(Raw_data!$J111="",Raw_data!$J111&lt;=0,Raw_data!$K111=""),"",IF(Raw_data!$K111&gt;TODAY(),0,DATEDIF(Raw_data!$K111,TODAY(),"M")))</f>
        <v/>
      </c>
      <c r="E111">
        <f>--(AND(Raw_data!$AF111="No",OR(Raw_data!$AG111&lt;&gt;"",Raw_data!$AJ111&gt;0,Raw_data!$AK111&lt;&gt;"")))</f>
        <v/>
      </c>
      <c r="F111">
        <f>--(OR(AND(ISNUMBER(B111),B111&lt;0.5,OR(D111&gt;=24,Raw_data!$I111&gt;0)),Raw_data!$AE111=TRUE))</f>
        <v/>
      </c>
      <c r="G111">
        <f>IF(Dashboard!$B$11="Department",Raw_data!$AL111,IF(Dashboard!$B$11="Team",Raw_data!$AM111,IF(Dashboard!$B$11="Unit",Raw_data!$AN111,IF(Dashboard!$B$11="Legal entity",Raw_data!$AO111,IF(Dashboard!$B$11="Location",Raw_data!$AP111,Raw_data!$AQ111)))))</f>
        <v/>
      </c>
      <c r="H111">
        <f>--(AND(ISNUMBER(B111),B111&lt;0.5))</f>
        <v/>
      </c>
      <c r="I111">
        <f>IFERROR(MAX(0,(0.5-B111)*100),0)+IF(D111&gt;=24,20,0)+IF(Raw_data!$I111&gt;0,20,0)+IF(Raw_data!$AE111=TRUE,10,0)</f>
        <v/>
      </c>
      <c r="J111">
        <f>IFERROR(CHOOSE(MATCH(Dashboard!$B$11,{"Department","Team","Unit","Legal entity","Location","Lead"},0),INDEX(Lists!$B$3:$B$20,ROW()-1),INDEX(Lists!$C$3:$C$146,ROW()-1),INDEX(Lists!$D$3:$D$67,ROW()-1),INDEX(Lists!$E$3:$E$5,ROW()-1),INDEX(Lists!$F$3:$F$12,ROW()-1),INDEX(Lists!$G$3:$G$126,ROW()-1)),"")</f>
        <v/>
      </c>
      <c r="K111">
        <f>IF(J111="","",SUMPRODUCT(($A$2:$A$636=1)*($G$2:$G$636=J111)))</f>
        <v/>
      </c>
      <c r="L111">
        <f>IF(J111="","",SUMPRODUCT(($A$2:$A$636=1)*($G$2:$G$636=J111)*(ISNUMBER($B$2:$B$636))*($B$2:$B$636&lt;0.5)))</f>
        <v/>
      </c>
      <c r="M111">
        <f>IFERROR(L111/K111,"")</f>
        <v/>
      </c>
      <c r="N111">
        <f>IF(K111="","",M111+K111/100000+ROW()/100000000)</f>
        <v/>
      </c>
      <c r="R111">
        <f>IF(A111=1,IFERROR(I111,0)+ROW()/100000000,-1E+99)</f>
        <v/>
      </c>
      <c r="S111">
        <f>IF(A111=1,IFERROR(Raw_data!$T111,""),"")</f>
        <v/>
      </c>
      <c r="T111">
        <f>IF(A111=1,IFERROR(Raw_data!$AA111,""),"")</f>
        <v/>
      </c>
      <c r="U111">
        <f>IF(A111=1,IFERROR(Raw_data!$U111,""),"")</f>
        <v/>
      </c>
      <c r="V111">
        <f>IF(A111=1,IFERROR(Raw_data!$AB111,""),"")</f>
        <v/>
      </c>
    </row>
    <row r="112">
      <c r="A112">
        <f>--(AND(OR(Dashboard!$B$4="All",Raw_data!$AL112=Dashboard!$B$4),OR(Dashboard!$B$5="All",Raw_data!$AM112=Dashboard!$B$5),OR(Dashboard!$B$6="All",Raw_data!$AN112=Dashboard!$B$6),OR(Dashboard!$B$7="All",Raw_data!$AO112=Dashboard!$B$7),OR(Dashboard!$B$8="All",Raw_data!$AP112=Dashboard!$B$8),OR(Dashboard!$B$9="All",Raw_data!$AQ112=Dashboard!$B$9),OR(Dashboard!$B$10="All",Raw_data!$AF112=Dashboard!$B$10),OR(Raw_data!$F112="",Raw_data!$F112&lt;=TODAY())))</f>
        <v/>
      </c>
      <c r="B112">
        <f>IFERROR(IF(Dashboard!$B$3="Weighted",Raw_data!$U112,Raw_data!$T112),"")</f>
        <v/>
      </c>
      <c r="C112">
        <f>IFERROR(IF(Dashboard!$B$3="Weighted",Raw_data!$AB112,Raw_data!$AA112),"")</f>
        <v/>
      </c>
      <c r="D112">
        <f>IF(OR(Raw_data!$J112="",Raw_data!$J112&lt;=0,Raw_data!$K112=""),"",IF(Raw_data!$K112&gt;TODAY(),0,DATEDIF(Raw_data!$K112,TODAY(),"M")))</f>
        <v/>
      </c>
      <c r="E112">
        <f>--(AND(Raw_data!$AF112="No",OR(Raw_data!$AG112&lt;&gt;"",Raw_data!$AJ112&gt;0,Raw_data!$AK112&lt;&gt;"")))</f>
        <v/>
      </c>
      <c r="F112">
        <f>--(OR(AND(ISNUMBER(B112),B112&lt;0.5,OR(D112&gt;=24,Raw_data!$I112&gt;0)),Raw_data!$AE112=TRUE))</f>
        <v/>
      </c>
      <c r="G112">
        <f>IF(Dashboard!$B$11="Department",Raw_data!$AL112,IF(Dashboard!$B$11="Team",Raw_data!$AM112,IF(Dashboard!$B$11="Unit",Raw_data!$AN112,IF(Dashboard!$B$11="Legal entity",Raw_data!$AO112,IF(Dashboard!$B$11="Location",Raw_data!$AP112,Raw_data!$AQ112)))))</f>
        <v/>
      </c>
      <c r="H112">
        <f>--(AND(ISNUMBER(B112),B112&lt;0.5))</f>
        <v/>
      </c>
      <c r="I112">
        <f>IFERROR(MAX(0,(0.5-B112)*100),0)+IF(D112&gt;=24,20,0)+IF(Raw_data!$I112&gt;0,20,0)+IF(Raw_data!$AE112=TRUE,10,0)</f>
        <v/>
      </c>
      <c r="J112">
        <f>IFERROR(CHOOSE(MATCH(Dashboard!$B$11,{"Department","Team","Unit","Legal entity","Location","Lead"},0),INDEX(Lists!$B$3:$B$20,ROW()-1),INDEX(Lists!$C$3:$C$146,ROW()-1),INDEX(Lists!$D$3:$D$67,ROW()-1),INDEX(Lists!$E$3:$E$5,ROW()-1),INDEX(Lists!$F$3:$F$12,ROW()-1),INDEX(Lists!$G$3:$G$126,ROW()-1)),"")</f>
        <v/>
      </c>
      <c r="K112">
        <f>IF(J112="","",SUMPRODUCT(($A$2:$A$636=1)*($G$2:$G$636=J112)))</f>
        <v/>
      </c>
      <c r="L112">
        <f>IF(J112="","",SUMPRODUCT(($A$2:$A$636=1)*($G$2:$G$636=J112)*(ISNUMBER($B$2:$B$636))*($B$2:$B$636&lt;0.5)))</f>
        <v/>
      </c>
      <c r="M112">
        <f>IFERROR(L112/K112,"")</f>
        <v/>
      </c>
      <c r="N112">
        <f>IF(K112="","",M112+K112/100000+ROW()/100000000)</f>
        <v/>
      </c>
      <c r="R112">
        <f>IF(A112=1,IFERROR(I112,0)+ROW()/100000000,-1E+99)</f>
        <v/>
      </c>
      <c r="S112">
        <f>IF(A112=1,IFERROR(Raw_data!$T112,""),"")</f>
        <v/>
      </c>
      <c r="T112">
        <f>IF(A112=1,IFERROR(Raw_data!$AA112,""),"")</f>
        <v/>
      </c>
      <c r="U112">
        <f>IF(A112=1,IFERROR(Raw_data!$U112,""),"")</f>
        <v/>
      </c>
      <c r="V112">
        <f>IF(A112=1,IFERROR(Raw_data!$AB112,""),"")</f>
        <v/>
      </c>
    </row>
    <row r="113">
      <c r="A113">
        <f>--(AND(OR(Dashboard!$B$4="All",Raw_data!$AL113=Dashboard!$B$4),OR(Dashboard!$B$5="All",Raw_data!$AM113=Dashboard!$B$5),OR(Dashboard!$B$6="All",Raw_data!$AN113=Dashboard!$B$6),OR(Dashboard!$B$7="All",Raw_data!$AO113=Dashboard!$B$7),OR(Dashboard!$B$8="All",Raw_data!$AP113=Dashboard!$B$8),OR(Dashboard!$B$9="All",Raw_data!$AQ113=Dashboard!$B$9),OR(Dashboard!$B$10="All",Raw_data!$AF113=Dashboard!$B$10),OR(Raw_data!$F113="",Raw_data!$F113&lt;=TODAY())))</f>
        <v/>
      </c>
      <c r="B113">
        <f>IFERROR(IF(Dashboard!$B$3="Weighted",Raw_data!$U113,Raw_data!$T113),"")</f>
        <v/>
      </c>
      <c r="C113">
        <f>IFERROR(IF(Dashboard!$B$3="Weighted",Raw_data!$AB113,Raw_data!$AA113),"")</f>
        <v/>
      </c>
      <c r="D113">
        <f>IF(OR(Raw_data!$J113="",Raw_data!$J113&lt;=0,Raw_data!$K113=""),"",IF(Raw_data!$K113&gt;TODAY(),0,DATEDIF(Raw_data!$K113,TODAY(),"M")))</f>
        <v/>
      </c>
      <c r="E113">
        <f>--(AND(Raw_data!$AF113="No",OR(Raw_data!$AG113&lt;&gt;"",Raw_data!$AJ113&gt;0,Raw_data!$AK113&lt;&gt;"")))</f>
        <v/>
      </c>
      <c r="F113">
        <f>--(OR(AND(ISNUMBER(B113),B113&lt;0.5,OR(D113&gt;=24,Raw_data!$I113&gt;0)),Raw_data!$AE113=TRUE))</f>
        <v/>
      </c>
      <c r="G113">
        <f>IF(Dashboard!$B$11="Department",Raw_data!$AL113,IF(Dashboard!$B$11="Team",Raw_data!$AM113,IF(Dashboard!$B$11="Unit",Raw_data!$AN113,IF(Dashboard!$B$11="Legal entity",Raw_data!$AO113,IF(Dashboard!$B$11="Location",Raw_data!$AP113,Raw_data!$AQ113)))))</f>
        <v/>
      </c>
      <c r="H113">
        <f>--(AND(ISNUMBER(B113),B113&lt;0.5))</f>
        <v/>
      </c>
      <c r="I113">
        <f>IFERROR(MAX(0,(0.5-B113)*100),0)+IF(D113&gt;=24,20,0)+IF(Raw_data!$I113&gt;0,20,0)+IF(Raw_data!$AE113=TRUE,10,0)</f>
        <v/>
      </c>
      <c r="J113">
        <f>IFERROR(CHOOSE(MATCH(Dashboard!$B$11,{"Department","Team","Unit","Legal entity","Location","Lead"},0),INDEX(Lists!$B$3:$B$20,ROW()-1),INDEX(Lists!$C$3:$C$146,ROW()-1),INDEX(Lists!$D$3:$D$67,ROW()-1),INDEX(Lists!$E$3:$E$5,ROW()-1),INDEX(Lists!$F$3:$F$12,ROW()-1),INDEX(Lists!$G$3:$G$126,ROW()-1)),"")</f>
        <v/>
      </c>
      <c r="K113">
        <f>IF(J113="","",SUMPRODUCT(($A$2:$A$636=1)*($G$2:$G$636=J113)))</f>
        <v/>
      </c>
      <c r="L113">
        <f>IF(J113="","",SUMPRODUCT(($A$2:$A$636=1)*($G$2:$G$636=J113)*(ISNUMBER($B$2:$B$636))*($B$2:$B$636&lt;0.5)))</f>
        <v/>
      </c>
      <c r="M113">
        <f>IFERROR(L113/K113,"")</f>
        <v/>
      </c>
      <c r="N113">
        <f>IF(K113="","",M113+K113/100000+ROW()/100000000)</f>
        <v/>
      </c>
      <c r="R113">
        <f>IF(A113=1,IFERROR(I113,0)+ROW()/100000000,-1E+99)</f>
        <v/>
      </c>
      <c r="S113">
        <f>IF(A113=1,IFERROR(Raw_data!$T113,""),"")</f>
        <v/>
      </c>
      <c r="T113">
        <f>IF(A113=1,IFERROR(Raw_data!$AA113,""),"")</f>
        <v/>
      </c>
      <c r="U113">
        <f>IF(A113=1,IFERROR(Raw_data!$U113,""),"")</f>
        <v/>
      </c>
      <c r="V113">
        <f>IF(A113=1,IFERROR(Raw_data!$AB113,""),"")</f>
        <v/>
      </c>
    </row>
    <row r="114">
      <c r="A114">
        <f>--(AND(OR(Dashboard!$B$4="All",Raw_data!$AL114=Dashboard!$B$4),OR(Dashboard!$B$5="All",Raw_data!$AM114=Dashboard!$B$5),OR(Dashboard!$B$6="All",Raw_data!$AN114=Dashboard!$B$6),OR(Dashboard!$B$7="All",Raw_data!$AO114=Dashboard!$B$7),OR(Dashboard!$B$8="All",Raw_data!$AP114=Dashboard!$B$8),OR(Dashboard!$B$9="All",Raw_data!$AQ114=Dashboard!$B$9),OR(Dashboard!$B$10="All",Raw_data!$AF114=Dashboard!$B$10),OR(Raw_data!$F114="",Raw_data!$F114&lt;=TODAY())))</f>
        <v/>
      </c>
      <c r="B114">
        <f>IFERROR(IF(Dashboard!$B$3="Weighted",Raw_data!$U114,Raw_data!$T114),"")</f>
        <v/>
      </c>
      <c r="C114">
        <f>IFERROR(IF(Dashboard!$B$3="Weighted",Raw_data!$AB114,Raw_data!$AA114),"")</f>
        <v/>
      </c>
      <c r="D114">
        <f>IF(OR(Raw_data!$J114="",Raw_data!$J114&lt;=0,Raw_data!$K114=""),"",IF(Raw_data!$K114&gt;TODAY(),0,DATEDIF(Raw_data!$K114,TODAY(),"M")))</f>
        <v/>
      </c>
      <c r="E114">
        <f>--(AND(Raw_data!$AF114="No",OR(Raw_data!$AG114&lt;&gt;"",Raw_data!$AJ114&gt;0,Raw_data!$AK114&lt;&gt;"")))</f>
        <v/>
      </c>
      <c r="F114">
        <f>--(OR(AND(ISNUMBER(B114),B114&lt;0.5,OR(D114&gt;=24,Raw_data!$I114&gt;0)),Raw_data!$AE114=TRUE))</f>
        <v/>
      </c>
      <c r="G114">
        <f>IF(Dashboard!$B$11="Department",Raw_data!$AL114,IF(Dashboard!$B$11="Team",Raw_data!$AM114,IF(Dashboard!$B$11="Unit",Raw_data!$AN114,IF(Dashboard!$B$11="Legal entity",Raw_data!$AO114,IF(Dashboard!$B$11="Location",Raw_data!$AP114,Raw_data!$AQ114)))))</f>
        <v/>
      </c>
      <c r="H114">
        <f>--(AND(ISNUMBER(B114),B114&lt;0.5))</f>
        <v/>
      </c>
      <c r="I114">
        <f>IFERROR(MAX(0,(0.5-B114)*100),0)+IF(D114&gt;=24,20,0)+IF(Raw_data!$I114&gt;0,20,0)+IF(Raw_data!$AE114=TRUE,10,0)</f>
        <v/>
      </c>
      <c r="J114">
        <f>IFERROR(CHOOSE(MATCH(Dashboard!$B$11,{"Department","Team","Unit","Legal entity","Location","Lead"},0),INDEX(Lists!$B$3:$B$20,ROW()-1),INDEX(Lists!$C$3:$C$146,ROW()-1),INDEX(Lists!$D$3:$D$67,ROW()-1),INDEX(Lists!$E$3:$E$5,ROW()-1),INDEX(Lists!$F$3:$F$12,ROW()-1),INDEX(Lists!$G$3:$G$126,ROW()-1)),"")</f>
        <v/>
      </c>
      <c r="K114">
        <f>IF(J114="","",SUMPRODUCT(($A$2:$A$636=1)*($G$2:$G$636=J114)))</f>
        <v/>
      </c>
      <c r="L114">
        <f>IF(J114="","",SUMPRODUCT(($A$2:$A$636=1)*($G$2:$G$636=J114)*(ISNUMBER($B$2:$B$636))*($B$2:$B$636&lt;0.5)))</f>
        <v/>
      </c>
      <c r="M114">
        <f>IFERROR(L114/K114,"")</f>
        <v/>
      </c>
      <c r="N114">
        <f>IF(K114="","",M114+K114/100000+ROW()/100000000)</f>
        <v/>
      </c>
      <c r="R114">
        <f>IF(A114=1,IFERROR(I114,0)+ROW()/100000000,-1E+99)</f>
        <v/>
      </c>
      <c r="S114">
        <f>IF(A114=1,IFERROR(Raw_data!$T114,""),"")</f>
        <v/>
      </c>
      <c r="T114">
        <f>IF(A114=1,IFERROR(Raw_data!$AA114,""),"")</f>
        <v/>
      </c>
      <c r="U114">
        <f>IF(A114=1,IFERROR(Raw_data!$U114,""),"")</f>
        <v/>
      </c>
      <c r="V114">
        <f>IF(A114=1,IFERROR(Raw_data!$AB114,""),"")</f>
        <v/>
      </c>
    </row>
    <row r="115">
      <c r="A115">
        <f>--(AND(OR(Dashboard!$B$4="All",Raw_data!$AL115=Dashboard!$B$4),OR(Dashboard!$B$5="All",Raw_data!$AM115=Dashboard!$B$5),OR(Dashboard!$B$6="All",Raw_data!$AN115=Dashboard!$B$6),OR(Dashboard!$B$7="All",Raw_data!$AO115=Dashboard!$B$7),OR(Dashboard!$B$8="All",Raw_data!$AP115=Dashboard!$B$8),OR(Dashboard!$B$9="All",Raw_data!$AQ115=Dashboard!$B$9),OR(Dashboard!$B$10="All",Raw_data!$AF115=Dashboard!$B$10),OR(Raw_data!$F115="",Raw_data!$F115&lt;=TODAY())))</f>
        <v/>
      </c>
      <c r="B115">
        <f>IFERROR(IF(Dashboard!$B$3="Weighted",Raw_data!$U115,Raw_data!$T115),"")</f>
        <v/>
      </c>
      <c r="C115">
        <f>IFERROR(IF(Dashboard!$B$3="Weighted",Raw_data!$AB115,Raw_data!$AA115),"")</f>
        <v/>
      </c>
      <c r="D115">
        <f>IF(OR(Raw_data!$J115="",Raw_data!$J115&lt;=0,Raw_data!$K115=""),"",IF(Raw_data!$K115&gt;TODAY(),0,DATEDIF(Raw_data!$K115,TODAY(),"M")))</f>
        <v/>
      </c>
      <c r="E115">
        <f>--(AND(Raw_data!$AF115="No",OR(Raw_data!$AG115&lt;&gt;"",Raw_data!$AJ115&gt;0,Raw_data!$AK115&lt;&gt;"")))</f>
        <v/>
      </c>
      <c r="F115">
        <f>--(OR(AND(ISNUMBER(B115),B115&lt;0.5,OR(D115&gt;=24,Raw_data!$I115&gt;0)),Raw_data!$AE115=TRUE))</f>
        <v/>
      </c>
      <c r="G115">
        <f>IF(Dashboard!$B$11="Department",Raw_data!$AL115,IF(Dashboard!$B$11="Team",Raw_data!$AM115,IF(Dashboard!$B$11="Unit",Raw_data!$AN115,IF(Dashboard!$B$11="Legal entity",Raw_data!$AO115,IF(Dashboard!$B$11="Location",Raw_data!$AP115,Raw_data!$AQ115)))))</f>
        <v/>
      </c>
      <c r="H115">
        <f>--(AND(ISNUMBER(B115),B115&lt;0.5))</f>
        <v/>
      </c>
      <c r="I115">
        <f>IFERROR(MAX(0,(0.5-B115)*100),0)+IF(D115&gt;=24,20,0)+IF(Raw_data!$I115&gt;0,20,0)+IF(Raw_data!$AE115=TRUE,10,0)</f>
        <v/>
      </c>
      <c r="J115">
        <f>IFERROR(CHOOSE(MATCH(Dashboard!$B$11,{"Department","Team","Unit","Legal entity","Location","Lead"},0),INDEX(Lists!$B$3:$B$20,ROW()-1),INDEX(Lists!$C$3:$C$146,ROW()-1),INDEX(Lists!$D$3:$D$67,ROW()-1),INDEX(Lists!$E$3:$E$5,ROW()-1),INDEX(Lists!$F$3:$F$12,ROW()-1),INDEX(Lists!$G$3:$G$126,ROW()-1)),"")</f>
        <v/>
      </c>
      <c r="K115">
        <f>IF(J115="","",SUMPRODUCT(($A$2:$A$636=1)*($G$2:$G$636=J115)))</f>
        <v/>
      </c>
      <c r="L115">
        <f>IF(J115="","",SUMPRODUCT(($A$2:$A$636=1)*($G$2:$G$636=J115)*(ISNUMBER($B$2:$B$636))*($B$2:$B$636&lt;0.5)))</f>
        <v/>
      </c>
      <c r="M115">
        <f>IFERROR(L115/K115,"")</f>
        <v/>
      </c>
      <c r="N115">
        <f>IF(K115="","",M115+K115/100000+ROW()/100000000)</f>
        <v/>
      </c>
      <c r="R115">
        <f>IF(A115=1,IFERROR(I115,0)+ROW()/100000000,-1E+99)</f>
        <v/>
      </c>
      <c r="S115">
        <f>IF(A115=1,IFERROR(Raw_data!$T115,""),"")</f>
        <v/>
      </c>
      <c r="T115">
        <f>IF(A115=1,IFERROR(Raw_data!$AA115,""),"")</f>
        <v/>
      </c>
      <c r="U115">
        <f>IF(A115=1,IFERROR(Raw_data!$U115,""),"")</f>
        <v/>
      </c>
      <c r="V115">
        <f>IF(A115=1,IFERROR(Raw_data!$AB115,""),"")</f>
        <v/>
      </c>
    </row>
    <row r="116">
      <c r="A116">
        <f>--(AND(OR(Dashboard!$B$4="All",Raw_data!$AL116=Dashboard!$B$4),OR(Dashboard!$B$5="All",Raw_data!$AM116=Dashboard!$B$5),OR(Dashboard!$B$6="All",Raw_data!$AN116=Dashboard!$B$6),OR(Dashboard!$B$7="All",Raw_data!$AO116=Dashboard!$B$7),OR(Dashboard!$B$8="All",Raw_data!$AP116=Dashboard!$B$8),OR(Dashboard!$B$9="All",Raw_data!$AQ116=Dashboard!$B$9),OR(Dashboard!$B$10="All",Raw_data!$AF116=Dashboard!$B$10),OR(Raw_data!$F116="",Raw_data!$F116&lt;=TODAY())))</f>
        <v/>
      </c>
      <c r="B116">
        <f>IFERROR(IF(Dashboard!$B$3="Weighted",Raw_data!$U116,Raw_data!$T116),"")</f>
        <v/>
      </c>
      <c r="C116">
        <f>IFERROR(IF(Dashboard!$B$3="Weighted",Raw_data!$AB116,Raw_data!$AA116),"")</f>
        <v/>
      </c>
      <c r="D116">
        <f>IF(OR(Raw_data!$J116="",Raw_data!$J116&lt;=0,Raw_data!$K116=""),"",IF(Raw_data!$K116&gt;TODAY(),0,DATEDIF(Raw_data!$K116,TODAY(),"M")))</f>
        <v/>
      </c>
      <c r="E116">
        <f>--(AND(Raw_data!$AF116="No",OR(Raw_data!$AG116&lt;&gt;"",Raw_data!$AJ116&gt;0,Raw_data!$AK116&lt;&gt;"")))</f>
        <v/>
      </c>
      <c r="F116">
        <f>--(OR(AND(ISNUMBER(B116),B116&lt;0.5,OR(D116&gt;=24,Raw_data!$I116&gt;0)),Raw_data!$AE116=TRUE))</f>
        <v/>
      </c>
      <c r="G116">
        <f>IF(Dashboard!$B$11="Department",Raw_data!$AL116,IF(Dashboard!$B$11="Team",Raw_data!$AM116,IF(Dashboard!$B$11="Unit",Raw_data!$AN116,IF(Dashboard!$B$11="Legal entity",Raw_data!$AO116,IF(Dashboard!$B$11="Location",Raw_data!$AP116,Raw_data!$AQ116)))))</f>
        <v/>
      </c>
      <c r="H116">
        <f>--(AND(ISNUMBER(B116),B116&lt;0.5))</f>
        <v/>
      </c>
      <c r="I116">
        <f>IFERROR(MAX(0,(0.5-B116)*100),0)+IF(D116&gt;=24,20,0)+IF(Raw_data!$I116&gt;0,20,0)+IF(Raw_data!$AE116=TRUE,10,0)</f>
        <v/>
      </c>
      <c r="J116">
        <f>IFERROR(CHOOSE(MATCH(Dashboard!$B$11,{"Department","Team","Unit","Legal entity","Location","Lead"},0),INDEX(Lists!$B$3:$B$20,ROW()-1),INDEX(Lists!$C$3:$C$146,ROW()-1),INDEX(Lists!$D$3:$D$67,ROW()-1),INDEX(Lists!$E$3:$E$5,ROW()-1),INDEX(Lists!$F$3:$F$12,ROW()-1),INDEX(Lists!$G$3:$G$126,ROW()-1)),"")</f>
        <v/>
      </c>
      <c r="K116">
        <f>IF(J116="","",SUMPRODUCT(($A$2:$A$636=1)*($G$2:$G$636=J116)))</f>
        <v/>
      </c>
      <c r="L116">
        <f>IF(J116="","",SUMPRODUCT(($A$2:$A$636=1)*($G$2:$G$636=J116)*(ISNUMBER($B$2:$B$636))*($B$2:$B$636&lt;0.5)))</f>
        <v/>
      </c>
      <c r="M116">
        <f>IFERROR(L116/K116,"")</f>
        <v/>
      </c>
      <c r="N116">
        <f>IF(K116="","",M116+K116/100000+ROW()/100000000)</f>
        <v/>
      </c>
      <c r="R116">
        <f>IF(A116=1,IFERROR(I116,0)+ROW()/100000000,-1E+99)</f>
        <v/>
      </c>
      <c r="S116">
        <f>IF(A116=1,IFERROR(Raw_data!$T116,""),"")</f>
        <v/>
      </c>
      <c r="T116">
        <f>IF(A116=1,IFERROR(Raw_data!$AA116,""),"")</f>
        <v/>
      </c>
      <c r="U116">
        <f>IF(A116=1,IFERROR(Raw_data!$U116,""),"")</f>
        <v/>
      </c>
      <c r="V116">
        <f>IF(A116=1,IFERROR(Raw_data!$AB116,""),"")</f>
        <v/>
      </c>
    </row>
    <row r="117">
      <c r="A117">
        <f>--(AND(OR(Dashboard!$B$4="All",Raw_data!$AL117=Dashboard!$B$4),OR(Dashboard!$B$5="All",Raw_data!$AM117=Dashboard!$B$5),OR(Dashboard!$B$6="All",Raw_data!$AN117=Dashboard!$B$6),OR(Dashboard!$B$7="All",Raw_data!$AO117=Dashboard!$B$7),OR(Dashboard!$B$8="All",Raw_data!$AP117=Dashboard!$B$8),OR(Dashboard!$B$9="All",Raw_data!$AQ117=Dashboard!$B$9),OR(Dashboard!$B$10="All",Raw_data!$AF117=Dashboard!$B$10),OR(Raw_data!$F117="",Raw_data!$F117&lt;=TODAY())))</f>
        <v/>
      </c>
      <c r="B117">
        <f>IFERROR(IF(Dashboard!$B$3="Weighted",Raw_data!$U117,Raw_data!$T117),"")</f>
        <v/>
      </c>
      <c r="C117">
        <f>IFERROR(IF(Dashboard!$B$3="Weighted",Raw_data!$AB117,Raw_data!$AA117),"")</f>
        <v/>
      </c>
      <c r="D117">
        <f>IF(OR(Raw_data!$J117="",Raw_data!$J117&lt;=0,Raw_data!$K117=""),"",IF(Raw_data!$K117&gt;TODAY(),0,DATEDIF(Raw_data!$K117,TODAY(),"M")))</f>
        <v/>
      </c>
      <c r="E117">
        <f>--(AND(Raw_data!$AF117="No",OR(Raw_data!$AG117&lt;&gt;"",Raw_data!$AJ117&gt;0,Raw_data!$AK117&lt;&gt;"")))</f>
        <v/>
      </c>
      <c r="F117">
        <f>--(OR(AND(ISNUMBER(B117),B117&lt;0.5,OR(D117&gt;=24,Raw_data!$I117&gt;0)),Raw_data!$AE117=TRUE))</f>
        <v/>
      </c>
      <c r="G117">
        <f>IF(Dashboard!$B$11="Department",Raw_data!$AL117,IF(Dashboard!$B$11="Team",Raw_data!$AM117,IF(Dashboard!$B$11="Unit",Raw_data!$AN117,IF(Dashboard!$B$11="Legal entity",Raw_data!$AO117,IF(Dashboard!$B$11="Location",Raw_data!$AP117,Raw_data!$AQ117)))))</f>
        <v/>
      </c>
      <c r="H117">
        <f>--(AND(ISNUMBER(B117),B117&lt;0.5))</f>
        <v/>
      </c>
      <c r="I117">
        <f>IFERROR(MAX(0,(0.5-B117)*100),0)+IF(D117&gt;=24,20,0)+IF(Raw_data!$I117&gt;0,20,0)+IF(Raw_data!$AE117=TRUE,10,0)</f>
        <v/>
      </c>
      <c r="J117">
        <f>IFERROR(CHOOSE(MATCH(Dashboard!$B$11,{"Department","Team","Unit","Legal entity","Location","Lead"},0),INDEX(Lists!$B$3:$B$20,ROW()-1),INDEX(Lists!$C$3:$C$146,ROW()-1),INDEX(Lists!$D$3:$D$67,ROW()-1),INDEX(Lists!$E$3:$E$5,ROW()-1),INDEX(Lists!$F$3:$F$12,ROW()-1),INDEX(Lists!$G$3:$G$126,ROW()-1)),"")</f>
        <v/>
      </c>
      <c r="K117">
        <f>IF(J117="","",SUMPRODUCT(($A$2:$A$636=1)*($G$2:$G$636=J117)))</f>
        <v/>
      </c>
      <c r="L117">
        <f>IF(J117="","",SUMPRODUCT(($A$2:$A$636=1)*($G$2:$G$636=J117)*(ISNUMBER($B$2:$B$636))*($B$2:$B$636&lt;0.5)))</f>
        <v/>
      </c>
      <c r="M117">
        <f>IFERROR(L117/K117,"")</f>
        <v/>
      </c>
      <c r="N117">
        <f>IF(K117="","",M117+K117/100000+ROW()/100000000)</f>
        <v/>
      </c>
      <c r="R117">
        <f>IF(A117=1,IFERROR(I117,0)+ROW()/100000000,-1E+99)</f>
        <v/>
      </c>
      <c r="S117">
        <f>IF(A117=1,IFERROR(Raw_data!$T117,""),"")</f>
        <v/>
      </c>
      <c r="T117">
        <f>IF(A117=1,IFERROR(Raw_data!$AA117,""),"")</f>
        <v/>
      </c>
      <c r="U117">
        <f>IF(A117=1,IFERROR(Raw_data!$U117,""),"")</f>
        <v/>
      </c>
      <c r="V117">
        <f>IF(A117=1,IFERROR(Raw_data!$AB117,""),"")</f>
        <v/>
      </c>
    </row>
    <row r="118">
      <c r="A118">
        <f>--(AND(OR(Dashboard!$B$4="All",Raw_data!$AL118=Dashboard!$B$4),OR(Dashboard!$B$5="All",Raw_data!$AM118=Dashboard!$B$5),OR(Dashboard!$B$6="All",Raw_data!$AN118=Dashboard!$B$6),OR(Dashboard!$B$7="All",Raw_data!$AO118=Dashboard!$B$7),OR(Dashboard!$B$8="All",Raw_data!$AP118=Dashboard!$B$8),OR(Dashboard!$B$9="All",Raw_data!$AQ118=Dashboard!$B$9),OR(Dashboard!$B$10="All",Raw_data!$AF118=Dashboard!$B$10),OR(Raw_data!$F118="",Raw_data!$F118&lt;=TODAY())))</f>
        <v/>
      </c>
      <c r="B118">
        <f>IFERROR(IF(Dashboard!$B$3="Weighted",Raw_data!$U118,Raw_data!$T118),"")</f>
        <v/>
      </c>
      <c r="C118">
        <f>IFERROR(IF(Dashboard!$B$3="Weighted",Raw_data!$AB118,Raw_data!$AA118),"")</f>
        <v/>
      </c>
      <c r="D118">
        <f>IF(OR(Raw_data!$J118="",Raw_data!$J118&lt;=0,Raw_data!$K118=""),"",IF(Raw_data!$K118&gt;TODAY(),0,DATEDIF(Raw_data!$K118,TODAY(),"M")))</f>
        <v/>
      </c>
      <c r="E118">
        <f>--(AND(Raw_data!$AF118="No",OR(Raw_data!$AG118&lt;&gt;"",Raw_data!$AJ118&gt;0,Raw_data!$AK118&lt;&gt;"")))</f>
        <v/>
      </c>
      <c r="F118">
        <f>--(OR(AND(ISNUMBER(B118),B118&lt;0.5,OR(D118&gt;=24,Raw_data!$I118&gt;0)),Raw_data!$AE118=TRUE))</f>
        <v/>
      </c>
      <c r="G118">
        <f>IF(Dashboard!$B$11="Department",Raw_data!$AL118,IF(Dashboard!$B$11="Team",Raw_data!$AM118,IF(Dashboard!$B$11="Unit",Raw_data!$AN118,IF(Dashboard!$B$11="Legal entity",Raw_data!$AO118,IF(Dashboard!$B$11="Location",Raw_data!$AP118,Raw_data!$AQ118)))))</f>
        <v/>
      </c>
      <c r="H118">
        <f>--(AND(ISNUMBER(B118),B118&lt;0.5))</f>
        <v/>
      </c>
      <c r="I118">
        <f>IFERROR(MAX(0,(0.5-B118)*100),0)+IF(D118&gt;=24,20,0)+IF(Raw_data!$I118&gt;0,20,0)+IF(Raw_data!$AE118=TRUE,10,0)</f>
        <v/>
      </c>
      <c r="J118">
        <f>IFERROR(CHOOSE(MATCH(Dashboard!$B$11,{"Department","Team","Unit","Legal entity","Location","Lead"},0),INDEX(Lists!$B$3:$B$20,ROW()-1),INDEX(Lists!$C$3:$C$146,ROW()-1),INDEX(Lists!$D$3:$D$67,ROW()-1),INDEX(Lists!$E$3:$E$5,ROW()-1),INDEX(Lists!$F$3:$F$12,ROW()-1),INDEX(Lists!$G$3:$G$126,ROW()-1)),"")</f>
        <v/>
      </c>
      <c r="K118">
        <f>IF(J118="","",SUMPRODUCT(($A$2:$A$636=1)*($G$2:$G$636=J118)))</f>
        <v/>
      </c>
      <c r="L118">
        <f>IF(J118="","",SUMPRODUCT(($A$2:$A$636=1)*($G$2:$G$636=J118)*(ISNUMBER($B$2:$B$636))*($B$2:$B$636&lt;0.5)))</f>
        <v/>
      </c>
      <c r="M118">
        <f>IFERROR(L118/K118,"")</f>
        <v/>
      </c>
      <c r="N118">
        <f>IF(K118="","",M118+K118/100000+ROW()/100000000)</f>
        <v/>
      </c>
      <c r="R118">
        <f>IF(A118=1,IFERROR(I118,0)+ROW()/100000000,-1E+99)</f>
        <v/>
      </c>
      <c r="S118">
        <f>IF(A118=1,IFERROR(Raw_data!$T118,""),"")</f>
        <v/>
      </c>
      <c r="T118">
        <f>IF(A118=1,IFERROR(Raw_data!$AA118,""),"")</f>
        <v/>
      </c>
      <c r="U118">
        <f>IF(A118=1,IFERROR(Raw_data!$U118,""),"")</f>
        <v/>
      </c>
      <c r="V118">
        <f>IF(A118=1,IFERROR(Raw_data!$AB118,""),"")</f>
        <v/>
      </c>
    </row>
    <row r="119">
      <c r="A119">
        <f>--(AND(OR(Dashboard!$B$4="All",Raw_data!$AL119=Dashboard!$B$4),OR(Dashboard!$B$5="All",Raw_data!$AM119=Dashboard!$B$5),OR(Dashboard!$B$6="All",Raw_data!$AN119=Dashboard!$B$6),OR(Dashboard!$B$7="All",Raw_data!$AO119=Dashboard!$B$7),OR(Dashboard!$B$8="All",Raw_data!$AP119=Dashboard!$B$8),OR(Dashboard!$B$9="All",Raw_data!$AQ119=Dashboard!$B$9),OR(Dashboard!$B$10="All",Raw_data!$AF119=Dashboard!$B$10),OR(Raw_data!$F119="",Raw_data!$F119&lt;=TODAY())))</f>
        <v/>
      </c>
      <c r="B119">
        <f>IFERROR(IF(Dashboard!$B$3="Weighted",Raw_data!$U119,Raw_data!$T119),"")</f>
        <v/>
      </c>
      <c r="C119">
        <f>IFERROR(IF(Dashboard!$B$3="Weighted",Raw_data!$AB119,Raw_data!$AA119),"")</f>
        <v/>
      </c>
      <c r="D119">
        <f>IF(OR(Raw_data!$J119="",Raw_data!$J119&lt;=0,Raw_data!$K119=""),"",IF(Raw_data!$K119&gt;TODAY(),0,DATEDIF(Raw_data!$K119,TODAY(),"M")))</f>
        <v/>
      </c>
      <c r="E119">
        <f>--(AND(Raw_data!$AF119="No",OR(Raw_data!$AG119&lt;&gt;"",Raw_data!$AJ119&gt;0,Raw_data!$AK119&lt;&gt;"")))</f>
        <v/>
      </c>
      <c r="F119">
        <f>--(OR(AND(ISNUMBER(B119),B119&lt;0.5,OR(D119&gt;=24,Raw_data!$I119&gt;0)),Raw_data!$AE119=TRUE))</f>
        <v/>
      </c>
      <c r="G119">
        <f>IF(Dashboard!$B$11="Department",Raw_data!$AL119,IF(Dashboard!$B$11="Team",Raw_data!$AM119,IF(Dashboard!$B$11="Unit",Raw_data!$AN119,IF(Dashboard!$B$11="Legal entity",Raw_data!$AO119,IF(Dashboard!$B$11="Location",Raw_data!$AP119,Raw_data!$AQ119)))))</f>
        <v/>
      </c>
      <c r="H119">
        <f>--(AND(ISNUMBER(B119),B119&lt;0.5))</f>
        <v/>
      </c>
      <c r="I119">
        <f>IFERROR(MAX(0,(0.5-B119)*100),0)+IF(D119&gt;=24,20,0)+IF(Raw_data!$I119&gt;0,20,0)+IF(Raw_data!$AE119=TRUE,10,0)</f>
        <v/>
      </c>
      <c r="J119">
        <f>IFERROR(CHOOSE(MATCH(Dashboard!$B$11,{"Department","Team","Unit","Legal entity","Location","Lead"},0),INDEX(Lists!$B$3:$B$20,ROW()-1),INDEX(Lists!$C$3:$C$146,ROW()-1),INDEX(Lists!$D$3:$D$67,ROW()-1),INDEX(Lists!$E$3:$E$5,ROW()-1),INDEX(Lists!$F$3:$F$12,ROW()-1),INDEX(Lists!$G$3:$G$126,ROW()-1)),"")</f>
        <v/>
      </c>
      <c r="K119">
        <f>IF(J119="","",SUMPRODUCT(($A$2:$A$636=1)*($G$2:$G$636=J119)))</f>
        <v/>
      </c>
      <c r="L119">
        <f>IF(J119="","",SUMPRODUCT(($A$2:$A$636=1)*($G$2:$G$636=J119)*(ISNUMBER($B$2:$B$636))*($B$2:$B$636&lt;0.5)))</f>
        <v/>
      </c>
      <c r="M119">
        <f>IFERROR(L119/K119,"")</f>
        <v/>
      </c>
      <c r="N119">
        <f>IF(K119="","",M119+K119/100000+ROW()/100000000)</f>
        <v/>
      </c>
      <c r="R119">
        <f>IF(A119=1,IFERROR(I119,0)+ROW()/100000000,-1E+99)</f>
        <v/>
      </c>
      <c r="S119">
        <f>IF(A119=1,IFERROR(Raw_data!$T119,""),"")</f>
        <v/>
      </c>
      <c r="T119">
        <f>IF(A119=1,IFERROR(Raw_data!$AA119,""),"")</f>
        <v/>
      </c>
      <c r="U119">
        <f>IF(A119=1,IFERROR(Raw_data!$U119,""),"")</f>
        <v/>
      </c>
      <c r="V119">
        <f>IF(A119=1,IFERROR(Raw_data!$AB119,""),"")</f>
        <v/>
      </c>
    </row>
    <row r="120">
      <c r="A120">
        <f>--(AND(OR(Dashboard!$B$4="All",Raw_data!$AL120=Dashboard!$B$4),OR(Dashboard!$B$5="All",Raw_data!$AM120=Dashboard!$B$5),OR(Dashboard!$B$6="All",Raw_data!$AN120=Dashboard!$B$6),OR(Dashboard!$B$7="All",Raw_data!$AO120=Dashboard!$B$7),OR(Dashboard!$B$8="All",Raw_data!$AP120=Dashboard!$B$8),OR(Dashboard!$B$9="All",Raw_data!$AQ120=Dashboard!$B$9),OR(Dashboard!$B$10="All",Raw_data!$AF120=Dashboard!$B$10),OR(Raw_data!$F120="",Raw_data!$F120&lt;=TODAY())))</f>
        <v/>
      </c>
      <c r="B120">
        <f>IFERROR(IF(Dashboard!$B$3="Weighted",Raw_data!$U120,Raw_data!$T120),"")</f>
        <v/>
      </c>
      <c r="C120">
        <f>IFERROR(IF(Dashboard!$B$3="Weighted",Raw_data!$AB120,Raw_data!$AA120),"")</f>
        <v/>
      </c>
      <c r="D120">
        <f>IF(OR(Raw_data!$J120="",Raw_data!$J120&lt;=0,Raw_data!$K120=""),"",IF(Raw_data!$K120&gt;TODAY(),0,DATEDIF(Raw_data!$K120,TODAY(),"M")))</f>
        <v/>
      </c>
      <c r="E120">
        <f>--(AND(Raw_data!$AF120="No",OR(Raw_data!$AG120&lt;&gt;"",Raw_data!$AJ120&gt;0,Raw_data!$AK120&lt;&gt;"")))</f>
        <v/>
      </c>
      <c r="F120">
        <f>--(OR(AND(ISNUMBER(B120),B120&lt;0.5,OR(D120&gt;=24,Raw_data!$I120&gt;0)),Raw_data!$AE120=TRUE))</f>
        <v/>
      </c>
      <c r="G120">
        <f>IF(Dashboard!$B$11="Department",Raw_data!$AL120,IF(Dashboard!$B$11="Team",Raw_data!$AM120,IF(Dashboard!$B$11="Unit",Raw_data!$AN120,IF(Dashboard!$B$11="Legal entity",Raw_data!$AO120,IF(Dashboard!$B$11="Location",Raw_data!$AP120,Raw_data!$AQ120)))))</f>
        <v/>
      </c>
      <c r="H120">
        <f>--(AND(ISNUMBER(B120),B120&lt;0.5))</f>
        <v/>
      </c>
      <c r="I120">
        <f>IFERROR(MAX(0,(0.5-B120)*100),0)+IF(D120&gt;=24,20,0)+IF(Raw_data!$I120&gt;0,20,0)+IF(Raw_data!$AE120=TRUE,10,0)</f>
        <v/>
      </c>
      <c r="J120">
        <f>IFERROR(CHOOSE(MATCH(Dashboard!$B$11,{"Department","Team","Unit","Legal entity","Location","Lead"},0),INDEX(Lists!$B$3:$B$20,ROW()-1),INDEX(Lists!$C$3:$C$146,ROW()-1),INDEX(Lists!$D$3:$D$67,ROW()-1),INDEX(Lists!$E$3:$E$5,ROW()-1),INDEX(Lists!$F$3:$F$12,ROW()-1),INDEX(Lists!$G$3:$G$126,ROW()-1)),"")</f>
        <v/>
      </c>
      <c r="K120">
        <f>IF(J120="","",SUMPRODUCT(($A$2:$A$636=1)*($G$2:$G$636=J120)))</f>
        <v/>
      </c>
      <c r="L120">
        <f>IF(J120="","",SUMPRODUCT(($A$2:$A$636=1)*($G$2:$G$636=J120)*(ISNUMBER($B$2:$B$636))*($B$2:$B$636&lt;0.5)))</f>
        <v/>
      </c>
      <c r="M120">
        <f>IFERROR(L120/K120,"")</f>
        <v/>
      </c>
      <c r="N120">
        <f>IF(K120="","",M120+K120/100000+ROW()/100000000)</f>
        <v/>
      </c>
      <c r="R120">
        <f>IF(A120=1,IFERROR(I120,0)+ROW()/100000000,-1E+99)</f>
        <v/>
      </c>
      <c r="S120">
        <f>IF(A120=1,IFERROR(Raw_data!$T120,""),"")</f>
        <v/>
      </c>
      <c r="T120">
        <f>IF(A120=1,IFERROR(Raw_data!$AA120,""),"")</f>
        <v/>
      </c>
      <c r="U120">
        <f>IF(A120=1,IFERROR(Raw_data!$U120,""),"")</f>
        <v/>
      </c>
      <c r="V120">
        <f>IF(A120=1,IFERROR(Raw_data!$AB120,""),"")</f>
        <v/>
      </c>
    </row>
    <row r="121">
      <c r="A121">
        <f>--(AND(OR(Dashboard!$B$4="All",Raw_data!$AL121=Dashboard!$B$4),OR(Dashboard!$B$5="All",Raw_data!$AM121=Dashboard!$B$5),OR(Dashboard!$B$6="All",Raw_data!$AN121=Dashboard!$B$6),OR(Dashboard!$B$7="All",Raw_data!$AO121=Dashboard!$B$7),OR(Dashboard!$B$8="All",Raw_data!$AP121=Dashboard!$B$8),OR(Dashboard!$B$9="All",Raw_data!$AQ121=Dashboard!$B$9),OR(Dashboard!$B$10="All",Raw_data!$AF121=Dashboard!$B$10),OR(Raw_data!$F121="",Raw_data!$F121&lt;=TODAY())))</f>
        <v/>
      </c>
      <c r="B121">
        <f>IFERROR(IF(Dashboard!$B$3="Weighted",Raw_data!$U121,Raw_data!$T121),"")</f>
        <v/>
      </c>
      <c r="C121">
        <f>IFERROR(IF(Dashboard!$B$3="Weighted",Raw_data!$AB121,Raw_data!$AA121),"")</f>
        <v/>
      </c>
      <c r="D121">
        <f>IF(OR(Raw_data!$J121="",Raw_data!$J121&lt;=0,Raw_data!$K121=""),"",IF(Raw_data!$K121&gt;TODAY(),0,DATEDIF(Raw_data!$K121,TODAY(),"M")))</f>
        <v/>
      </c>
      <c r="E121">
        <f>--(AND(Raw_data!$AF121="No",OR(Raw_data!$AG121&lt;&gt;"",Raw_data!$AJ121&gt;0,Raw_data!$AK121&lt;&gt;"")))</f>
        <v/>
      </c>
      <c r="F121">
        <f>--(OR(AND(ISNUMBER(B121),B121&lt;0.5,OR(D121&gt;=24,Raw_data!$I121&gt;0)),Raw_data!$AE121=TRUE))</f>
        <v/>
      </c>
      <c r="G121">
        <f>IF(Dashboard!$B$11="Department",Raw_data!$AL121,IF(Dashboard!$B$11="Team",Raw_data!$AM121,IF(Dashboard!$B$11="Unit",Raw_data!$AN121,IF(Dashboard!$B$11="Legal entity",Raw_data!$AO121,IF(Dashboard!$B$11="Location",Raw_data!$AP121,Raw_data!$AQ121)))))</f>
        <v/>
      </c>
      <c r="H121">
        <f>--(AND(ISNUMBER(B121),B121&lt;0.5))</f>
        <v/>
      </c>
      <c r="I121">
        <f>IFERROR(MAX(0,(0.5-B121)*100),0)+IF(D121&gt;=24,20,0)+IF(Raw_data!$I121&gt;0,20,0)+IF(Raw_data!$AE121=TRUE,10,0)</f>
        <v/>
      </c>
      <c r="J121">
        <f>IFERROR(CHOOSE(MATCH(Dashboard!$B$11,{"Department","Team","Unit","Legal entity","Location","Lead"},0),INDEX(Lists!$B$3:$B$20,ROW()-1),INDEX(Lists!$C$3:$C$146,ROW()-1),INDEX(Lists!$D$3:$D$67,ROW()-1),INDEX(Lists!$E$3:$E$5,ROW()-1),INDEX(Lists!$F$3:$F$12,ROW()-1),INDEX(Lists!$G$3:$G$126,ROW()-1)),"")</f>
        <v/>
      </c>
      <c r="K121">
        <f>IF(J121="","",SUMPRODUCT(($A$2:$A$636=1)*($G$2:$G$636=J121)))</f>
        <v/>
      </c>
      <c r="L121">
        <f>IF(J121="","",SUMPRODUCT(($A$2:$A$636=1)*($G$2:$G$636=J121)*(ISNUMBER($B$2:$B$636))*($B$2:$B$636&lt;0.5)))</f>
        <v/>
      </c>
      <c r="M121">
        <f>IFERROR(L121/K121,"")</f>
        <v/>
      </c>
      <c r="N121">
        <f>IF(K121="","",M121+K121/100000+ROW()/100000000)</f>
        <v/>
      </c>
      <c r="R121">
        <f>IF(A121=1,IFERROR(I121,0)+ROW()/100000000,-1E+99)</f>
        <v/>
      </c>
      <c r="S121">
        <f>IF(A121=1,IFERROR(Raw_data!$T121,""),"")</f>
        <v/>
      </c>
      <c r="T121">
        <f>IF(A121=1,IFERROR(Raw_data!$AA121,""),"")</f>
        <v/>
      </c>
      <c r="U121">
        <f>IF(A121=1,IFERROR(Raw_data!$U121,""),"")</f>
        <v/>
      </c>
      <c r="V121">
        <f>IF(A121=1,IFERROR(Raw_data!$AB121,""),"")</f>
        <v/>
      </c>
    </row>
    <row r="122">
      <c r="A122">
        <f>--(AND(OR(Dashboard!$B$4="All",Raw_data!$AL122=Dashboard!$B$4),OR(Dashboard!$B$5="All",Raw_data!$AM122=Dashboard!$B$5),OR(Dashboard!$B$6="All",Raw_data!$AN122=Dashboard!$B$6),OR(Dashboard!$B$7="All",Raw_data!$AO122=Dashboard!$B$7),OR(Dashboard!$B$8="All",Raw_data!$AP122=Dashboard!$B$8),OR(Dashboard!$B$9="All",Raw_data!$AQ122=Dashboard!$B$9),OR(Dashboard!$B$10="All",Raw_data!$AF122=Dashboard!$B$10),OR(Raw_data!$F122="",Raw_data!$F122&lt;=TODAY())))</f>
        <v/>
      </c>
      <c r="B122">
        <f>IFERROR(IF(Dashboard!$B$3="Weighted",Raw_data!$U122,Raw_data!$T122),"")</f>
        <v/>
      </c>
      <c r="C122">
        <f>IFERROR(IF(Dashboard!$B$3="Weighted",Raw_data!$AB122,Raw_data!$AA122),"")</f>
        <v/>
      </c>
      <c r="D122">
        <f>IF(OR(Raw_data!$J122="",Raw_data!$J122&lt;=0,Raw_data!$K122=""),"",IF(Raw_data!$K122&gt;TODAY(),0,DATEDIF(Raw_data!$K122,TODAY(),"M")))</f>
        <v/>
      </c>
      <c r="E122">
        <f>--(AND(Raw_data!$AF122="No",OR(Raw_data!$AG122&lt;&gt;"",Raw_data!$AJ122&gt;0,Raw_data!$AK122&lt;&gt;"")))</f>
        <v/>
      </c>
      <c r="F122">
        <f>--(OR(AND(ISNUMBER(B122),B122&lt;0.5,OR(D122&gt;=24,Raw_data!$I122&gt;0)),Raw_data!$AE122=TRUE))</f>
        <v/>
      </c>
      <c r="G122">
        <f>IF(Dashboard!$B$11="Department",Raw_data!$AL122,IF(Dashboard!$B$11="Team",Raw_data!$AM122,IF(Dashboard!$B$11="Unit",Raw_data!$AN122,IF(Dashboard!$B$11="Legal entity",Raw_data!$AO122,IF(Dashboard!$B$11="Location",Raw_data!$AP122,Raw_data!$AQ122)))))</f>
        <v/>
      </c>
      <c r="H122">
        <f>--(AND(ISNUMBER(B122),B122&lt;0.5))</f>
        <v/>
      </c>
      <c r="I122">
        <f>IFERROR(MAX(0,(0.5-B122)*100),0)+IF(D122&gt;=24,20,0)+IF(Raw_data!$I122&gt;0,20,0)+IF(Raw_data!$AE122=TRUE,10,0)</f>
        <v/>
      </c>
      <c r="J122">
        <f>IFERROR(CHOOSE(MATCH(Dashboard!$B$11,{"Department","Team","Unit","Legal entity","Location","Lead"},0),INDEX(Lists!$B$3:$B$20,ROW()-1),INDEX(Lists!$C$3:$C$146,ROW()-1),INDEX(Lists!$D$3:$D$67,ROW()-1),INDEX(Lists!$E$3:$E$5,ROW()-1),INDEX(Lists!$F$3:$F$12,ROW()-1),INDEX(Lists!$G$3:$G$126,ROW()-1)),"")</f>
        <v/>
      </c>
      <c r="K122">
        <f>IF(J122="","",SUMPRODUCT(($A$2:$A$636=1)*($G$2:$G$636=J122)))</f>
        <v/>
      </c>
      <c r="L122">
        <f>IF(J122="","",SUMPRODUCT(($A$2:$A$636=1)*($G$2:$G$636=J122)*(ISNUMBER($B$2:$B$636))*($B$2:$B$636&lt;0.5)))</f>
        <v/>
      </c>
      <c r="M122">
        <f>IFERROR(L122/K122,"")</f>
        <v/>
      </c>
      <c r="N122">
        <f>IF(K122="","",M122+K122/100000+ROW()/100000000)</f>
        <v/>
      </c>
      <c r="R122">
        <f>IF(A122=1,IFERROR(I122,0)+ROW()/100000000,-1E+99)</f>
        <v/>
      </c>
      <c r="S122">
        <f>IF(A122=1,IFERROR(Raw_data!$T122,""),"")</f>
        <v/>
      </c>
      <c r="T122">
        <f>IF(A122=1,IFERROR(Raw_data!$AA122,""),"")</f>
        <v/>
      </c>
      <c r="U122">
        <f>IF(A122=1,IFERROR(Raw_data!$U122,""),"")</f>
        <v/>
      </c>
      <c r="V122">
        <f>IF(A122=1,IFERROR(Raw_data!$AB122,""),"")</f>
        <v/>
      </c>
    </row>
    <row r="123">
      <c r="A123">
        <f>--(AND(OR(Dashboard!$B$4="All",Raw_data!$AL123=Dashboard!$B$4),OR(Dashboard!$B$5="All",Raw_data!$AM123=Dashboard!$B$5),OR(Dashboard!$B$6="All",Raw_data!$AN123=Dashboard!$B$6),OR(Dashboard!$B$7="All",Raw_data!$AO123=Dashboard!$B$7),OR(Dashboard!$B$8="All",Raw_data!$AP123=Dashboard!$B$8),OR(Dashboard!$B$9="All",Raw_data!$AQ123=Dashboard!$B$9),OR(Dashboard!$B$10="All",Raw_data!$AF123=Dashboard!$B$10),OR(Raw_data!$F123="",Raw_data!$F123&lt;=TODAY())))</f>
        <v/>
      </c>
      <c r="B123">
        <f>IFERROR(IF(Dashboard!$B$3="Weighted",Raw_data!$U123,Raw_data!$T123),"")</f>
        <v/>
      </c>
      <c r="C123">
        <f>IFERROR(IF(Dashboard!$B$3="Weighted",Raw_data!$AB123,Raw_data!$AA123),"")</f>
        <v/>
      </c>
      <c r="D123">
        <f>IF(OR(Raw_data!$J123="",Raw_data!$J123&lt;=0,Raw_data!$K123=""),"",IF(Raw_data!$K123&gt;TODAY(),0,DATEDIF(Raw_data!$K123,TODAY(),"M")))</f>
        <v/>
      </c>
      <c r="E123">
        <f>--(AND(Raw_data!$AF123="No",OR(Raw_data!$AG123&lt;&gt;"",Raw_data!$AJ123&gt;0,Raw_data!$AK123&lt;&gt;"")))</f>
        <v/>
      </c>
      <c r="F123">
        <f>--(OR(AND(ISNUMBER(B123),B123&lt;0.5,OR(D123&gt;=24,Raw_data!$I123&gt;0)),Raw_data!$AE123=TRUE))</f>
        <v/>
      </c>
      <c r="G123">
        <f>IF(Dashboard!$B$11="Department",Raw_data!$AL123,IF(Dashboard!$B$11="Team",Raw_data!$AM123,IF(Dashboard!$B$11="Unit",Raw_data!$AN123,IF(Dashboard!$B$11="Legal entity",Raw_data!$AO123,IF(Dashboard!$B$11="Location",Raw_data!$AP123,Raw_data!$AQ123)))))</f>
        <v/>
      </c>
      <c r="H123">
        <f>--(AND(ISNUMBER(B123),B123&lt;0.5))</f>
        <v/>
      </c>
      <c r="I123">
        <f>IFERROR(MAX(0,(0.5-B123)*100),0)+IF(D123&gt;=24,20,0)+IF(Raw_data!$I123&gt;0,20,0)+IF(Raw_data!$AE123=TRUE,10,0)</f>
        <v/>
      </c>
      <c r="J123">
        <f>IFERROR(CHOOSE(MATCH(Dashboard!$B$11,{"Department","Team","Unit","Legal entity","Location","Lead"},0),INDEX(Lists!$B$3:$B$20,ROW()-1),INDEX(Lists!$C$3:$C$146,ROW()-1),INDEX(Lists!$D$3:$D$67,ROW()-1),INDEX(Lists!$E$3:$E$5,ROW()-1),INDEX(Lists!$F$3:$F$12,ROW()-1),INDEX(Lists!$G$3:$G$126,ROW()-1)),"")</f>
        <v/>
      </c>
      <c r="K123">
        <f>IF(J123="","",SUMPRODUCT(($A$2:$A$636=1)*($G$2:$G$636=J123)))</f>
        <v/>
      </c>
      <c r="L123">
        <f>IF(J123="","",SUMPRODUCT(($A$2:$A$636=1)*($G$2:$G$636=J123)*(ISNUMBER($B$2:$B$636))*($B$2:$B$636&lt;0.5)))</f>
        <v/>
      </c>
      <c r="M123">
        <f>IFERROR(L123/K123,"")</f>
        <v/>
      </c>
      <c r="N123">
        <f>IF(K123="","",M123+K123/100000+ROW()/100000000)</f>
        <v/>
      </c>
      <c r="R123">
        <f>IF(A123=1,IFERROR(I123,0)+ROW()/100000000,-1E+99)</f>
        <v/>
      </c>
      <c r="S123">
        <f>IF(A123=1,IFERROR(Raw_data!$T123,""),"")</f>
        <v/>
      </c>
      <c r="T123">
        <f>IF(A123=1,IFERROR(Raw_data!$AA123,""),"")</f>
        <v/>
      </c>
      <c r="U123">
        <f>IF(A123=1,IFERROR(Raw_data!$U123,""),"")</f>
        <v/>
      </c>
      <c r="V123">
        <f>IF(A123=1,IFERROR(Raw_data!$AB123,""),"")</f>
        <v/>
      </c>
    </row>
    <row r="124">
      <c r="A124">
        <f>--(AND(OR(Dashboard!$B$4="All",Raw_data!$AL124=Dashboard!$B$4),OR(Dashboard!$B$5="All",Raw_data!$AM124=Dashboard!$B$5),OR(Dashboard!$B$6="All",Raw_data!$AN124=Dashboard!$B$6),OR(Dashboard!$B$7="All",Raw_data!$AO124=Dashboard!$B$7),OR(Dashboard!$B$8="All",Raw_data!$AP124=Dashboard!$B$8),OR(Dashboard!$B$9="All",Raw_data!$AQ124=Dashboard!$B$9),OR(Dashboard!$B$10="All",Raw_data!$AF124=Dashboard!$B$10),OR(Raw_data!$F124="",Raw_data!$F124&lt;=TODAY())))</f>
        <v/>
      </c>
      <c r="B124">
        <f>IFERROR(IF(Dashboard!$B$3="Weighted",Raw_data!$U124,Raw_data!$T124),"")</f>
        <v/>
      </c>
      <c r="C124">
        <f>IFERROR(IF(Dashboard!$B$3="Weighted",Raw_data!$AB124,Raw_data!$AA124),"")</f>
        <v/>
      </c>
      <c r="D124">
        <f>IF(OR(Raw_data!$J124="",Raw_data!$J124&lt;=0,Raw_data!$K124=""),"",IF(Raw_data!$K124&gt;TODAY(),0,DATEDIF(Raw_data!$K124,TODAY(),"M")))</f>
        <v/>
      </c>
      <c r="E124">
        <f>--(AND(Raw_data!$AF124="No",OR(Raw_data!$AG124&lt;&gt;"",Raw_data!$AJ124&gt;0,Raw_data!$AK124&lt;&gt;"")))</f>
        <v/>
      </c>
      <c r="F124">
        <f>--(OR(AND(ISNUMBER(B124),B124&lt;0.5,OR(D124&gt;=24,Raw_data!$I124&gt;0)),Raw_data!$AE124=TRUE))</f>
        <v/>
      </c>
      <c r="G124">
        <f>IF(Dashboard!$B$11="Department",Raw_data!$AL124,IF(Dashboard!$B$11="Team",Raw_data!$AM124,IF(Dashboard!$B$11="Unit",Raw_data!$AN124,IF(Dashboard!$B$11="Legal entity",Raw_data!$AO124,IF(Dashboard!$B$11="Location",Raw_data!$AP124,Raw_data!$AQ124)))))</f>
        <v/>
      </c>
      <c r="H124">
        <f>--(AND(ISNUMBER(B124),B124&lt;0.5))</f>
        <v/>
      </c>
      <c r="I124">
        <f>IFERROR(MAX(0,(0.5-B124)*100),0)+IF(D124&gt;=24,20,0)+IF(Raw_data!$I124&gt;0,20,0)+IF(Raw_data!$AE124=TRUE,10,0)</f>
        <v/>
      </c>
      <c r="J124">
        <f>IFERROR(CHOOSE(MATCH(Dashboard!$B$11,{"Department","Team","Unit","Legal entity","Location","Lead"},0),INDEX(Lists!$B$3:$B$20,ROW()-1),INDEX(Lists!$C$3:$C$146,ROW()-1),INDEX(Lists!$D$3:$D$67,ROW()-1),INDEX(Lists!$E$3:$E$5,ROW()-1),INDEX(Lists!$F$3:$F$12,ROW()-1),INDEX(Lists!$G$3:$G$126,ROW()-1)),"")</f>
        <v/>
      </c>
      <c r="K124">
        <f>IF(J124="","",SUMPRODUCT(($A$2:$A$636=1)*($G$2:$G$636=J124)))</f>
        <v/>
      </c>
      <c r="L124">
        <f>IF(J124="","",SUMPRODUCT(($A$2:$A$636=1)*($G$2:$G$636=J124)*(ISNUMBER($B$2:$B$636))*($B$2:$B$636&lt;0.5)))</f>
        <v/>
      </c>
      <c r="M124">
        <f>IFERROR(L124/K124,"")</f>
        <v/>
      </c>
      <c r="N124">
        <f>IF(K124="","",M124+K124/100000+ROW()/100000000)</f>
        <v/>
      </c>
      <c r="R124">
        <f>IF(A124=1,IFERROR(I124,0)+ROW()/100000000,-1E+99)</f>
        <v/>
      </c>
      <c r="S124">
        <f>IF(A124=1,IFERROR(Raw_data!$T124,""),"")</f>
        <v/>
      </c>
      <c r="T124">
        <f>IF(A124=1,IFERROR(Raw_data!$AA124,""),"")</f>
        <v/>
      </c>
      <c r="U124">
        <f>IF(A124=1,IFERROR(Raw_data!$U124,""),"")</f>
        <v/>
      </c>
      <c r="V124">
        <f>IF(A124=1,IFERROR(Raw_data!$AB124,""),"")</f>
        <v/>
      </c>
    </row>
    <row r="125">
      <c r="A125">
        <f>--(AND(OR(Dashboard!$B$4="All",Raw_data!$AL125=Dashboard!$B$4),OR(Dashboard!$B$5="All",Raw_data!$AM125=Dashboard!$B$5),OR(Dashboard!$B$6="All",Raw_data!$AN125=Dashboard!$B$6),OR(Dashboard!$B$7="All",Raw_data!$AO125=Dashboard!$B$7),OR(Dashboard!$B$8="All",Raw_data!$AP125=Dashboard!$B$8),OR(Dashboard!$B$9="All",Raw_data!$AQ125=Dashboard!$B$9),OR(Dashboard!$B$10="All",Raw_data!$AF125=Dashboard!$B$10),OR(Raw_data!$F125="",Raw_data!$F125&lt;=TODAY())))</f>
        <v/>
      </c>
      <c r="B125">
        <f>IFERROR(IF(Dashboard!$B$3="Weighted",Raw_data!$U125,Raw_data!$T125),"")</f>
        <v/>
      </c>
      <c r="C125">
        <f>IFERROR(IF(Dashboard!$B$3="Weighted",Raw_data!$AB125,Raw_data!$AA125),"")</f>
        <v/>
      </c>
      <c r="D125">
        <f>IF(OR(Raw_data!$J125="",Raw_data!$J125&lt;=0,Raw_data!$K125=""),"",IF(Raw_data!$K125&gt;TODAY(),0,DATEDIF(Raw_data!$K125,TODAY(),"M")))</f>
        <v/>
      </c>
      <c r="E125">
        <f>--(AND(Raw_data!$AF125="No",OR(Raw_data!$AG125&lt;&gt;"",Raw_data!$AJ125&gt;0,Raw_data!$AK125&lt;&gt;"")))</f>
        <v/>
      </c>
      <c r="F125">
        <f>--(OR(AND(ISNUMBER(B125),B125&lt;0.5,OR(D125&gt;=24,Raw_data!$I125&gt;0)),Raw_data!$AE125=TRUE))</f>
        <v/>
      </c>
      <c r="G125">
        <f>IF(Dashboard!$B$11="Department",Raw_data!$AL125,IF(Dashboard!$B$11="Team",Raw_data!$AM125,IF(Dashboard!$B$11="Unit",Raw_data!$AN125,IF(Dashboard!$B$11="Legal entity",Raw_data!$AO125,IF(Dashboard!$B$11="Location",Raw_data!$AP125,Raw_data!$AQ125)))))</f>
        <v/>
      </c>
      <c r="H125">
        <f>--(AND(ISNUMBER(B125),B125&lt;0.5))</f>
        <v/>
      </c>
      <c r="I125">
        <f>IFERROR(MAX(0,(0.5-B125)*100),0)+IF(D125&gt;=24,20,0)+IF(Raw_data!$I125&gt;0,20,0)+IF(Raw_data!$AE125=TRUE,10,0)</f>
        <v/>
      </c>
      <c r="J125">
        <f>IFERROR(CHOOSE(MATCH(Dashboard!$B$11,{"Department","Team","Unit","Legal entity","Location","Lead"},0),INDEX(Lists!$B$3:$B$20,ROW()-1),INDEX(Lists!$C$3:$C$146,ROW()-1),INDEX(Lists!$D$3:$D$67,ROW()-1),INDEX(Lists!$E$3:$E$5,ROW()-1),INDEX(Lists!$F$3:$F$12,ROW()-1),INDEX(Lists!$G$3:$G$126,ROW()-1)),"")</f>
        <v/>
      </c>
      <c r="K125">
        <f>IF(J125="","",SUMPRODUCT(($A$2:$A$636=1)*($G$2:$G$636=J125)))</f>
        <v/>
      </c>
      <c r="L125">
        <f>IF(J125="","",SUMPRODUCT(($A$2:$A$636=1)*($G$2:$G$636=J125)*(ISNUMBER($B$2:$B$636))*($B$2:$B$636&lt;0.5)))</f>
        <v/>
      </c>
      <c r="M125">
        <f>IFERROR(L125/K125,"")</f>
        <v/>
      </c>
      <c r="N125">
        <f>IF(K125="","",M125+K125/100000+ROW()/100000000)</f>
        <v/>
      </c>
      <c r="R125">
        <f>IF(A125=1,IFERROR(I125,0)+ROW()/100000000,-1E+99)</f>
        <v/>
      </c>
      <c r="S125">
        <f>IF(A125=1,IFERROR(Raw_data!$T125,""),"")</f>
        <v/>
      </c>
      <c r="T125">
        <f>IF(A125=1,IFERROR(Raw_data!$AA125,""),"")</f>
        <v/>
      </c>
      <c r="U125">
        <f>IF(A125=1,IFERROR(Raw_data!$U125,""),"")</f>
        <v/>
      </c>
      <c r="V125">
        <f>IF(A125=1,IFERROR(Raw_data!$AB125,""),"")</f>
        <v/>
      </c>
    </row>
    <row r="126">
      <c r="A126">
        <f>--(AND(OR(Dashboard!$B$4="All",Raw_data!$AL126=Dashboard!$B$4),OR(Dashboard!$B$5="All",Raw_data!$AM126=Dashboard!$B$5),OR(Dashboard!$B$6="All",Raw_data!$AN126=Dashboard!$B$6),OR(Dashboard!$B$7="All",Raw_data!$AO126=Dashboard!$B$7),OR(Dashboard!$B$8="All",Raw_data!$AP126=Dashboard!$B$8),OR(Dashboard!$B$9="All",Raw_data!$AQ126=Dashboard!$B$9),OR(Dashboard!$B$10="All",Raw_data!$AF126=Dashboard!$B$10),OR(Raw_data!$F126="",Raw_data!$F126&lt;=TODAY())))</f>
        <v/>
      </c>
      <c r="B126">
        <f>IFERROR(IF(Dashboard!$B$3="Weighted",Raw_data!$U126,Raw_data!$T126),"")</f>
        <v/>
      </c>
      <c r="C126">
        <f>IFERROR(IF(Dashboard!$B$3="Weighted",Raw_data!$AB126,Raw_data!$AA126),"")</f>
        <v/>
      </c>
      <c r="D126">
        <f>IF(OR(Raw_data!$J126="",Raw_data!$J126&lt;=0,Raw_data!$K126=""),"",IF(Raw_data!$K126&gt;TODAY(),0,DATEDIF(Raw_data!$K126,TODAY(),"M")))</f>
        <v/>
      </c>
      <c r="E126">
        <f>--(AND(Raw_data!$AF126="No",OR(Raw_data!$AG126&lt;&gt;"",Raw_data!$AJ126&gt;0,Raw_data!$AK126&lt;&gt;"")))</f>
        <v/>
      </c>
      <c r="F126">
        <f>--(OR(AND(ISNUMBER(B126),B126&lt;0.5,OR(D126&gt;=24,Raw_data!$I126&gt;0)),Raw_data!$AE126=TRUE))</f>
        <v/>
      </c>
      <c r="G126">
        <f>IF(Dashboard!$B$11="Department",Raw_data!$AL126,IF(Dashboard!$B$11="Team",Raw_data!$AM126,IF(Dashboard!$B$11="Unit",Raw_data!$AN126,IF(Dashboard!$B$11="Legal entity",Raw_data!$AO126,IF(Dashboard!$B$11="Location",Raw_data!$AP126,Raw_data!$AQ126)))))</f>
        <v/>
      </c>
      <c r="H126">
        <f>--(AND(ISNUMBER(B126),B126&lt;0.5))</f>
        <v/>
      </c>
      <c r="I126">
        <f>IFERROR(MAX(0,(0.5-B126)*100),0)+IF(D126&gt;=24,20,0)+IF(Raw_data!$I126&gt;0,20,0)+IF(Raw_data!$AE126=TRUE,10,0)</f>
        <v/>
      </c>
      <c r="J126">
        <f>IFERROR(CHOOSE(MATCH(Dashboard!$B$11,{"Department","Team","Unit","Legal entity","Location","Lead"},0),INDEX(Lists!$B$3:$B$20,ROW()-1),INDEX(Lists!$C$3:$C$146,ROW()-1),INDEX(Lists!$D$3:$D$67,ROW()-1),INDEX(Lists!$E$3:$E$5,ROW()-1),INDEX(Lists!$F$3:$F$12,ROW()-1),INDEX(Lists!$G$3:$G$126,ROW()-1)),"")</f>
        <v/>
      </c>
      <c r="K126">
        <f>IF(J126="","",SUMPRODUCT(($A$2:$A$636=1)*($G$2:$G$636=J126)))</f>
        <v/>
      </c>
      <c r="L126">
        <f>IF(J126="","",SUMPRODUCT(($A$2:$A$636=1)*($G$2:$G$636=J126)*(ISNUMBER($B$2:$B$636))*($B$2:$B$636&lt;0.5)))</f>
        <v/>
      </c>
      <c r="M126">
        <f>IFERROR(L126/K126,"")</f>
        <v/>
      </c>
      <c r="N126">
        <f>IF(K126="","",M126+K126/100000+ROW()/100000000)</f>
        <v/>
      </c>
      <c r="R126">
        <f>IF(A126=1,IFERROR(I126,0)+ROW()/100000000,-1E+99)</f>
        <v/>
      </c>
      <c r="S126">
        <f>IF(A126=1,IFERROR(Raw_data!$T126,""),"")</f>
        <v/>
      </c>
      <c r="T126">
        <f>IF(A126=1,IFERROR(Raw_data!$AA126,""),"")</f>
        <v/>
      </c>
      <c r="U126">
        <f>IF(A126=1,IFERROR(Raw_data!$U126,""),"")</f>
        <v/>
      </c>
      <c r="V126">
        <f>IF(A126=1,IFERROR(Raw_data!$AB126,""),"")</f>
        <v/>
      </c>
    </row>
    <row r="127">
      <c r="A127">
        <f>--(AND(OR(Dashboard!$B$4="All",Raw_data!$AL127=Dashboard!$B$4),OR(Dashboard!$B$5="All",Raw_data!$AM127=Dashboard!$B$5),OR(Dashboard!$B$6="All",Raw_data!$AN127=Dashboard!$B$6),OR(Dashboard!$B$7="All",Raw_data!$AO127=Dashboard!$B$7),OR(Dashboard!$B$8="All",Raw_data!$AP127=Dashboard!$B$8),OR(Dashboard!$B$9="All",Raw_data!$AQ127=Dashboard!$B$9),OR(Dashboard!$B$10="All",Raw_data!$AF127=Dashboard!$B$10),OR(Raw_data!$F127="",Raw_data!$F127&lt;=TODAY())))</f>
        <v/>
      </c>
      <c r="B127">
        <f>IFERROR(IF(Dashboard!$B$3="Weighted",Raw_data!$U127,Raw_data!$T127),"")</f>
        <v/>
      </c>
      <c r="C127">
        <f>IFERROR(IF(Dashboard!$B$3="Weighted",Raw_data!$AB127,Raw_data!$AA127),"")</f>
        <v/>
      </c>
      <c r="D127">
        <f>IF(OR(Raw_data!$J127="",Raw_data!$J127&lt;=0,Raw_data!$K127=""),"",IF(Raw_data!$K127&gt;TODAY(),0,DATEDIF(Raw_data!$K127,TODAY(),"M")))</f>
        <v/>
      </c>
      <c r="E127">
        <f>--(AND(Raw_data!$AF127="No",OR(Raw_data!$AG127&lt;&gt;"",Raw_data!$AJ127&gt;0,Raw_data!$AK127&lt;&gt;"")))</f>
        <v/>
      </c>
      <c r="F127">
        <f>--(OR(AND(ISNUMBER(B127),B127&lt;0.5,OR(D127&gt;=24,Raw_data!$I127&gt;0)),Raw_data!$AE127=TRUE))</f>
        <v/>
      </c>
      <c r="G127">
        <f>IF(Dashboard!$B$11="Department",Raw_data!$AL127,IF(Dashboard!$B$11="Team",Raw_data!$AM127,IF(Dashboard!$B$11="Unit",Raw_data!$AN127,IF(Dashboard!$B$11="Legal entity",Raw_data!$AO127,IF(Dashboard!$B$11="Location",Raw_data!$AP127,Raw_data!$AQ127)))))</f>
        <v/>
      </c>
      <c r="H127">
        <f>--(AND(ISNUMBER(B127),B127&lt;0.5))</f>
        <v/>
      </c>
      <c r="I127">
        <f>IFERROR(MAX(0,(0.5-B127)*100),0)+IF(D127&gt;=24,20,0)+IF(Raw_data!$I127&gt;0,20,0)+IF(Raw_data!$AE127=TRUE,10,0)</f>
        <v/>
      </c>
      <c r="J127">
        <f>IFERROR(CHOOSE(MATCH(Dashboard!$B$11,{"Department","Team","Unit","Legal entity","Location","Lead"},0),INDEX(Lists!$B$3:$B$20,ROW()-1),INDEX(Lists!$C$3:$C$146,ROW()-1),INDEX(Lists!$D$3:$D$67,ROW()-1),INDEX(Lists!$E$3:$E$5,ROW()-1),INDEX(Lists!$F$3:$F$12,ROW()-1),INDEX(Lists!$G$3:$G$126,ROW()-1)),"")</f>
        <v/>
      </c>
      <c r="K127">
        <f>IF(J127="","",SUMPRODUCT(($A$2:$A$636=1)*($G$2:$G$636=J127)))</f>
        <v/>
      </c>
      <c r="L127">
        <f>IF(J127="","",SUMPRODUCT(($A$2:$A$636=1)*($G$2:$G$636=J127)*(ISNUMBER($B$2:$B$636))*($B$2:$B$636&lt;0.5)))</f>
        <v/>
      </c>
      <c r="M127">
        <f>IFERROR(L127/K127,"")</f>
        <v/>
      </c>
      <c r="N127">
        <f>IF(K127="","",M127+K127/100000+ROW()/100000000)</f>
        <v/>
      </c>
      <c r="R127">
        <f>IF(A127=1,IFERROR(I127,0)+ROW()/100000000,-1E+99)</f>
        <v/>
      </c>
      <c r="S127">
        <f>IF(A127=1,IFERROR(Raw_data!$T127,""),"")</f>
        <v/>
      </c>
      <c r="T127">
        <f>IF(A127=1,IFERROR(Raw_data!$AA127,""),"")</f>
        <v/>
      </c>
      <c r="U127">
        <f>IF(A127=1,IFERROR(Raw_data!$U127,""),"")</f>
        <v/>
      </c>
      <c r="V127">
        <f>IF(A127=1,IFERROR(Raw_data!$AB127,""),"")</f>
        <v/>
      </c>
    </row>
    <row r="128">
      <c r="A128">
        <f>--(AND(OR(Dashboard!$B$4="All",Raw_data!$AL128=Dashboard!$B$4),OR(Dashboard!$B$5="All",Raw_data!$AM128=Dashboard!$B$5),OR(Dashboard!$B$6="All",Raw_data!$AN128=Dashboard!$B$6),OR(Dashboard!$B$7="All",Raw_data!$AO128=Dashboard!$B$7),OR(Dashboard!$B$8="All",Raw_data!$AP128=Dashboard!$B$8),OR(Dashboard!$B$9="All",Raw_data!$AQ128=Dashboard!$B$9),OR(Dashboard!$B$10="All",Raw_data!$AF128=Dashboard!$B$10),OR(Raw_data!$F128="",Raw_data!$F128&lt;=TODAY())))</f>
        <v/>
      </c>
      <c r="B128">
        <f>IFERROR(IF(Dashboard!$B$3="Weighted",Raw_data!$U128,Raw_data!$T128),"")</f>
        <v/>
      </c>
      <c r="C128">
        <f>IFERROR(IF(Dashboard!$B$3="Weighted",Raw_data!$AB128,Raw_data!$AA128),"")</f>
        <v/>
      </c>
      <c r="D128">
        <f>IF(OR(Raw_data!$J128="",Raw_data!$J128&lt;=0,Raw_data!$K128=""),"",IF(Raw_data!$K128&gt;TODAY(),0,DATEDIF(Raw_data!$K128,TODAY(),"M")))</f>
        <v/>
      </c>
      <c r="E128">
        <f>--(AND(Raw_data!$AF128="No",OR(Raw_data!$AG128&lt;&gt;"",Raw_data!$AJ128&gt;0,Raw_data!$AK128&lt;&gt;"")))</f>
        <v/>
      </c>
      <c r="F128">
        <f>--(OR(AND(ISNUMBER(B128),B128&lt;0.5,OR(D128&gt;=24,Raw_data!$I128&gt;0)),Raw_data!$AE128=TRUE))</f>
        <v/>
      </c>
      <c r="G128">
        <f>IF(Dashboard!$B$11="Department",Raw_data!$AL128,IF(Dashboard!$B$11="Team",Raw_data!$AM128,IF(Dashboard!$B$11="Unit",Raw_data!$AN128,IF(Dashboard!$B$11="Legal entity",Raw_data!$AO128,IF(Dashboard!$B$11="Location",Raw_data!$AP128,Raw_data!$AQ128)))))</f>
        <v/>
      </c>
      <c r="H128">
        <f>--(AND(ISNUMBER(B128),B128&lt;0.5))</f>
        <v/>
      </c>
      <c r="I128">
        <f>IFERROR(MAX(0,(0.5-B128)*100),0)+IF(D128&gt;=24,20,0)+IF(Raw_data!$I128&gt;0,20,0)+IF(Raw_data!$AE128=TRUE,10,0)</f>
        <v/>
      </c>
      <c r="J128">
        <f>IFERROR(CHOOSE(MATCH(Dashboard!$B$11,{"Department","Team","Unit","Legal entity","Location","Lead"},0),INDEX(Lists!$B$3:$B$20,ROW()-1),INDEX(Lists!$C$3:$C$146,ROW()-1),INDEX(Lists!$D$3:$D$67,ROW()-1),INDEX(Lists!$E$3:$E$5,ROW()-1),INDEX(Lists!$F$3:$F$12,ROW()-1),INDEX(Lists!$G$3:$G$126,ROW()-1)),"")</f>
        <v/>
      </c>
      <c r="K128">
        <f>IF(J128="","",SUMPRODUCT(($A$2:$A$636=1)*($G$2:$G$636=J128)))</f>
        <v/>
      </c>
      <c r="L128">
        <f>IF(J128="","",SUMPRODUCT(($A$2:$A$636=1)*($G$2:$G$636=J128)*(ISNUMBER($B$2:$B$636))*($B$2:$B$636&lt;0.5)))</f>
        <v/>
      </c>
      <c r="M128">
        <f>IFERROR(L128/K128,"")</f>
        <v/>
      </c>
      <c r="N128">
        <f>IF(K128="","",M128+K128/100000+ROW()/100000000)</f>
        <v/>
      </c>
      <c r="R128">
        <f>IF(A128=1,IFERROR(I128,0)+ROW()/100000000,-1E+99)</f>
        <v/>
      </c>
      <c r="S128">
        <f>IF(A128=1,IFERROR(Raw_data!$T128,""),"")</f>
        <v/>
      </c>
      <c r="T128">
        <f>IF(A128=1,IFERROR(Raw_data!$AA128,""),"")</f>
        <v/>
      </c>
      <c r="U128">
        <f>IF(A128=1,IFERROR(Raw_data!$U128,""),"")</f>
        <v/>
      </c>
      <c r="V128">
        <f>IF(A128=1,IFERROR(Raw_data!$AB128,""),"")</f>
        <v/>
      </c>
    </row>
    <row r="129">
      <c r="A129">
        <f>--(AND(OR(Dashboard!$B$4="All",Raw_data!$AL129=Dashboard!$B$4),OR(Dashboard!$B$5="All",Raw_data!$AM129=Dashboard!$B$5),OR(Dashboard!$B$6="All",Raw_data!$AN129=Dashboard!$B$6),OR(Dashboard!$B$7="All",Raw_data!$AO129=Dashboard!$B$7),OR(Dashboard!$B$8="All",Raw_data!$AP129=Dashboard!$B$8),OR(Dashboard!$B$9="All",Raw_data!$AQ129=Dashboard!$B$9),OR(Dashboard!$B$10="All",Raw_data!$AF129=Dashboard!$B$10),OR(Raw_data!$F129="",Raw_data!$F129&lt;=TODAY())))</f>
        <v/>
      </c>
      <c r="B129">
        <f>IFERROR(IF(Dashboard!$B$3="Weighted",Raw_data!$U129,Raw_data!$T129),"")</f>
        <v/>
      </c>
      <c r="C129">
        <f>IFERROR(IF(Dashboard!$B$3="Weighted",Raw_data!$AB129,Raw_data!$AA129),"")</f>
        <v/>
      </c>
      <c r="D129">
        <f>IF(OR(Raw_data!$J129="",Raw_data!$J129&lt;=0,Raw_data!$K129=""),"",IF(Raw_data!$K129&gt;TODAY(),0,DATEDIF(Raw_data!$K129,TODAY(),"M")))</f>
        <v/>
      </c>
      <c r="E129">
        <f>--(AND(Raw_data!$AF129="No",OR(Raw_data!$AG129&lt;&gt;"",Raw_data!$AJ129&gt;0,Raw_data!$AK129&lt;&gt;"")))</f>
        <v/>
      </c>
      <c r="F129">
        <f>--(OR(AND(ISNUMBER(B129),B129&lt;0.5,OR(D129&gt;=24,Raw_data!$I129&gt;0)),Raw_data!$AE129=TRUE))</f>
        <v/>
      </c>
      <c r="G129">
        <f>IF(Dashboard!$B$11="Department",Raw_data!$AL129,IF(Dashboard!$B$11="Team",Raw_data!$AM129,IF(Dashboard!$B$11="Unit",Raw_data!$AN129,IF(Dashboard!$B$11="Legal entity",Raw_data!$AO129,IF(Dashboard!$B$11="Location",Raw_data!$AP129,Raw_data!$AQ129)))))</f>
        <v/>
      </c>
      <c r="H129">
        <f>--(AND(ISNUMBER(B129),B129&lt;0.5))</f>
        <v/>
      </c>
      <c r="I129">
        <f>IFERROR(MAX(0,(0.5-B129)*100),0)+IF(D129&gt;=24,20,0)+IF(Raw_data!$I129&gt;0,20,0)+IF(Raw_data!$AE129=TRUE,10,0)</f>
        <v/>
      </c>
      <c r="J129">
        <f>IFERROR(CHOOSE(MATCH(Dashboard!$B$11,{"Department","Team","Unit","Legal entity","Location","Lead"},0),INDEX(Lists!$B$3:$B$20,ROW()-1),INDEX(Lists!$C$3:$C$146,ROW()-1),INDEX(Lists!$D$3:$D$67,ROW()-1),INDEX(Lists!$E$3:$E$5,ROW()-1),INDEX(Lists!$F$3:$F$12,ROW()-1),INDEX(Lists!$G$3:$G$126,ROW()-1)),"")</f>
        <v/>
      </c>
      <c r="K129">
        <f>IF(J129="","",SUMPRODUCT(($A$2:$A$636=1)*($G$2:$G$636=J129)))</f>
        <v/>
      </c>
      <c r="L129">
        <f>IF(J129="","",SUMPRODUCT(($A$2:$A$636=1)*($G$2:$G$636=J129)*(ISNUMBER($B$2:$B$636))*($B$2:$B$636&lt;0.5)))</f>
        <v/>
      </c>
      <c r="M129">
        <f>IFERROR(L129/K129,"")</f>
        <v/>
      </c>
      <c r="N129">
        <f>IF(K129="","",M129+K129/100000+ROW()/100000000)</f>
        <v/>
      </c>
      <c r="R129">
        <f>IF(A129=1,IFERROR(I129,0)+ROW()/100000000,-1E+99)</f>
        <v/>
      </c>
      <c r="S129">
        <f>IF(A129=1,IFERROR(Raw_data!$T129,""),"")</f>
        <v/>
      </c>
      <c r="T129">
        <f>IF(A129=1,IFERROR(Raw_data!$AA129,""),"")</f>
        <v/>
      </c>
      <c r="U129">
        <f>IF(A129=1,IFERROR(Raw_data!$U129,""),"")</f>
        <v/>
      </c>
      <c r="V129">
        <f>IF(A129=1,IFERROR(Raw_data!$AB129,""),"")</f>
        <v/>
      </c>
    </row>
    <row r="130">
      <c r="A130">
        <f>--(AND(OR(Dashboard!$B$4="All",Raw_data!$AL130=Dashboard!$B$4),OR(Dashboard!$B$5="All",Raw_data!$AM130=Dashboard!$B$5),OR(Dashboard!$B$6="All",Raw_data!$AN130=Dashboard!$B$6),OR(Dashboard!$B$7="All",Raw_data!$AO130=Dashboard!$B$7),OR(Dashboard!$B$8="All",Raw_data!$AP130=Dashboard!$B$8),OR(Dashboard!$B$9="All",Raw_data!$AQ130=Dashboard!$B$9),OR(Dashboard!$B$10="All",Raw_data!$AF130=Dashboard!$B$10),OR(Raw_data!$F130="",Raw_data!$F130&lt;=TODAY())))</f>
        <v/>
      </c>
      <c r="B130">
        <f>IFERROR(IF(Dashboard!$B$3="Weighted",Raw_data!$U130,Raw_data!$T130),"")</f>
        <v/>
      </c>
      <c r="C130">
        <f>IFERROR(IF(Dashboard!$B$3="Weighted",Raw_data!$AB130,Raw_data!$AA130),"")</f>
        <v/>
      </c>
      <c r="D130">
        <f>IF(OR(Raw_data!$J130="",Raw_data!$J130&lt;=0,Raw_data!$K130=""),"",IF(Raw_data!$K130&gt;TODAY(),0,DATEDIF(Raw_data!$K130,TODAY(),"M")))</f>
        <v/>
      </c>
      <c r="E130">
        <f>--(AND(Raw_data!$AF130="No",OR(Raw_data!$AG130&lt;&gt;"",Raw_data!$AJ130&gt;0,Raw_data!$AK130&lt;&gt;"")))</f>
        <v/>
      </c>
      <c r="F130">
        <f>--(OR(AND(ISNUMBER(B130),B130&lt;0.5,OR(D130&gt;=24,Raw_data!$I130&gt;0)),Raw_data!$AE130=TRUE))</f>
        <v/>
      </c>
      <c r="G130">
        <f>IF(Dashboard!$B$11="Department",Raw_data!$AL130,IF(Dashboard!$B$11="Team",Raw_data!$AM130,IF(Dashboard!$B$11="Unit",Raw_data!$AN130,IF(Dashboard!$B$11="Legal entity",Raw_data!$AO130,IF(Dashboard!$B$11="Location",Raw_data!$AP130,Raw_data!$AQ130)))))</f>
        <v/>
      </c>
      <c r="H130">
        <f>--(AND(ISNUMBER(B130),B130&lt;0.5))</f>
        <v/>
      </c>
      <c r="I130">
        <f>IFERROR(MAX(0,(0.5-B130)*100),0)+IF(D130&gt;=24,20,0)+IF(Raw_data!$I130&gt;0,20,0)+IF(Raw_data!$AE130=TRUE,10,0)</f>
        <v/>
      </c>
      <c r="J130">
        <f>IFERROR(CHOOSE(MATCH(Dashboard!$B$11,{"Department","Team","Unit","Legal entity","Location","Lead"},0),INDEX(Lists!$B$3:$B$20,ROW()-1),INDEX(Lists!$C$3:$C$146,ROW()-1),INDEX(Lists!$D$3:$D$67,ROW()-1),INDEX(Lists!$E$3:$E$5,ROW()-1),INDEX(Lists!$F$3:$F$12,ROW()-1),INDEX(Lists!$G$3:$G$126,ROW()-1)),"")</f>
        <v/>
      </c>
      <c r="K130">
        <f>IF(J130="","",SUMPRODUCT(($A$2:$A$636=1)*($G$2:$G$636=J130)))</f>
        <v/>
      </c>
      <c r="L130">
        <f>IF(J130="","",SUMPRODUCT(($A$2:$A$636=1)*($G$2:$G$636=J130)*(ISNUMBER($B$2:$B$636))*($B$2:$B$636&lt;0.5)))</f>
        <v/>
      </c>
      <c r="M130">
        <f>IFERROR(L130/K130,"")</f>
        <v/>
      </c>
      <c r="N130">
        <f>IF(K130="","",M130+K130/100000+ROW()/100000000)</f>
        <v/>
      </c>
      <c r="R130">
        <f>IF(A130=1,IFERROR(I130,0)+ROW()/100000000,-1E+99)</f>
        <v/>
      </c>
      <c r="S130">
        <f>IF(A130=1,IFERROR(Raw_data!$T130,""),"")</f>
        <v/>
      </c>
      <c r="T130">
        <f>IF(A130=1,IFERROR(Raw_data!$AA130,""),"")</f>
        <v/>
      </c>
      <c r="U130">
        <f>IF(A130=1,IFERROR(Raw_data!$U130,""),"")</f>
        <v/>
      </c>
      <c r="V130">
        <f>IF(A130=1,IFERROR(Raw_data!$AB130,""),"")</f>
        <v/>
      </c>
    </row>
    <row r="131">
      <c r="A131">
        <f>--(AND(OR(Dashboard!$B$4="All",Raw_data!$AL131=Dashboard!$B$4),OR(Dashboard!$B$5="All",Raw_data!$AM131=Dashboard!$B$5),OR(Dashboard!$B$6="All",Raw_data!$AN131=Dashboard!$B$6),OR(Dashboard!$B$7="All",Raw_data!$AO131=Dashboard!$B$7),OR(Dashboard!$B$8="All",Raw_data!$AP131=Dashboard!$B$8),OR(Dashboard!$B$9="All",Raw_data!$AQ131=Dashboard!$B$9),OR(Dashboard!$B$10="All",Raw_data!$AF131=Dashboard!$B$10),OR(Raw_data!$F131="",Raw_data!$F131&lt;=TODAY())))</f>
        <v/>
      </c>
      <c r="B131">
        <f>IFERROR(IF(Dashboard!$B$3="Weighted",Raw_data!$U131,Raw_data!$T131),"")</f>
        <v/>
      </c>
      <c r="C131">
        <f>IFERROR(IF(Dashboard!$B$3="Weighted",Raw_data!$AB131,Raw_data!$AA131),"")</f>
        <v/>
      </c>
      <c r="D131">
        <f>IF(OR(Raw_data!$J131="",Raw_data!$J131&lt;=0,Raw_data!$K131=""),"",IF(Raw_data!$K131&gt;TODAY(),0,DATEDIF(Raw_data!$K131,TODAY(),"M")))</f>
        <v/>
      </c>
      <c r="E131">
        <f>--(AND(Raw_data!$AF131="No",OR(Raw_data!$AG131&lt;&gt;"",Raw_data!$AJ131&gt;0,Raw_data!$AK131&lt;&gt;"")))</f>
        <v/>
      </c>
      <c r="F131">
        <f>--(OR(AND(ISNUMBER(B131),B131&lt;0.5,OR(D131&gt;=24,Raw_data!$I131&gt;0)),Raw_data!$AE131=TRUE))</f>
        <v/>
      </c>
      <c r="G131">
        <f>IF(Dashboard!$B$11="Department",Raw_data!$AL131,IF(Dashboard!$B$11="Team",Raw_data!$AM131,IF(Dashboard!$B$11="Unit",Raw_data!$AN131,IF(Dashboard!$B$11="Legal entity",Raw_data!$AO131,IF(Dashboard!$B$11="Location",Raw_data!$AP131,Raw_data!$AQ131)))))</f>
        <v/>
      </c>
      <c r="H131">
        <f>--(AND(ISNUMBER(B131),B131&lt;0.5))</f>
        <v/>
      </c>
      <c r="I131">
        <f>IFERROR(MAX(0,(0.5-B131)*100),0)+IF(D131&gt;=24,20,0)+IF(Raw_data!$I131&gt;0,20,0)+IF(Raw_data!$AE131=TRUE,10,0)</f>
        <v/>
      </c>
      <c r="J131">
        <f>IFERROR(CHOOSE(MATCH(Dashboard!$B$11,{"Department","Team","Unit","Legal entity","Location","Lead"},0),INDEX(Lists!$B$3:$B$20,ROW()-1),INDEX(Lists!$C$3:$C$146,ROW()-1),INDEX(Lists!$D$3:$D$67,ROW()-1),INDEX(Lists!$E$3:$E$5,ROW()-1),INDEX(Lists!$F$3:$F$12,ROW()-1),INDEX(Lists!$G$3:$G$126,ROW()-1)),"")</f>
        <v/>
      </c>
      <c r="K131">
        <f>IF(J131="","",SUMPRODUCT(($A$2:$A$636=1)*($G$2:$G$636=J131)))</f>
        <v/>
      </c>
      <c r="L131">
        <f>IF(J131="","",SUMPRODUCT(($A$2:$A$636=1)*($G$2:$G$636=J131)*(ISNUMBER($B$2:$B$636))*($B$2:$B$636&lt;0.5)))</f>
        <v/>
      </c>
      <c r="M131">
        <f>IFERROR(L131/K131,"")</f>
        <v/>
      </c>
      <c r="N131">
        <f>IF(K131="","",M131+K131/100000+ROW()/100000000)</f>
        <v/>
      </c>
      <c r="R131">
        <f>IF(A131=1,IFERROR(I131,0)+ROW()/100000000,-1E+99)</f>
        <v/>
      </c>
      <c r="S131">
        <f>IF(A131=1,IFERROR(Raw_data!$T131,""),"")</f>
        <v/>
      </c>
      <c r="T131">
        <f>IF(A131=1,IFERROR(Raw_data!$AA131,""),"")</f>
        <v/>
      </c>
      <c r="U131">
        <f>IF(A131=1,IFERROR(Raw_data!$U131,""),"")</f>
        <v/>
      </c>
      <c r="V131">
        <f>IF(A131=1,IFERROR(Raw_data!$AB131,""),"")</f>
        <v/>
      </c>
    </row>
    <row r="132">
      <c r="A132">
        <f>--(AND(OR(Dashboard!$B$4="All",Raw_data!$AL132=Dashboard!$B$4),OR(Dashboard!$B$5="All",Raw_data!$AM132=Dashboard!$B$5),OR(Dashboard!$B$6="All",Raw_data!$AN132=Dashboard!$B$6),OR(Dashboard!$B$7="All",Raw_data!$AO132=Dashboard!$B$7),OR(Dashboard!$B$8="All",Raw_data!$AP132=Dashboard!$B$8),OR(Dashboard!$B$9="All",Raw_data!$AQ132=Dashboard!$B$9),OR(Dashboard!$B$10="All",Raw_data!$AF132=Dashboard!$B$10),OR(Raw_data!$F132="",Raw_data!$F132&lt;=TODAY())))</f>
        <v/>
      </c>
      <c r="B132">
        <f>IFERROR(IF(Dashboard!$B$3="Weighted",Raw_data!$U132,Raw_data!$T132),"")</f>
        <v/>
      </c>
      <c r="C132">
        <f>IFERROR(IF(Dashboard!$B$3="Weighted",Raw_data!$AB132,Raw_data!$AA132),"")</f>
        <v/>
      </c>
      <c r="D132">
        <f>IF(OR(Raw_data!$J132="",Raw_data!$J132&lt;=0,Raw_data!$K132=""),"",IF(Raw_data!$K132&gt;TODAY(),0,DATEDIF(Raw_data!$K132,TODAY(),"M")))</f>
        <v/>
      </c>
      <c r="E132">
        <f>--(AND(Raw_data!$AF132="No",OR(Raw_data!$AG132&lt;&gt;"",Raw_data!$AJ132&gt;0,Raw_data!$AK132&lt;&gt;"")))</f>
        <v/>
      </c>
      <c r="F132">
        <f>--(OR(AND(ISNUMBER(B132),B132&lt;0.5,OR(D132&gt;=24,Raw_data!$I132&gt;0)),Raw_data!$AE132=TRUE))</f>
        <v/>
      </c>
      <c r="G132">
        <f>IF(Dashboard!$B$11="Department",Raw_data!$AL132,IF(Dashboard!$B$11="Team",Raw_data!$AM132,IF(Dashboard!$B$11="Unit",Raw_data!$AN132,IF(Dashboard!$B$11="Legal entity",Raw_data!$AO132,IF(Dashboard!$B$11="Location",Raw_data!$AP132,Raw_data!$AQ132)))))</f>
        <v/>
      </c>
      <c r="H132">
        <f>--(AND(ISNUMBER(B132),B132&lt;0.5))</f>
        <v/>
      </c>
      <c r="I132">
        <f>IFERROR(MAX(0,(0.5-B132)*100),0)+IF(D132&gt;=24,20,0)+IF(Raw_data!$I132&gt;0,20,0)+IF(Raw_data!$AE132=TRUE,10,0)</f>
        <v/>
      </c>
      <c r="J132">
        <f>IFERROR(CHOOSE(MATCH(Dashboard!$B$11,{"Department","Team","Unit","Legal entity","Location","Lead"},0),INDEX(Lists!$B$3:$B$20,ROW()-1),INDEX(Lists!$C$3:$C$146,ROW()-1),INDEX(Lists!$D$3:$D$67,ROW()-1),INDEX(Lists!$E$3:$E$5,ROW()-1),INDEX(Lists!$F$3:$F$12,ROW()-1),INDEX(Lists!$G$3:$G$126,ROW()-1)),"")</f>
        <v/>
      </c>
      <c r="K132">
        <f>IF(J132="","",SUMPRODUCT(($A$2:$A$636=1)*($G$2:$G$636=J132)))</f>
        <v/>
      </c>
      <c r="L132">
        <f>IF(J132="","",SUMPRODUCT(($A$2:$A$636=1)*($G$2:$G$636=J132)*(ISNUMBER($B$2:$B$636))*($B$2:$B$636&lt;0.5)))</f>
        <v/>
      </c>
      <c r="M132">
        <f>IFERROR(L132/K132,"")</f>
        <v/>
      </c>
      <c r="N132">
        <f>IF(K132="","",M132+K132/100000+ROW()/100000000)</f>
        <v/>
      </c>
      <c r="R132">
        <f>IF(A132=1,IFERROR(I132,0)+ROW()/100000000,-1E+99)</f>
        <v/>
      </c>
      <c r="S132">
        <f>IF(A132=1,IFERROR(Raw_data!$T132,""),"")</f>
        <v/>
      </c>
      <c r="T132">
        <f>IF(A132=1,IFERROR(Raw_data!$AA132,""),"")</f>
        <v/>
      </c>
      <c r="U132">
        <f>IF(A132=1,IFERROR(Raw_data!$U132,""),"")</f>
        <v/>
      </c>
      <c r="V132">
        <f>IF(A132=1,IFERROR(Raw_data!$AB132,""),"")</f>
        <v/>
      </c>
    </row>
    <row r="133">
      <c r="A133">
        <f>--(AND(OR(Dashboard!$B$4="All",Raw_data!$AL133=Dashboard!$B$4),OR(Dashboard!$B$5="All",Raw_data!$AM133=Dashboard!$B$5),OR(Dashboard!$B$6="All",Raw_data!$AN133=Dashboard!$B$6),OR(Dashboard!$B$7="All",Raw_data!$AO133=Dashboard!$B$7),OR(Dashboard!$B$8="All",Raw_data!$AP133=Dashboard!$B$8),OR(Dashboard!$B$9="All",Raw_data!$AQ133=Dashboard!$B$9),OR(Dashboard!$B$10="All",Raw_data!$AF133=Dashboard!$B$10),OR(Raw_data!$F133="",Raw_data!$F133&lt;=TODAY())))</f>
        <v/>
      </c>
      <c r="B133">
        <f>IFERROR(IF(Dashboard!$B$3="Weighted",Raw_data!$U133,Raw_data!$T133),"")</f>
        <v/>
      </c>
      <c r="C133">
        <f>IFERROR(IF(Dashboard!$B$3="Weighted",Raw_data!$AB133,Raw_data!$AA133),"")</f>
        <v/>
      </c>
      <c r="D133">
        <f>IF(OR(Raw_data!$J133="",Raw_data!$J133&lt;=0,Raw_data!$K133=""),"",IF(Raw_data!$K133&gt;TODAY(),0,DATEDIF(Raw_data!$K133,TODAY(),"M")))</f>
        <v/>
      </c>
      <c r="E133">
        <f>--(AND(Raw_data!$AF133="No",OR(Raw_data!$AG133&lt;&gt;"",Raw_data!$AJ133&gt;0,Raw_data!$AK133&lt;&gt;"")))</f>
        <v/>
      </c>
      <c r="F133">
        <f>--(OR(AND(ISNUMBER(B133),B133&lt;0.5,OR(D133&gt;=24,Raw_data!$I133&gt;0)),Raw_data!$AE133=TRUE))</f>
        <v/>
      </c>
      <c r="G133">
        <f>IF(Dashboard!$B$11="Department",Raw_data!$AL133,IF(Dashboard!$B$11="Team",Raw_data!$AM133,IF(Dashboard!$B$11="Unit",Raw_data!$AN133,IF(Dashboard!$B$11="Legal entity",Raw_data!$AO133,IF(Dashboard!$B$11="Location",Raw_data!$AP133,Raw_data!$AQ133)))))</f>
        <v/>
      </c>
      <c r="H133">
        <f>--(AND(ISNUMBER(B133),B133&lt;0.5))</f>
        <v/>
      </c>
      <c r="I133">
        <f>IFERROR(MAX(0,(0.5-B133)*100),0)+IF(D133&gt;=24,20,0)+IF(Raw_data!$I133&gt;0,20,0)+IF(Raw_data!$AE133=TRUE,10,0)</f>
        <v/>
      </c>
      <c r="J133">
        <f>IFERROR(CHOOSE(MATCH(Dashboard!$B$11,{"Department","Team","Unit","Legal entity","Location","Lead"},0),INDEX(Lists!$B$3:$B$20,ROW()-1),INDEX(Lists!$C$3:$C$146,ROW()-1),INDEX(Lists!$D$3:$D$67,ROW()-1),INDEX(Lists!$E$3:$E$5,ROW()-1),INDEX(Lists!$F$3:$F$12,ROW()-1),INDEX(Lists!$G$3:$G$126,ROW()-1)),"")</f>
        <v/>
      </c>
      <c r="K133">
        <f>IF(J133="","",SUMPRODUCT(($A$2:$A$636=1)*($G$2:$G$636=J133)))</f>
        <v/>
      </c>
      <c r="L133">
        <f>IF(J133="","",SUMPRODUCT(($A$2:$A$636=1)*($G$2:$G$636=J133)*(ISNUMBER($B$2:$B$636))*($B$2:$B$636&lt;0.5)))</f>
        <v/>
      </c>
      <c r="M133">
        <f>IFERROR(L133/K133,"")</f>
        <v/>
      </c>
      <c r="N133">
        <f>IF(K133="","",M133+K133/100000+ROW()/100000000)</f>
        <v/>
      </c>
      <c r="R133">
        <f>IF(A133=1,IFERROR(I133,0)+ROW()/100000000,-1E+99)</f>
        <v/>
      </c>
      <c r="S133">
        <f>IF(A133=1,IFERROR(Raw_data!$T133,""),"")</f>
        <v/>
      </c>
      <c r="T133">
        <f>IF(A133=1,IFERROR(Raw_data!$AA133,""),"")</f>
        <v/>
      </c>
      <c r="U133">
        <f>IF(A133=1,IFERROR(Raw_data!$U133,""),"")</f>
        <v/>
      </c>
      <c r="V133">
        <f>IF(A133=1,IFERROR(Raw_data!$AB133,""),"")</f>
        <v/>
      </c>
    </row>
    <row r="134">
      <c r="A134">
        <f>--(AND(OR(Dashboard!$B$4="All",Raw_data!$AL134=Dashboard!$B$4),OR(Dashboard!$B$5="All",Raw_data!$AM134=Dashboard!$B$5),OR(Dashboard!$B$6="All",Raw_data!$AN134=Dashboard!$B$6),OR(Dashboard!$B$7="All",Raw_data!$AO134=Dashboard!$B$7),OR(Dashboard!$B$8="All",Raw_data!$AP134=Dashboard!$B$8),OR(Dashboard!$B$9="All",Raw_data!$AQ134=Dashboard!$B$9),OR(Dashboard!$B$10="All",Raw_data!$AF134=Dashboard!$B$10),OR(Raw_data!$F134="",Raw_data!$F134&lt;=TODAY())))</f>
        <v/>
      </c>
      <c r="B134">
        <f>IFERROR(IF(Dashboard!$B$3="Weighted",Raw_data!$U134,Raw_data!$T134),"")</f>
        <v/>
      </c>
      <c r="C134">
        <f>IFERROR(IF(Dashboard!$B$3="Weighted",Raw_data!$AB134,Raw_data!$AA134),"")</f>
        <v/>
      </c>
      <c r="D134">
        <f>IF(OR(Raw_data!$J134="",Raw_data!$J134&lt;=0,Raw_data!$K134=""),"",IF(Raw_data!$K134&gt;TODAY(),0,DATEDIF(Raw_data!$K134,TODAY(),"M")))</f>
        <v/>
      </c>
      <c r="E134">
        <f>--(AND(Raw_data!$AF134="No",OR(Raw_data!$AG134&lt;&gt;"",Raw_data!$AJ134&gt;0,Raw_data!$AK134&lt;&gt;"")))</f>
        <v/>
      </c>
      <c r="F134">
        <f>--(OR(AND(ISNUMBER(B134),B134&lt;0.5,OR(D134&gt;=24,Raw_data!$I134&gt;0)),Raw_data!$AE134=TRUE))</f>
        <v/>
      </c>
      <c r="G134">
        <f>IF(Dashboard!$B$11="Department",Raw_data!$AL134,IF(Dashboard!$B$11="Team",Raw_data!$AM134,IF(Dashboard!$B$11="Unit",Raw_data!$AN134,IF(Dashboard!$B$11="Legal entity",Raw_data!$AO134,IF(Dashboard!$B$11="Location",Raw_data!$AP134,Raw_data!$AQ134)))))</f>
        <v/>
      </c>
      <c r="H134">
        <f>--(AND(ISNUMBER(B134),B134&lt;0.5))</f>
        <v/>
      </c>
      <c r="I134">
        <f>IFERROR(MAX(0,(0.5-B134)*100),0)+IF(D134&gt;=24,20,0)+IF(Raw_data!$I134&gt;0,20,0)+IF(Raw_data!$AE134=TRUE,10,0)</f>
        <v/>
      </c>
      <c r="J134">
        <f>IFERROR(CHOOSE(MATCH(Dashboard!$B$11,{"Department","Team","Unit","Legal entity","Location","Lead"},0),INDEX(Lists!$B$3:$B$20,ROW()-1),INDEX(Lists!$C$3:$C$146,ROW()-1),INDEX(Lists!$D$3:$D$67,ROW()-1),INDEX(Lists!$E$3:$E$5,ROW()-1),INDEX(Lists!$F$3:$F$12,ROW()-1),INDEX(Lists!$G$3:$G$126,ROW()-1)),"")</f>
        <v/>
      </c>
      <c r="K134">
        <f>IF(J134="","",SUMPRODUCT(($A$2:$A$636=1)*($G$2:$G$636=J134)))</f>
        <v/>
      </c>
      <c r="L134">
        <f>IF(J134="","",SUMPRODUCT(($A$2:$A$636=1)*($G$2:$G$636=J134)*(ISNUMBER($B$2:$B$636))*($B$2:$B$636&lt;0.5)))</f>
        <v/>
      </c>
      <c r="M134">
        <f>IFERROR(L134/K134,"")</f>
        <v/>
      </c>
      <c r="N134">
        <f>IF(K134="","",M134+K134/100000+ROW()/100000000)</f>
        <v/>
      </c>
      <c r="R134">
        <f>IF(A134=1,IFERROR(I134,0)+ROW()/100000000,-1E+99)</f>
        <v/>
      </c>
      <c r="S134">
        <f>IF(A134=1,IFERROR(Raw_data!$T134,""),"")</f>
        <v/>
      </c>
      <c r="T134">
        <f>IF(A134=1,IFERROR(Raw_data!$AA134,""),"")</f>
        <v/>
      </c>
      <c r="U134">
        <f>IF(A134=1,IFERROR(Raw_data!$U134,""),"")</f>
        <v/>
      </c>
      <c r="V134">
        <f>IF(A134=1,IFERROR(Raw_data!$AB134,""),"")</f>
        <v/>
      </c>
    </row>
    <row r="135">
      <c r="A135">
        <f>--(AND(OR(Dashboard!$B$4="All",Raw_data!$AL135=Dashboard!$B$4),OR(Dashboard!$B$5="All",Raw_data!$AM135=Dashboard!$B$5),OR(Dashboard!$B$6="All",Raw_data!$AN135=Dashboard!$B$6),OR(Dashboard!$B$7="All",Raw_data!$AO135=Dashboard!$B$7),OR(Dashboard!$B$8="All",Raw_data!$AP135=Dashboard!$B$8),OR(Dashboard!$B$9="All",Raw_data!$AQ135=Dashboard!$B$9),OR(Dashboard!$B$10="All",Raw_data!$AF135=Dashboard!$B$10),OR(Raw_data!$F135="",Raw_data!$F135&lt;=TODAY())))</f>
        <v/>
      </c>
      <c r="B135">
        <f>IFERROR(IF(Dashboard!$B$3="Weighted",Raw_data!$U135,Raw_data!$T135),"")</f>
        <v/>
      </c>
      <c r="C135">
        <f>IFERROR(IF(Dashboard!$B$3="Weighted",Raw_data!$AB135,Raw_data!$AA135),"")</f>
        <v/>
      </c>
      <c r="D135">
        <f>IF(OR(Raw_data!$J135="",Raw_data!$J135&lt;=0,Raw_data!$K135=""),"",IF(Raw_data!$K135&gt;TODAY(),0,DATEDIF(Raw_data!$K135,TODAY(),"M")))</f>
        <v/>
      </c>
      <c r="E135">
        <f>--(AND(Raw_data!$AF135="No",OR(Raw_data!$AG135&lt;&gt;"",Raw_data!$AJ135&gt;0,Raw_data!$AK135&lt;&gt;"")))</f>
        <v/>
      </c>
      <c r="F135">
        <f>--(OR(AND(ISNUMBER(B135),B135&lt;0.5,OR(D135&gt;=24,Raw_data!$I135&gt;0)),Raw_data!$AE135=TRUE))</f>
        <v/>
      </c>
      <c r="G135">
        <f>IF(Dashboard!$B$11="Department",Raw_data!$AL135,IF(Dashboard!$B$11="Team",Raw_data!$AM135,IF(Dashboard!$B$11="Unit",Raw_data!$AN135,IF(Dashboard!$B$11="Legal entity",Raw_data!$AO135,IF(Dashboard!$B$11="Location",Raw_data!$AP135,Raw_data!$AQ135)))))</f>
        <v/>
      </c>
      <c r="H135">
        <f>--(AND(ISNUMBER(B135),B135&lt;0.5))</f>
        <v/>
      </c>
      <c r="I135">
        <f>IFERROR(MAX(0,(0.5-B135)*100),0)+IF(D135&gt;=24,20,0)+IF(Raw_data!$I135&gt;0,20,0)+IF(Raw_data!$AE135=TRUE,10,0)</f>
        <v/>
      </c>
      <c r="J135">
        <f>IFERROR(CHOOSE(MATCH(Dashboard!$B$11,{"Department","Team","Unit","Legal entity","Location","Lead"},0),INDEX(Lists!$B$3:$B$20,ROW()-1),INDEX(Lists!$C$3:$C$146,ROW()-1),INDEX(Lists!$D$3:$D$67,ROW()-1),INDEX(Lists!$E$3:$E$5,ROW()-1),INDEX(Lists!$F$3:$F$12,ROW()-1),INDEX(Lists!$G$3:$G$126,ROW()-1)),"")</f>
        <v/>
      </c>
      <c r="K135">
        <f>IF(J135="","",SUMPRODUCT(($A$2:$A$636=1)*($G$2:$G$636=J135)))</f>
        <v/>
      </c>
      <c r="L135">
        <f>IF(J135="","",SUMPRODUCT(($A$2:$A$636=1)*($G$2:$G$636=J135)*(ISNUMBER($B$2:$B$636))*($B$2:$B$636&lt;0.5)))</f>
        <v/>
      </c>
      <c r="M135">
        <f>IFERROR(L135/K135,"")</f>
        <v/>
      </c>
      <c r="N135">
        <f>IF(K135="","",M135+K135/100000+ROW()/100000000)</f>
        <v/>
      </c>
      <c r="R135">
        <f>IF(A135=1,IFERROR(I135,0)+ROW()/100000000,-1E+99)</f>
        <v/>
      </c>
      <c r="S135">
        <f>IF(A135=1,IFERROR(Raw_data!$T135,""),"")</f>
        <v/>
      </c>
      <c r="T135">
        <f>IF(A135=1,IFERROR(Raw_data!$AA135,""),"")</f>
        <v/>
      </c>
      <c r="U135">
        <f>IF(A135=1,IFERROR(Raw_data!$U135,""),"")</f>
        <v/>
      </c>
      <c r="V135">
        <f>IF(A135=1,IFERROR(Raw_data!$AB135,""),"")</f>
        <v/>
      </c>
    </row>
    <row r="136">
      <c r="A136">
        <f>--(AND(OR(Dashboard!$B$4="All",Raw_data!$AL136=Dashboard!$B$4),OR(Dashboard!$B$5="All",Raw_data!$AM136=Dashboard!$B$5),OR(Dashboard!$B$6="All",Raw_data!$AN136=Dashboard!$B$6),OR(Dashboard!$B$7="All",Raw_data!$AO136=Dashboard!$B$7),OR(Dashboard!$B$8="All",Raw_data!$AP136=Dashboard!$B$8),OR(Dashboard!$B$9="All",Raw_data!$AQ136=Dashboard!$B$9),OR(Dashboard!$B$10="All",Raw_data!$AF136=Dashboard!$B$10),OR(Raw_data!$F136="",Raw_data!$F136&lt;=TODAY())))</f>
        <v/>
      </c>
      <c r="B136">
        <f>IFERROR(IF(Dashboard!$B$3="Weighted",Raw_data!$U136,Raw_data!$T136),"")</f>
        <v/>
      </c>
      <c r="C136">
        <f>IFERROR(IF(Dashboard!$B$3="Weighted",Raw_data!$AB136,Raw_data!$AA136),"")</f>
        <v/>
      </c>
      <c r="D136">
        <f>IF(OR(Raw_data!$J136="",Raw_data!$J136&lt;=0,Raw_data!$K136=""),"",IF(Raw_data!$K136&gt;TODAY(),0,DATEDIF(Raw_data!$K136,TODAY(),"M")))</f>
        <v/>
      </c>
      <c r="E136">
        <f>--(AND(Raw_data!$AF136="No",OR(Raw_data!$AG136&lt;&gt;"",Raw_data!$AJ136&gt;0,Raw_data!$AK136&lt;&gt;"")))</f>
        <v/>
      </c>
      <c r="F136">
        <f>--(OR(AND(ISNUMBER(B136),B136&lt;0.5,OR(D136&gt;=24,Raw_data!$I136&gt;0)),Raw_data!$AE136=TRUE))</f>
        <v/>
      </c>
      <c r="G136">
        <f>IF(Dashboard!$B$11="Department",Raw_data!$AL136,IF(Dashboard!$B$11="Team",Raw_data!$AM136,IF(Dashboard!$B$11="Unit",Raw_data!$AN136,IF(Dashboard!$B$11="Legal entity",Raw_data!$AO136,IF(Dashboard!$B$11="Location",Raw_data!$AP136,Raw_data!$AQ136)))))</f>
        <v/>
      </c>
      <c r="H136">
        <f>--(AND(ISNUMBER(B136),B136&lt;0.5))</f>
        <v/>
      </c>
      <c r="I136">
        <f>IFERROR(MAX(0,(0.5-B136)*100),0)+IF(D136&gt;=24,20,0)+IF(Raw_data!$I136&gt;0,20,0)+IF(Raw_data!$AE136=TRUE,10,0)</f>
        <v/>
      </c>
      <c r="J136">
        <f>IFERROR(CHOOSE(MATCH(Dashboard!$B$11,{"Department","Team","Unit","Legal entity","Location","Lead"},0),INDEX(Lists!$B$3:$B$20,ROW()-1),INDEX(Lists!$C$3:$C$146,ROW()-1),INDEX(Lists!$D$3:$D$67,ROW()-1),INDEX(Lists!$E$3:$E$5,ROW()-1),INDEX(Lists!$F$3:$F$12,ROW()-1),INDEX(Lists!$G$3:$G$126,ROW()-1)),"")</f>
        <v/>
      </c>
      <c r="K136">
        <f>IF(J136="","",SUMPRODUCT(($A$2:$A$636=1)*($G$2:$G$636=J136)))</f>
        <v/>
      </c>
      <c r="L136">
        <f>IF(J136="","",SUMPRODUCT(($A$2:$A$636=1)*($G$2:$G$636=J136)*(ISNUMBER($B$2:$B$636))*($B$2:$B$636&lt;0.5)))</f>
        <v/>
      </c>
      <c r="M136">
        <f>IFERROR(L136/K136,"")</f>
        <v/>
      </c>
      <c r="N136">
        <f>IF(K136="","",M136+K136/100000+ROW()/100000000)</f>
        <v/>
      </c>
      <c r="R136">
        <f>IF(A136=1,IFERROR(I136,0)+ROW()/100000000,-1E+99)</f>
        <v/>
      </c>
      <c r="S136">
        <f>IF(A136=1,IFERROR(Raw_data!$T136,""),"")</f>
        <v/>
      </c>
      <c r="T136">
        <f>IF(A136=1,IFERROR(Raw_data!$AA136,""),"")</f>
        <v/>
      </c>
      <c r="U136">
        <f>IF(A136=1,IFERROR(Raw_data!$U136,""),"")</f>
        <v/>
      </c>
      <c r="V136">
        <f>IF(A136=1,IFERROR(Raw_data!$AB136,""),"")</f>
        <v/>
      </c>
    </row>
    <row r="137">
      <c r="A137">
        <f>--(AND(OR(Dashboard!$B$4="All",Raw_data!$AL137=Dashboard!$B$4),OR(Dashboard!$B$5="All",Raw_data!$AM137=Dashboard!$B$5),OR(Dashboard!$B$6="All",Raw_data!$AN137=Dashboard!$B$6),OR(Dashboard!$B$7="All",Raw_data!$AO137=Dashboard!$B$7),OR(Dashboard!$B$8="All",Raw_data!$AP137=Dashboard!$B$8),OR(Dashboard!$B$9="All",Raw_data!$AQ137=Dashboard!$B$9),OR(Dashboard!$B$10="All",Raw_data!$AF137=Dashboard!$B$10),OR(Raw_data!$F137="",Raw_data!$F137&lt;=TODAY())))</f>
        <v/>
      </c>
      <c r="B137">
        <f>IFERROR(IF(Dashboard!$B$3="Weighted",Raw_data!$U137,Raw_data!$T137),"")</f>
        <v/>
      </c>
      <c r="C137">
        <f>IFERROR(IF(Dashboard!$B$3="Weighted",Raw_data!$AB137,Raw_data!$AA137),"")</f>
        <v/>
      </c>
      <c r="D137">
        <f>IF(OR(Raw_data!$J137="",Raw_data!$J137&lt;=0,Raw_data!$K137=""),"",IF(Raw_data!$K137&gt;TODAY(),0,DATEDIF(Raw_data!$K137,TODAY(),"M")))</f>
        <v/>
      </c>
      <c r="E137">
        <f>--(AND(Raw_data!$AF137="No",OR(Raw_data!$AG137&lt;&gt;"",Raw_data!$AJ137&gt;0,Raw_data!$AK137&lt;&gt;"")))</f>
        <v/>
      </c>
      <c r="F137">
        <f>--(OR(AND(ISNUMBER(B137),B137&lt;0.5,OR(D137&gt;=24,Raw_data!$I137&gt;0)),Raw_data!$AE137=TRUE))</f>
        <v/>
      </c>
      <c r="G137">
        <f>IF(Dashboard!$B$11="Department",Raw_data!$AL137,IF(Dashboard!$B$11="Team",Raw_data!$AM137,IF(Dashboard!$B$11="Unit",Raw_data!$AN137,IF(Dashboard!$B$11="Legal entity",Raw_data!$AO137,IF(Dashboard!$B$11="Location",Raw_data!$AP137,Raw_data!$AQ137)))))</f>
        <v/>
      </c>
      <c r="H137">
        <f>--(AND(ISNUMBER(B137),B137&lt;0.5))</f>
        <v/>
      </c>
      <c r="I137">
        <f>IFERROR(MAX(0,(0.5-B137)*100),0)+IF(D137&gt;=24,20,0)+IF(Raw_data!$I137&gt;0,20,0)+IF(Raw_data!$AE137=TRUE,10,0)</f>
        <v/>
      </c>
      <c r="J137">
        <f>IFERROR(CHOOSE(MATCH(Dashboard!$B$11,{"Department","Team","Unit","Legal entity","Location","Lead"},0),INDEX(Lists!$B$3:$B$20,ROW()-1),INDEX(Lists!$C$3:$C$146,ROW()-1),INDEX(Lists!$D$3:$D$67,ROW()-1),INDEX(Lists!$E$3:$E$5,ROW()-1),INDEX(Lists!$F$3:$F$12,ROW()-1),INDEX(Lists!$G$3:$G$126,ROW()-1)),"")</f>
        <v/>
      </c>
      <c r="K137">
        <f>IF(J137="","",SUMPRODUCT(($A$2:$A$636=1)*($G$2:$G$636=J137)))</f>
        <v/>
      </c>
      <c r="L137">
        <f>IF(J137="","",SUMPRODUCT(($A$2:$A$636=1)*($G$2:$G$636=J137)*(ISNUMBER($B$2:$B$636))*($B$2:$B$636&lt;0.5)))</f>
        <v/>
      </c>
      <c r="M137">
        <f>IFERROR(L137/K137,"")</f>
        <v/>
      </c>
      <c r="N137">
        <f>IF(K137="","",M137+K137/100000+ROW()/100000000)</f>
        <v/>
      </c>
      <c r="R137">
        <f>IF(A137=1,IFERROR(I137,0)+ROW()/100000000,-1E+99)</f>
        <v/>
      </c>
      <c r="S137">
        <f>IF(A137=1,IFERROR(Raw_data!$T137,""),"")</f>
        <v/>
      </c>
      <c r="T137">
        <f>IF(A137=1,IFERROR(Raw_data!$AA137,""),"")</f>
        <v/>
      </c>
      <c r="U137">
        <f>IF(A137=1,IFERROR(Raw_data!$U137,""),"")</f>
        <v/>
      </c>
      <c r="V137">
        <f>IF(A137=1,IFERROR(Raw_data!$AB137,""),"")</f>
        <v/>
      </c>
    </row>
    <row r="138">
      <c r="A138">
        <f>--(AND(OR(Dashboard!$B$4="All",Raw_data!$AL138=Dashboard!$B$4),OR(Dashboard!$B$5="All",Raw_data!$AM138=Dashboard!$B$5),OR(Dashboard!$B$6="All",Raw_data!$AN138=Dashboard!$B$6),OR(Dashboard!$B$7="All",Raw_data!$AO138=Dashboard!$B$7),OR(Dashboard!$B$8="All",Raw_data!$AP138=Dashboard!$B$8),OR(Dashboard!$B$9="All",Raw_data!$AQ138=Dashboard!$B$9),OR(Dashboard!$B$10="All",Raw_data!$AF138=Dashboard!$B$10),OR(Raw_data!$F138="",Raw_data!$F138&lt;=TODAY())))</f>
        <v/>
      </c>
      <c r="B138">
        <f>IFERROR(IF(Dashboard!$B$3="Weighted",Raw_data!$U138,Raw_data!$T138),"")</f>
        <v/>
      </c>
      <c r="C138">
        <f>IFERROR(IF(Dashboard!$B$3="Weighted",Raw_data!$AB138,Raw_data!$AA138),"")</f>
        <v/>
      </c>
      <c r="D138">
        <f>IF(OR(Raw_data!$J138="",Raw_data!$J138&lt;=0,Raw_data!$K138=""),"",IF(Raw_data!$K138&gt;TODAY(),0,DATEDIF(Raw_data!$K138,TODAY(),"M")))</f>
        <v/>
      </c>
      <c r="E138">
        <f>--(AND(Raw_data!$AF138="No",OR(Raw_data!$AG138&lt;&gt;"",Raw_data!$AJ138&gt;0,Raw_data!$AK138&lt;&gt;"")))</f>
        <v/>
      </c>
      <c r="F138">
        <f>--(OR(AND(ISNUMBER(B138),B138&lt;0.5,OR(D138&gt;=24,Raw_data!$I138&gt;0)),Raw_data!$AE138=TRUE))</f>
        <v/>
      </c>
      <c r="G138">
        <f>IF(Dashboard!$B$11="Department",Raw_data!$AL138,IF(Dashboard!$B$11="Team",Raw_data!$AM138,IF(Dashboard!$B$11="Unit",Raw_data!$AN138,IF(Dashboard!$B$11="Legal entity",Raw_data!$AO138,IF(Dashboard!$B$11="Location",Raw_data!$AP138,Raw_data!$AQ138)))))</f>
        <v/>
      </c>
      <c r="H138">
        <f>--(AND(ISNUMBER(B138),B138&lt;0.5))</f>
        <v/>
      </c>
      <c r="I138">
        <f>IFERROR(MAX(0,(0.5-B138)*100),0)+IF(D138&gt;=24,20,0)+IF(Raw_data!$I138&gt;0,20,0)+IF(Raw_data!$AE138=TRUE,10,0)</f>
        <v/>
      </c>
      <c r="J138">
        <f>IFERROR(CHOOSE(MATCH(Dashboard!$B$11,{"Department","Team","Unit","Legal entity","Location","Lead"},0),INDEX(Lists!$B$3:$B$20,ROW()-1),INDEX(Lists!$C$3:$C$146,ROW()-1),INDEX(Lists!$D$3:$D$67,ROW()-1),INDEX(Lists!$E$3:$E$5,ROW()-1),INDEX(Lists!$F$3:$F$12,ROW()-1),INDEX(Lists!$G$3:$G$126,ROW()-1)),"")</f>
        <v/>
      </c>
      <c r="K138">
        <f>IF(J138="","",SUMPRODUCT(($A$2:$A$636=1)*($G$2:$G$636=J138)))</f>
        <v/>
      </c>
      <c r="L138">
        <f>IF(J138="","",SUMPRODUCT(($A$2:$A$636=1)*($G$2:$G$636=J138)*(ISNUMBER($B$2:$B$636))*($B$2:$B$636&lt;0.5)))</f>
        <v/>
      </c>
      <c r="M138">
        <f>IFERROR(L138/K138,"")</f>
        <v/>
      </c>
      <c r="N138">
        <f>IF(K138="","",M138+K138/100000+ROW()/100000000)</f>
        <v/>
      </c>
      <c r="R138">
        <f>IF(A138=1,IFERROR(I138,0)+ROW()/100000000,-1E+99)</f>
        <v/>
      </c>
      <c r="S138">
        <f>IF(A138=1,IFERROR(Raw_data!$T138,""),"")</f>
        <v/>
      </c>
      <c r="T138">
        <f>IF(A138=1,IFERROR(Raw_data!$AA138,""),"")</f>
        <v/>
      </c>
      <c r="U138">
        <f>IF(A138=1,IFERROR(Raw_data!$U138,""),"")</f>
        <v/>
      </c>
      <c r="V138">
        <f>IF(A138=1,IFERROR(Raw_data!$AB138,""),"")</f>
        <v/>
      </c>
    </row>
    <row r="139">
      <c r="A139">
        <f>--(AND(OR(Dashboard!$B$4="All",Raw_data!$AL139=Dashboard!$B$4),OR(Dashboard!$B$5="All",Raw_data!$AM139=Dashboard!$B$5),OR(Dashboard!$B$6="All",Raw_data!$AN139=Dashboard!$B$6),OR(Dashboard!$B$7="All",Raw_data!$AO139=Dashboard!$B$7),OR(Dashboard!$B$8="All",Raw_data!$AP139=Dashboard!$B$8),OR(Dashboard!$B$9="All",Raw_data!$AQ139=Dashboard!$B$9),OR(Dashboard!$B$10="All",Raw_data!$AF139=Dashboard!$B$10),OR(Raw_data!$F139="",Raw_data!$F139&lt;=TODAY())))</f>
        <v/>
      </c>
      <c r="B139">
        <f>IFERROR(IF(Dashboard!$B$3="Weighted",Raw_data!$U139,Raw_data!$T139),"")</f>
        <v/>
      </c>
      <c r="C139">
        <f>IFERROR(IF(Dashboard!$B$3="Weighted",Raw_data!$AB139,Raw_data!$AA139),"")</f>
        <v/>
      </c>
      <c r="D139">
        <f>IF(OR(Raw_data!$J139="",Raw_data!$J139&lt;=0,Raw_data!$K139=""),"",IF(Raw_data!$K139&gt;TODAY(),0,DATEDIF(Raw_data!$K139,TODAY(),"M")))</f>
        <v/>
      </c>
      <c r="E139">
        <f>--(AND(Raw_data!$AF139="No",OR(Raw_data!$AG139&lt;&gt;"",Raw_data!$AJ139&gt;0,Raw_data!$AK139&lt;&gt;"")))</f>
        <v/>
      </c>
      <c r="F139">
        <f>--(OR(AND(ISNUMBER(B139),B139&lt;0.5,OR(D139&gt;=24,Raw_data!$I139&gt;0)),Raw_data!$AE139=TRUE))</f>
        <v/>
      </c>
      <c r="G139">
        <f>IF(Dashboard!$B$11="Department",Raw_data!$AL139,IF(Dashboard!$B$11="Team",Raw_data!$AM139,IF(Dashboard!$B$11="Unit",Raw_data!$AN139,IF(Dashboard!$B$11="Legal entity",Raw_data!$AO139,IF(Dashboard!$B$11="Location",Raw_data!$AP139,Raw_data!$AQ139)))))</f>
        <v/>
      </c>
      <c r="H139">
        <f>--(AND(ISNUMBER(B139),B139&lt;0.5))</f>
        <v/>
      </c>
      <c r="I139">
        <f>IFERROR(MAX(0,(0.5-B139)*100),0)+IF(D139&gt;=24,20,0)+IF(Raw_data!$I139&gt;0,20,0)+IF(Raw_data!$AE139=TRUE,10,0)</f>
        <v/>
      </c>
      <c r="J139">
        <f>IFERROR(CHOOSE(MATCH(Dashboard!$B$11,{"Department","Team","Unit","Legal entity","Location","Lead"},0),INDEX(Lists!$B$3:$B$20,ROW()-1),INDEX(Lists!$C$3:$C$146,ROW()-1),INDEX(Lists!$D$3:$D$67,ROW()-1),INDEX(Lists!$E$3:$E$5,ROW()-1),INDEX(Lists!$F$3:$F$12,ROW()-1),INDEX(Lists!$G$3:$G$126,ROW()-1)),"")</f>
        <v/>
      </c>
      <c r="K139">
        <f>IF(J139="","",SUMPRODUCT(($A$2:$A$636=1)*($G$2:$G$636=J139)))</f>
        <v/>
      </c>
      <c r="L139">
        <f>IF(J139="","",SUMPRODUCT(($A$2:$A$636=1)*($G$2:$G$636=J139)*(ISNUMBER($B$2:$B$636))*($B$2:$B$636&lt;0.5)))</f>
        <v/>
      </c>
      <c r="M139">
        <f>IFERROR(L139/K139,"")</f>
        <v/>
      </c>
      <c r="N139">
        <f>IF(K139="","",M139+K139/100000+ROW()/100000000)</f>
        <v/>
      </c>
      <c r="R139">
        <f>IF(A139=1,IFERROR(I139,0)+ROW()/100000000,-1E+99)</f>
        <v/>
      </c>
      <c r="S139">
        <f>IF(A139=1,IFERROR(Raw_data!$T139,""),"")</f>
        <v/>
      </c>
      <c r="T139">
        <f>IF(A139=1,IFERROR(Raw_data!$AA139,""),"")</f>
        <v/>
      </c>
      <c r="U139">
        <f>IF(A139=1,IFERROR(Raw_data!$U139,""),"")</f>
        <v/>
      </c>
      <c r="V139">
        <f>IF(A139=1,IFERROR(Raw_data!$AB139,""),"")</f>
        <v/>
      </c>
    </row>
    <row r="140">
      <c r="A140">
        <f>--(AND(OR(Dashboard!$B$4="All",Raw_data!$AL140=Dashboard!$B$4),OR(Dashboard!$B$5="All",Raw_data!$AM140=Dashboard!$B$5),OR(Dashboard!$B$6="All",Raw_data!$AN140=Dashboard!$B$6),OR(Dashboard!$B$7="All",Raw_data!$AO140=Dashboard!$B$7),OR(Dashboard!$B$8="All",Raw_data!$AP140=Dashboard!$B$8),OR(Dashboard!$B$9="All",Raw_data!$AQ140=Dashboard!$B$9),OR(Dashboard!$B$10="All",Raw_data!$AF140=Dashboard!$B$10),OR(Raw_data!$F140="",Raw_data!$F140&lt;=TODAY())))</f>
        <v/>
      </c>
      <c r="B140">
        <f>IFERROR(IF(Dashboard!$B$3="Weighted",Raw_data!$U140,Raw_data!$T140),"")</f>
        <v/>
      </c>
      <c r="C140">
        <f>IFERROR(IF(Dashboard!$B$3="Weighted",Raw_data!$AB140,Raw_data!$AA140),"")</f>
        <v/>
      </c>
      <c r="D140">
        <f>IF(OR(Raw_data!$J140="",Raw_data!$J140&lt;=0,Raw_data!$K140=""),"",IF(Raw_data!$K140&gt;TODAY(),0,DATEDIF(Raw_data!$K140,TODAY(),"M")))</f>
        <v/>
      </c>
      <c r="E140">
        <f>--(AND(Raw_data!$AF140="No",OR(Raw_data!$AG140&lt;&gt;"",Raw_data!$AJ140&gt;0,Raw_data!$AK140&lt;&gt;"")))</f>
        <v/>
      </c>
      <c r="F140">
        <f>--(OR(AND(ISNUMBER(B140),B140&lt;0.5,OR(D140&gt;=24,Raw_data!$I140&gt;0)),Raw_data!$AE140=TRUE))</f>
        <v/>
      </c>
      <c r="G140">
        <f>IF(Dashboard!$B$11="Department",Raw_data!$AL140,IF(Dashboard!$B$11="Team",Raw_data!$AM140,IF(Dashboard!$B$11="Unit",Raw_data!$AN140,IF(Dashboard!$B$11="Legal entity",Raw_data!$AO140,IF(Dashboard!$B$11="Location",Raw_data!$AP140,Raw_data!$AQ140)))))</f>
        <v/>
      </c>
      <c r="H140">
        <f>--(AND(ISNUMBER(B140),B140&lt;0.5))</f>
        <v/>
      </c>
      <c r="I140">
        <f>IFERROR(MAX(0,(0.5-B140)*100),0)+IF(D140&gt;=24,20,0)+IF(Raw_data!$I140&gt;0,20,0)+IF(Raw_data!$AE140=TRUE,10,0)</f>
        <v/>
      </c>
      <c r="J140">
        <f>IFERROR(CHOOSE(MATCH(Dashboard!$B$11,{"Department","Team","Unit","Legal entity","Location","Lead"},0),INDEX(Lists!$B$3:$B$20,ROW()-1),INDEX(Lists!$C$3:$C$146,ROW()-1),INDEX(Lists!$D$3:$D$67,ROW()-1),INDEX(Lists!$E$3:$E$5,ROW()-1),INDEX(Lists!$F$3:$F$12,ROW()-1),INDEX(Lists!$G$3:$G$126,ROW()-1)),"")</f>
        <v/>
      </c>
      <c r="K140">
        <f>IF(J140="","",SUMPRODUCT(($A$2:$A$636=1)*($G$2:$G$636=J140)))</f>
        <v/>
      </c>
      <c r="L140">
        <f>IF(J140="","",SUMPRODUCT(($A$2:$A$636=1)*($G$2:$G$636=J140)*(ISNUMBER($B$2:$B$636))*($B$2:$B$636&lt;0.5)))</f>
        <v/>
      </c>
      <c r="M140">
        <f>IFERROR(L140/K140,"")</f>
        <v/>
      </c>
      <c r="N140">
        <f>IF(K140="","",M140+K140/100000+ROW()/100000000)</f>
        <v/>
      </c>
      <c r="R140">
        <f>IF(A140=1,IFERROR(I140,0)+ROW()/100000000,-1E+99)</f>
        <v/>
      </c>
      <c r="S140">
        <f>IF(A140=1,IFERROR(Raw_data!$T140,""),"")</f>
        <v/>
      </c>
      <c r="T140">
        <f>IF(A140=1,IFERROR(Raw_data!$AA140,""),"")</f>
        <v/>
      </c>
      <c r="U140">
        <f>IF(A140=1,IFERROR(Raw_data!$U140,""),"")</f>
        <v/>
      </c>
      <c r="V140">
        <f>IF(A140=1,IFERROR(Raw_data!$AB140,""),"")</f>
        <v/>
      </c>
    </row>
    <row r="141">
      <c r="A141">
        <f>--(AND(OR(Dashboard!$B$4="All",Raw_data!$AL141=Dashboard!$B$4),OR(Dashboard!$B$5="All",Raw_data!$AM141=Dashboard!$B$5),OR(Dashboard!$B$6="All",Raw_data!$AN141=Dashboard!$B$6),OR(Dashboard!$B$7="All",Raw_data!$AO141=Dashboard!$B$7),OR(Dashboard!$B$8="All",Raw_data!$AP141=Dashboard!$B$8),OR(Dashboard!$B$9="All",Raw_data!$AQ141=Dashboard!$B$9),OR(Dashboard!$B$10="All",Raw_data!$AF141=Dashboard!$B$10),OR(Raw_data!$F141="",Raw_data!$F141&lt;=TODAY())))</f>
        <v/>
      </c>
      <c r="B141">
        <f>IFERROR(IF(Dashboard!$B$3="Weighted",Raw_data!$U141,Raw_data!$T141),"")</f>
        <v/>
      </c>
      <c r="C141">
        <f>IFERROR(IF(Dashboard!$B$3="Weighted",Raw_data!$AB141,Raw_data!$AA141),"")</f>
        <v/>
      </c>
      <c r="D141">
        <f>IF(OR(Raw_data!$J141="",Raw_data!$J141&lt;=0,Raw_data!$K141=""),"",IF(Raw_data!$K141&gt;TODAY(),0,DATEDIF(Raw_data!$K141,TODAY(),"M")))</f>
        <v/>
      </c>
      <c r="E141">
        <f>--(AND(Raw_data!$AF141="No",OR(Raw_data!$AG141&lt;&gt;"",Raw_data!$AJ141&gt;0,Raw_data!$AK141&lt;&gt;"")))</f>
        <v/>
      </c>
      <c r="F141">
        <f>--(OR(AND(ISNUMBER(B141),B141&lt;0.5,OR(D141&gt;=24,Raw_data!$I141&gt;0)),Raw_data!$AE141=TRUE))</f>
        <v/>
      </c>
      <c r="G141">
        <f>IF(Dashboard!$B$11="Department",Raw_data!$AL141,IF(Dashboard!$B$11="Team",Raw_data!$AM141,IF(Dashboard!$B$11="Unit",Raw_data!$AN141,IF(Dashboard!$B$11="Legal entity",Raw_data!$AO141,IF(Dashboard!$B$11="Location",Raw_data!$AP141,Raw_data!$AQ141)))))</f>
        <v/>
      </c>
      <c r="H141">
        <f>--(AND(ISNUMBER(B141),B141&lt;0.5))</f>
        <v/>
      </c>
      <c r="I141">
        <f>IFERROR(MAX(0,(0.5-B141)*100),0)+IF(D141&gt;=24,20,0)+IF(Raw_data!$I141&gt;0,20,0)+IF(Raw_data!$AE141=TRUE,10,0)</f>
        <v/>
      </c>
      <c r="J141">
        <f>IFERROR(CHOOSE(MATCH(Dashboard!$B$11,{"Department","Team","Unit","Legal entity","Location","Lead"},0),INDEX(Lists!$B$3:$B$20,ROW()-1),INDEX(Lists!$C$3:$C$146,ROW()-1),INDEX(Lists!$D$3:$D$67,ROW()-1),INDEX(Lists!$E$3:$E$5,ROW()-1),INDEX(Lists!$F$3:$F$12,ROW()-1),INDEX(Lists!$G$3:$G$126,ROW()-1)),"")</f>
        <v/>
      </c>
      <c r="K141">
        <f>IF(J141="","",SUMPRODUCT(($A$2:$A$636=1)*($G$2:$G$636=J141)))</f>
        <v/>
      </c>
      <c r="L141">
        <f>IF(J141="","",SUMPRODUCT(($A$2:$A$636=1)*($G$2:$G$636=J141)*(ISNUMBER($B$2:$B$636))*($B$2:$B$636&lt;0.5)))</f>
        <v/>
      </c>
      <c r="M141">
        <f>IFERROR(L141/K141,"")</f>
        <v/>
      </c>
      <c r="N141">
        <f>IF(K141="","",M141+K141/100000+ROW()/100000000)</f>
        <v/>
      </c>
      <c r="R141">
        <f>IF(A141=1,IFERROR(I141,0)+ROW()/100000000,-1E+99)</f>
        <v/>
      </c>
      <c r="S141">
        <f>IF(A141=1,IFERROR(Raw_data!$T141,""),"")</f>
        <v/>
      </c>
      <c r="T141">
        <f>IF(A141=1,IFERROR(Raw_data!$AA141,""),"")</f>
        <v/>
      </c>
      <c r="U141">
        <f>IF(A141=1,IFERROR(Raw_data!$U141,""),"")</f>
        <v/>
      </c>
      <c r="V141">
        <f>IF(A141=1,IFERROR(Raw_data!$AB141,""),"")</f>
        <v/>
      </c>
    </row>
    <row r="142">
      <c r="A142">
        <f>--(AND(OR(Dashboard!$B$4="All",Raw_data!$AL142=Dashboard!$B$4),OR(Dashboard!$B$5="All",Raw_data!$AM142=Dashboard!$B$5),OR(Dashboard!$B$6="All",Raw_data!$AN142=Dashboard!$B$6),OR(Dashboard!$B$7="All",Raw_data!$AO142=Dashboard!$B$7),OR(Dashboard!$B$8="All",Raw_data!$AP142=Dashboard!$B$8),OR(Dashboard!$B$9="All",Raw_data!$AQ142=Dashboard!$B$9),OR(Dashboard!$B$10="All",Raw_data!$AF142=Dashboard!$B$10),OR(Raw_data!$F142="",Raw_data!$F142&lt;=TODAY())))</f>
        <v/>
      </c>
      <c r="B142">
        <f>IFERROR(IF(Dashboard!$B$3="Weighted",Raw_data!$U142,Raw_data!$T142),"")</f>
        <v/>
      </c>
      <c r="C142">
        <f>IFERROR(IF(Dashboard!$B$3="Weighted",Raw_data!$AB142,Raw_data!$AA142),"")</f>
        <v/>
      </c>
      <c r="D142">
        <f>IF(OR(Raw_data!$J142="",Raw_data!$J142&lt;=0,Raw_data!$K142=""),"",IF(Raw_data!$K142&gt;TODAY(),0,DATEDIF(Raw_data!$K142,TODAY(),"M")))</f>
        <v/>
      </c>
      <c r="E142">
        <f>--(AND(Raw_data!$AF142="No",OR(Raw_data!$AG142&lt;&gt;"",Raw_data!$AJ142&gt;0,Raw_data!$AK142&lt;&gt;"")))</f>
        <v/>
      </c>
      <c r="F142">
        <f>--(OR(AND(ISNUMBER(B142),B142&lt;0.5,OR(D142&gt;=24,Raw_data!$I142&gt;0)),Raw_data!$AE142=TRUE))</f>
        <v/>
      </c>
      <c r="G142">
        <f>IF(Dashboard!$B$11="Department",Raw_data!$AL142,IF(Dashboard!$B$11="Team",Raw_data!$AM142,IF(Dashboard!$B$11="Unit",Raw_data!$AN142,IF(Dashboard!$B$11="Legal entity",Raw_data!$AO142,IF(Dashboard!$B$11="Location",Raw_data!$AP142,Raw_data!$AQ142)))))</f>
        <v/>
      </c>
      <c r="H142">
        <f>--(AND(ISNUMBER(B142),B142&lt;0.5))</f>
        <v/>
      </c>
      <c r="I142">
        <f>IFERROR(MAX(0,(0.5-B142)*100),0)+IF(D142&gt;=24,20,0)+IF(Raw_data!$I142&gt;0,20,0)+IF(Raw_data!$AE142=TRUE,10,0)</f>
        <v/>
      </c>
      <c r="J142">
        <f>IFERROR(CHOOSE(MATCH(Dashboard!$B$11,{"Department","Team","Unit","Legal entity","Location","Lead"},0),INDEX(Lists!$B$3:$B$20,ROW()-1),INDEX(Lists!$C$3:$C$146,ROW()-1),INDEX(Lists!$D$3:$D$67,ROW()-1),INDEX(Lists!$E$3:$E$5,ROW()-1),INDEX(Lists!$F$3:$F$12,ROW()-1),INDEX(Lists!$G$3:$G$126,ROW()-1)),"")</f>
        <v/>
      </c>
      <c r="K142">
        <f>IF(J142="","",SUMPRODUCT(($A$2:$A$636=1)*($G$2:$G$636=J142)))</f>
        <v/>
      </c>
      <c r="L142">
        <f>IF(J142="","",SUMPRODUCT(($A$2:$A$636=1)*($G$2:$G$636=J142)*(ISNUMBER($B$2:$B$636))*($B$2:$B$636&lt;0.5)))</f>
        <v/>
      </c>
      <c r="M142">
        <f>IFERROR(L142/K142,"")</f>
        <v/>
      </c>
      <c r="N142">
        <f>IF(K142="","",M142+K142/100000+ROW()/100000000)</f>
        <v/>
      </c>
      <c r="R142">
        <f>IF(A142=1,IFERROR(I142,0)+ROW()/100000000,-1E+99)</f>
        <v/>
      </c>
      <c r="S142">
        <f>IF(A142=1,IFERROR(Raw_data!$T142,""),"")</f>
        <v/>
      </c>
      <c r="T142">
        <f>IF(A142=1,IFERROR(Raw_data!$AA142,""),"")</f>
        <v/>
      </c>
      <c r="U142">
        <f>IF(A142=1,IFERROR(Raw_data!$U142,""),"")</f>
        <v/>
      </c>
      <c r="V142">
        <f>IF(A142=1,IFERROR(Raw_data!$AB142,""),"")</f>
        <v/>
      </c>
    </row>
    <row r="143">
      <c r="A143">
        <f>--(AND(OR(Dashboard!$B$4="All",Raw_data!$AL143=Dashboard!$B$4),OR(Dashboard!$B$5="All",Raw_data!$AM143=Dashboard!$B$5),OR(Dashboard!$B$6="All",Raw_data!$AN143=Dashboard!$B$6),OR(Dashboard!$B$7="All",Raw_data!$AO143=Dashboard!$B$7),OR(Dashboard!$B$8="All",Raw_data!$AP143=Dashboard!$B$8),OR(Dashboard!$B$9="All",Raw_data!$AQ143=Dashboard!$B$9),OR(Dashboard!$B$10="All",Raw_data!$AF143=Dashboard!$B$10),OR(Raw_data!$F143="",Raw_data!$F143&lt;=TODAY())))</f>
        <v/>
      </c>
      <c r="B143">
        <f>IFERROR(IF(Dashboard!$B$3="Weighted",Raw_data!$U143,Raw_data!$T143),"")</f>
        <v/>
      </c>
      <c r="C143">
        <f>IFERROR(IF(Dashboard!$B$3="Weighted",Raw_data!$AB143,Raw_data!$AA143),"")</f>
        <v/>
      </c>
      <c r="D143">
        <f>IF(OR(Raw_data!$J143="",Raw_data!$J143&lt;=0,Raw_data!$K143=""),"",IF(Raw_data!$K143&gt;TODAY(),0,DATEDIF(Raw_data!$K143,TODAY(),"M")))</f>
        <v/>
      </c>
      <c r="E143">
        <f>--(AND(Raw_data!$AF143="No",OR(Raw_data!$AG143&lt;&gt;"",Raw_data!$AJ143&gt;0,Raw_data!$AK143&lt;&gt;"")))</f>
        <v/>
      </c>
      <c r="F143">
        <f>--(OR(AND(ISNUMBER(B143),B143&lt;0.5,OR(D143&gt;=24,Raw_data!$I143&gt;0)),Raw_data!$AE143=TRUE))</f>
        <v/>
      </c>
      <c r="G143">
        <f>IF(Dashboard!$B$11="Department",Raw_data!$AL143,IF(Dashboard!$B$11="Team",Raw_data!$AM143,IF(Dashboard!$B$11="Unit",Raw_data!$AN143,IF(Dashboard!$B$11="Legal entity",Raw_data!$AO143,IF(Dashboard!$B$11="Location",Raw_data!$AP143,Raw_data!$AQ143)))))</f>
        <v/>
      </c>
      <c r="H143">
        <f>--(AND(ISNUMBER(B143),B143&lt;0.5))</f>
        <v/>
      </c>
      <c r="I143">
        <f>IFERROR(MAX(0,(0.5-B143)*100),0)+IF(D143&gt;=24,20,0)+IF(Raw_data!$I143&gt;0,20,0)+IF(Raw_data!$AE143=TRUE,10,0)</f>
        <v/>
      </c>
      <c r="J143">
        <f>IFERROR(CHOOSE(MATCH(Dashboard!$B$11,{"Department","Team","Unit","Legal entity","Location","Lead"},0),INDEX(Lists!$B$3:$B$20,ROW()-1),INDEX(Lists!$C$3:$C$146,ROW()-1),INDEX(Lists!$D$3:$D$67,ROW()-1),INDEX(Lists!$E$3:$E$5,ROW()-1),INDEX(Lists!$F$3:$F$12,ROW()-1),INDEX(Lists!$G$3:$G$126,ROW()-1)),"")</f>
        <v/>
      </c>
      <c r="K143">
        <f>IF(J143="","",SUMPRODUCT(($A$2:$A$636=1)*($G$2:$G$636=J143)))</f>
        <v/>
      </c>
      <c r="L143">
        <f>IF(J143="","",SUMPRODUCT(($A$2:$A$636=1)*($G$2:$G$636=J143)*(ISNUMBER($B$2:$B$636))*($B$2:$B$636&lt;0.5)))</f>
        <v/>
      </c>
      <c r="M143">
        <f>IFERROR(L143/K143,"")</f>
        <v/>
      </c>
      <c r="N143">
        <f>IF(K143="","",M143+K143/100000+ROW()/100000000)</f>
        <v/>
      </c>
      <c r="R143">
        <f>IF(A143=1,IFERROR(I143,0)+ROW()/100000000,-1E+99)</f>
        <v/>
      </c>
      <c r="S143">
        <f>IF(A143=1,IFERROR(Raw_data!$T143,""),"")</f>
        <v/>
      </c>
      <c r="T143">
        <f>IF(A143=1,IFERROR(Raw_data!$AA143,""),"")</f>
        <v/>
      </c>
      <c r="U143">
        <f>IF(A143=1,IFERROR(Raw_data!$U143,""),"")</f>
        <v/>
      </c>
      <c r="V143">
        <f>IF(A143=1,IFERROR(Raw_data!$AB143,""),"")</f>
        <v/>
      </c>
    </row>
    <row r="144">
      <c r="A144">
        <f>--(AND(OR(Dashboard!$B$4="All",Raw_data!$AL144=Dashboard!$B$4),OR(Dashboard!$B$5="All",Raw_data!$AM144=Dashboard!$B$5),OR(Dashboard!$B$6="All",Raw_data!$AN144=Dashboard!$B$6),OR(Dashboard!$B$7="All",Raw_data!$AO144=Dashboard!$B$7),OR(Dashboard!$B$8="All",Raw_data!$AP144=Dashboard!$B$8),OR(Dashboard!$B$9="All",Raw_data!$AQ144=Dashboard!$B$9),OR(Dashboard!$B$10="All",Raw_data!$AF144=Dashboard!$B$10),OR(Raw_data!$F144="",Raw_data!$F144&lt;=TODAY())))</f>
        <v/>
      </c>
      <c r="B144">
        <f>IFERROR(IF(Dashboard!$B$3="Weighted",Raw_data!$U144,Raw_data!$T144),"")</f>
        <v/>
      </c>
      <c r="C144">
        <f>IFERROR(IF(Dashboard!$B$3="Weighted",Raw_data!$AB144,Raw_data!$AA144),"")</f>
        <v/>
      </c>
      <c r="D144">
        <f>IF(OR(Raw_data!$J144="",Raw_data!$J144&lt;=0,Raw_data!$K144=""),"",IF(Raw_data!$K144&gt;TODAY(),0,DATEDIF(Raw_data!$K144,TODAY(),"M")))</f>
        <v/>
      </c>
      <c r="E144">
        <f>--(AND(Raw_data!$AF144="No",OR(Raw_data!$AG144&lt;&gt;"",Raw_data!$AJ144&gt;0,Raw_data!$AK144&lt;&gt;"")))</f>
        <v/>
      </c>
      <c r="F144">
        <f>--(OR(AND(ISNUMBER(B144),B144&lt;0.5,OR(D144&gt;=24,Raw_data!$I144&gt;0)),Raw_data!$AE144=TRUE))</f>
        <v/>
      </c>
      <c r="G144">
        <f>IF(Dashboard!$B$11="Department",Raw_data!$AL144,IF(Dashboard!$B$11="Team",Raw_data!$AM144,IF(Dashboard!$B$11="Unit",Raw_data!$AN144,IF(Dashboard!$B$11="Legal entity",Raw_data!$AO144,IF(Dashboard!$B$11="Location",Raw_data!$AP144,Raw_data!$AQ144)))))</f>
        <v/>
      </c>
      <c r="H144">
        <f>--(AND(ISNUMBER(B144),B144&lt;0.5))</f>
        <v/>
      </c>
      <c r="I144">
        <f>IFERROR(MAX(0,(0.5-B144)*100),0)+IF(D144&gt;=24,20,0)+IF(Raw_data!$I144&gt;0,20,0)+IF(Raw_data!$AE144=TRUE,10,0)</f>
        <v/>
      </c>
      <c r="J144">
        <f>IFERROR(CHOOSE(MATCH(Dashboard!$B$11,{"Department","Team","Unit","Legal entity","Location","Lead"},0),INDEX(Lists!$B$3:$B$20,ROW()-1),INDEX(Lists!$C$3:$C$146,ROW()-1),INDEX(Lists!$D$3:$D$67,ROW()-1),INDEX(Lists!$E$3:$E$5,ROW()-1),INDEX(Lists!$F$3:$F$12,ROW()-1),INDEX(Lists!$G$3:$G$126,ROW()-1)),"")</f>
        <v/>
      </c>
      <c r="K144">
        <f>IF(J144="","",SUMPRODUCT(($A$2:$A$636=1)*($G$2:$G$636=J144)))</f>
        <v/>
      </c>
      <c r="L144">
        <f>IF(J144="","",SUMPRODUCT(($A$2:$A$636=1)*($G$2:$G$636=J144)*(ISNUMBER($B$2:$B$636))*($B$2:$B$636&lt;0.5)))</f>
        <v/>
      </c>
      <c r="M144">
        <f>IFERROR(L144/K144,"")</f>
        <v/>
      </c>
      <c r="N144">
        <f>IF(K144="","",M144+K144/100000+ROW()/100000000)</f>
        <v/>
      </c>
      <c r="R144">
        <f>IF(A144=1,IFERROR(I144,0)+ROW()/100000000,-1E+99)</f>
        <v/>
      </c>
      <c r="S144">
        <f>IF(A144=1,IFERROR(Raw_data!$T144,""),"")</f>
        <v/>
      </c>
      <c r="T144">
        <f>IF(A144=1,IFERROR(Raw_data!$AA144,""),"")</f>
        <v/>
      </c>
      <c r="U144">
        <f>IF(A144=1,IFERROR(Raw_data!$U144,""),"")</f>
        <v/>
      </c>
      <c r="V144">
        <f>IF(A144=1,IFERROR(Raw_data!$AB144,""),"")</f>
        <v/>
      </c>
    </row>
    <row r="145">
      <c r="A145">
        <f>--(AND(OR(Dashboard!$B$4="All",Raw_data!$AL145=Dashboard!$B$4),OR(Dashboard!$B$5="All",Raw_data!$AM145=Dashboard!$B$5),OR(Dashboard!$B$6="All",Raw_data!$AN145=Dashboard!$B$6),OR(Dashboard!$B$7="All",Raw_data!$AO145=Dashboard!$B$7),OR(Dashboard!$B$8="All",Raw_data!$AP145=Dashboard!$B$8),OR(Dashboard!$B$9="All",Raw_data!$AQ145=Dashboard!$B$9),OR(Dashboard!$B$10="All",Raw_data!$AF145=Dashboard!$B$10),OR(Raw_data!$F145="",Raw_data!$F145&lt;=TODAY())))</f>
        <v/>
      </c>
      <c r="B145">
        <f>IFERROR(IF(Dashboard!$B$3="Weighted",Raw_data!$U145,Raw_data!$T145),"")</f>
        <v/>
      </c>
      <c r="C145">
        <f>IFERROR(IF(Dashboard!$B$3="Weighted",Raw_data!$AB145,Raw_data!$AA145),"")</f>
        <v/>
      </c>
      <c r="D145">
        <f>IF(OR(Raw_data!$J145="",Raw_data!$J145&lt;=0,Raw_data!$K145=""),"",IF(Raw_data!$K145&gt;TODAY(),0,DATEDIF(Raw_data!$K145,TODAY(),"M")))</f>
        <v/>
      </c>
      <c r="E145">
        <f>--(AND(Raw_data!$AF145="No",OR(Raw_data!$AG145&lt;&gt;"",Raw_data!$AJ145&gt;0,Raw_data!$AK145&lt;&gt;"")))</f>
        <v/>
      </c>
      <c r="F145">
        <f>--(OR(AND(ISNUMBER(B145),B145&lt;0.5,OR(D145&gt;=24,Raw_data!$I145&gt;0)),Raw_data!$AE145=TRUE))</f>
        <v/>
      </c>
      <c r="G145">
        <f>IF(Dashboard!$B$11="Department",Raw_data!$AL145,IF(Dashboard!$B$11="Team",Raw_data!$AM145,IF(Dashboard!$B$11="Unit",Raw_data!$AN145,IF(Dashboard!$B$11="Legal entity",Raw_data!$AO145,IF(Dashboard!$B$11="Location",Raw_data!$AP145,Raw_data!$AQ145)))))</f>
        <v/>
      </c>
      <c r="H145">
        <f>--(AND(ISNUMBER(B145),B145&lt;0.5))</f>
        <v/>
      </c>
      <c r="I145">
        <f>IFERROR(MAX(0,(0.5-B145)*100),0)+IF(D145&gt;=24,20,0)+IF(Raw_data!$I145&gt;0,20,0)+IF(Raw_data!$AE145=TRUE,10,0)</f>
        <v/>
      </c>
      <c r="J145">
        <f>IFERROR(CHOOSE(MATCH(Dashboard!$B$11,{"Department","Team","Unit","Legal entity","Location","Lead"},0),INDEX(Lists!$B$3:$B$20,ROW()-1),INDEX(Lists!$C$3:$C$146,ROW()-1),INDEX(Lists!$D$3:$D$67,ROW()-1),INDEX(Lists!$E$3:$E$5,ROW()-1),INDEX(Lists!$F$3:$F$12,ROW()-1),INDEX(Lists!$G$3:$G$126,ROW()-1)),"")</f>
        <v/>
      </c>
      <c r="K145">
        <f>IF(J145="","",SUMPRODUCT(($A$2:$A$636=1)*($G$2:$G$636=J145)))</f>
        <v/>
      </c>
      <c r="L145">
        <f>IF(J145="","",SUMPRODUCT(($A$2:$A$636=1)*($G$2:$G$636=J145)*(ISNUMBER($B$2:$B$636))*($B$2:$B$636&lt;0.5)))</f>
        <v/>
      </c>
      <c r="M145">
        <f>IFERROR(L145/K145,"")</f>
        <v/>
      </c>
      <c r="N145">
        <f>IF(K145="","",M145+K145/100000+ROW()/100000000)</f>
        <v/>
      </c>
      <c r="R145">
        <f>IF(A145=1,IFERROR(I145,0)+ROW()/100000000,-1E+99)</f>
        <v/>
      </c>
      <c r="S145">
        <f>IF(A145=1,IFERROR(Raw_data!$T145,""),"")</f>
        <v/>
      </c>
      <c r="T145">
        <f>IF(A145=1,IFERROR(Raw_data!$AA145,""),"")</f>
        <v/>
      </c>
      <c r="U145">
        <f>IF(A145=1,IFERROR(Raw_data!$U145,""),"")</f>
        <v/>
      </c>
      <c r="V145">
        <f>IF(A145=1,IFERROR(Raw_data!$AB145,""),"")</f>
        <v/>
      </c>
    </row>
    <row r="146">
      <c r="A146">
        <f>--(AND(OR(Dashboard!$B$4="All",Raw_data!$AL146=Dashboard!$B$4),OR(Dashboard!$B$5="All",Raw_data!$AM146=Dashboard!$B$5),OR(Dashboard!$B$6="All",Raw_data!$AN146=Dashboard!$B$6),OR(Dashboard!$B$7="All",Raw_data!$AO146=Dashboard!$B$7),OR(Dashboard!$B$8="All",Raw_data!$AP146=Dashboard!$B$8),OR(Dashboard!$B$9="All",Raw_data!$AQ146=Dashboard!$B$9),OR(Dashboard!$B$10="All",Raw_data!$AF146=Dashboard!$B$10),OR(Raw_data!$F146="",Raw_data!$F146&lt;=TODAY())))</f>
        <v/>
      </c>
      <c r="B146">
        <f>IFERROR(IF(Dashboard!$B$3="Weighted",Raw_data!$U146,Raw_data!$T146),"")</f>
        <v/>
      </c>
      <c r="C146">
        <f>IFERROR(IF(Dashboard!$B$3="Weighted",Raw_data!$AB146,Raw_data!$AA146),"")</f>
        <v/>
      </c>
      <c r="D146">
        <f>IF(OR(Raw_data!$J146="",Raw_data!$J146&lt;=0,Raw_data!$K146=""),"",IF(Raw_data!$K146&gt;TODAY(),0,DATEDIF(Raw_data!$K146,TODAY(),"M")))</f>
        <v/>
      </c>
      <c r="E146">
        <f>--(AND(Raw_data!$AF146="No",OR(Raw_data!$AG146&lt;&gt;"",Raw_data!$AJ146&gt;0,Raw_data!$AK146&lt;&gt;"")))</f>
        <v/>
      </c>
      <c r="F146">
        <f>--(OR(AND(ISNUMBER(B146),B146&lt;0.5,OR(D146&gt;=24,Raw_data!$I146&gt;0)),Raw_data!$AE146=TRUE))</f>
        <v/>
      </c>
      <c r="G146">
        <f>IF(Dashboard!$B$11="Department",Raw_data!$AL146,IF(Dashboard!$B$11="Team",Raw_data!$AM146,IF(Dashboard!$B$11="Unit",Raw_data!$AN146,IF(Dashboard!$B$11="Legal entity",Raw_data!$AO146,IF(Dashboard!$B$11="Location",Raw_data!$AP146,Raw_data!$AQ146)))))</f>
        <v/>
      </c>
      <c r="H146">
        <f>--(AND(ISNUMBER(B146),B146&lt;0.5))</f>
        <v/>
      </c>
      <c r="I146">
        <f>IFERROR(MAX(0,(0.5-B146)*100),0)+IF(D146&gt;=24,20,0)+IF(Raw_data!$I146&gt;0,20,0)+IF(Raw_data!$AE146=TRUE,10,0)</f>
        <v/>
      </c>
      <c r="J146">
        <f>IFERROR(CHOOSE(MATCH(Dashboard!$B$11,{"Department","Team","Unit","Legal entity","Location","Lead"},0),INDEX(Lists!$B$3:$B$20,ROW()-1),INDEX(Lists!$C$3:$C$146,ROW()-1),INDEX(Lists!$D$3:$D$67,ROW()-1),INDEX(Lists!$E$3:$E$5,ROW()-1),INDEX(Lists!$F$3:$F$12,ROW()-1),INDEX(Lists!$G$3:$G$126,ROW()-1)),"")</f>
        <v/>
      </c>
      <c r="K146">
        <f>IF(J146="","",SUMPRODUCT(($A$2:$A$636=1)*($G$2:$G$636=J146)))</f>
        <v/>
      </c>
      <c r="L146">
        <f>IF(J146="","",SUMPRODUCT(($A$2:$A$636=1)*($G$2:$G$636=J146)*(ISNUMBER($B$2:$B$636))*($B$2:$B$636&lt;0.5)))</f>
        <v/>
      </c>
      <c r="M146">
        <f>IFERROR(L146/K146,"")</f>
        <v/>
      </c>
      <c r="N146">
        <f>IF(K146="","",M146+K146/100000+ROW()/100000000)</f>
        <v/>
      </c>
      <c r="R146">
        <f>IF(A146=1,IFERROR(I146,0)+ROW()/100000000,-1E+99)</f>
        <v/>
      </c>
      <c r="S146">
        <f>IF(A146=1,IFERROR(Raw_data!$T146,""),"")</f>
        <v/>
      </c>
      <c r="T146">
        <f>IF(A146=1,IFERROR(Raw_data!$AA146,""),"")</f>
        <v/>
      </c>
      <c r="U146">
        <f>IF(A146=1,IFERROR(Raw_data!$U146,""),"")</f>
        <v/>
      </c>
      <c r="V146">
        <f>IF(A146=1,IFERROR(Raw_data!$AB146,""),"")</f>
        <v/>
      </c>
    </row>
    <row r="147">
      <c r="A147">
        <f>--(AND(OR(Dashboard!$B$4="All",Raw_data!$AL147=Dashboard!$B$4),OR(Dashboard!$B$5="All",Raw_data!$AM147=Dashboard!$B$5),OR(Dashboard!$B$6="All",Raw_data!$AN147=Dashboard!$B$6),OR(Dashboard!$B$7="All",Raw_data!$AO147=Dashboard!$B$7),OR(Dashboard!$B$8="All",Raw_data!$AP147=Dashboard!$B$8),OR(Dashboard!$B$9="All",Raw_data!$AQ147=Dashboard!$B$9),OR(Dashboard!$B$10="All",Raw_data!$AF147=Dashboard!$B$10),OR(Raw_data!$F147="",Raw_data!$F147&lt;=TODAY())))</f>
        <v/>
      </c>
      <c r="B147">
        <f>IFERROR(IF(Dashboard!$B$3="Weighted",Raw_data!$U147,Raw_data!$T147),"")</f>
        <v/>
      </c>
      <c r="C147">
        <f>IFERROR(IF(Dashboard!$B$3="Weighted",Raw_data!$AB147,Raw_data!$AA147),"")</f>
        <v/>
      </c>
      <c r="D147">
        <f>IF(OR(Raw_data!$J147="",Raw_data!$J147&lt;=0,Raw_data!$K147=""),"",IF(Raw_data!$K147&gt;TODAY(),0,DATEDIF(Raw_data!$K147,TODAY(),"M")))</f>
        <v/>
      </c>
      <c r="E147">
        <f>--(AND(Raw_data!$AF147="No",OR(Raw_data!$AG147&lt;&gt;"",Raw_data!$AJ147&gt;0,Raw_data!$AK147&lt;&gt;"")))</f>
        <v/>
      </c>
      <c r="F147">
        <f>--(OR(AND(ISNUMBER(B147),B147&lt;0.5,OR(D147&gt;=24,Raw_data!$I147&gt;0)),Raw_data!$AE147=TRUE))</f>
        <v/>
      </c>
      <c r="G147">
        <f>IF(Dashboard!$B$11="Department",Raw_data!$AL147,IF(Dashboard!$B$11="Team",Raw_data!$AM147,IF(Dashboard!$B$11="Unit",Raw_data!$AN147,IF(Dashboard!$B$11="Legal entity",Raw_data!$AO147,IF(Dashboard!$B$11="Location",Raw_data!$AP147,Raw_data!$AQ147)))))</f>
        <v/>
      </c>
      <c r="H147">
        <f>--(AND(ISNUMBER(B147),B147&lt;0.5))</f>
        <v/>
      </c>
      <c r="I147">
        <f>IFERROR(MAX(0,(0.5-B147)*100),0)+IF(D147&gt;=24,20,0)+IF(Raw_data!$I147&gt;0,20,0)+IF(Raw_data!$AE147=TRUE,10,0)</f>
        <v/>
      </c>
      <c r="J147">
        <f>IFERROR(CHOOSE(MATCH(Dashboard!$B$11,{"Department","Team","Unit","Legal entity","Location","Lead"},0),INDEX(Lists!$B$3:$B$20,ROW()-1),INDEX(Lists!$C$3:$C$146,ROW()-1),INDEX(Lists!$D$3:$D$67,ROW()-1),INDEX(Lists!$E$3:$E$5,ROW()-1),INDEX(Lists!$F$3:$F$12,ROW()-1),INDEX(Lists!$G$3:$G$126,ROW()-1)),"")</f>
        <v/>
      </c>
      <c r="K147">
        <f>IF(J147="","",SUMPRODUCT(($A$2:$A$636=1)*($G$2:$G$636=J147)))</f>
        <v/>
      </c>
      <c r="L147">
        <f>IF(J147="","",SUMPRODUCT(($A$2:$A$636=1)*($G$2:$G$636=J147)*(ISNUMBER($B$2:$B$636))*($B$2:$B$636&lt;0.5)))</f>
        <v/>
      </c>
      <c r="M147">
        <f>IFERROR(L147/K147,"")</f>
        <v/>
      </c>
      <c r="N147">
        <f>IF(K147="","",M147+K147/100000+ROW()/100000000)</f>
        <v/>
      </c>
      <c r="R147">
        <f>IF(A147=1,IFERROR(I147,0)+ROW()/100000000,-1E+99)</f>
        <v/>
      </c>
      <c r="S147">
        <f>IF(A147=1,IFERROR(Raw_data!$T147,""),"")</f>
        <v/>
      </c>
      <c r="T147">
        <f>IF(A147=1,IFERROR(Raw_data!$AA147,""),"")</f>
        <v/>
      </c>
      <c r="U147">
        <f>IF(A147=1,IFERROR(Raw_data!$U147,""),"")</f>
        <v/>
      </c>
      <c r="V147">
        <f>IF(A147=1,IFERROR(Raw_data!$AB147,""),"")</f>
        <v/>
      </c>
    </row>
    <row r="148">
      <c r="A148">
        <f>--(AND(OR(Dashboard!$B$4="All",Raw_data!$AL148=Dashboard!$B$4),OR(Dashboard!$B$5="All",Raw_data!$AM148=Dashboard!$B$5),OR(Dashboard!$B$6="All",Raw_data!$AN148=Dashboard!$B$6),OR(Dashboard!$B$7="All",Raw_data!$AO148=Dashboard!$B$7),OR(Dashboard!$B$8="All",Raw_data!$AP148=Dashboard!$B$8),OR(Dashboard!$B$9="All",Raw_data!$AQ148=Dashboard!$B$9),OR(Dashboard!$B$10="All",Raw_data!$AF148=Dashboard!$B$10),OR(Raw_data!$F148="",Raw_data!$F148&lt;=TODAY())))</f>
        <v/>
      </c>
      <c r="B148">
        <f>IFERROR(IF(Dashboard!$B$3="Weighted",Raw_data!$U148,Raw_data!$T148),"")</f>
        <v/>
      </c>
      <c r="C148">
        <f>IFERROR(IF(Dashboard!$B$3="Weighted",Raw_data!$AB148,Raw_data!$AA148),"")</f>
        <v/>
      </c>
      <c r="D148">
        <f>IF(OR(Raw_data!$J148="",Raw_data!$J148&lt;=0,Raw_data!$K148=""),"",IF(Raw_data!$K148&gt;TODAY(),0,DATEDIF(Raw_data!$K148,TODAY(),"M")))</f>
        <v/>
      </c>
      <c r="E148">
        <f>--(AND(Raw_data!$AF148="No",OR(Raw_data!$AG148&lt;&gt;"",Raw_data!$AJ148&gt;0,Raw_data!$AK148&lt;&gt;"")))</f>
        <v/>
      </c>
      <c r="F148">
        <f>--(OR(AND(ISNUMBER(B148),B148&lt;0.5,OR(D148&gt;=24,Raw_data!$I148&gt;0)),Raw_data!$AE148=TRUE))</f>
        <v/>
      </c>
      <c r="G148">
        <f>IF(Dashboard!$B$11="Department",Raw_data!$AL148,IF(Dashboard!$B$11="Team",Raw_data!$AM148,IF(Dashboard!$B$11="Unit",Raw_data!$AN148,IF(Dashboard!$B$11="Legal entity",Raw_data!$AO148,IF(Dashboard!$B$11="Location",Raw_data!$AP148,Raw_data!$AQ148)))))</f>
        <v/>
      </c>
      <c r="H148">
        <f>--(AND(ISNUMBER(B148),B148&lt;0.5))</f>
        <v/>
      </c>
      <c r="I148">
        <f>IFERROR(MAX(0,(0.5-B148)*100),0)+IF(D148&gt;=24,20,0)+IF(Raw_data!$I148&gt;0,20,0)+IF(Raw_data!$AE148=TRUE,10,0)</f>
        <v/>
      </c>
      <c r="J148">
        <f>IFERROR(CHOOSE(MATCH(Dashboard!$B$11,{"Department","Team","Unit","Legal entity","Location","Lead"},0),INDEX(Lists!$B$3:$B$20,ROW()-1),INDEX(Lists!$C$3:$C$146,ROW()-1),INDEX(Lists!$D$3:$D$67,ROW()-1),INDEX(Lists!$E$3:$E$5,ROW()-1),INDEX(Lists!$F$3:$F$12,ROW()-1),INDEX(Lists!$G$3:$G$126,ROW()-1)),"")</f>
        <v/>
      </c>
      <c r="K148">
        <f>IF(J148="","",SUMPRODUCT(($A$2:$A$636=1)*($G$2:$G$636=J148)))</f>
        <v/>
      </c>
      <c r="L148">
        <f>IF(J148="","",SUMPRODUCT(($A$2:$A$636=1)*($G$2:$G$636=J148)*(ISNUMBER($B$2:$B$636))*($B$2:$B$636&lt;0.5)))</f>
        <v/>
      </c>
      <c r="M148">
        <f>IFERROR(L148/K148,"")</f>
        <v/>
      </c>
      <c r="N148">
        <f>IF(K148="","",M148+K148/100000+ROW()/100000000)</f>
        <v/>
      </c>
      <c r="R148">
        <f>IF(A148=1,IFERROR(I148,0)+ROW()/100000000,-1E+99)</f>
        <v/>
      </c>
      <c r="S148">
        <f>IF(A148=1,IFERROR(Raw_data!$T148,""),"")</f>
        <v/>
      </c>
      <c r="T148">
        <f>IF(A148=1,IFERROR(Raw_data!$AA148,""),"")</f>
        <v/>
      </c>
      <c r="U148">
        <f>IF(A148=1,IFERROR(Raw_data!$U148,""),"")</f>
        <v/>
      </c>
      <c r="V148">
        <f>IF(A148=1,IFERROR(Raw_data!$AB148,""),"")</f>
        <v/>
      </c>
    </row>
    <row r="149">
      <c r="A149">
        <f>--(AND(OR(Dashboard!$B$4="All",Raw_data!$AL149=Dashboard!$B$4),OR(Dashboard!$B$5="All",Raw_data!$AM149=Dashboard!$B$5),OR(Dashboard!$B$6="All",Raw_data!$AN149=Dashboard!$B$6),OR(Dashboard!$B$7="All",Raw_data!$AO149=Dashboard!$B$7),OR(Dashboard!$B$8="All",Raw_data!$AP149=Dashboard!$B$8),OR(Dashboard!$B$9="All",Raw_data!$AQ149=Dashboard!$B$9),OR(Dashboard!$B$10="All",Raw_data!$AF149=Dashboard!$B$10),OR(Raw_data!$F149="",Raw_data!$F149&lt;=TODAY())))</f>
        <v/>
      </c>
      <c r="B149">
        <f>IFERROR(IF(Dashboard!$B$3="Weighted",Raw_data!$U149,Raw_data!$T149),"")</f>
        <v/>
      </c>
      <c r="C149">
        <f>IFERROR(IF(Dashboard!$B$3="Weighted",Raw_data!$AB149,Raw_data!$AA149),"")</f>
        <v/>
      </c>
      <c r="D149">
        <f>IF(OR(Raw_data!$J149="",Raw_data!$J149&lt;=0,Raw_data!$K149=""),"",IF(Raw_data!$K149&gt;TODAY(),0,DATEDIF(Raw_data!$K149,TODAY(),"M")))</f>
        <v/>
      </c>
      <c r="E149">
        <f>--(AND(Raw_data!$AF149="No",OR(Raw_data!$AG149&lt;&gt;"",Raw_data!$AJ149&gt;0,Raw_data!$AK149&lt;&gt;"")))</f>
        <v/>
      </c>
      <c r="F149">
        <f>--(OR(AND(ISNUMBER(B149),B149&lt;0.5,OR(D149&gt;=24,Raw_data!$I149&gt;0)),Raw_data!$AE149=TRUE))</f>
        <v/>
      </c>
      <c r="G149">
        <f>IF(Dashboard!$B$11="Department",Raw_data!$AL149,IF(Dashboard!$B$11="Team",Raw_data!$AM149,IF(Dashboard!$B$11="Unit",Raw_data!$AN149,IF(Dashboard!$B$11="Legal entity",Raw_data!$AO149,IF(Dashboard!$B$11="Location",Raw_data!$AP149,Raw_data!$AQ149)))))</f>
        <v/>
      </c>
      <c r="H149">
        <f>--(AND(ISNUMBER(B149),B149&lt;0.5))</f>
        <v/>
      </c>
      <c r="I149">
        <f>IFERROR(MAX(0,(0.5-B149)*100),0)+IF(D149&gt;=24,20,0)+IF(Raw_data!$I149&gt;0,20,0)+IF(Raw_data!$AE149=TRUE,10,0)</f>
        <v/>
      </c>
      <c r="J149">
        <f>IFERROR(CHOOSE(MATCH(Dashboard!$B$11,{"Department","Team","Unit","Legal entity","Location","Lead"},0),INDEX(Lists!$B$3:$B$20,ROW()-1),INDEX(Lists!$C$3:$C$146,ROW()-1),INDEX(Lists!$D$3:$D$67,ROW()-1),INDEX(Lists!$E$3:$E$5,ROW()-1),INDEX(Lists!$F$3:$F$12,ROW()-1),INDEX(Lists!$G$3:$G$126,ROW()-1)),"")</f>
        <v/>
      </c>
      <c r="K149">
        <f>IF(J149="","",SUMPRODUCT(($A$2:$A$636=1)*($G$2:$G$636=J149)))</f>
        <v/>
      </c>
      <c r="L149">
        <f>IF(J149="","",SUMPRODUCT(($A$2:$A$636=1)*($G$2:$G$636=J149)*(ISNUMBER($B$2:$B$636))*($B$2:$B$636&lt;0.5)))</f>
        <v/>
      </c>
      <c r="M149">
        <f>IFERROR(L149/K149,"")</f>
        <v/>
      </c>
      <c r="N149">
        <f>IF(K149="","",M149+K149/100000+ROW()/100000000)</f>
        <v/>
      </c>
      <c r="R149">
        <f>IF(A149=1,IFERROR(I149,0)+ROW()/100000000,-1E+99)</f>
        <v/>
      </c>
      <c r="S149">
        <f>IF(A149=1,IFERROR(Raw_data!$T149,""),"")</f>
        <v/>
      </c>
      <c r="T149">
        <f>IF(A149=1,IFERROR(Raw_data!$AA149,""),"")</f>
        <v/>
      </c>
      <c r="U149">
        <f>IF(A149=1,IFERROR(Raw_data!$U149,""),"")</f>
        <v/>
      </c>
      <c r="V149">
        <f>IF(A149=1,IFERROR(Raw_data!$AB149,""),"")</f>
        <v/>
      </c>
    </row>
    <row r="150">
      <c r="A150">
        <f>--(AND(OR(Dashboard!$B$4="All",Raw_data!$AL150=Dashboard!$B$4),OR(Dashboard!$B$5="All",Raw_data!$AM150=Dashboard!$B$5),OR(Dashboard!$B$6="All",Raw_data!$AN150=Dashboard!$B$6),OR(Dashboard!$B$7="All",Raw_data!$AO150=Dashboard!$B$7),OR(Dashboard!$B$8="All",Raw_data!$AP150=Dashboard!$B$8),OR(Dashboard!$B$9="All",Raw_data!$AQ150=Dashboard!$B$9),OR(Dashboard!$B$10="All",Raw_data!$AF150=Dashboard!$B$10),OR(Raw_data!$F150="",Raw_data!$F150&lt;=TODAY())))</f>
        <v/>
      </c>
      <c r="B150">
        <f>IFERROR(IF(Dashboard!$B$3="Weighted",Raw_data!$U150,Raw_data!$T150),"")</f>
        <v/>
      </c>
      <c r="C150">
        <f>IFERROR(IF(Dashboard!$B$3="Weighted",Raw_data!$AB150,Raw_data!$AA150),"")</f>
        <v/>
      </c>
      <c r="D150">
        <f>IF(OR(Raw_data!$J150="",Raw_data!$J150&lt;=0,Raw_data!$K150=""),"",IF(Raw_data!$K150&gt;TODAY(),0,DATEDIF(Raw_data!$K150,TODAY(),"M")))</f>
        <v/>
      </c>
      <c r="E150">
        <f>--(AND(Raw_data!$AF150="No",OR(Raw_data!$AG150&lt;&gt;"",Raw_data!$AJ150&gt;0,Raw_data!$AK150&lt;&gt;"")))</f>
        <v/>
      </c>
      <c r="F150">
        <f>--(OR(AND(ISNUMBER(B150),B150&lt;0.5,OR(D150&gt;=24,Raw_data!$I150&gt;0)),Raw_data!$AE150=TRUE))</f>
        <v/>
      </c>
      <c r="G150">
        <f>IF(Dashboard!$B$11="Department",Raw_data!$AL150,IF(Dashboard!$B$11="Team",Raw_data!$AM150,IF(Dashboard!$B$11="Unit",Raw_data!$AN150,IF(Dashboard!$B$11="Legal entity",Raw_data!$AO150,IF(Dashboard!$B$11="Location",Raw_data!$AP150,Raw_data!$AQ150)))))</f>
        <v/>
      </c>
      <c r="H150">
        <f>--(AND(ISNUMBER(B150),B150&lt;0.5))</f>
        <v/>
      </c>
      <c r="I150">
        <f>IFERROR(MAX(0,(0.5-B150)*100),0)+IF(D150&gt;=24,20,0)+IF(Raw_data!$I150&gt;0,20,0)+IF(Raw_data!$AE150=TRUE,10,0)</f>
        <v/>
      </c>
      <c r="J150">
        <f>IFERROR(CHOOSE(MATCH(Dashboard!$B$11,{"Department","Team","Unit","Legal entity","Location","Lead"},0),INDEX(Lists!$B$3:$B$20,ROW()-1),INDEX(Lists!$C$3:$C$146,ROW()-1),INDEX(Lists!$D$3:$D$67,ROW()-1),INDEX(Lists!$E$3:$E$5,ROW()-1),INDEX(Lists!$F$3:$F$12,ROW()-1),INDEX(Lists!$G$3:$G$126,ROW()-1)),"")</f>
        <v/>
      </c>
      <c r="K150">
        <f>IF(J150="","",SUMPRODUCT(($A$2:$A$636=1)*($G$2:$G$636=J150)))</f>
        <v/>
      </c>
      <c r="L150">
        <f>IF(J150="","",SUMPRODUCT(($A$2:$A$636=1)*($G$2:$G$636=J150)*(ISNUMBER($B$2:$B$636))*($B$2:$B$636&lt;0.5)))</f>
        <v/>
      </c>
      <c r="M150">
        <f>IFERROR(L150/K150,"")</f>
        <v/>
      </c>
      <c r="N150">
        <f>IF(K150="","",M150+K150/100000+ROW()/100000000)</f>
        <v/>
      </c>
      <c r="R150">
        <f>IF(A150=1,IFERROR(I150,0)+ROW()/100000000,-1E+99)</f>
        <v/>
      </c>
      <c r="S150">
        <f>IF(A150=1,IFERROR(Raw_data!$T150,""),"")</f>
        <v/>
      </c>
      <c r="T150">
        <f>IF(A150=1,IFERROR(Raw_data!$AA150,""),"")</f>
        <v/>
      </c>
      <c r="U150">
        <f>IF(A150=1,IFERROR(Raw_data!$U150,""),"")</f>
        <v/>
      </c>
      <c r="V150">
        <f>IF(A150=1,IFERROR(Raw_data!$AB150,""),"")</f>
        <v/>
      </c>
    </row>
    <row r="151">
      <c r="A151">
        <f>--(AND(OR(Dashboard!$B$4="All",Raw_data!$AL151=Dashboard!$B$4),OR(Dashboard!$B$5="All",Raw_data!$AM151=Dashboard!$B$5),OR(Dashboard!$B$6="All",Raw_data!$AN151=Dashboard!$B$6),OR(Dashboard!$B$7="All",Raw_data!$AO151=Dashboard!$B$7),OR(Dashboard!$B$8="All",Raw_data!$AP151=Dashboard!$B$8),OR(Dashboard!$B$9="All",Raw_data!$AQ151=Dashboard!$B$9),OR(Dashboard!$B$10="All",Raw_data!$AF151=Dashboard!$B$10),OR(Raw_data!$F151="",Raw_data!$F151&lt;=TODAY())))</f>
        <v/>
      </c>
      <c r="B151">
        <f>IFERROR(IF(Dashboard!$B$3="Weighted",Raw_data!$U151,Raw_data!$T151),"")</f>
        <v/>
      </c>
      <c r="C151">
        <f>IFERROR(IF(Dashboard!$B$3="Weighted",Raw_data!$AB151,Raw_data!$AA151),"")</f>
        <v/>
      </c>
      <c r="D151">
        <f>IF(OR(Raw_data!$J151="",Raw_data!$J151&lt;=0,Raw_data!$K151=""),"",IF(Raw_data!$K151&gt;TODAY(),0,DATEDIF(Raw_data!$K151,TODAY(),"M")))</f>
        <v/>
      </c>
      <c r="E151">
        <f>--(AND(Raw_data!$AF151="No",OR(Raw_data!$AG151&lt;&gt;"",Raw_data!$AJ151&gt;0,Raw_data!$AK151&lt;&gt;"")))</f>
        <v/>
      </c>
      <c r="F151">
        <f>--(OR(AND(ISNUMBER(B151),B151&lt;0.5,OR(D151&gt;=24,Raw_data!$I151&gt;0)),Raw_data!$AE151=TRUE))</f>
        <v/>
      </c>
      <c r="G151">
        <f>IF(Dashboard!$B$11="Department",Raw_data!$AL151,IF(Dashboard!$B$11="Team",Raw_data!$AM151,IF(Dashboard!$B$11="Unit",Raw_data!$AN151,IF(Dashboard!$B$11="Legal entity",Raw_data!$AO151,IF(Dashboard!$B$11="Location",Raw_data!$AP151,Raw_data!$AQ151)))))</f>
        <v/>
      </c>
      <c r="H151">
        <f>--(AND(ISNUMBER(B151),B151&lt;0.5))</f>
        <v/>
      </c>
      <c r="I151">
        <f>IFERROR(MAX(0,(0.5-B151)*100),0)+IF(D151&gt;=24,20,0)+IF(Raw_data!$I151&gt;0,20,0)+IF(Raw_data!$AE151=TRUE,10,0)</f>
        <v/>
      </c>
      <c r="J151">
        <f>IFERROR(CHOOSE(MATCH(Dashboard!$B$11,{"Department","Team","Unit","Legal entity","Location","Lead"},0),INDEX(Lists!$B$3:$B$20,ROW()-1),INDEX(Lists!$C$3:$C$146,ROW()-1),INDEX(Lists!$D$3:$D$67,ROW()-1),INDEX(Lists!$E$3:$E$5,ROW()-1),INDEX(Lists!$F$3:$F$12,ROW()-1),INDEX(Lists!$G$3:$G$126,ROW()-1)),"")</f>
        <v/>
      </c>
      <c r="K151">
        <f>IF(J151="","",SUMPRODUCT(($A$2:$A$636=1)*($G$2:$G$636=J151)))</f>
        <v/>
      </c>
      <c r="L151">
        <f>IF(J151="","",SUMPRODUCT(($A$2:$A$636=1)*($G$2:$G$636=J151)*(ISNUMBER($B$2:$B$636))*($B$2:$B$636&lt;0.5)))</f>
        <v/>
      </c>
      <c r="M151">
        <f>IFERROR(L151/K151,"")</f>
        <v/>
      </c>
      <c r="N151">
        <f>IF(K151="","",M151+K151/100000+ROW()/100000000)</f>
        <v/>
      </c>
      <c r="R151">
        <f>IF(A151=1,IFERROR(I151,0)+ROW()/100000000,-1E+99)</f>
        <v/>
      </c>
      <c r="S151">
        <f>IF(A151=1,IFERROR(Raw_data!$T151,""),"")</f>
        <v/>
      </c>
      <c r="T151">
        <f>IF(A151=1,IFERROR(Raw_data!$AA151,""),"")</f>
        <v/>
      </c>
      <c r="U151">
        <f>IF(A151=1,IFERROR(Raw_data!$U151,""),"")</f>
        <v/>
      </c>
      <c r="V151">
        <f>IF(A151=1,IFERROR(Raw_data!$AB151,""),"")</f>
        <v/>
      </c>
    </row>
    <row r="152">
      <c r="A152">
        <f>--(AND(OR(Dashboard!$B$4="All",Raw_data!$AL152=Dashboard!$B$4),OR(Dashboard!$B$5="All",Raw_data!$AM152=Dashboard!$B$5),OR(Dashboard!$B$6="All",Raw_data!$AN152=Dashboard!$B$6),OR(Dashboard!$B$7="All",Raw_data!$AO152=Dashboard!$B$7),OR(Dashboard!$B$8="All",Raw_data!$AP152=Dashboard!$B$8),OR(Dashboard!$B$9="All",Raw_data!$AQ152=Dashboard!$B$9),OR(Dashboard!$B$10="All",Raw_data!$AF152=Dashboard!$B$10),OR(Raw_data!$F152="",Raw_data!$F152&lt;=TODAY())))</f>
        <v/>
      </c>
      <c r="B152">
        <f>IFERROR(IF(Dashboard!$B$3="Weighted",Raw_data!$U152,Raw_data!$T152),"")</f>
        <v/>
      </c>
      <c r="C152">
        <f>IFERROR(IF(Dashboard!$B$3="Weighted",Raw_data!$AB152,Raw_data!$AA152),"")</f>
        <v/>
      </c>
      <c r="D152">
        <f>IF(OR(Raw_data!$J152="",Raw_data!$J152&lt;=0,Raw_data!$K152=""),"",IF(Raw_data!$K152&gt;TODAY(),0,DATEDIF(Raw_data!$K152,TODAY(),"M")))</f>
        <v/>
      </c>
      <c r="E152">
        <f>--(AND(Raw_data!$AF152="No",OR(Raw_data!$AG152&lt;&gt;"",Raw_data!$AJ152&gt;0,Raw_data!$AK152&lt;&gt;"")))</f>
        <v/>
      </c>
      <c r="F152">
        <f>--(OR(AND(ISNUMBER(B152),B152&lt;0.5,OR(D152&gt;=24,Raw_data!$I152&gt;0)),Raw_data!$AE152=TRUE))</f>
        <v/>
      </c>
      <c r="G152">
        <f>IF(Dashboard!$B$11="Department",Raw_data!$AL152,IF(Dashboard!$B$11="Team",Raw_data!$AM152,IF(Dashboard!$B$11="Unit",Raw_data!$AN152,IF(Dashboard!$B$11="Legal entity",Raw_data!$AO152,IF(Dashboard!$B$11="Location",Raw_data!$AP152,Raw_data!$AQ152)))))</f>
        <v/>
      </c>
      <c r="H152">
        <f>--(AND(ISNUMBER(B152),B152&lt;0.5))</f>
        <v/>
      </c>
      <c r="I152">
        <f>IFERROR(MAX(0,(0.5-B152)*100),0)+IF(D152&gt;=24,20,0)+IF(Raw_data!$I152&gt;0,20,0)+IF(Raw_data!$AE152=TRUE,10,0)</f>
        <v/>
      </c>
      <c r="J152">
        <f>IFERROR(CHOOSE(MATCH(Dashboard!$B$11,{"Department","Team","Unit","Legal entity","Location","Lead"},0),INDEX(Lists!$B$3:$B$20,ROW()-1),INDEX(Lists!$C$3:$C$146,ROW()-1),INDEX(Lists!$D$3:$D$67,ROW()-1),INDEX(Lists!$E$3:$E$5,ROW()-1),INDEX(Lists!$F$3:$F$12,ROW()-1),INDEX(Lists!$G$3:$G$126,ROW()-1)),"")</f>
        <v/>
      </c>
      <c r="K152">
        <f>IF(J152="","",SUMPRODUCT(($A$2:$A$636=1)*($G$2:$G$636=J152)))</f>
        <v/>
      </c>
      <c r="L152">
        <f>IF(J152="","",SUMPRODUCT(($A$2:$A$636=1)*($G$2:$G$636=J152)*(ISNUMBER($B$2:$B$636))*($B$2:$B$636&lt;0.5)))</f>
        <v/>
      </c>
      <c r="M152">
        <f>IFERROR(L152/K152,"")</f>
        <v/>
      </c>
      <c r="N152">
        <f>IF(K152="","",M152+K152/100000+ROW()/100000000)</f>
        <v/>
      </c>
      <c r="R152">
        <f>IF(A152=1,IFERROR(I152,0)+ROW()/100000000,-1E+99)</f>
        <v/>
      </c>
      <c r="S152">
        <f>IF(A152=1,IFERROR(Raw_data!$T152,""),"")</f>
        <v/>
      </c>
      <c r="T152">
        <f>IF(A152=1,IFERROR(Raw_data!$AA152,""),"")</f>
        <v/>
      </c>
      <c r="U152">
        <f>IF(A152=1,IFERROR(Raw_data!$U152,""),"")</f>
        <v/>
      </c>
      <c r="V152">
        <f>IF(A152=1,IFERROR(Raw_data!$AB152,""),"")</f>
        <v/>
      </c>
    </row>
    <row r="153">
      <c r="A153">
        <f>--(AND(OR(Dashboard!$B$4="All",Raw_data!$AL153=Dashboard!$B$4),OR(Dashboard!$B$5="All",Raw_data!$AM153=Dashboard!$B$5),OR(Dashboard!$B$6="All",Raw_data!$AN153=Dashboard!$B$6),OR(Dashboard!$B$7="All",Raw_data!$AO153=Dashboard!$B$7),OR(Dashboard!$B$8="All",Raw_data!$AP153=Dashboard!$B$8),OR(Dashboard!$B$9="All",Raw_data!$AQ153=Dashboard!$B$9),OR(Dashboard!$B$10="All",Raw_data!$AF153=Dashboard!$B$10),OR(Raw_data!$F153="",Raw_data!$F153&lt;=TODAY())))</f>
        <v/>
      </c>
      <c r="B153">
        <f>IFERROR(IF(Dashboard!$B$3="Weighted",Raw_data!$U153,Raw_data!$T153),"")</f>
        <v/>
      </c>
      <c r="C153">
        <f>IFERROR(IF(Dashboard!$B$3="Weighted",Raw_data!$AB153,Raw_data!$AA153),"")</f>
        <v/>
      </c>
      <c r="D153">
        <f>IF(OR(Raw_data!$J153="",Raw_data!$J153&lt;=0,Raw_data!$K153=""),"",IF(Raw_data!$K153&gt;TODAY(),0,DATEDIF(Raw_data!$K153,TODAY(),"M")))</f>
        <v/>
      </c>
      <c r="E153">
        <f>--(AND(Raw_data!$AF153="No",OR(Raw_data!$AG153&lt;&gt;"",Raw_data!$AJ153&gt;0,Raw_data!$AK153&lt;&gt;"")))</f>
        <v/>
      </c>
      <c r="F153">
        <f>--(OR(AND(ISNUMBER(B153),B153&lt;0.5,OR(D153&gt;=24,Raw_data!$I153&gt;0)),Raw_data!$AE153=TRUE))</f>
        <v/>
      </c>
      <c r="G153">
        <f>IF(Dashboard!$B$11="Department",Raw_data!$AL153,IF(Dashboard!$B$11="Team",Raw_data!$AM153,IF(Dashboard!$B$11="Unit",Raw_data!$AN153,IF(Dashboard!$B$11="Legal entity",Raw_data!$AO153,IF(Dashboard!$B$11="Location",Raw_data!$AP153,Raw_data!$AQ153)))))</f>
        <v/>
      </c>
      <c r="H153">
        <f>--(AND(ISNUMBER(B153),B153&lt;0.5))</f>
        <v/>
      </c>
      <c r="I153">
        <f>IFERROR(MAX(0,(0.5-B153)*100),0)+IF(D153&gt;=24,20,0)+IF(Raw_data!$I153&gt;0,20,0)+IF(Raw_data!$AE153=TRUE,10,0)</f>
        <v/>
      </c>
      <c r="J153">
        <f>IFERROR(CHOOSE(MATCH(Dashboard!$B$11,{"Department","Team","Unit","Legal entity","Location","Lead"},0),INDEX(Lists!$B$3:$B$20,ROW()-1),INDEX(Lists!$C$3:$C$146,ROW()-1),INDEX(Lists!$D$3:$D$67,ROW()-1),INDEX(Lists!$E$3:$E$5,ROW()-1),INDEX(Lists!$F$3:$F$12,ROW()-1),INDEX(Lists!$G$3:$G$126,ROW()-1)),"")</f>
        <v/>
      </c>
      <c r="K153">
        <f>IF(J153="","",SUMPRODUCT(($A$2:$A$636=1)*($G$2:$G$636=J153)))</f>
        <v/>
      </c>
      <c r="L153">
        <f>IF(J153="","",SUMPRODUCT(($A$2:$A$636=1)*($G$2:$G$636=J153)*(ISNUMBER($B$2:$B$636))*($B$2:$B$636&lt;0.5)))</f>
        <v/>
      </c>
      <c r="M153">
        <f>IFERROR(L153/K153,"")</f>
        <v/>
      </c>
      <c r="N153">
        <f>IF(K153="","",M153+K153/100000+ROW()/100000000)</f>
        <v/>
      </c>
      <c r="R153">
        <f>IF(A153=1,IFERROR(I153,0)+ROW()/100000000,-1E+99)</f>
        <v/>
      </c>
      <c r="S153">
        <f>IF(A153=1,IFERROR(Raw_data!$T153,""),"")</f>
        <v/>
      </c>
      <c r="T153">
        <f>IF(A153=1,IFERROR(Raw_data!$AA153,""),"")</f>
        <v/>
      </c>
      <c r="U153">
        <f>IF(A153=1,IFERROR(Raw_data!$U153,""),"")</f>
        <v/>
      </c>
      <c r="V153">
        <f>IF(A153=1,IFERROR(Raw_data!$AB153,""),"")</f>
        <v/>
      </c>
    </row>
    <row r="154">
      <c r="A154">
        <f>--(AND(OR(Dashboard!$B$4="All",Raw_data!$AL154=Dashboard!$B$4),OR(Dashboard!$B$5="All",Raw_data!$AM154=Dashboard!$B$5),OR(Dashboard!$B$6="All",Raw_data!$AN154=Dashboard!$B$6),OR(Dashboard!$B$7="All",Raw_data!$AO154=Dashboard!$B$7),OR(Dashboard!$B$8="All",Raw_data!$AP154=Dashboard!$B$8),OR(Dashboard!$B$9="All",Raw_data!$AQ154=Dashboard!$B$9),OR(Dashboard!$B$10="All",Raw_data!$AF154=Dashboard!$B$10),OR(Raw_data!$F154="",Raw_data!$F154&lt;=TODAY())))</f>
        <v/>
      </c>
      <c r="B154">
        <f>IFERROR(IF(Dashboard!$B$3="Weighted",Raw_data!$U154,Raw_data!$T154),"")</f>
        <v/>
      </c>
      <c r="C154">
        <f>IFERROR(IF(Dashboard!$B$3="Weighted",Raw_data!$AB154,Raw_data!$AA154),"")</f>
        <v/>
      </c>
      <c r="D154">
        <f>IF(OR(Raw_data!$J154="",Raw_data!$J154&lt;=0,Raw_data!$K154=""),"",IF(Raw_data!$K154&gt;TODAY(),0,DATEDIF(Raw_data!$K154,TODAY(),"M")))</f>
        <v/>
      </c>
      <c r="E154">
        <f>--(AND(Raw_data!$AF154="No",OR(Raw_data!$AG154&lt;&gt;"",Raw_data!$AJ154&gt;0,Raw_data!$AK154&lt;&gt;"")))</f>
        <v/>
      </c>
      <c r="F154">
        <f>--(OR(AND(ISNUMBER(B154),B154&lt;0.5,OR(D154&gt;=24,Raw_data!$I154&gt;0)),Raw_data!$AE154=TRUE))</f>
        <v/>
      </c>
      <c r="G154">
        <f>IF(Dashboard!$B$11="Department",Raw_data!$AL154,IF(Dashboard!$B$11="Team",Raw_data!$AM154,IF(Dashboard!$B$11="Unit",Raw_data!$AN154,IF(Dashboard!$B$11="Legal entity",Raw_data!$AO154,IF(Dashboard!$B$11="Location",Raw_data!$AP154,Raw_data!$AQ154)))))</f>
        <v/>
      </c>
      <c r="H154">
        <f>--(AND(ISNUMBER(B154),B154&lt;0.5))</f>
        <v/>
      </c>
      <c r="I154">
        <f>IFERROR(MAX(0,(0.5-B154)*100),0)+IF(D154&gt;=24,20,0)+IF(Raw_data!$I154&gt;0,20,0)+IF(Raw_data!$AE154=TRUE,10,0)</f>
        <v/>
      </c>
      <c r="J154">
        <f>IFERROR(CHOOSE(MATCH(Dashboard!$B$11,{"Department","Team","Unit","Legal entity","Location","Lead"},0),INDEX(Lists!$B$3:$B$20,ROW()-1),INDEX(Lists!$C$3:$C$146,ROW()-1),INDEX(Lists!$D$3:$D$67,ROW()-1),INDEX(Lists!$E$3:$E$5,ROW()-1),INDEX(Lists!$F$3:$F$12,ROW()-1),INDEX(Lists!$G$3:$G$126,ROW()-1)),"")</f>
        <v/>
      </c>
      <c r="K154">
        <f>IF(J154="","",SUMPRODUCT(($A$2:$A$636=1)*($G$2:$G$636=J154)))</f>
        <v/>
      </c>
      <c r="L154">
        <f>IF(J154="","",SUMPRODUCT(($A$2:$A$636=1)*($G$2:$G$636=J154)*(ISNUMBER($B$2:$B$636))*($B$2:$B$636&lt;0.5)))</f>
        <v/>
      </c>
      <c r="M154">
        <f>IFERROR(L154/K154,"")</f>
        <v/>
      </c>
      <c r="N154">
        <f>IF(K154="","",M154+K154/100000+ROW()/100000000)</f>
        <v/>
      </c>
      <c r="R154">
        <f>IF(A154=1,IFERROR(I154,0)+ROW()/100000000,-1E+99)</f>
        <v/>
      </c>
      <c r="S154">
        <f>IF(A154=1,IFERROR(Raw_data!$T154,""),"")</f>
        <v/>
      </c>
      <c r="T154">
        <f>IF(A154=1,IFERROR(Raw_data!$AA154,""),"")</f>
        <v/>
      </c>
      <c r="U154">
        <f>IF(A154=1,IFERROR(Raw_data!$U154,""),"")</f>
        <v/>
      </c>
      <c r="V154">
        <f>IF(A154=1,IFERROR(Raw_data!$AB154,""),"")</f>
        <v/>
      </c>
    </row>
    <row r="155">
      <c r="A155">
        <f>--(AND(OR(Dashboard!$B$4="All",Raw_data!$AL155=Dashboard!$B$4),OR(Dashboard!$B$5="All",Raw_data!$AM155=Dashboard!$B$5),OR(Dashboard!$B$6="All",Raw_data!$AN155=Dashboard!$B$6),OR(Dashboard!$B$7="All",Raw_data!$AO155=Dashboard!$B$7),OR(Dashboard!$B$8="All",Raw_data!$AP155=Dashboard!$B$8),OR(Dashboard!$B$9="All",Raw_data!$AQ155=Dashboard!$B$9),OR(Dashboard!$B$10="All",Raw_data!$AF155=Dashboard!$B$10),OR(Raw_data!$F155="",Raw_data!$F155&lt;=TODAY())))</f>
        <v/>
      </c>
      <c r="B155">
        <f>IFERROR(IF(Dashboard!$B$3="Weighted",Raw_data!$U155,Raw_data!$T155),"")</f>
        <v/>
      </c>
      <c r="C155">
        <f>IFERROR(IF(Dashboard!$B$3="Weighted",Raw_data!$AB155,Raw_data!$AA155),"")</f>
        <v/>
      </c>
      <c r="D155">
        <f>IF(OR(Raw_data!$J155="",Raw_data!$J155&lt;=0,Raw_data!$K155=""),"",IF(Raw_data!$K155&gt;TODAY(),0,DATEDIF(Raw_data!$K155,TODAY(),"M")))</f>
        <v/>
      </c>
      <c r="E155">
        <f>--(AND(Raw_data!$AF155="No",OR(Raw_data!$AG155&lt;&gt;"",Raw_data!$AJ155&gt;0,Raw_data!$AK155&lt;&gt;"")))</f>
        <v/>
      </c>
      <c r="F155">
        <f>--(OR(AND(ISNUMBER(B155),B155&lt;0.5,OR(D155&gt;=24,Raw_data!$I155&gt;0)),Raw_data!$AE155=TRUE))</f>
        <v/>
      </c>
      <c r="G155">
        <f>IF(Dashboard!$B$11="Department",Raw_data!$AL155,IF(Dashboard!$B$11="Team",Raw_data!$AM155,IF(Dashboard!$B$11="Unit",Raw_data!$AN155,IF(Dashboard!$B$11="Legal entity",Raw_data!$AO155,IF(Dashboard!$B$11="Location",Raw_data!$AP155,Raw_data!$AQ155)))))</f>
        <v/>
      </c>
      <c r="H155">
        <f>--(AND(ISNUMBER(B155),B155&lt;0.5))</f>
        <v/>
      </c>
      <c r="I155">
        <f>IFERROR(MAX(0,(0.5-B155)*100),0)+IF(D155&gt;=24,20,0)+IF(Raw_data!$I155&gt;0,20,0)+IF(Raw_data!$AE155=TRUE,10,0)</f>
        <v/>
      </c>
      <c r="J155">
        <f>IFERROR(CHOOSE(MATCH(Dashboard!$B$11,{"Department","Team","Unit","Legal entity","Location","Lead"},0),INDEX(Lists!$B$3:$B$20,ROW()-1),INDEX(Lists!$C$3:$C$146,ROW()-1),INDEX(Lists!$D$3:$D$67,ROW()-1),INDEX(Lists!$E$3:$E$5,ROW()-1),INDEX(Lists!$F$3:$F$12,ROW()-1),INDEX(Lists!$G$3:$G$126,ROW()-1)),"")</f>
        <v/>
      </c>
      <c r="K155">
        <f>IF(J155="","",SUMPRODUCT(($A$2:$A$636=1)*($G$2:$G$636=J155)))</f>
        <v/>
      </c>
      <c r="L155">
        <f>IF(J155="","",SUMPRODUCT(($A$2:$A$636=1)*($G$2:$G$636=J155)*(ISNUMBER($B$2:$B$636))*($B$2:$B$636&lt;0.5)))</f>
        <v/>
      </c>
      <c r="M155">
        <f>IFERROR(L155/K155,"")</f>
        <v/>
      </c>
      <c r="N155">
        <f>IF(K155="","",M155+K155/100000+ROW()/100000000)</f>
        <v/>
      </c>
      <c r="R155">
        <f>IF(A155=1,IFERROR(I155,0)+ROW()/100000000,-1E+99)</f>
        <v/>
      </c>
      <c r="S155">
        <f>IF(A155=1,IFERROR(Raw_data!$T155,""),"")</f>
        <v/>
      </c>
      <c r="T155">
        <f>IF(A155=1,IFERROR(Raw_data!$AA155,""),"")</f>
        <v/>
      </c>
      <c r="U155">
        <f>IF(A155=1,IFERROR(Raw_data!$U155,""),"")</f>
        <v/>
      </c>
      <c r="V155">
        <f>IF(A155=1,IFERROR(Raw_data!$AB155,""),"")</f>
        <v/>
      </c>
    </row>
    <row r="156">
      <c r="A156">
        <f>--(AND(OR(Dashboard!$B$4="All",Raw_data!$AL156=Dashboard!$B$4),OR(Dashboard!$B$5="All",Raw_data!$AM156=Dashboard!$B$5),OR(Dashboard!$B$6="All",Raw_data!$AN156=Dashboard!$B$6),OR(Dashboard!$B$7="All",Raw_data!$AO156=Dashboard!$B$7),OR(Dashboard!$B$8="All",Raw_data!$AP156=Dashboard!$B$8),OR(Dashboard!$B$9="All",Raw_data!$AQ156=Dashboard!$B$9),OR(Dashboard!$B$10="All",Raw_data!$AF156=Dashboard!$B$10),OR(Raw_data!$F156="",Raw_data!$F156&lt;=TODAY())))</f>
        <v/>
      </c>
      <c r="B156">
        <f>IFERROR(IF(Dashboard!$B$3="Weighted",Raw_data!$U156,Raw_data!$T156),"")</f>
        <v/>
      </c>
      <c r="C156">
        <f>IFERROR(IF(Dashboard!$B$3="Weighted",Raw_data!$AB156,Raw_data!$AA156),"")</f>
        <v/>
      </c>
      <c r="D156">
        <f>IF(OR(Raw_data!$J156="",Raw_data!$J156&lt;=0,Raw_data!$K156=""),"",IF(Raw_data!$K156&gt;TODAY(),0,DATEDIF(Raw_data!$K156,TODAY(),"M")))</f>
        <v/>
      </c>
      <c r="E156">
        <f>--(AND(Raw_data!$AF156="No",OR(Raw_data!$AG156&lt;&gt;"",Raw_data!$AJ156&gt;0,Raw_data!$AK156&lt;&gt;"")))</f>
        <v/>
      </c>
      <c r="F156">
        <f>--(OR(AND(ISNUMBER(B156),B156&lt;0.5,OR(D156&gt;=24,Raw_data!$I156&gt;0)),Raw_data!$AE156=TRUE))</f>
        <v/>
      </c>
      <c r="G156">
        <f>IF(Dashboard!$B$11="Department",Raw_data!$AL156,IF(Dashboard!$B$11="Team",Raw_data!$AM156,IF(Dashboard!$B$11="Unit",Raw_data!$AN156,IF(Dashboard!$B$11="Legal entity",Raw_data!$AO156,IF(Dashboard!$B$11="Location",Raw_data!$AP156,Raw_data!$AQ156)))))</f>
        <v/>
      </c>
      <c r="H156">
        <f>--(AND(ISNUMBER(B156),B156&lt;0.5))</f>
        <v/>
      </c>
      <c r="I156">
        <f>IFERROR(MAX(0,(0.5-B156)*100),0)+IF(D156&gt;=24,20,0)+IF(Raw_data!$I156&gt;0,20,0)+IF(Raw_data!$AE156=TRUE,10,0)</f>
        <v/>
      </c>
      <c r="J156">
        <f>IFERROR(CHOOSE(MATCH(Dashboard!$B$11,{"Department","Team","Unit","Legal entity","Location","Lead"},0),INDEX(Lists!$B$3:$B$20,ROW()-1),INDEX(Lists!$C$3:$C$146,ROW()-1),INDEX(Lists!$D$3:$D$67,ROW()-1),INDEX(Lists!$E$3:$E$5,ROW()-1),INDEX(Lists!$F$3:$F$12,ROW()-1),INDEX(Lists!$G$3:$G$126,ROW()-1)),"")</f>
        <v/>
      </c>
      <c r="K156">
        <f>IF(J156="","",SUMPRODUCT(($A$2:$A$636=1)*($G$2:$G$636=J156)))</f>
        <v/>
      </c>
      <c r="L156">
        <f>IF(J156="","",SUMPRODUCT(($A$2:$A$636=1)*($G$2:$G$636=J156)*(ISNUMBER($B$2:$B$636))*($B$2:$B$636&lt;0.5)))</f>
        <v/>
      </c>
      <c r="M156">
        <f>IFERROR(L156/K156,"")</f>
        <v/>
      </c>
      <c r="N156">
        <f>IF(K156="","",M156+K156/100000+ROW()/100000000)</f>
        <v/>
      </c>
      <c r="R156">
        <f>IF(A156=1,IFERROR(I156,0)+ROW()/100000000,-1E+99)</f>
        <v/>
      </c>
      <c r="S156">
        <f>IF(A156=1,IFERROR(Raw_data!$T156,""),"")</f>
        <v/>
      </c>
      <c r="T156">
        <f>IF(A156=1,IFERROR(Raw_data!$AA156,""),"")</f>
        <v/>
      </c>
      <c r="U156">
        <f>IF(A156=1,IFERROR(Raw_data!$U156,""),"")</f>
        <v/>
      </c>
      <c r="V156">
        <f>IF(A156=1,IFERROR(Raw_data!$AB156,""),"")</f>
        <v/>
      </c>
    </row>
    <row r="157">
      <c r="A157">
        <f>--(AND(OR(Dashboard!$B$4="All",Raw_data!$AL157=Dashboard!$B$4),OR(Dashboard!$B$5="All",Raw_data!$AM157=Dashboard!$B$5),OR(Dashboard!$B$6="All",Raw_data!$AN157=Dashboard!$B$6),OR(Dashboard!$B$7="All",Raw_data!$AO157=Dashboard!$B$7),OR(Dashboard!$B$8="All",Raw_data!$AP157=Dashboard!$B$8),OR(Dashboard!$B$9="All",Raw_data!$AQ157=Dashboard!$B$9),OR(Dashboard!$B$10="All",Raw_data!$AF157=Dashboard!$B$10),OR(Raw_data!$F157="",Raw_data!$F157&lt;=TODAY())))</f>
        <v/>
      </c>
      <c r="B157">
        <f>IFERROR(IF(Dashboard!$B$3="Weighted",Raw_data!$U157,Raw_data!$T157),"")</f>
        <v/>
      </c>
      <c r="C157">
        <f>IFERROR(IF(Dashboard!$B$3="Weighted",Raw_data!$AB157,Raw_data!$AA157),"")</f>
        <v/>
      </c>
      <c r="D157">
        <f>IF(OR(Raw_data!$J157="",Raw_data!$J157&lt;=0,Raw_data!$K157=""),"",IF(Raw_data!$K157&gt;TODAY(),0,DATEDIF(Raw_data!$K157,TODAY(),"M")))</f>
        <v/>
      </c>
      <c r="E157">
        <f>--(AND(Raw_data!$AF157="No",OR(Raw_data!$AG157&lt;&gt;"",Raw_data!$AJ157&gt;0,Raw_data!$AK157&lt;&gt;"")))</f>
        <v/>
      </c>
      <c r="F157">
        <f>--(OR(AND(ISNUMBER(B157),B157&lt;0.5,OR(D157&gt;=24,Raw_data!$I157&gt;0)),Raw_data!$AE157=TRUE))</f>
        <v/>
      </c>
      <c r="G157">
        <f>IF(Dashboard!$B$11="Department",Raw_data!$AL157,IF(Dashboard!$B$11="Team",Raw_data!$AM157,IF(Dashboard!$B$11="Unit",Raw_data!$AN157,IF(Dashboard!$B$11="Legal entity",Raw_data!$AO157,IF(Dashboard!$B$11="Location",Raw_data!$AP157,Raw_data!$AQ157)))))</f>
        <v/>
      </c>
      <c r="H157">
        <f>--(AND(ISNUMBER(B157),B157&lt;0.5))</f>
        <v/>
      </c>
      <c r="I157">
        <f>IFERROR(MAX(0,(0.5-B157)*100),0)+IF(D157&gt;=24,20,0)+IF(Raw_data!$I157&gt;0,20,0)+IF(Raw_data!$AE157=TRUE,10,0)</f>
        <v/>
      </c>
      <c r="J157">
        <f>IFERROR(CHOOSE(MATCH(Dashboard!$B$11,{"Department","Team","Unit","Legal entity","Location","Lead"},0),INDEX(Lists!$B$3:$B$20,ROW()-1),INDEX(Lists!$C$3:$C$146,ROW()-1),INDEX(Lists!$D$3:$D$67,ROW()-1),INDEX(Lists!$E$3:$E$5,ROW()-1),INDEX(Lists!$F$3:$F$12,ROW()-1),INDEX(Lists!$G$3:$G$126,ROW()-1)),"")</f>
        <v/>
      </c>
      <c r="K157">
        <f>IF(J157="","",SUMPRODUCT(($A$2:$A$636=1)*($G$2:$G$636=J157)))</f>
        <v/>
      </c>
      <c r="L157">
        <f>IF(J157="","",SUMPRODUCT(($A$2:$A$636=1)*($G$2:$G$636=J157)*(ISNUMBER($B$2:$B$636))*($B$2:$B$636&lt;0.5)))</f>
        <v/>
      </c>
      <c r="M157">
        <f>IFERROR(L157/K157,"")</f>
        <v/>
      </c>
      <c r="N157">
        <f>IF(K157="","",M157+K157/100000+ROW()/100000000)</f>
        <v/>
      </c>
      <c r="R157">
        <f>IF(A157=1,IFERROR(I157,0)+ROW()/100000000,-1E+99)</f>
        <v/>
      </c>
      <c r="S157">
        <f>IF(A157=1,IFERROR(Raw_data!$T157,""),"")</f>
        <v/>
      </c>
      <c r="T157">
        <f>IF(A157=1,IFERROR(Raw_data!$AA157,""),"")</f>
        <v/>
      </c>
      <c r="U157">
        <f>IF(A157=1,IFERROR(Raw_data!$U157,""),"")</f>
        <v/>
      </c>
      <c r="V157">
        <f>IF(A157=1,IFERROR(Raw_data!$AB157,""),"")</f>
        <v/>
      </c>
    </row>
    <row r="158">
      <c r="A158">
        <f>--(AND(OR(Dashboard!$B$4="All",Raw_data!$AL158=Dashboard!$B$4),OR(Dashboard!$B$5="All",Raw_data!$AM158=Dashboard!$B$5),OR(Dashboard!$B$6="All",Raw_data!$AN158=Dashboard!$B$6),OR(Dashboard!$B$7="All",Raw_data!$AO158=Dashboard!$B$7),OR(Dashboard!$B$8="All",Raw_data!$AP158=Dashboard!$B$8),OR(Dashboard!$B$9="All",Raw_data!$AQ158=Dashboard!$B$9),OR(Dashboard!$B$10="All",Raw_data!$AF158=Dashboard!$B$10),OR(Raw_data!$F158="",Raw_data!$F158&lt;=TODAY())))</f>
        <v/>
      </c>
      <c r="B158">
        <f>IFERROR(IF(Dashboard!$B$3="Weighted",Raw_data!$U158,Raw_data!$T158),"")</f>
        <v/>
      </c>
      <c r="C158">
        <f>IFERROR(IF(Dashboard!$B$3="Weighted",Raw_data!$AB158,Raw_data!$AA158),"")</f>
        <v/>
      </c>
      <c r="D158">
        <f>IF(OR(Raw_data!$J158="",Raw_data!$J158&lt;=0,Raw_data!$K158=""),"",IF(Raw_data!$K158&gt;TODAY(),0,DATEDIF(Raw_data!$K158,TODAY(),"M")))</f>
        <v/>
      </c>
      <c r="E158">
        <f>--(AND(Raw_data!$AF158="No",OR(Raw_data!$AG158&lt;&gt;"",Raw_data!$AJ158&gt;0,Raw_data!$AK158&lt;&gt;"")))</f>
        <v/>
      </c>
      <c r="F158">
        <f>--(OR(AND(ISNUMBER(B158),B158&lt;0.5,OR(D158&gt;=24,Raw_data!$I158&gt;0)),Raw_data!$AE158=TRUE))</f>
        <v/>
      </c>
      <c r="G158">
        <f>IF(Dashboard!$B$11="Department",Raw_data!$AL158,IF(Dashboard!$B$11="Team",Raw_data!$AM158,IF(Dashboard!$B$11="Unit",Raw_data!$AN158,IF(Dashboard!$B$11="Legal entity",Raw_data!$AO158,IF(Dashboard!$B$11="Location",Raw_data!$AP158,Raw_data!$AQ158)))))</f>
        <v/>
      </c>
      <c r="H158">
        <f>--(AND(ISNUMBER(B158),B158&lt;0.5))</f>
        <v/>
      </c>
      <c r="I158">
        <f>IFERROR(MAX(0,(0.5-B158)*100),0)+IF(D158&gt;=24,20,0)+IF(Raw_data!$I158&gt;0,20,0)+IF(Raw_data!$AE158=TRUE,10,0)</f>
        <v/>
      </c>
      <c r="J158">
        <f>IFERROR(CHOOSE(MATCH(Dashboard!$B$11,{"Department","Team","Unit","Legal entity","Location","Lead"},0),INDEX(Lists!$B$3:$B$20,ROW()-1),INDEX(Lists!$C$3:$C$146,ROW()-1),INDEX(Lists!$D$3:$D$67,ROW()-1),INDEX(Lists!$E$3:$E$5,ROW()-1),INDEX(Lists!$F$3:$F$12,ROW()-1),INDEX(Lists!$G$3:$G$126,ROW()-1)),"")</f>
        <v/>
      </c>
      <c r="K158">
        <f>IF(J158="","",SUMPRODUCT(($A$2:$A$636=1)*($G$2:$G$636=J158)))</f>
        <v/>
      </c>
      <c r="L158">
        <f>IF(J158="","",SUMPRODUCT(($A$2:$A$636=1)*($G$2:$G$636=J158)*(ISNUMBER($B$2:$B$636))*($B$2:$B$636&lt;0.5)))</f>
        <v/>
      </c>
      <c r="M158">
        <f>IFERROR(L158/K158,"")</f>
        <v/>
      </c>
      <c r="N158">
        <f>IF(K158="","",M158+K158/100000+ROW()/100000000)</f>
        <v/>
      </c>
      <c r="R158">
        <f>IF(A158=1,IFERROR(I158,0)+ROW()/100000000,-1E+99)</f>
        <v/>
      </c>
      <c r="S158">
        <f>IF(A158=1,IFERROR(Raw_data!$T158,""),"")</f>
        <v/>
      </c>
      <c r="T158">
        <f>IF(A158=1,IFERROR(Raw_data!$AA158,""),"")</f>
        <v/>
      </c>
      <c r="U158">
        <f>IF(A158=1,IFERROR(Raw_data!$U158,""),"")</f>
        <v/>
      </c>
      <c r="V158">
        <f>IF(A158=1,IFERROR(Raw_data!$AB158,""),"")</f>
        <v/>
      </c>
    </row>
    <row r="159">
      <c r="A159">
        <f>--(AND(OR(Dashboard!$B$4="All",Raw_data!$AL159=Dashboard!$B$4),OR(Dashboard!$B$5="All",Raw_data!$AM159=Dashboard!$B$5),OR(Dashboard!$B$6="All",Raw_data!$AN159=Dashboard!$B$6),OR(Dashboard!$B$7="All",Raw_data!$AO159=Dashboard!$B$7),OR(Dashboard!$B$8="All",Raw_data!$AP159=Dashboard!$B$8),OR(Dashboard!$B$9="All",Raw_data!$AQ159=Dashboard!$B$9),OR(Dashboard!$B$10="All",Raw_data!$AF159=Dashboard!$B$10),OR(Raw_data!$F159="",Raw_data!$F159&lt;=TODAY())))</f>
        <v/>
      </c>
      <c r="B159">
        <f>IFERROR(IF(Dashboard!$B$3="Weighted",Raw_data!$U159,Raw_data!$T159),"")</f>
        <v/>
      </c>
      <c r="C159">
        <f>IFERROR(IF(Dashboard!$B$3="Weighted",Raw_data!$AB159,Raw_data!$AA159),"")</f>
        <v/>
      </c>
      <c r="D159">
        <f>IF(OR(Raw_data!$J159="",Raw_data!$J159&lt;=0,Raw_data!$K159=""),"",IF(Raw_data!$K159&gt;TODAY(),0,DATEDIF(Raw_data!$K159,TODAY(),"M")))</f>
        <v/>
      </c>
      <c r="E159">
        <f>--(AND(Raw_data!$AF159="No",OR(Raw_data!$AG159&lt;&gt;"",Raw_data!$AJ159&gt;0,Raw_data!$AK159&lt;&gt;"")))</f>
        <v/>
      </c>
      <c r="F159">
        <f>--(OR(AND(ISNUMBER(B159),B159&lt;0.5,OR(D159&gt;=24,Raw_data!$I159&gt;0)),Raw_data!$AE159=TRUE))</f>
        <v/>
      </c>
      <c r="G159">
        <f>IF(Dashboard!$B$11="Department",Raw_data!$AL159,IF(Dashboard!$B$11="Team",Raw_data!$AM159,IF(Dashboard!$B$11="Unit",Raw_data!$AN159,IF(Dashboard!$B$11="Legal entity",Raw_data!$AO159,IF(Dashboard!$B$11="Location",Raw_data!$AP159,Raw_data!$AQ159)))))</f>
        <v/>
      </c>
      <c r="H159">
        <f>--(AND(ISNUMBER(B159),B159&lt;0.5))</f>
        <v/>
      </c>
      <c r="I159">
        <f>IFERROR(MAX(0,(0.5-B159)*100),0)+IF(D159&gt;=24,20,0)+IF(Raw_data!$I159&gt;0,20,0)+IF(Raw_data!$AE159=TRUE,10,0)</f>
        <v/>
      </c>
      <c r="J159">
        <f>IFERROR(CHOOSE(MATCH(Dashboard!$B$11,{"Department","Team","Unit","Legal entity","Location","Lead"},0),INDEX(Lists!$B$3:$B$20,ROW()-1),INDEX(Lists!$C$3:$C$146,ROW()-1),INDEX(Lists!$D$3:$D$67,ROW()-1),INDEX(Lists!$E$3:$E$5,ROW()-1),INDEX(Lists!$F$3:$F$12,ROW()-1),INDEX(Lists!$G$3:$G$126,ROW()-1)),"")</f>
        <v/>
      </c>
      <c r="K159">
        <f>IF(J159="","",SUMPRODUCT(($A$2:$A$636=1)*($G$2:$G$636=J159)))</f>
        <v/>
      </c>
      <c r="L159">
        <f>IF(J159="","",SUMPRODUCT(($A$2:$A$636=1)*($G$2:$G$636=J159)*(ISNUMBER($B$2:$B$636))*($B$2:$B$636&lt;0.5)))</f>
        <v/>
      </c>
      <c r="M159">
        <f>IFERROR(L159/K159,"")</f>
        <v/>
      </c>
      <c r="N159">
        <f>IF(K159="","",M159+K159/100000+ROW()/100000000)</f>
        <v/>
      </c>
      <c r="R159">
        <f>IF(A159=1,IFERROR(I159,0)+ROW()/100000000,-1E+99)</f>
        <v/>
      </c>
      <c r="S159">
        <f>IF(A159=1,IFERROR(Raw_data!$T159,""),"")</f>
        <v/>
      </c>
      <c r="T159">
        <f>IF(A159=1,IFERROR(Raw_data!$AA159,""),"")</f>
        <v/>
      </c>
      <c r="U159">
        <f>IF(A159=1,IFERROR(Raw_data!$U159,""),"")</f>
        <v/>
      </c>
      <c r="V159">
        <f>IF(A159=1,IFERROR(Raw_data!$AB159,""),"")</f>
        <v/>
      </c>
    </row>
    <row r="160">
      <c r="A160">
        <f>--(AND(OR(Dashboard!$B$4="All",Raw_data!$AL160=Dashboard!$B$4),OR(Dashboard!$B$5="All",Raw_data!$AM160=Dashboard!$B$5),OR(Dashboard!$B$6="All",Raw_data!$AN160=Dashboard!$B$6),OR(Dashboard!$B$7="All",Raw_data!$AO160=Dashboard!$B$7),OR(Dashboard!$B$8="All",Raw_data!$AP160=Dashboard!$B$8),OR(Dashboard!$B$9="All",Raw_data!$AQ160=Dashboard!$B$9),OR(Dashboard!$B$10="All",Raw_data!$AF160=Dashboard!$B$10),OR(Raw_data!$F160="",Raw_data!$F160&lt;=TODAY())))</f>
        <v/>
      </c>
      <c r="B160">
        <f>IFERROR(IF(Dashboard!$B$3="Weighted",Raw_data!$U160,Raw_data!$T160),"")</f>
        <v/>
      </c>
      <c r="C160">
        <f>IFERROR(IF(Dashboard!$B$3="Weighted",Raw_data!$AB160,Raw_data!$AA160),"")</f>
        <v/>
      </c>
      <c r="D160">
        <f>IF(OR(Raw_data!$J160="",Raw_data!$J160&lt;=0,Raw_data!$K160=""),"",IF(Raw_data!$K160&gt;TODAY(),0,DATEDIF(Raw_data!$K160,TODAY(),"M")))</f>
        <v/>
      </c>
      <c r="E160">
        <f>--(AND(Raw_data!$AF160="No",OR(Raw_data!$AG160&lt;&gt;"",Raw_data!$AJ160&gt;0,Raw_data!$AK160&lt;&gt;"")))</f>
        <v/>
      </c>
      <c r="F160">
        <f>--(OR(AND(ISNUMBER(B160),B160&lt;0.5,OR(D160&gt;=24,Raw_data!$I160&gt;0)),Raw_data!$AE160=TRUE))</f>
        <v/>
      </c>
      <c r="G160">
        <f>IF(Dashboard!$B$11="Department",Raw_data!$AL160,IF(Dashboard!$B$11="Team",Raw_data!$AM160,IF(Dashboard!$B$11="Unit",Raw_data!$AN160,IF(Dashboard!$B$11="Legal entity",Raw_data!$AO160,IF(Dashboard!$B$11="Location",Raw_data!$AP160,Raw_data!$AQ160)))))</f>
        <v/>
      </c>
      <c r="H160">
        <f>--(AND(ISNUMBER(B160),B160&lt;0.5))</f>
        <v/>
      </c>
      <c r="I160">
        <f>IFERROR(MAX(0,(0.5-B160)*100),0)+IF(D160&gt;=24,20,0)+IF(Raw_data!$I160&gt;0,20,0)+IF(Raw_data!$AE160=TRUE,10,0)</f>
        <v/>
      </c>
      <c r="J160">
        <f>IFERROR(CHOOSE(MATCH(Dashboard!$B$11,{"Department","Team","Unit","Legal entity","Location","Lead"},0),INDEX(Lists!$B$3:$B$20,ROW()-1),INDEX(Lists!$C$3:$C$146,ROW()-1),INDEX(Lists!$D$3:$D$67,ROW()-1),INDEX(Lists!$E$3:$E$5,ROW()-1),INDEX(Lists!$F$3:$F$12,ROW()-1),INDEX(Lists!$G$3:$G$126,ROW()-1)),"")</f>
        <v/>
      </c>
      <c r="K160">
        <f>IF(J160="","",SUMPRODUCT(($A$2:$A$636=1)*($G$2:$G$636=J160)))</f>
        <v/>
      </c>
      <c r="L160">
        <f>IF(J160="","",SUMPRODUCT(($A$2:$A$636=1)*($G$2:$G$636=J160)*(ISNUMBER($B$2:$B$636))*($B$2:$B$636&lt;0.5)))</f>
        <v/>
      </c>
      <c r="M160">
        <f>IFERROR(L160/K160,"")</f>
        <v/>
      </c>
      <c r="N160">
        <f>IF(K160="","",M160+K160/100000+ROW()/100000000)</f>
        <v/>
      </c>
      <c r="R160">
        <f>IF(A160=1,IFERROR(I160,0)+ROW()/100000000,-1E+99)</f>
        <v/>
      </c>
      <c r="S160">
        <f>IF(A160=1,IFERROR(Raw_data!$T160,""),"")</f>
        <v/>
      </c>
      <c r="T160">
        <f>IF(A160=1,IFERROR(Raw_data!$AA160,""),"")</f>
        <v/>
      </c>
      <c r="U160">
        <f>IF(A160=1,IFERROR(Raw_data!$U160,""),"")</f>
        <v/>
      </c>
      <c r="V160">
        <f>IF(A160=1,IFERROR(Raw_data!$AB160,""),"")</f>
        <v/>
      </c>
    </row>
    <row r="161">
      <c r="A161">
        <f>--(AND(OR(Dashboard!$B$4="All",Raw_data!$AL161=Dashboard!$B$4),OR(Dashboard!$B$5="All",Raw_data!$AM161=Dashboard!$B$5),OR(Dashboard!$B$6="All",Raw_data!$AN161=Dashboard!$B$6),OR(Dashboard!$B$7="All",Raw_data!$AO161=Dashboard!$B$7),OR(Dashboard!$B$8="All",Raw_data!$AP161=Dashboard!$B$8),OR(Dashboard!$B$9="All",Raw_data!$AQ161=Dashboard!$B$9),OR(Dashboard!$B$10="All",Raw_data!$AF161=Dashboard!$B$10),OR(Raw_data!$F161="",Raw_data!$F161&lt;=TODAY())))</f>
        <v/>
      </c>
      <c r="B161">
        <f>IFERROR(IF(Dashboard!$B$3="Weighted",Raw_data!$U161,Raw_data!$T161),"")</f>
        <v/>
      </c>
      <c r="C161">
        <f>IFERROR(IF(Dashboard!$B$3="Weighted",Raw_data!$AB161,Raw_data!$AA161),"")</f>
        <v/>
      </c>
      <c r="D161">
        <f>IF(OR(Raw_data!$J161="",Raw_data!$J161&lt;=0,Raw_data!$K161=""),"",IF(Raw_data!$K161&gt;TODAY(),0,DATEDIF(Raw_data!$K161,TODAY(),"M")))</f>
        <v/>
      </c>
      <c r="E161">
        <f>--(AND(Raw_data!$AF161="No",OR(Raw_data!$AG161&lt;&gt;"",Raw_data!$AJ161&gt;0,Raw_data!$AK161&lt;&gt;"")))</f>
        <v/>
      </c>
      <c r="F161">
        <f>--(OR(AND(ISNUMBER(B161),B161&lt;0.5,OR(D161&gt;=24,Raw_data!$I161&gt;0)),Raw_data!$AE161=TRUE))</f>
        <v/>
      </c>
      <c r="G161">
        <f>IF(Dashboard!$B$11="Department",Raw_data!$AL161,IF(Dashboard!$B$11="Team",Raw_data!$AM161,IF(Dashboard!$B$11="Unit",Raw_data!$AN161,IF(Dashboard!$B$11="Legal entity",Raw_data!$AO161,IF(Dashboard!$B$11="Location",Raw_data!$AP161,Raw_data!$AQ161)))))</f>
        <v/>
      </c>
      <c r="H161">
        <f>--(AND(ISNUMBER(B161),B161&lt;0.5))</f>
        <v/>
      </c>
      <c r="I161">
        <f>IFERROR(MAX(0,(0.5-B161)*100),0)+IF(D161&gt;=24,20,0)+IF(Raw_data!$I161&gt;0,20,0)+IF(Raw_data!$AE161=TRUE,10,0)</f>
        <v/>
      </c>
      <c r="J161">
        <f>IFERROR(CHOOSE(MATCH(Dashboard!$B$11,{"Department","Team","Unit","Legal entity","Location","Lead"},0),INDEX(Lists!$B$3:$B$20,ROW()-1),INDEX(Lists!$C$3:$C$146,ROW()-1),INDEX(Lists!$D$3:$D$67,ROW()-1),INDEX(Lists!$E$3:$E$5,ROW()-1),INDEX(Lists!$F$3:$F$12,ROW()-1),INDEX(Lists!$G$3:$G$126,ROW()-1)),"")</f>
        <v/>
      </c>
      <c r="K161">
        <f>IF(J161="","",SUMPRODUCT(($A$2:$A$636=1)*($G$2:$G$636=J161)))</f>
        <v/>
      </c>
      <c r="L161">
        <f>IF(J161="","",SUMPRODUCT(($A$2:$A$636=1)*($G$2:$G$636=J161)*(ISNUMBER($B$2:$B$636))*($B$2:$B$636&lt;0.5)))</f>
        <v/>
      </c>
      <c r="M161">
        <f>IFERROR(L161/K161,"")</f>
        <v/>
      </c>
      <c r="N161">
        <f>IF(K161="","",M161+K161/100000+ROW()/100000000)</f>
        <v/>
      </c>
      <c r="R161">
        <f>IF(A161=1,IFERROR(I161,0)+ROW()/100000000,-1E+99)</f>
        <v/>
      </c>
      <c r="S161">
        <f>IF(A161=1,IFERROR(Raw_data!$T161,""),"")</f>
        <v/>
      </c>
      <c r="T161">
        <f>IF(A161=1,IFERROR(Raw_data!$AA161,""),"")</f>
        <v/>
      </c>
      <c r="U161">
        <f>IF(A161=1,IFERROR(Raw_data!$U161,""),"")</f>
        <v/>
      </c>
      <c r="V161">
        <f>IF(A161=1,IFERROR(Raw_data!$AB161,""),"")</f>
        <v/>
      </c>
    </row>
    <row r="162">
      <c r="A162">
        <f>--(AND(OR(Dashboard!$B$4="All",Raw_data!$AL162=Dashboard!$B$4),OR(Dashboard!$B$5="All",Raw_data!$AM162=Dashboard!$B$5),OR(Dashboard!$B$6="All",Raw_data!$AN162=Dashboard!$B$6),OR(Dashboard!$B$7="All",Raw_data!$AO162=Dashboard!$B$7),OR(Dashboard!$B$8="All",Raw_data!$AP162=Dashboard!$B$8),OR(Dashboard!$B$9="All",Raw_data!$AQ162=Dashboard!$B$9),OR(Dashboard!$B$10="All",Raw_data!$AF162=Dashboard!$B$10),OR(Raw_data!$F162="",Raw_data!$F162&lt;=TODAY())))</f>
        <v/>
      </c>
      <c r="B162">
        <f>IFERROR(IF(Dashboard!$B$3="Weighted",Raw_data!$U162,Raw_data!$T162),"")</f>
        <v/>
      </c>
      <c r="C162">
        <f>IFERROR(IF(Dashboard!$B$3="Weighted",Raw_data!$AB162,Raw_data!$AA162),"")</f>
        <v/>
      </c>
      <c r="D162">
        <f>IF(OR(Raw_data!$J162="",Raw_data!$J162&lt;=0,Raw_data!$K162=""),"",IF(Raw_data!$K162&gt;TODAY(),0,DATEDIF(Raw_data!$K162,TODAY(),"M")))</f>
        <v/>
      </c>
      <c r="E162">
        <f>--(AND(Raw_data!$AF162="No",OR(Raw_data!$AG162&lt;&gt;"",Raw_data!$AJ162&gt;0,Raw_data!$AK162&lt;&gt;"")))</f>
        <v/>
      </c>
      <c r="F162">
        <f>--(OR(AND(ISNUMBER(B162),B162&lt;0.5,OR(D162&gt;=24,Raw_data!$I162&gt;0)),Raw_data!$AE162=TRUE))</f>
        <v/>
      </c>
      <c r="G162">
        <f>IF(Dashboard!$B$11="Department",Raw_data!$AL162,IF(Dashboard!$B$11="Team",Raw_data!$AM162,IF(Dashboard!$B$11="Unit",Raw_data!$AN162,IF(Dashboard!$B$11="Legal entity",Raw_data!$AO162,IF(Dashboard!$B$11="Location",Raw_data!$AP162,Raw_data!$AQ162)))))</f>
        <v/>
      </c>
      <c r="H162">
        <f>--(AND(ISNUMBER(B162),B162&lt;0.5))</f>
        <v/>
      </c>
      <c r="I162">
        <f>IFERROR(MAX(0,(0.5-B162)*100),0)+IF(D162&gt;=24,20,0)+IF(Raw_data!$I162&gt;0,20,0)+IF(Raw_data!$AE162=TRUE,10,0)</f>
        <v/>
      </c>
      <c r="J162">
        <f>IFERROR(CHOOSE(MATCH(Dashboard!$B$11,{"Department","Team","Unit","Legal entity","Location","Lead"},0),INDEX(Lists!$B$3:$B$20,ROW()-1),INDEX(Lists!$C$3:$C$146,ROW()-1),INDEX(Lists!$D$3:$D$67,ROW()-1),INDEX(Lists!$E$3:$E$5,ROW()-1),INDEX(Lists!$F$3:$F$12,ROW()-1),INDEX(Lists!$G$3:$G$126,ROW()-1)),"")</f>
        <v/>
      </c>
      <c r="K162">
        <f>IF(J162="","",SUMPRODUCT(($A$2:$A$636=1)*($G$2:$G$636=J162)))</f>
        <v/>
      </c>
      <c r="L162">
        <f>IF(J162="","",SUMPRODUCT(($A$2:$A$636=1)*($G$2:$G$636=J162)*(ISNUMBER($B$2:$B$636))*($B$2:$B$636&lt;0.5)))</f>
        <v/>
      </c>
      <c r="M162">
        <f>IFERROR(L162/K162,"")</f>
        <v/>
      </c>
      <c r="N162">
        <f>IF(K162="","",M162+K162/100000+ROW()/100000000)</f>
        <v/>
      </c>
      <c r="R162">
        <f>IF(A162=1,IFERROR(I162,0)+ROW()/100000000,-1E+99)</f>
        <v/>
      </c>
      <c r="S162">
        <f>IF(A162=1,IFERROR(Raw_data!$T162,""),"")</f>
        <v/>
      </c>
      <c r="T162">
        <f>IF(A162=1,IFERROR(Raw_data!$AA162,""),"")</f>
        <v/>
      </c>
      <c r="U162">
        <f>IF(A162=1,IFERROR(Raw_data!$U162,""),"")</f>
        <v/>
      </c>
      <c r="V162">
        <f>IF(A162=1,IFERROR(Raw_data!$AB162,""),"")</f>
        <v/>
      </c>
    </row>
    <row r="163">
      <c r="A163">
        <f>--(AND(OR(Dashboard!$B$4="All",Raw_data!$AL163=Dashboard!$B$4),OR(Dashboard!$B$5="All",Raw_data!$AM163=Dashboard!$B$5),OR(Dashboard!$B$6="All",Raw_data!$AN163=Dashboard!$B$6),OR(Dashboard!$B$7="All",Raw_data!$AO163=Dashboard!$B$7),OR(Dashboard!$B$8="All",Raw_data!$AP163=Dashboard!$B$8),OR(Dashboard!$B$9="All",Raw_data!$AQ163=Dashboard!$B$9),OR(Dashboard!$B$10="All",Raw_data!$AF163=Dashboard!$B$10),OR(Raw_data!$F163="",Raw_data!$F163&lt;=TODAY())))</f>
        <v/>
      </c>
      <c r="B163">
        <f>IFERROR(IF(Dashboard!$B$3="Weighted",Raw_data!$U163,Raw_data!$T163),"")</f>
        <v/>
      </c>
      <c r="C163">
        <f>IFERROR(IF(Dashboard!$B$3="Weighted",Raw_data!$AB163,Raw_data!$AA163),"")</f>
        <v/>
      </c>
      <c r="D163">
        <f>IF(OR(Raw_data!$J163="",Raw_data!$J163&lt;=0,Raw_data!$K163=""),"",IF(Raw_data!$K163&gt;TODAY(),0,DATEDIF(Raw_data!$K163,TODAY(),"M")))</f>
        <v/>
      </c>
      <c r="E163">
        <f>--(AND(Raw_data!$AF163="No",OR(Raw_data!$AG163&lt;&gt;"",Raw_data!$AJ163&gt;0,Raw_data!$AK163&lt;&gt;"")))</f>
        <v/>
      </c>
      <c r="F163">
        <f>--(OR(AND(ISNUMBER(B163),B163&lt;0.5,OR(D163&gt;=24,Raw_data!$I163&gt;0)),Raw_data!$AE163=TRUE))</f>
        <v/>
      </c>
      <c r="G163">
        <f>IF(Dashboard!$B$11="Department",Raw_data!$AL163,IF(Dashboard!$B$11="Team",Raw_data!$AM163,IF(Dashboard!$B$11="Unit",Raw_data!$AN163,IF(Dashboard!$B$11="Legal entity",Raw_data!$AO163,IF(Dashboard!$B$11="Location",Raw_data!$AP163,Raw_data!$AQ163)))))</f>
        <v/>
      </c>
      <c r="H163">
        <f>--(AND(ISNUMBER(B163),B163&lt;0.5))</f>
        <v/>
      </c>
      <c r="I163">
        <f>IFERROR(MAX(0,(0.5-B163)*100),0)+IF(D163&gt;=24,20,0)+IF(Raw_data!$I163&gt;0,20,0)+IF(Raw_data!$AE163=TRUE,10,0)</f>
        <v/>
      </c>
      <c r="J163">
        <f>IFERROR(CHOOSE(MATCH(Dashboard!$B$11,{"Department","Team","Unit","Legal entity","Location","Lead"},0),INDEX(Lists!$B$3:$B$20,ROW()-1),INDEX(Lists!$C$3:$C$146,ROW()-1),INDEX(Lists!$D$3:$D$67,ROW()-1),INDEX(Lists!$E$3:$E$5,ROW()-1),INDEX(Lists!$F$3:$F$12,ROW()-1),INDEX(Lists!$G$3:$G$126,ROW()-1)),"")</f>
        <v/>
      </c>
      <c r="K163">
        <f>IF(J163="","",SUMPRODUCT(($A$2:$A$636=1)*($G$2:$G$636=J163)))</f>
        <v/>
      </c>
      <c r="L163">
        <f>IF(J163="","",SUMPRODUCT(($A$2:$A$636=1)*($G$2:$G$636=J163)*(ISNUMBER($B$2:$B$636))*($B$2:$B$636&lt;0.5)))</f>
        <v/>
      </c>
      <c r="M163">
        <f>IFERROR(L163/K163,"")</f>
        <v/>
      </c>
      <c r="N163">
        <f>IF(K163="","",M163+K163/100000+ROW()/100000000)</f>
        <v/>
      </c>
      <c r="R163">
        <f>IF(A163=1,IFERROR(I163,0)+ROW()/100000000,-1E+99)</f>
        <v/>
      </c>
      <c r="S163">
        <f>IF(A163=1,IFERROR(Raw_data!$T163,""),"")</f>
        <v/>
      </c>
      <c r="T163">
        <f>IF(A163=1,IFERROR(Raw_data!$AA163,""),"")</f>
        <v/>
      </c>
      <c r="U163">
        <f>IF(A163=1,IFERROR(Raw_data!$U163,""),"")</f>
        <v/>
      </c>
      <c r="V163">
        <f>IF(A163=1,IFERROR(Raw_data!$AB163,""),"")</f>
        <v/>
      </c>
    </row>
    <row r="164">
      <c r="A164">
        <f>--(AND(OR(Dashboard!$B$4="All",Raw_data!$AL164=Dashboard!$B$4),OR(Dashboard!$B$5="All",Raw_data!$AM164=Dashboard!$B$5),OR(Dashboard!$B$6="All",Raw_data!$AN164=Dashboard!$B$6),OR(Dashboard!$B$7="All",Raw_data!$AO164=Dashboard!$B$7),OR(Dashboard!$B$8="All",Raw_data!$AP164=Dashboard!$B$8),OR(Dashboard!$B$9="All",Raw_data!$AQ164=Dashboard!$B$9),OR(Dashboard!$B$10="All",Raw_data!$AF164=Dashboard!$B$10),OR(Raw_data!$F164="",Raw_data!$F164&lt;=TODAY())))</f>
        <v/>
      </c>
      <c r="B164">
        <f>IFERROR(IF(Dashboard!$B$3="Weighted",Raw_data!$U164,Raw_data!$T164),"")</f>
        <v/>
      </c>
      <c r="C164">
        <f>IFERROR(IF(Dashboard!$B$3="Weighted",Raw_data!$AB164,Raw_data!$AA164),"")</f>
        <v/>
      </c>
      <c r="D164">
        <f>IF(OR(Raw_data!$J164="",Raw_data!$J164&lt;=0,Raw_data!$K164=""),"",IF(Raw_data!$K164&gt;TODAY(),0,DATEDIF(Raw_data!$K164,TODAY(),"M")))</f>
        <v/>
      </c>
      <c r="E164">
        <f>--(AND(Raw_data!$AF164="No",OR(Raw_data!$AG164&lt;&gt;"",Raw_data!$AJ164&gt;0,Raw_data!$AK164&lt;&gt;"")))</f>
        <v/>
      </c>
      <c r="F164">
        <f>--(OR(AND(ISNUMBER(B164),B164&lt;0.5,OR(D164&gt;=24,Raw_data!$I164&gt;0)),Raw_data!$AE164=TRUE))</f>
        <v/>
      </c>
      <c r="G164">
        <f>IF(Dashboard!$B$11="Department",Raw_data!$AL164,IF(Dashboard!$B$11="Team",Raw_data!$AM164,IF(Dashboard!$B$11="Unit",Raw_data!$AN164,IF(Dashboard!$B$11="Legal entity",Raw_data!$AO164,IF(Dashboard!$B$11="Location",Raw_data!$AP164,Raw_data!$AQ164)))))</f>
        <v/>
      </c>
      <c r="H164">
        <f>--(AND(ISNUMBER(B164),B164&lt;0.5))</f>
        <v/>
      </c>
      <c r="I164">
        <f>IFERROR(MAX(0,(0.5-B164)*100),0)+IF(D164&gt;=24,20,0)+IF(Raw_data!$I164&gt;0,20,0)+IF(Raw_data!$AE164=TRUE,10,0)</f>
        <v/>
      </c>
      <c r="J164">
        <f>IFERROR(CHOOSE(MATCH(Dashboard!$B$11,{"Department","Team","Unit","Legal entity","Location","Lead"},0),INDEX(Lists!$B$3:$B$20,ROW()-1),INDEX(Lists!$C$3:$C$146,ROW()-1),INDEX(Lists!$D$3:$D$67,ROW()-1),INDEX(Lists!$E$3:$E$5,ROW()-1),INDEX(Lists!$F$3:$F$12,ROW()-1),INDEX(Lists!$G$3:$G$126,ROW()-1)),"")</f>
        <v/>
      </c>
      <c r="K164">
        <f>IF(J164="","",SUMPRODUCT(($A$2:$A$636=1)*($G$2:$G$636=J164)))</f>
        <v/>
      </c>
      <c r="L164">
        <f>IF(J164="","",SUMPRODUCT(($A$2:$A$636=1)*($G$2:$G$636=J164)*(ISNUMBER($B$2:$B$636))*($B$2:$B$636&lt;0.5)))</f>
        <v/>
      </c>
      <c r="M164">
        <f>IFERROR(L164/K164,"")</f>
        <v/>
      </c>
      <c r="N164">
        <f>IF(K164="","",M164+K164/100000+ROW()/100000000)</f>
        <v/>
      </c>
      <c r="R164">
        <f>IF(A164=1,IFERROR(I164,0)+ROW()/100000000,-1E+99)</f>
        <v/>
      </c>
      <c r="S164">
        <f>IF(A164=1,IFERROR(Raw_data!$T164,""),"")</f>
        <v/>
      </c>
      <c r="T164">
        <f>IF(A164=1,IFERROR(Raw_data!$AA164,""),"")</f>
        <v/>
      </c>
      <c r="U164">
        <f>IF(A164=1,IFERROR(Raw_data!$U164,""),"")</f>
        <v/>
      </c>
      <c r="V164">
        <f>IF(A164=1,IFERROR(Raw_data!$AB164,""),"")</f>
        <v/>
      </c>
    </row>
    <row r="165">
      <c r="A165">
        <f>--(AND(OR(Dashboard!$B$4="All",Raw_data!$AL165=Dashboard!$B$4),OR(Dashboard!$B$5="All",Raw_data!$AM165=Dashboard!$B$5),OR(Dashboard!$B$6="All",Raw_data!$AN165=Dashboard!$B$6),OR(Dashboard!$B$7="All",Raw_data!$AO165=Dashboard!$B$7),OR(Dashboard!$B$8="All",Raw_data!$AP165=Dashboard!$B$8),OR(Dashboard!$B$9="All",Raw_data!$AQ165=Dashboard!$B$9),OR(Dashboard!$B$10="All",Raw_data!$AF165=Dashboard!$B$10),OR(Raw_data!$F165="",Raw_data!$F165&lt;=TODAY())))</f>
        <v/>
      </c>
      <c r="B165">
        <f>IFERROR(IF(Dashboard!$B$3="Weighted",Raw_data!$U165,Raw_data!$T165),"")</f>
        <v/>
      </c>
      <c r="C165">
        <f>IFERROR(IF(Dashboard!$B$3="Weighted",Raw_data!$AB165,Raw_data!$AA165),"")</f>
        <v/>
      </c>
      <c r="D165">
        <f>IF(OR(Raw_data!$J165="",Raw_data!$J165&lt;=0,Raw_data!$K165=""),"",IF(Raw_data!$K165&gt;TODAY(),0,DATEDIF(Raw_data!$K165,TODAY(),"M")))</f>
        <v/>
      </c>
      <c r="E165">
        <f>--(AND(Raw_data!$AF165="No",OR(Raw_data!$AG165&lt;&gt;"",Raw_data!$AJ165&gt;0,Raw_data!$AK165&lt;&gt;"")))</f>
        <v/>
      </c>
      <c r="F165">
        <f>--(OR(AND(ISNUMBER(B165),B165&lt;0.5,OR(D165&gt;=24,Raw_data!$I165&gt;0)),Raw_data!$AE165=TRUE))</f>
        <v/>
      </c>
      <c r="G165">
        <f>IF(Dashboard!$B$11="Department",Raw_data!$AL165,IF(Dashboard!$B$11="Team",Raw_data!$AM165,IF(Dashboard!$B$11="Unit",Raw_data!$AN165,IF(Dashboard!$B$11="Legal entity",Raw_data!$AO165,IF(Dashboard!$B$11="Location",Raw_data!$AP165,Raw_data!$AQ165)))))</f>
        <v/>
      </c>
      <c r="H165">
        <f>--(AND(ISNUMBER(B165),B165&lt;0.5))</f>
        <v/>
      </c>
      <c r="I165">
        <f>IFERROR(MAX(0,(0.5-B165)*100),0)+IF(D165&gt;=24,20,0)+IF(Raw_data!$I165&gt;0,20,0)+IF(Raw_data!$AE165=TRUE,10,0)</f>
        <v/>
      </c>
      <c r="J165">
        <f>IFERROR(CHOOSE(MATCH(Dashboard!$B$11,{"Department","Team","Unit","Legal entity","Location","Lead"},0),INDEX(Lists!$B$3:$B$20,ROW()-1),INDEX(Lists!$C$3:$C$146,ROW()-1),INDEX(Lists!$D$3:$D$67,ROW()-1),INDEX(Lists!$E$3:$E$5,ROW()-1),INDEX(Lists!$F$3:$F$12,ROW()-1),INDEX(Lists!$G$3:$G$126,ROW()-1)),"")</f>
        <v/>
      </c>
      <c r="K165">
        <f>IF(J165="","",SUMPRODUCT(($A$2:$A$636=1)*($G$2:$G$636=J165)))</f>
        <v/>
      </c>
      <c r="L165">
        <f>IF(J165="","",SUMPRODUCT(($A$2:$A$636=1)*($G$2:$G$636=J165)*(ISNUMBER($B$2:$B$636))*($B$2:$B$636&lt;0.5)))</f>
        <v/>
      </c>
      <c r="M165">
        <f>IFERROR(L165/K165,"")</f>
        <v/>
      </c>
      <c r="N165">
        <f>IF(K165="","",M165+K165/100000+ROW()/100000000)</f>
        <v/>
      </c>
      <c r="R165">
        <f>IF(A165=1,IFERROR(I165,0)+ROW()/100000000,-1E+99)</f>
        <v/>
      </c>
      <c r="S165">
        <f>IF(A165=1,IFERROR(Raw_data!$T165,""),"")</f>
        <v/>
      </c>
      <c r="T165">
        <f>IF(A165=1,IFERROR(Raw_data!$AA165,""),"")</f>
        <v/>
      </c>
      <c r="U165">
        <f>IF(A165=1,IFERROR(Raw_data!$U165,""),"")</f>
        <v/>
      </c>
      <c r="V165">
        <f>IF(A165=1,IFERROR(Raw_data!$AB165,""),"")</f>
        <v/>
      </c>
    </row>
    <row r="166">
      <c r="A166">
        <f>--(AND(OR(Dashboard!$B$4="All",Raw_data!$AL166=Dashboard!$B$4),OR(Dashboard!$B$5="All",Raw_data!$AM166=Dashboard!$B$5),OR(Dashboard!$B$6="All",Raw_data!$AN166=Dashboard!$B$6),OR(Dashboard!$B$7="All",Raw_data!$AO166=Dashboard!$B$7),OR(Dashboard!$B$8="All",Raw_data!$AP166=Dashboard!$B$8),OR(Dashboard!$B$9="All",Raw_data!$AQ166=Dashboard!$B$9),OR(Dashboard!$B$10="All",Raw_data!$AF166=Dashboard!$B$10),OR(Raw_data!$F166="",Raw_data!$F166&lt;=TODAY())))</f>
        <v/>
      </c>
      <c r="B166">
        <f>IFERROR(IF(Dashboard!$B$3="Weighted",Raw_data!$U166,Raw_data!$T166),"")</f>
        <v/>
      </c>
      <c r="C166">
        <f>IFERROR(IF(Dashboard!$B$3="Weighted",Raw_data!$AB166,Raw_data!$AA166),"")</f>
        <v/>
      </c>
      <c r="D166">
        <f>IF(OR(Raw_data!$J166="",Raw_data!$J166&lt;=0,Raw_data!$K166=""),"",IF(Raw_data!$K166&gt;TODAY(),0,DATEDIF(Raw_data!$K166,TODAY(),"M")))</f>
        <v/>
      </c>
      <c r="E166">
        <f>--(AND(Raw_data!$AF166="No",OR(Raw_data!$AG166&lt;&gt;"",Raw_data!$AJ166&gt;0,Raw_data!$AK166&lt;&gt;"")))</f>
        <v/>
      </c>
      <c r="F166">
        <f>--(OR(AND(ISNUMBER(B166),B166&lt;0.5,OR(D166&gt;=24,Raw_data!$I166&gt;0)),Raw_data!$AE166=TRUE))</f>
        <v/>
      </c>
      <c r="G166">
        <f>IF(Dashboard!$B$11="Department",Raw_data!$AL166,IF(Dashboard!$B$11="Team",Raw_data!$AM166,IF(Dashboard!$B$11="Unit",Raw_data!$AN166,IF(Dashboard!$B$11="Legal entity",Raw_data!$AO166,IF(Dashboard!$B$11="Location",Raw_data!$AP166,Raw_data!$AQ166)))))</f>
        <v/>
      </c>
      <c r="H166">
        <f>--(AND(ISNUMBER(B166),B166&lt;0.5))</f>
        <v/>
      </c>
      <c r="I166">
        <f>IFERROR(MAX(0,(0.5-B166)*100),0)+IF(D166&gt;=24,20,0)+IF(Raw_data!$I166&gt;0,20,0)+IF(Raw_data!$AE166=TRUE,10,0)</f>
        <v/>
      </c>
      <c r="J166">
        <f>IFERROR(CHOOSE(MATCH(Dashboard!$B$11,{"Department","Team","Unit","Legal entity","Location","Lead"},0),INDEX(Lists!$B$3:$B$20,ROW()-1),INDEX(Lists!$C$3:$C$146,ROW()-1),INDEX(Lists!$D$3:$D$67,ROW()-1),INDEX(Lists!$E$3:$E$5,ROW()-1),INDEX(Lists!$F$3:$F$12,ROW()-1),INDEX(Lists!$G$3:$G$126,ROW()-1)),"")</f>
        <v/>
      </c>
      <c r="K166">
        <f>IF(J166="","",SUMPRODUCT(($A$2:$A$636=1)*($G$2:$G$636=J166)))</f>
        <v/>
      </c>
      <c r="L166">
        <f>IF(J166="","",SUMPRODUCT(($A$2:$A$636=1)*($G$2:$G$636=J166)*(ISNUMBER($B$2:$B$636))*($B$2:$B$636&lt;0.5)))</f>
        <v/>
      </c>
      <c r="M166">
        <f>IFERROR(L166/K166,"")</f>
        <v/>
      </c>
      <c r="N166">
        <f>IF(K166="","",M166+K166/100000+ROW()/100000000)</f>
        <v/>
      </c>
      <c r="R166">
        <f>IF(A166=1,IFERROR(I166,0)+ROW()/100000000,-1E+99)</f>
        <v/>
      </c>
      <c r="S166">
        <f>IF(A166=1,IFERROR(Raw_data!$T166,""),"")</f>
        <v/>
      </c>
      <c r="T166">
        <f>IF(A166=1,IFERROR(Raw_data!$AA166,""),"")</f>
        <v/>
      </c>
      <c r="U166">
        <f>IF(A166=1,IFERROR(Raw_data!$U166,""),"")</f>
        <v/>
      </c>
      <c r="V166">
        <f>IF(A166=1,IFERROR(Raw_data!$AB166,""),"")</f>
        <v/>
      </c>
    </row>
    <row r="167">
      <c r="A167">
        <f>--(AND(OR(Dashboard!$B$4="All",Raw_data!$AL167=Dashboard!$B$4),OR(Dashboard!$B$5="All",Raw_data!$AM167=Dashboard!$B$5),OR(Dashboard!$B$6="All",Raw_data!$AN167=Dashboard!$B$6),OR(Dashboard!$B$7="All",Raw_data!$AO167=Dashboard!$B$7),OR(Dashboard!$B$8="All",Raw_data!$AP167=Dashboard!$B$8),OR(Dashboard!$B$9="All",Raw_data!$AQ167=Dashboard!$B$9),OR(Dashboard!$B$10="All",Raw_data!$AF167=Dashboard!$B$10),OR(Raw_data!$F167="",Raw_data!$F167&lt;=TODAY())))</f>
        <v/>
      </c>
      <c r="B167">
        <f>IFERROR(IF(Dashboard!$B$3="Weighted",Raw_data!$U167,Raw_data!$T167),"")</f>
        <v/>
      </c>
      <c r="C167">
        <f>IFERROR(IF(Dashboard!$B$3="Weighted",Raw_data!$AB167,Raw_data!$AA167),"")</f>
        <v/>
      </c>
      <c r="D167">
        <f>IF(OR(Raw_data!$J167="",Raw_data!$J167&lt;=0,Raw_data!$K167=""),"",IF(Raw_data!$K167&gt;TODAY(),0,DATEDIF(Raw_data!$K167,TODAY(),"M")))</f>
        <v/>
      </c>
      <c r="E167">
        <f>--(AND(Raw_data!$AF167="No",OR(Raw_data!$AG167&lt;&gt;"",Raw_data!$AJ167&gt;0,Raw_data!$AK167&lt;&gt;"")))</f>
        <v/>
      </c>
      <c r="F167">
        <f>--(OR(AND(ISNUMBER(B167),B167&lt;0.5,OR(D167&gt;=24,Raw_data!$I167&gt;0)),Raw_data!$AE167=TRUE))</f>
        <v/>
      </c>
      <c r="G167">
        <f>IF(Dashboard!$B$11="Department",Raw_data!$AL167,IF(Dashboard!$B$11="Team",Raw_data!$AM167,IF(Dashboard!$B$11="Unit",Raw_data!$AN167,IF(Dashboard!$B$11="Legal entity",Raw_data!$AO167,IF(Dashboard!$B$11="Location",Raw_data!$AP167,Raw_data!$AQ167)))))</f>
        <v/>
      </c>
      <c r="H167">
        <f>--(AND(ISNUMBER(B167),B167&lt;0.5))</f>
        <v/>
      </c>
      <c r="I167">
        <f>IFERROR(MAX(0,(0.5-B167)*100),0)+IF(D167&gt;=24,20,0)+IF(Raw_data!$I167&gt;0,20,0)+IF(Raw_data!$AE167=TRUE,10,0)</f>
        <v/>
      </c>
      <c r="J167">
        <f>IFERROR(CHOOSE(MATCH(Dashboard!$B$11,{"Department","Team","Unit","Legal entity","Location","Lead"},0),INDEX(Lists!$B$3:$B$20,ROW()-1),INDEX(Lists!$C$3:$C$146,ROW()-1),INDEX(Lists!$D$3:$D$67,ROW()-1),INDEX(Lists!$E$3:$E$5,ROW()-1),INDEX(Lists!$F$3:$F$12,ROW()-1),INDEX(Lists!$G$3:$G$126,ROW()-1)),"")</f>
        <v/>
      </c>
      <c r="K167">
        <f>IF(J167="","",SUMPRODUCT(($A$2:$A$636=1)*($G$2:$G$636=J167)))</f>
        <v/>
      </c>
      <c r="L167">
        <f>IF(J167="","",SUMPRODUCT(($A$2:$A$636=1)*($G$2:$G$636=J167)*(ISNUMBER($B$2:$B$636))*($B$2:$B$636&lt;0.5)))</f>
        <v/>
      </c>
      <c r="M167">
        <f>IFERROR(L167/K167,"")</f>
        <v/>
      </c>
      <c r="N167">
        <f>IF(K167="","",M167+K167/100000+ROW()/100000000)</f>
        <v/>
      </c>
      <c r="R167">
        <f>IF(A167=1,IFERROR(I167,0)+ROW()/100000000,-1E+99)</f>
        <v/>
      </c>
      <c r="S167">
        <f>IF(A167=1,IFERROR(Raw_data!$T167,""),"")</f>
        <v/>
      </c>
      <c r="T167">
        <f>IF(A167=1,IFERROR(Raw_data!$AA167,""),"")</f>
        <v/>
      </c>
      <c r="U167">
        <f>IF(A167=1,IFERROR(Raw_data!$U167,""),"")</f>
        <v/>
      </c>
      <c r="V167">
        <f>IF(A167=1,IFERROR(Raw_data!$AB167,""),"")</f>
        <v/>
      </c>
    </row>
    <row r="168">
      <c r="A168">
        <f>--(AND(OR(Dashboard!$B$4="All",Raw_data!$AL168=Dashboard!$B$4),OR(Dashboard!$B$5="All",Raw_data!$AM168=Dashboard!$B$5),OR(Dashboard!$B$6="All",Raw_data!$AN168=Dashboard!$B$6),OR(Dashboard!$B$7="All",Raw_data!$AO168=Dashboard!$B$7),OR(Dashboard!$B$8="All",Raw_data!$AP168=Dashboard!$B$8),OR(Dashboard!$B$9="All",Raw_data!$AQ168=Dashboard!$B$9),OR(Dashboard!$B$10="All",Raw_data!$AF168=Dashboard!$B$10),OR(Raw_data!$F168="",Raw_data!$F168&lt;=TODAY())))</f>
        <v/>
      </c>
      <c r="B168">
        <f>IFERROR(IF(Dashboard!$B$3="Weighted",Raw_data!$U168,Raw_data!$T168),"")</f>
        <v/>
      </c>
      <c r="C168">
        <f>IFERROR(IF(Dashboard!$B$3="Weighted",Raw_data!$AB168,Raw_data!$AA168),"")</f>
        <v/>
      </c>
      <c r="D168">
        <f>IF(OR(Raw_data!$J168="",Raw_data!$J168&lt;=0,Raw_data!$K168=""),"",IF(Raw_data!$K168&gt;TODAY(),0,DATEDIF(Raw_data!$K168,TODAY(),"M")))</f>
        <v/>
      </c>
      <c r="E168">
        <f>--(AND(Raw_data!$AF168="No",OR(Raw_data!$AG168&lt;&gt;"",Raw_data!$AJ168&gt;0,Raw_data!$AK168&lt;&gt;"")))</f>
        <v/>
      </c>
      <c r="F168">
        <f>--(OR(AND(ISNUMBER(B168),B168&lt;0.5,OR(D168&gt;=24,Raw_data!$I168&gt;0)),Raw_data!$AE168=TRUE))</f>
        <v/>
      </c>
      <c r="G168">
        <f>IF(Dashboard!$B$11="Department",Raw_data!$AL168,IF(Dashboard!$B$11="Team",Raw_data!$AM168,IF(Dashboard!$B$11="Unit",Raw_data!$AN168,IF(Dashboard!$B$11="Legal entity",Raw_data!$AO168,IF(Dashboard!$B$11="Location",Raw_data!$AP168,Raw_data!$AQ168)))))</f>
        <v/>
      </c>
      <c r="H168">
        <f>--(AND(ISNUMBER(B168),B168&lt;0.5))</f>
        <v/>
      </c>
      <c r="I168">
        <f>IFERROR(MAX(0,(0.5-B168)*100),0)+IF(D168&gt;=24,20,0)+IF(Raw_data!$I168&gt;0,20,0)+IF(Raw_data!$AE168=TRUE,10,0)</f>
        <v/>
      </c>
      <c r="J168">
        <f>IFERROR(CHOOSE(MATCH(Dashboard!$B$11,{"Department","Team","Unit","Legal entity","Location","Lead"},0),INDEX(Lists!$B$3:$B$20,ROW()-1),INDEX(Lists!$C$3:$C$146,ROW()-1),INDEX(Lists!$D$3:$D$67,ROW()-1),INDEX(Lists!$E$3:$E$5,ROW()-1),INDEX(Lists!$F$3:$F$12,ROW()-1),INDEX(Lists!$G$3:$G$126,ROW()-1)),"")</f>
        <v/>
      </c>
      <c r="K168">
        <f>IF(J168="","",SUMPRODUCT(($A$2:$A$636=1)*($G$2:$G$636=J168)))</f>
        <v/>
      </c>
      <c r="L168">
        <f>IF(J168="","",SUMPRODUCT(($A$2:$A$636=1)*($G$2:$G$636=J168)*(ISNUMBER($B$2:$B$636))*($B$2:$B$636&lt;0.5)))</f>
        <v/>
      </c>
      <c r="M168">
        <f>IFERROR(L168/K168,"")</f>
        <v/>
      </c>
      <c r="N168">
        <f>IF(K168="","",M168+K168/100000+ROW()/100000000)</f>
        <v/>
      </c>
      <c r="R168">
        <f>IF(A168=1,IFERROR(I168,0)+ROW()/100000000,-1E+99)</f>
        <v/>
      </c>
      <c r="S168">
        <f>IF(A168=1,IFERROR(Raw_data!$T168,""),"")</f>
        <v/>
      </c>
      <c r="T168">
        <f>IF(A168=1,IFERROR(Raw_data!$AA168,""),"")</f>
        <v/>
      </c>
      <c r="U168">
        <f>IF(A168=1,IFERROR(Raw_data!$U168,""),"")</f>
        <v/>
      </c>
      <c r="V168">
        <f>IF(A168=1,IFERROR(Raw_data!$AB168,""),"")</f>
        <v/>
      </c>
    </row>
    <row r="169">
      <c r="A169">
        <f>--(AND(OR(Dashboard!$B$4="All",Raw_data!$AL169=Dashboard!$B$4),OR(Dashboard!$B$5="All",Raw_data!$AM169=Dashboard!$B$5),OR(Dashboard!$B$6="All",Raw_data!$AN169=Dashboard!$B$6),OR(Dashboard!$B$7="All",Raw_data!$AO169=Dashboard!$B$7),OR(Dashboard!$B$8="All",Raw_data!$AP169=Dashboard!$B$8),OR(Dashboard!$B$9="All",Raw_data!$AQ169=Dashboard!$B$9),OR(Dashboard!$B$10="All",Raw_data!$AF169=Dashboard!$B$10),OR(Raw_data!$F169="",Raw_data!$F169&lt;=TODAY())))</f>
        <v/>
      </c>
      <c r="B169">
        <f>IFERROR(IF(Dashboard!$B$3="Weighted",Raw_data!$U169,Raw_data!$T169),"")</f>
        <v/>
      </c>
      <c r="C169">
        <f>IFERROR(IF(Dashboard!$B$3="Weighted",Raw_data!$AB169,Raw_data!$AA169),"")</f>
        <v/>
      </c>
      <c r="D169">
        <f>IF(OR(Raw_data!$J169="",Raw_data!$J169&lt;=0,Raw_data!$K169=""),"",IF(Raw_data!$K169&gt;TODAY(),0,DATEDIF(Raw_data!$K169,TODAY(),"M")))</f>
        <v/>
      </c>
      <c r="E169">
        <f>--(AND(Raw_data!$AF169="No",OR(Raw_data!$AG169&lt;&gt;"",Raw_data!$AJ169&gt;0,Raw_data!$AK169&lt;&gt;"")))</f>
        <v/>
      </c>
      <c r="F169">
        <f>--(OR(AND(ISNUMBER(B169),B169&lt;0.5,OR(D169&gt;=24,Raw_data!$I169&gt;0)),Raw_data!$AE169=TRUE))</f>
        <v/>
      </c>
      <c r="G169">
        <f>IF(Dashboard!$B$11="Department",Raw_data!$AL169,IF(Dashboard!$B$11="Team",Raw_data!$AM169,IF(Dashboard!$B$11="Unit",Raw_data!$AN169,IF(Dashboard!$B$11="Legal entity",Raw_data!$AO169,IF(Dashboard!$B$11="Location",Raw_data!$AP169,Raw_data!$AQ169)))))</f>
        <v/>
      </c>
      <c r="H169">
        <f>--(AND(ISNUMBER(B169),B169&lt;0.5))</f>
        <v/>
      </c>
      <c r="I169">
        <f>IFERROR(MAX(0,(0.5-B169)*100),0)+IF(D169&gt;=24,20,0)+IF(Raw_data!$I169&gt;0,20,0)+IF(Raw_data!$AE169=TRUE,10,0)</f>
        <v/>
      </c>
      <c r="J169">
        <f>IFERROR(CHOOSE(MATCH(Dashboard!$B$11,{"Department","Team","Unit","Legal entity","Location","Lead"},0),INDEX(Lists!$B$3:$B$20,ROW()-1),INDEX(Lists!$C$3:$C$146,ROW()-1),INDEX(Lists!$D$3:$D$67,ROW()-1),INDEX(Lists!$E$3:$E$5,ROW()-1),INDEX(Lists!$F$3:$F$12,ROW()-1),INDEX(Lists!$G$3:$G$126,ROW()-1)),"")</f>
        <v/>
      </c>
      <c r="K169">
        <f>IF(J169="","",SUMPRODUCT(($A$2:$A$636=1)*($G$2:$G$636=J169)))</f>
        <v/>
      </c>
      <c r="L169">
        <f>IF(J169="","",SUMPRODUCT(($A$2:$A$636=1)*($G$2:$G$636=J169)*(ISNUMBER($B$2:$B$636))*($B$2:$B$636&lt;0.5)))</f>
        <v/>
      </c>
      <c r="M169">
        <f>IFERROR(L169/K169,"")</f>
        <v/>
      </c>
      <c r="N169">
        <f>IF(K169="","",M169+K169/100000+ROW()/100000000)</f>
        <v/>
      </c>
      <c r="R169">
        <f>IF(A169=1,IFERROR(I169,0)+ROW()/100000000,-1E+99)</f>
        <v/>
      </c>
      <c r="S169">
        <f>IF(A169=1,IFERROR(Raw_data!$T169,""),"")</f>
        <v/>
      </c>
      <c r="T169">
        <f>IF(A169=1,IFERROR(Raw_data!$AA169,""),"")</f>
        <v/>
      </c>
      <c r="U169">
        <f>IF(A169=1,IFERROR(Raw_data!$U169,""),"")</f>
        <v/>
      </c>
      <c r="V169">
        <f>IF(A169=1,IFERROR(Raw_data!$AB169,""),"")</f>
        <v/>
      </c>
    </row>
    <row r="170">
      <c r="A170">
        <f>--(AND(OR(Dashboard!$B$4="All",Raw_data!$AL170=Dashboard!$B$4),OR(Dashboard!$B$5="All",Raw_data!$AM170=Dashboard!$B$5),OR(Dashboard!$B$6="All",Raw_data!$AN170=Dashboard!$B$6),OR(Dashboard!$B$7="All",Raw_data!$AO170=Dashboard!$B$7),OR(Dashboard!$B$8="All",Raw_data!$AP170=Dashboard!$B$8),OR(Dashboard!$B$9="All",Raw_data!$AQ170=Dashboard!$B$9),OR(Dashboard!$B$10="All",Raw_data!$AF170=Dashboard!$B$10),OR(Raw_data!$F170="",Raw_data!$F170&lt;=TODAY())))</f>
        <v/>
      </c>
      <c r="B170">
        <f>IFERROR(IF(Dashboard!$B$3="Weighted",Raw_data!$U170,Raw_data!$T170),"")</f>
        <v/>
      </c>
      <c r="C170">
        <f>IFERROR(IF(Dashboard!$B$3="Weighted",Raw_data!$AB170,Raw_data!$AA170),"")</f>
        <v/>
      </c>
      <c r="D170">
        <f>IF(OR(Raw_data!$J170="",Raw_data!$J170&lt;=0,Raw_data!$K170=""),"",IF(Raw_data!$K170&gt;TODAY(),0,DATEDIF(Raw_data!$K170,TODAY(),"M")))</f>
        <v/>
      </c>
      <c r="E170">
        <f>--(AND(Raw_data!$AF170="No",OR(Raw_data!$AG170&lt;&gt;"",Raw_data!$AJ170&gt;0,Raw_data!$AK170&lt;&gt;"")))</f>
        <v/>
      </c>
      <c r="F170">
        <f>--(OR(AND(ISNUMBER(B170),B170&lt;0.5,OR(D170&gt;=24,Raw_data!$I170&gt;0)),Raw_data!$AE170=TRUE))</f>
        <v/>
      </c>
      <c r="G170">
        <f>IF(Dashboard!$B$11="Department",Raw_data!$AL170,IF(Dashboard!$B$11="Team",Raw_data!$AM170,IF(Dashboard!$B$11="Unit",Raw_data!$AN170,IF(Dashboard!$B$11="Legal entity",Raw_data!$AO170,IF(Dashboard!$B$11="Location",Raw_data!$AP170,Raw_data!$AQ170)))))</f>
        <v/>
      </c>
      <c r="H170">
        <f>--(AND(ISNUMBER(B170),B170&lt;0.5))</f>
        <v/>
      </c>
      <c r="I170">
        <f>IFERROR(MAX(0,(0.5-B170)*100),0)+IF(D170&gt;=24,20,0)+IF(Raw_data!$I170&gt;0,20,0)+IF(Raw_data!$AE170=TRUE,10,0)</f>
        <v/>
      </c>
      <c r="J170">
        <f>IFERROR(CHOOSE(MATCH(Dashboard!$B$11,{"Department","Team","Unit","Legal entity","Location","Lead"},0),INDEX(Lists!$B$3:$B$20,ROW()-1),INDEX(Lists!$C$3:$C$146,ROW()-1),INDEX(Lists!$D$3:$D$67,ROW()-1),INDEX(Lists!$E$3:$E$5,ROW()-1),INDEX(Lists!$F$3:$F$12,ROW()-1),INDEX(Lists!$G$3:$G$126,ROW()-1)),"")</f>
        <v/>
      </c>
      <c r="K170">
        <f>IF(J170="","",SUMPRODUCT(($A$2:$A$636=1)*($G$2:$G$636=J170)))</f>
        <v/>
      </c>
      <c r="L170">
        <f>IF(J170="","",SUMPRODUCT(($A$2:$A$636=1)*($G$2:$G$636=J170)*(ISNUMBER($B$2:$B$636))*($B$2:$B$636&lt;0.5)))</f>
        <v/>
      </c>
      <c r="M170">
        <f>IFERROR(L170/K170,"")</f>
        <v/>
      </c>
      <c r="N170">
        <f>IF(K170="","",M170+K170/100000+ROW()/100000000)</f>
        <v/>
      </c>
      <c r="R170">
        <f>IF(A170=1,IFERROR(I170,0)+ROW()/100000000,-1E+99)</f>
        <v/>
      </c>
      <c r="S170">
        <f>IF(A170=1,IFERROR(Raw_data!$T170,""),"")</f>
        <v/>
      </c>
      <c r="T170">
        <f>IF(A170=1,IFERROR(Raw_data!$AA170,""),"")</f>
        <v/>
      </c>
      <c r="U170">
        <f>IF(A170=1,IFERROR(Raw_data!$U170,""),"")</f>
        <v/>
      </c>
      <c r="V170">
        <f>IF(A170=1,IFERROR(Raw_data!$AB170,""),"")</f>
        <v/>
      </c>
    </row>
    <row r="171">
      <c r="A171">
        <f>--(AND(OR(Dashboard!$B$4="All",Raw_data!$AL171=Dashboard!$B$4),OR(Dashboard!$B$5="All",Raw_data!$AM171=Dashboard!$B$5),OR(Dashboard!$B$6="All",Raw_data!$AN171=Dashboard!$B$6),OR(Dashboard!$B$7="All",Raw_data!$AO171=Dashboard!$B$7),OR(Dashboard!$B$8="All",Raw_data!$AP171=Dashboard!$B$8),OR(Dashboard!$B$9="All",Raw_data!$AQ171=Dashboard!$B$9),OR(Dashboard!$B$10="All",Raw_data!$AF171=Dashboard!$B$10),OR(Raw_data!$F171="",Raw_data!$F171&lt;=TODAY())))</f>
        <v/>
      </c>
      <c r="B171">
        <f>IFERROR(IF(Dashboard!$B$3="Weighted",Raw_data!$U171,Raw_data!$T171),"")</f>
        <v/>
      </c>
      <c r="C171">
        <f>IFERROR(IF(Dashboard!$B$3="Weighted",Raw_data!$AB171,Raw_data!$AA171),"")</f>
        <v/>
      </c>
      <c r="D171">
        <f>IF(OR(Raw_data!$J171="",Raw_data!$J171&lt;=0,Raw_data!$K171=""),"",IF(Raw_data!$K171&gt;TODAY(),0,DATEDIF(Raw_data!$K171,TODAY(),"M")))</f>
        <v/>
      </c>
      <c r="E171">
        <f>--(AND(Raw_data!$AF171="No",OR(Raw_data!$AG171&lt;&gt;"",Raw_data!$AJ171&gt;0,Raw_data!$AK171&lt;&gt;"")))</f>
        <v/>
      </c>
      <c r="F171">
        <f>--(OR(AND(ISNUMBER(B171),B171&lt;0.5,OR(D171&gt;=24,Raw_data!$I171&gt;0)),Raw_data!$AE171=TRUE))</f>
        <v/>
      </c>
      <c r="G171">
        <f>IF(Dashboard!$B$11="Department",Raw_data!$AL171,IF(Dashboard!$B$11="Team",Raw_data!$AM171,IF(Dashboard!$B$11="Unit",Raw_data!$AN171,IF(Dashboard!$B$11="Legal entity",Raw_data!$AO171,IF(Dashboard!$B$11="Location",Raw_data!$AP171,Raw_data!$AQ171)))))</f>
        <v/>
      </c>
      <c r="H171">
        <f>--(AND(ISNUMBER(B171),B171&lt;0.5))</f>
        <v/>
      </c>
      <c r="I171">
        <f>IFERROR(MAX(0,(0.5-B171)*100),0)+IF(D171&gt;=24,20,0)+IF(Raw_data!$I171&gt;0,20,0)+IF(Raw_data!$AE171=TRUE,10,0)</f>
        <v/>
      </c>
      <c r="J171">
        <f>IFERROR(CHOOSE(MATCH(Dashboard!$B$11,{"Department","Team","Unit","Legal entity","Location","Lead"},0),INDEX(Lists!$B$3:$B$20,ROW()-1),INDEX(Lists!$C$3:$C$146,ROW()-1),INDEX(Lists!$D$3:$D$67,ROW()-1),INDEX(Lists!$E$3:$E$5,ROW()-1),INDEX(Lists!$F$3:$F$12,ROW()-1),INDEX(Lists!$G$3:$G$126,ROW()-1)),"")</f>
        <v/>
      </c>
      <c r="K171">
        <f>IF(J171="","",SUMPRODUCT(($A$2:$A$636=1)*($G$2:$G$636=J171)))</f>
        <v/>
      </c>
      <c r="L171">
        <f>IF(J171="","",SUMPRODUCT(($A$2:$A$636=1)*($G$2:$G$636=J171)*(ISNUMBER($B$2:$B$636))*($B$2:$B$636&lt;0.5)))</f>
        <v/>
      </c>
      <c r="M171">
        <f>IFERROR(L171/K171,"")</f>
        <v/>
      </c>
      <c r="N171">
        <f>IF(K171="","",M171+K171/100000+ROW()/100000000)</f>
        <v/>
      </c>
      <c r="R171">
        <f>IF(A171=1,IFERROR(I171,0)+ROW()/100000000,-1E+99)</f>
        <v/>
      </c>
      <c r="S171">
        <f>IF(A171=1,IFERROR(Raw_data!$T171,""),"")</f>
        <v/>
      </c>
      <c r="T171">
        <f>IF(A171=1,IFERROR(Raw_data!$AA171,""),"")</f>
        <v/>
      </c>
      <c r="U171">
        <f>IF(A171=1,IFERROR(Raw_data!$U171,""),"")</f>
        <v/>
      </c>
      <c r="V171">
        <f>IF(A171=1,IFERROR(Raw_data!$AB171,""),"")</f>
        <v/>
      </c>
    </row>
    <row r="172">
      <c r="A172">
        <f>--(AND(OR(Dashboard!$B$4="All",Raw_data!$AL172=Dashboard!$B$4),OR(Dashboard!$B$5="All",Raw_data!$AM172=Dashboard!$B$5),OR(Dashboard!$B$6="All",Raw_data!$AN172=Dashboard!$B$6),OR(Dashboard!$B$7="All",Raw_data!$AO172=Dashboard!$B$7),OR(Dashboard!$B$8="All",Raw_data!$AP172=Dashboard!$B$8),OR(Dashboard!$B$9="All",Raw_data!$AQ172=Dashboard!$B$9),OR(Dashboard!$B$10="All",Raw_data!$AF172=Dashboard!$B$10),OR(Raw_data!$F172="",Raw_data!$F172&lt;=TODAY())))</f>
        <v/>
      </c>
      <c r="B172">
        <f>IFERROR(IF(Dashboard!$B$3="Weighted",Raw_data!$U172,Raw_data!$T172),"")</f>
        <v/>
      </c>
      <c r="C172">
        <f>IFERROR(IF(Dashboard!$B$3="Weighted",Raw_data!$AB172,Raw_data!$AA172),"")</f>
        <v/>
      </c>
      <c r="D172">
        <f>IF(OR(Raw_data!$J172="",Raw_data!$J172&lt;=0,Raw_data!$K172=""),"",IF(Raw_data!$K172&gt;TODAY(),0,DATEDIF(Raw_data!$K172,TODAY(),"M")))</f>
        <v/>
      </c>
      <c r="E172">
        <f>--(AND(Raw_data!$AF172="No",OR(Raw_data!$AG172&lt;&gt;"",Raw_data!$AJ172&gt;0,Raw_data!$AK172&lt;&gt;"")))</f>
        <v/>
      </c>
      <c r="F172">
        <f>--(OR(AND(ISNUMBER(B172),B172&lt;0.5,OR(D172&gt;=24,Raw_data!$I172&gt;0)),Raw_data!$AE172=TRUE))</f>
        <v/>
      </c>
      <c r="G172">
        <f>IF(Dashboard!$B$11="Department",Raw_data!$AL172,IF(Dashboard!$B$11="Team",Raw_data!$AM172,IF(Dashboard!$B$11="Unit",Raw_data!$AN172,IF(Dashboard!$B$11="Legal entity",Raw_data!$AO172,IF(Dashboard!$B$11="Location",Raw_data!$AP172,Raw_data!$AQ172)))))</f>
        <v/>
      </c>
      <c r="H172">
        <f>--(AND(ISNUMBER(B172),B172&lt;0.5))</f>
        <v/>
      </c>
      <c r="I172">
        <f>IFERROR(MAX(0,(0.5-B172)*100),0)+IF(D172&gt;=24,20,0)+IF(Raw_data!$I172&gt;0,20,0)+IF(Raw_data!$AE172=TRUE,10,0)</f>
        <v/>
      </c>
      <c r="J172">
        <f>IFERROR(CHOOSE(MATCH(Dashboard!$B$11,{"Department","Team","Unit","Legal entity","Location","Lead"},0),INDEX(Lists!$B$3:$B$20,ROW()-1),INDEX(Lists!$C$3:$C$146,ROW()-1),INDEX(Lists!$D$3:$D$67,ROW()-1),INDEX(Lists!$E$3:$E$5,ROW()-1),INDEX(Lists!$F$3:$F$12,ROW()-1),INDEX(Lists!$G$3:$G$126,ROW()-1)),"")</f>
        <v/>
      </c>
      <c r="K172">
        <f>IF(J172="","",SUMPRODUCT(($A$2:$A$636=1)*($G$2:$G$636=J172)))</f>
        <v/>
      </c>
      <c r="L172">
        <f>IF(J172="","",SUMPRODUCT(($A$2:$A$636=1)*($G$2:$G$636=J172)*(ISNUMBER($B$2:$B$636))*($B$2:$B$636&lt;0.5)))</f>
        <v/>
      </c>
      <c r="M172">
        <f>IFERROR(L172/K172,"")</f>
        <v/>
      </c>
      <c r="N172">
        <f>IF(K172="","",M172+K172/100000+ROW()/100000000)</f>
        <v/>
      </c>
      <c r="R172">
        <f>IF(A172=1,IFERROR(I172,0)+ROW()/100000000,-1E+99)</f>
        <v/>
      </c>
      <c r="S172">
        <f>IF(A172=1,IFERROR(Raw_data!$T172,""),"")</f>
        <v/>
      </c>
      <c r="T172">
        <f>IF(A172=1,IFERROR(Raw_data!$AA172,""),"")</f>
        <v/>
      </c>
      <c r="U172">
        <f>IF(A172=1,IFERROR(Raw_data!$U172,""),"")</f>
        <v/>
      </c>
      <c r="V172">
        <f>IF(A172=1,IFERROR(Raw_data!$AB172,""),"")</f>
        <v/>
      </c>
    </row>
    <row r="173">
      <c r="A173">
        <f>--(AND(OR(Dashboard!$B$4="All",Raw_data!$AL173=Dashboard!$B$4),OR(Dashboard!$B$5="All",Raw_data!$AM173=Dashboard!$B$5),OR(Dashboard!$B$6="All",Raw_data!$AN173=Dashboard!$B$6),OR(Dashboard!$B$7="All",Raw_data!$AO173=Dashboard!$B$7),OR(Dashboard!$B$8="All",Raw_data!$AP173=Dashboard!$B$8),OR(Dashboard!$B$9="All",Raw_data!$AQ173=Dashboard!$B$9),OR(Dashboard!$B$10="All",Raw_data!$AF173=Dashboard!$B$10),OR(Raw_data!$F173="",Raw_data!$F173&lt;=TODAY())))</f>
        <v/>
      </c>
      <c r="B173">
        <f>IFERROR(IF(Dashboard!$B$3="Weighted",Raw_data!$U173,Raw_data!$T173),"")</f>
        <v/>
      </c>
      <c r="C173">
        <f>IFERROR(IF(Dashboard!$B$3="Weighted",Raw_data!$AB173,Raw_data!$AA173),"")</f>
        <v/>
      </c>
      <c r="D173">
        <f>IF(OR(Raw_data!$J173="",Raw_data!$J173&lt;=0,Raw_data!$K173=""),"",IF(Raw_data!$K173&gt;TODAY(),0,DATEDIF(Raw_data!$K173,TODAY(),"M")))</f>
        <v/>
      </c>
      <c r="E173">
        <f>--(AND(Raw_data!$AF173="No",OR(Raw_data!$AG173&lt;&gt;"",Raw_data!$AJ173&gt;0,Raw_data!$AK173&lt;&gt;"")))</f>
        <v/>
      </c>
      <c r="F173">
        <f>--(OR(AND(ISNUMBER(B173),B173&lt;0.5,OR(D173&gt;=24,Raw_data!$I173&gt;0)),Raw_data!$AE173=TRUE))</f>
        <v/>
      </c>
      <c r="G173">
        <f>IF(Dashboard!$B$11="Department",Raw_data!$AL173,IF(Dashboard!$B$11="Team",Raw_data!$AM173,IF(Dashboard!$B$11="Unit",Raw_data!$AN173,IF(Dashboard!$B$11="Legal entity",Raw_data!$AO173,IF(Dashboard!$B$11="Location",Raw_data!$AP173,Raw_data!$AQ173)))))</f>
        <v/>
      </c>
      <c r="H173">
        <f>--(AND(ISNUMBER(B173),B173&lt;0.5))</f>
        <v/>
      </c>
      <c r="I173">
        <f>IFERROR(MAX(0,(0.5-B173)*100),0)+IF(D173&gt;=24,20,0)+IF(Raw_data!$I173&gt;0,20,0)+IF(Raw_data!$AE173=TRUE,10,0)</f>
        <v/>
      </c>
      <c r="J173">
        <f>IFERROR(CHOOSE(MATCH(Dashboard!$B$11,{"Department","Team","Unit","Legal entity","Location","Lead"},0),INDEX(Lists!$B$3:$B$20,ROW()-1),INDEX(Lists!$C$3:$C$146,ROW()-1),INDEX(Lists!$D$3:$D$67,ROW()-1),INDEX(Lists!$E$3:$E$5,ROW()-1),INDEX(Lists!$F$3:$F$12,ROW()-1),INDEX(Lists!$G$3:$G$126,ROW()-1)),"")</f>
        <v/>
      </c>
      <c r="K173">
        <f>IF(J173="","",SUMPRODUCT(($A$2:$A$636=1)*($G$2:$G$636=J173)))</f>
        <v/>
      </c>
      <c r="L173">
        <f>IF(J173="","",SUMPRODUCT(($A$2:$A$636=1)*($G$2:$G$636=J173)*(ISNUMBER($B$2:$B$636))*($B$2:$B$636&lt;0.5)))</f>
        <v/>
      </c>
      <c r="M173">
        <f>IFERROR(L173/K173,"")</f>
        <v/>
      </c>
      <c r="N173">
        <f>IF(K173="","",M173+K173/100000+ROW()/100000000)</f>
        <v/>
      </c>
      <c r="R173">
        <f>IF(A173=1,IFERROR(I173,0)+ROW()/100000000,-1E+99)</f>
        <v/>
      </c>
      <c r="S173">
        <f>IF(A173=1,IFERROR(Raw_data!$T173,""),"")</f>
        <v/>
      </c>
      <c r="T173">
        <f>IF(A173=1,IFERROR(Raw_data!$AA173,""),"")</f>
        <v/>
      </c>
      <c r="U173">
        <f>IF(A173=1,IFERROR(Raw_data!$U173,""),"")</f>
        <v/>
      </c>
      <c r="V173">
        <f>IF(A173=1,IFERROR(Raw_data!$AB173,""),"")</f>
        <v/>
      </c>
    </row>
    <row r="174">
      <c r="A174">
        <f>--(AND(OR(Dashboard!$B$4="All",Raw_data!$AL174=Dashboard!$B$4),OR(Dashboard!$B$5="All",Raw_data!$AM174=Dashboard!$B$5),OR(Dashboard!$B$6="All",Raw_data!$AN174=Dashboard!$B$6),OR(Dashboard!$B$7="All",Raw_data!$AO174=Dashboard!$B$7),OR(Dashboard!$B$8="All",Raw_data!$AP174=Dashboard!$B$8),OR(Dashboard!$B$9="All",Raw_data!$AQ174=Dashboard!$B$9),OR(Dashboard!$B$10="All",Raw_data!$AF174=Dashboard!$B$10),OR(Raw_data!$F174="",Raw_data!$F174&lt;=TODAY())))</f>
        <v/>
      </c>
      <c r="B174">
        <f>IFERROR(IF(Dashboard!$B$3="Weighted",Raw_data!$U174,Raw_data!$T174),"")</f>
        <v/>
      </c>
      <c r="C174">
        <f>IFERROR(IF(Dashboard!$B$3="Weighted",Raw_data!$AB174,Raw_data!$AA174),"")</f>
        <v/>
      </c>
      <c r="D174">
        <f>IF(OR(Raw_data!$J174="",Raw_data!$J174&lt;=0,Raw_data!$K174=""),"",IF(Raw_data!$K174&gt;TODAY(),0,DATEDIF(Raw_data!$K174,TODAY(),"M")))</f>
        <v/>
      </c>
      <c r="E174">
        <f>--(AND(Raw_data!$AF174="No",OR(Raw_data!$AG174&lt;&gt;"",Raw_data!$AJ174&gt;0,Raw_data!$AK174&lt;&gt;"")))</f>
        <v/>
      </c>
      <c r="F174">
        <f>--(OR(AND(ISNUMBER(B174),B174&lt;0.5,OR(D174&gt;=24,Raw_data!$I174&gt;0)),Raw_data!$AE174=TRUE))</f>
        <v/>
      </c>
      <c r="G174">
        <f>IF(Dashboard!$B$11="Department",Raw_data!$AL174,IF(Dashboard!$B$11="Team",Raw_data!$AM174,IF(Dashboard!$B$11="Unit",Raw_data!$AN174,IF(Dashboard!$B$11="Legal entity",Raw_data!$AO174,IF(Dashboard!$B$11="Location",Raw_data!$AP174,Raw_data!$AQ174)))))</f>
        <v/>
      </c>
      <c r="H174">
        <f>--(AND(ISNUMBER(B174),B174&lt;0.5))</f>
        <v/>
      </c>
      <c r="I174">
        <f>IFERROR(MAX(0,(0.5-B174)*100),0)+IF(D174&gt;=24,20,0)+IF(Raw_data!$I174&gt;0,20,0)+IF(Raw_data!$AE174=TRUE,10,0)</f>
        <v/>
      </c>
      <c r="J174">
        <f>IFERROR(CHOOSE(MATCH(Dashboard!$B$11,{"Department","Team","Unit","Legal entity","Location","Lead"},0),INDEX(Lists!$B$3:$B$20,ROW()-1),INDEX(Lists!$C$3:$C$146,ROW()-1),INDEX(Lists!$D$3:$D$67,ROW()-1),INDEX(Lists!$E$3:$E$5,ROW()-1),INDEX(Lists!$F$3:$F$12,ROW()-1),INDEX(Lists!$G$3:$G$126,ROW()-1)),"")</f>
        <v/>
      </c>
      <c r="K174">
        <f>IF(J174="","",SUMPRODUCT(($A$2:$A$636=1)*($G$2:$G$636=J174)))</f>
        <v/>
      </c>
      <c r="L174">
        <f>IF(J174="","",SUMPRODUCT(($A$2:$A$636=1)*($G$2:$G$636=J174)*(ISNUMBER($B$2:$B$636))*($B$2:$B$636&lt;0.5)))</f>
        <v/>
      </c>
      <c r="M174">
        <f>IFERROR(L174/K174,"")</f>
        <v/>
      </c>
      <c r="N174">
        <f>IF(K174="","",M174+K174/100000+ROW()/100000000)</f>
        <v/>
      </c>
      <c r="R174">
        <f>IF(A174=1,IFERROR(I174,0)+ROW()/100000000,-1E+99)</f>
        <v/>
      </c>
      <c r="S174">
        <f>IF(A174=1,IFERROR(Raw_data!$T174,""),"")</f>
        <v/>
      </c>
      <c r="T174">
        <f>IF(A174=1,IFERROR(Raw_data!$AA174,""),"")</f>
        <v/>
      </c>
      <c r="U174">
        <f>IF(A174=1,IFERROR(Raw_data!$U174,""),"")</f>
        <v/>
      </c>
      <c r="V174">
        <f>IF(A174=1,IFERROR(Raw_data!$AB174,""),"")</f>
        <v/>
      </c>
    </row>
    <row r="175">
      <c r="A175">
        <f>--(AND(OR(Dashboard!$B$4="All",Raw_data!$AL175=Dashboard!$B$4),OR(Dashboard!$B$5="All",Raw_data!$AM175=Dashboard!$B$5),OR(Dashboard!$B$6="All",Raw_data!$AN175=Dashboard!$B$6),OR(Dashboard!$B$7="All",Raw_data!$AO175=Dashboard!$B$7),OR(Dashboard!$B$8="All",Raw_data!$AP175=Dashboard!$B$8),OR(Dashboard!$B$9="All",Raw_data!$AQ175=Dashboard!$B$9),OR(Dashboard!$B$10="All",Raw_data!$AF175=Dashboard!$B$10),OR(Raw_data!$F175="",Raw_data!$F175&lt;=TODAY())))</f>
        <v/>
      </c>
      <c r="B175">
        <f>IFERROR(IF(Dashboard!$B$3="Weighted",Raw_data!$U175,Raw_data!$T175),"")</f>
        <v/>
      </c>
      <c r="C175">
        <f>IFERROR(IF(Dashboard!$B$3="Weighted",Raw_data!$AB175,Raw_data!$AA175),"")</f>
        <v/>
      </c>
      <c r="D175">
        <f>IF(OR(Raw_data!$J175="",Raw_data!$J175&lt;=0,Raw_data!$K175=""),"",IF(Raw_data!$K175&gt;TODAY(),0,DATEDIF(Raw_data!$K175,TODAY(),"M")))</f>
        <v/>
      </c>
      <c r="E175">
        <f>--(AND(Raw_data!$AF175="No",OR(Raw_data!$AG175&lt;&gt;"",Raw_data!$AJ175&gt;0,Raw_data!$AK175&lt;&gt;"")))</f>
        <v/>
      </c>
      <c r="F175">
        <f>--(OR(AND(ISNUMBER(B175),B175&lt;0.5,OR(D175&gt;=24,Raw_data!$I175&gt;0)),Raw_data!$AE175=TRUE))</f>
        <v/>
      </c>
      <c r="G175">
        <f>IF(Dashboard!$B$11="Department",Raw_data!$AL175,IF(Dashboard!$B$11="Team",Raw_data!$AM175,IF(Dashboard!$B$11="Unit",Raw_data!$AN175,IF(Dashboard!$B$11="Legal entity",Raw_data!$AO175,IF(Dashboard!$B$11="Location",Raw_data!$AP175,Raw_data!$AQ175)))))</f>
        <v/>
      </c>
      <c r="H175">
        <f>--(AND(ISNUMBER(B175),B175&lt;0.5))</f>
        <v/>
      </c>
      <c r="I175">
        <f>IFERROR(MAX(0,(0.5-B175)*100),0)+IF(D175&gt;=24,20,0)+IF(Raw_data!$I175&gt;0,20,0)+IF(Raw_data!$AE175=TRUE,10,0)</f>
        <v/>
      </c>
      <c r="J175">
        <f>IFERROR(CHOOSE(MATCH(Dashboard!$B$11,{"Department","Team","Unit","Legal entity","Location","Lead"},0),INDEX(Lists!$B$3:$B$20,ROW()-1),INDEX(Lists!$C$3:$C$146,ROW()-1),INDEX(Lists!$D$3:$D$67,ROW()-1),INDEX(Lists!$E$3:$E$5,ROW()-1),INDEX(Lists!$F$3:$F$12,ROW()-1),INDEX(Lists!$G$3:$G$126,ROW()-1)),"")</f>
        <v/>
      </c>
      <c r="K175">
        <f>IF(J175="","",SUMPRODUCT(($A$2:$A$636=1)*($G$2:$G$636=J175)))</f>
        <v/>
      </c>
      <c r="L175">
        <f>IF(J175="","",SUMPRODUCT(($A$2:$A$636=1)*($G$2:$G$636=J175)*(ISNUMBER($B$2:$B$636))*($B$2:$B$636&lt;0.5)))</f>
        <v/>
      </c>
      <c r="M175">
        <f>IFERROR(L175/K175,"")</f>
        <v/>
      </c>
      <c r="N175">
        <f>IF(K175="","",M175+K175/100000+ROW()/100000000)</f>
        <v/>
      </c>
      <c r="R175">
        <f>IF(A175=1,IFERROR(I175,0)+ROW()/100000000,-1E+99)</f>
        <v/>
      </c>
      <c r="S175">
        <f>IF(A175=1,IFERROR(Raw_data!$T175,""),"")</f>
        <v/>
      </c>
      <c r="T175">
        <f>IF(A175=1,IFERROR(Raw_data!$AA175,""),"")</f>
        <v/>
      </c>
      <c r="U175">
        <f>IF(A175=1,IFERROR(Raw_data!$U175,""),"")</f>
        <v/>
      </c>
      <c r="V175">
        <f>IF(A175=1,IFERROR(Raw_data!$AB175,""),"")</f>
        <v/>
      </c>
    </row>
    <row r="176">
      <c r="A176">
        <f>--(AND(OR(Dashboard!$B$4="All",Raw_data!$AL176=Dashboard!$B$4),OR(Dashboard!$B$5="All",Raw_data!$AM176=Dashboard!$B$5),OR(Dashboard!$B$6="All",Raw_data!$AN176=Dashboard!$B$6),OR(Dashboard!$B$7="All",Raw_data!$AO176=Dashboard!$B$7),OR(Dashboard!$B$8="All",Raw_data!$AP176=Dashboard!$B$8),OR(Dashboard!$B$9="All",Raw_data!$AQ176=Dashboard!$B$9),OR(Dashboard!$B$10="All",Raw_data!$AF176=Dashboard!$B$10),OR(Raw_data!$F176="",Raw_data!$F176&lt;=TODAY())))</f>
        <v/>
      </c>
      <c r="B176">
        <f>IFERROR(IF(Dashboard!$B$3="Weighted",Raw_data!$U176,Raw_data!$T176),"")</f>
        <v/>
      </c>
      <c r="C176">
        <f>IFERROR(IF(Dashboard!$B$3="Weighted",Raw_data!$AB176,Raw_data!$AA176),"")</f>
        <v/>
      </c>
      <c r="D176">
        <f>IF(OR(Raw_data!$J176="",Raw_data!$J176&lt;=0,Raw_data!$K176=""),"",IF(Raw_data!$K176&gt;TODAY(),0,DATEDIF(Raw_data!$K176,TODAY(),"M")))</f>
        <v/>
      </c>
      <c r="E176">
        <f>--(AND(Raw_data!$AF176="No",OR(Raw_data!$AG176&lt;&gt;"",Raw_data!$AJ176&gt;0,Raw_data!$AK176&lt;&gt;"")))</f>
        <v/>
      </c>
      <c r="F176">
        <f>--(OR(AND(ISNUMBER(B176),B176&lt;0.5,OR(D176&gt;=24,Raw_data!$I176&gt;0)),Raw_data!$AE176=TRUE))</f>
        <v/>
      </c>
      <c r="G176">
        <f>IF(Dashboard!$B$11="Department",Raw_data!$AL176,IF(Dashboard!$B$11="Team",Raw_data!$AM176,IF(Dashboard!$B$11="Unit",Raw_data!$AN176,IF(Dashboard!$B$11="Legal entity",Raw_data!$AO176,IF(Dashboard!$B$11="Location",Raw_data!$AP176,Raw_data!$AQ176)))))</f>
        <v/>
      </c>
      <c r="H176">
        <f>--(AND(ISNUMBER(B176),B176&lt;0.5))</f>
        <v/>
      </c>
      <c r="I176">
        <f>IFERROR(MAX(0,(0.5-B176)*100),0)+IF(D176&gt;=24,20,0)+IF(Raw_data!$I176&gt;0,20,0)+IF(Raw_data!$AE176=TRUE,10,0)</f>
        <v/>
      </c>
      <c r="J176">
        <f>IFERROR(CHOOSE(MATCH(Dashboard!$B$11,{"Department","Team","Unit","Legal entity","Location","Lead"},0),INDEX(Lists!$B$3:$B$20,ROW()-1),INDEX(Lists!$C$3:$C$146,ROW()-1),INDEX(Lists!$D$3:$D$67,ROW()-1),INDEX(Lists!$E$3:$E$5,ROW()-1),INDEX(Lists!$F$3:$F$12,ROW()-1),INDEX(Lists!$G$3:$G$126,ROW()-1)),"")</f>
        <v/>
      </c>
      <c r="K176">
        <f>IF(J176="","",SUMPRODUCT(($A$2:$A$636=1)*($G$2:$G$636=J176)))</f>
        <v/>
      </c>
      <c r="L176">
        <f>IF(J176="","",SUMPRODUCT(($A$2:$A$636=1)*($G$2:$G$636=J176)*(ISNUMBER($B$2:$B$636))*($B$2:$B$636&lt;0.5)))</f>
        <v/>
      </c>
      <c r="M176">
        <f>IFERROR(L176/K176,"")</f>
        <v/>
      </c>
      <c r="N176">
        <f>IF(K176="","",M176+K176/100000+ROW()/100000000)</f>
        <v/>
      </c>
      <c r="R176">
        <f>IF(A176=1,IFERROR(I176,0)+ROW()/100000000,-1E+99)</f>
        <v/>
      </c>
      <c r="S176">
        <f>IF(A176=1,IFERROR(Raw_data!$T176,""),"")</f>
        <v/>
      </c>
      <c r="T176">
        <f>IF(A176=1,IFERROR(Raw_data!$AA176,""),"")</f>
        <v/>
      </c>
      <c r="U176">
        <f>IF(A176=1,IFERROR(Raw_data!$U176,""),"")</f>
        <v/>
      </c>
      <c r="V176">
        <f>IF(A176=1,IFERROR(Raw_data!$AB176,""),"")</f>
        <v/>
      </c>
    </row>
    <row r="177">
      <c r="A177">
        <f>--(AND(OR(Dashboard!$B$4="All",Raw_data!$AL177=Dashboard!$B$4),OR(Dashboard!$B$5="All",Raw_data!$AM177=Dashboard!$B$5),OR(Dashboard!$B$6="All",Raw_data!$AN177=Dashboard!$B$6),OR(Dashboard!$B$7="All",Raw_data!$AO177=Dashboard!$B$7),OR(Dashboard!$B$8="All",Raw_data!$AP177=Dashboard!$B$8),OR(Dashboard!$B$9="All",Raw_data!$AQ177=Dashboard!$B$9),OR(Dashboard!$B$10="All",Raw_data!$AF177=Dashboard!$B$10),OR(Raw_data!$F177="",Raw_data!$F177&lt;=TODAY())))</f>
        <v/>
      </c>
      <c r="B177">
        <f>IFERROR(IF(Dashboard!$B$3="Weighted",Raw_data!$U177,Raw_data!$T177),"")</f>
        <v/>
      </c>
      <c r="C177">
        <f>IFERROR(IF(Dashboard!$B$3="Weighted",Raw_data!$AB177,Raw_data!$AA177),"")</f>
        <v/>
      </c>
      <c r="D177">
        <f>IF(OR(Raw_data!$J177="",Raw_data!$J177&lt;=0,Raw_data!$K177=""),"",IF(Raw_data!$K177&gt;TODAY(),0,DATEDIF(Raw_data!$K177,TODAY(),"M")))</f>
        <v/>
      </c>
      <c r="E177">
        <f>--(AND(Raw_data!$AF177="No",OR(Raw_data!$AG177&lt;&gt;"",Raw_data!$AJ177&gt;0,Raw_data!$AK177&lt;&gt;"")))</f>
        <v/>
      </c>
      <c r="F177">
        <f>--(OR(AND(ISNUMBER(B177),B177&lt;0.5,OR(D177&gt;=24,Raw_data!$I177&gt;0)),Raw_data!$AE177=TRUE))</f>
        <v/>
      </c>
      <c r="G177">
        <f>IF(Dashboard!$B$11="Department",Raw_data!$AL177,IF(Dashboard!$B$11="Team",Raw_data!$AM177,IF(Dashboard!$B$11="Unit",Raw_data!$AN177,IF(Dashboard!$B$11="Legal entity",Raw_data!$AO177,IF(Dashboard!$B$11="Location",Raw_data!$AP177,Raw_data!$AQ177)))))</f>
        <v/>
      </c>
      <c r="H177">
        <f>--(AND(ISNUMBER(B177),B177&lt;0.5))</f>
        <v/>
      </c>
      <c r="I177">
        <f>IFERROR(MAX(0,(0.5-B177)*100),0)+IF(D177&gt;=24,20,0)+IF(Raw_data!$I177&gt;0,20,0)+IF(Raw_data!$AE177=TRUE,10,0)</f>
        <v/>
      </c>
      <c r="J177">
        <f>IFERROR(CHOOSE(MATCH(Dashboard!$B$11,{"Department","Team","Unit","Legal entity","Location","Lead"},0),INDEX(Lists!$B$3:$B$20,ROW()-1),INDEX(Lists!$C$3:$C$146,ROW()-1),INDEX(Lists!$D$3:$D$67,ROW()-1),INDEX(Lists!$E$3:$E$5,ROW()-1),INDEX(Lists!$F$3:$F$12,ROW()-1),INDEX(Lists!$G$3:$G$126,ROW()-1)),"")</f>
        <v/>
      </c>
      <c r="K177">
        <f>IF(J177="","",SUMPRODUCT(($A$2:$A$636=1)*($G$2:$G$636=J177)))</f>
        <v/>
      </c>
      <c r="L177">
        <f>IF(J177="","",SUMPRODUCT(($A$2:$A$636=1)*($G$2:$G$636=J177)*(ISNUMBER($B$2:$B$636))*($B$2:$B$636&lt;0.5)))</f>
        <v/>
      </c>
      <c r="M177">
        <f>IFERROR(L177/K177,"")</f>
        <v/>
      </c>
      <c r="N177">
        <f>IF(K177="","",M177+K177/100000+ROW()/100000000)</f>
        <v/>
      </c>
      <c r="R177">
        <f>IF(A177=1,IFERROR(I177,0)+ROW()/100000000,-1E+99)</f>
        <v/>
      </c>
      <c r="S177">
        <f>IF(A177=1,IFERROR(Raw_data!$T177,""),"")</f>
        <v/>
      </c>
      <c r="T177">
        <f>IF(A177=1,IFERROR(Raw_data!$AA177,""),"")</f>
        <v/>
      </c>
      <c r="U177">
        <f>IF(A177=1,IFERROR(Raw_data!$U177,""),"")</f>
        <v/>
      </c>
      <c r="V177">
        <f>IF(A177=1,IFERROR(Raw_data!$AB177,""),"")</f>
        <v/>
      </c>
    </row>
    <row r="178">
      <c r="A178">
        <f>--(AND(OR(Dashboard!$B$4="All",Raw_data!$AL178=Dashboard!$B$4),OR(Dashboard!$B$5="All",Raw_data!$AM178=Dashboard!$B$5),OR(Dashboard!$B$6="All",Raw_data!$AN178=Dashboard!$B$6),OR(Dashboard!$B$7="All",Raw_data!$AO178=Dashboard!$B$7),OR(Dashboard!$B$8="All",Raw_data!$AP178=Dashboard!$B$8),OR(Dashboard!$B$9="All",Raw_data!$AQ178=Dashboard!$B$9),OR(Dashboard!$B$10="All",Raw_data!$AF178=Dashboard!$B$10),OR(Raw_data!$F178="",Raw_data!$F178&lt;=TODAY())))</f>
        <v/>
      </c>
      <c r="B178">
        <f>IFERROR(IF(Dashboard!$B$3="Weighted",Raw_data!$U178,Raw_data!$T178),"")</f>
        <v/>
      </c>
      <c r="C178">
        <f>IFERROR(IF(Dashboard!$B$3="Weighted",Raw_data!$AB178,Raw_data!$AA178),"")</f>
        <v/>
      </c>
      <c r="D178">
        <f>IF(OR(Raw_data!$J178="",Raw_data!$J178&lt;=0,Raw_data!$K178=""),"",IF(Raw_data!$K178&gt;TODAY(),0,DATEDIF(Raw_data!$K178,TODAY(),"M")))</f>
        <v/>
      </c>
      <c r="E178">
        <f>--(AND(Raw_data!$AF178="No",OR(Raw_data!$AG178&lt;&gt;"",Raw_data!$AJ178&gt;0,Raw_data!$AK178&lt;&gt;"")))</f>
        <v/>
      </c>
      <c r="F178">
        <f>--(OR(AND(ISNUMBER(B178),B178&lt;0.5,OR(D178&gt;=24,Raw_data!$I178&gt;0)),Raw_data!$AE178=TRUE))</f>
        <v/>
      </c>
      <c r="G178">
        <f>IF(Dashboard!$B$11="Department",Raw_data!$AL178,IF(Dashboard!$B$11="Team",Raw_data!$AM178,IF(Dashboard!$B$11="Unit",Raw_data!$AN178,IF(Dashboard!$B$11="Legal entity",Raw_data!$AO178,IF(Dashboard!$B$11="Location",Raw_data!$AP178,Raw_data!$AQ178)))))</f>
        <v/>
      </c>
      <c r="H178">
        <f>--(AND(ISNUMBER(B178),B178&lt;0.5))</f>
        <v/>
      </c>
      <c r="I178">
        <f>IFERROR(MAX(0,(0.5-B178)*100),0)+IF(D178&gt;=24,20,0)+IF(Raw_data!$I178&gt;0,20,0)+IF(Raw_data!$AE178=TRUE,10,0)</f>
        <v/>
      </c>
      <c r="J178">
        <f>IFERROR(CHOOSE(MATCH(Dashboard!$B$11,{"Department","Team","Unit","Legal entity","Location","Lead"},0),INDEX(Lists!$B$3:$B$20,ROW()-1),INDEX(Lists!$C$3:$C$146,ROW()-1),INDEX(Lists!$D$3:$D$67,ROW()-1),INDEX(Lists!$E$3:$E$5,ROW()-1),INDEX(Lists!$F$3:$F$12,ROW()-1),INDEX(Lists!$G$3:$G$126,ROW()-1)),"")</f>
        <v/>
      </c>
      <c r="K178">
        <f>IF(J178="","",SUMPRODUCT(($A$2:$A$636=1)*($G$2:$G$636=J178)))</f>
        <v/>
      </c>
      <c r="L178">
        <f>IF(J178="","",SUMPRODUCT(($A$2:$A$636=1)*($G$2:$G$636=J178)*(ISNUMBER($B$2:$B$636))*($B$2:$B$636&lt;0.5)))</f>
        <v/>
      </c>
      <c r="M178">
        <f>IFERROR(L178/K178,"")</f>
        <v/>
      </c>
      <c r="N178">
        <f>IF(K178="","",M178+K178/100000+ROW()/100000000)</f>
        <v/>
      </c>
      <c r="R178">
        <f>IF(A178=1,IFERROR(I178,0)+ROW()/100000000,-1E+99)</f>
        <v/>
      </c>
      <c r="S178">
        <f>IF(A178=1,IFERROR(Raw_data!$T178,""),"")</f>
        <v/>
      </c>
      <c r="T178">
        <f>IF(A178=1,IFERROR(Raw_data!$AA178,""),"")</f>
        <v/>
      </c>
      <c r="U178">
        <f>IF(A178=1,IFERROR(Raw_data!$U178,""),"")</f>
        <v/>
      </c>
      <c r="V178">
        <f>IF(A178=1,IFERROR(Raw_data!$AB178,""),"")</f>
        <v/>
      </c>
    </row>
    <row r="179">
      <c r="A179">
        <f>--(AND(OR(Dashboard!$B$4="All",Raw_data!$AL179=Dashboard!$B$4),OR(Dashboard!$B$5="All",Raw_data!$AM179=Dashboard!$B$5),OR(Dashboard!$B$6="All",Raw_data!$AN179=Dashboard!$B$6),OR(Dashboard!$B$7="All",Raw_data!$AO179=Dashboard!$B$7),OR(Dashboard!$B$8="All",Raw_data!$AP179=Dashboard!$B$8),OR(Dashboard!$B$9="All",Raw_data!$AQ179=Dashboard!$B$9),OR(Dashboard!$B$10="All",Raw_data!$AF179=Dashboard!$B$10),OR(Raw_data!$F179="",Raw_data!$F179&lt;=TODAY())))</f>
        <v/>
      </c>
      <c r="B179">
        <f>IFERROR(IF(Dashboard!$B$3="Weighted",Raw_data!$U179,Raw_data!$T179),"")</f>
        <v/>
      </c>
      <c r="C179">
        <f>IFERROR(IF(Dashboard!$B$3="Weighted",Raw_data!$AB179,Raw_data!$AA179),"")</f>
        <v/>
      </c>
      <c r="D179">
        <f>IF(OR(Raw_data!$J179="",Raw_data!$J179&lt;=0,Raw_data!$K179=""),"",IF(Raw_data!$K179&gt;TODAY(),0,DATEDIF(Raw_data!$K179,TODAY(),"M")))</f>
        <v/>
      </c>
      <c r="E179">
        <f>--(AND(Raw_data!$AF179="No",OR(Raw_data!$AG179&lt;&gt;"",Raw_data!$AJ179&gt;0,Raw_data!$AK179&lt;&gt;"")))</f>
        <v/>
      </c>
      <c r="F179">
        <f>--(OR(AND(ISNUMBER(B179),B179&lt;0.5,OR(D179&gt;=24,Raw_data!$I179&gt;0)),Raw_data!$AE179=TRUE))</f>
        <v/>
      </c>
      <c r="G179">
        <f>IF(Dashboard!$B$11="Department",Raw_data!$AL179,IF(Dashboard!$B$11="Team",Raw_data!$AM179,IF(Dashboard!$B$11="Unit",Raw_data!$AN179,IF(Dashboard!$B$11="Legal entity",Raw_data!$AO179,IF(Dashboard!$B$11="Location",Raw_data!$AP179,Raw_data!$AQ179)))))</f>
        <v/>
      </c>
      <c r="H179">
        <f>--(AND(ISNUMBER(B179),B179&lt;0.5))</f>
        <v/>
      </c>
      <c r="I179">
        <f>IFERROR(MAX(0,(0.5-B179)*100),0)+IF(D179&gt;=24,20,0)+IF(Raw_data!$I179&gt;0,20,0)+IF(Raw_data!$AE179=TRUE,10,0)</f>
        <v/>
      </c>
      <c r="J179">
        <f>IFERROR(CHOOSE(MATCH(Dashboard!$B$11,{"Department","Team","Unit","Legal entity","Location","Lead"},0),INDEX(Lists!$B$3:$B$20,ROW()-1),INDEX(Lists!$C$3:$C$146,ROW()-1),INDEX(Lists!$D$3:$D$67,ROW()-1),INDEX(Lists!$E$3:$E$5,ROW()-1),INDEX(Lists!$F$3:$F$12,ROW()-1),INDEX(Lists!$G$3:$G$126,ROW()-1)),"")</f>
        <v/>
      </c>
      <c r="K179">
        <f>IF(J179="","",SUMPRODUCT(($A$2:$A$636=1)*($G$2:$G$636=J179)))</f>
        <v/>
      </c>
      <c r="L179">
        <f>IF(J179="","",SUMPRODUCT(($A$2:$A$636=1)*($G$2:$G$636=J179)*(ISNUMBER($B$2:$B$636))*($B$2:$B$636&lt;0.5)))</f>
        <v/>
      </c>
      <c r="M179">
        <f>IFERROR(L179/K179,"")</f>
        <v/>
      </c>
      <c r="N179">
        <f>IF(K179="","",M179+K179/100000+ROW()/100000000)</f>
        <v/>
      </c>
      <c r="R179">
        <f>IF(A179=1,IFERROR(I179,0)+ROW()/100000000,-1E+99)</f>
        <v/>
      </c>
      <c r="S179">
        <f>IF(A179=1,IFERROR(Raw_data!$T179,""),"")</f>
        <v/>
      </c>
      <c r="T179">
        <f>IF(A179=1,IFERROR(Raw_data!$AA179,""),"")</f>
        <v/>
      </c>
      <c r="U179">
        <f>IF(A179=1,IFERROR(Raw_data!$U179,""),"")</f>
        <v/>
      </c>
      <c r="V179">
        <f>IF(A179=1,IFERROR(Raw_data!$AB179,""),"")</f>
        <v/>
      </c>
    </row>
    <row r="180">
      <c r="A180">
        <f>--(AND(OR(Dashboard!$B$4="All",Raw_data!$AL180=Dashboard!$B$4),OR(Dashboard!$B$5="All",Raw_data!$AM180=Dashboard!$B$5),OR(Dashboard!$B$6="All",Raw_data!$AN180=Dashboard!$B$6),OR(Dashboard!$B$7="All",Raw_data!$AO180=Dashboard!$B$7),OR(Dashboard!$B$8="All",Raw_data!$AP180=Dashboard!$B$8),OR(Dashboard!$B$9="All",Raw_data!$AQ180=Dashboard!$B$9),OR(Dashboard!$B$10="All",Raw_data!$AF180=Dashboard!$B$10),OR(Raw_data!$F180="",Raw_data!$F180&lt;=TODAY())))</f>
        <v/>
      </c>
      <c r="B180">
        <f>IFERROR(IF(Dashboard!$B$3="Weighted",Raw_data!$U180,Raw_data!$T180),"")</f>
        <v/>
      </c>
      <c r="C180">
        <f>IFERROR(IF(Dashboard!$B$3="Weighted",Raw_data!$AB180,Raw_data!$AA180),"")</f>
        <v/>
      </c>
      <c r="D180">
        <f>IF(OR(Raw_data!$J180="",Raw_data!$J180&lt;=0,Raw_data!$K180=""),"",IF(Raw_data!$K180&gt;TODAY(),0,DATEDIF(Raw_data!$K180,TODAY(),"M")))</f>
        <v/>
      </c>
      <c r="E180">
        <f>--(AND(Raw_data!$AF180="No",OR(Raw_data!$AG180&lt;&gt;"",Raw_data!$AJ180&gt;0,Raw_data!$AK180&lt;&gt;"")))</f>
        <v/>
      </c>
      <c r="F180">
        <f>--(OR(AND(ISNUMBER(B180),B180&lt;0.5,OR(D180&gt;=24,Raw_data!$I180&gt;0)),Raw_data!$AE180=TRUE))</f>
        <v/>
      </c>
      <c r="G180">
        <f>IF(Dashboard!$B$11="Department",Raw_data!$AL180,IF(Dashboard!$B$11="Team",Raw_data!$AM180,IF(Dashboard!$B$11="Unit",Raw_data!$AN180,IF(Dashboard!$B$11="Legal entity",Raw_data!$AO180,IF(Dashboard!$B$11="Location",Raw_data!$AP180,Raw_data!$AQ180)))))</f>
        <v/>
      </c>
      <c r="H180">
        <f>--(AND(ISNUMBER(B180),B180&lt;0.5))</f>
        <v/>
      </c>
      <c r="I180">
        <f>IFERROR(MAX(0,(0.5-B180)*100),0)+IF(D180&gt;=24,20,0)+IF(Raw_data!$I180&gt;0,20,0)+IF(Raw_data!$AE180=TRUE,10,0)</f>
        <v/>
      </c>
      <c r="J180">
        <f>IFERROR(CHOOSE(MATCH(Dashboard!$B$11,{"Department","Team","Unit","Legal entity","Location","Lead"},0),INDEX(Lists!$B$3:$B$20,ROW()-1),INDEX(Lists!$C$3:$C$146,ROW()-1),INDEX(Lists!$D$3:$D$67,ROW()-1),INDEX(Lists!$E$3:$E$5,ROW()-1),INDEX(Lists!$F$3:$F$12,ROW()-1),INDEX(Lists!$G$3:$G$126,ROW()-1)),"")</f>
        <v/>
      </c>
      <c r="K180">
        <f>IF(J180="","",SUMPRODUCT(($A$2:$A$636=1)*($G$2:$G$636=J180)))</f>
        <v/>
      </c>
      <c r="L180">
        <f>IF(J180="","",SUMPRODUCT(($A$2:$A$636=1)*($G$2:$G$636=J180)*(ISNUMBER($B$2:$B$636))*($B$2:$B$636&lt;0.5)))</f>
        <v/>
      </c>
      <c r="M180">
        <f>IFERROR(L180/K180,"")</f>
        <v/>
      </c>
      <c r="N180">
        <f>IF(K180="","",M180+K180/100000+ROW()/100000000)</f>
        <v/>
      </c>
      <c r="R180">
        <f>IF(A180=1,IFERROR(I180,0)+ROW()/100000000,-1E+99)</f>
        <v/>
      </c>
      <c r="S180">
        <f>IF(A180=1,IFERROR(Raw_data!$T180,""),"")</f>
        <v/>
      </c>
      <c r="T180">
        <f>IF(A180=1,IFERROR(Raw_data!$AA180,""),"")</f>
        <v/>
      </c>
      <c r="U180">
        <f>IF(A180=1,IFERROR(Raw_data!$U180,""),"")</f>
        <v/>
      </c>
      <c r="V180">
        <f>IF(A180=1,IFERROR(Raw_data!$AB180,""),"")</f>
        <v/>
      </c>
    </row>
    <row r="181">
      <c r="A181">
        <f>--(AND(OR(Dashboard!$B$4="All",Raw_data!$AL181=Dashboard!$B$4),OR(Dashboard!$B$5="All",Raw_data!$AM181=Dashboard!$B$5),OR(Dashboard!$B$6="All",Raw_data!$AN181=Dashboard!$B$6),OR(Dashboard!$B$7="All",Raw_data!$AO181=Dashboard!$B$7),OR(Dashboard!$B$8="All",Raw_data!$AP181=Dashboard!$B$8),OR(Dashboard!$B$9="All",Raw_data!$AQ181=Dashboard!$B$9),OR(Dashboard!$B$10="All",Raw_data!$AF181=Dashboard!$B$10),OR(Raw_data!$F181="",Raw_data!$F181&lt;=TODAY())))</f>
        <v/>
      </c>
      <c r="B181">
        <f>IFERROR(IF(Dashboard!$B$3="Weighted",Raw_data!$U181,Raw_data!$T181),"")</f>
        <v/>
      </c>
      <c r="C181">
        <f>IFERROR(IF(Dashboard!$B$3="Weighted",Raw_data!$AB181,Raw_data!$AA181),"")</f>
        <v/>
      </c>
      <c r="D181">
        <f>IF(OR(Raw_data!$J181="",Raw_data!$J181&lt;=0,Raw_data!$K181=""),"",IF(Raw_data!$K181&gt;TODAY(),0,DATEDIF(Raw_data!$K181,TODAY(),"M")))</f>
        <v/>
      </c>
      <c r="E181">
        <f>--(AND(Raw_data!$AF181="No",OR(Raw_data!$AG181&lt;&gt;"",Raw_data!$AJ181&gt;0,Raw_data!$AK181&lt;&gt;"")))</f>
        <v/>
      </c>
      <c r="F181">
        <f>--(OR(AND(ISNUMBER(B181),B181&lt;0.5,OR(D181&gt;=24,Raw_data!$I181&gt;0)),Raw_data!$AE181=TRUE))</f>
        <v/>
      </c>
      <c r="G181">
        <f>IF(Dashboard!$B$11="Department",Raw_data!$AL181,IF(Dashboard!$B$11="Team",Raw_data!$AM181,IF(Dashboard!$B$11="Unit",Raw_data!$AN181,IF(Dashboard!$B$11="Legal entity",Raw_data!$AO181,IF(Dashboard!$B$11="Location",Raw_data!$AP181,Raw_data!$AQ181)))))</f>
        <v/>
      </c>
      <c r="H181">
        <f>--(AND(ISNUMBER(B181),B181&lt;0.5))</f>
        <v/>
      </c>
      <c r="I181">
        <f>IFERROR(MAX(0,(0.5-B181)*100),0)+IF(D181&gt;=24,20,0)+IF(Raw_data!$I181&gt;0,20,0)+IF(Raw_data!$AE181=TRUE,10,0)</f>
        <v/>
      </c>
      <c r="J181">
        <f>IFERROR(CHOOSE(MATCH(Dashboard!$B$11,{"Department","Team","Unit","Legal entity","Location","Lead"},0),INDEX(Lists!$B$3:$B$20,ROW()-1),INDEX(Lists!$C$3:$C$146,ROW()-1),INDEX(Lists!$D$3:$D$67,ROW()-1),INDEX(Lists!$E$3:$E$5,ROW()-1),INDEX(Lists!$F$3:$F$12,ROW()-1),INDEX(Lists!$G$3:$G$126,ROW()-1)),"")</f>
        <v/>
      </c>
      <c r="K181">
        <f>IF(J181="","",SUMPRODUCT(($A$2:$A$636=1)*($G$2:$G$636=J181)))</f>
        <v/>
      </c>
      <c r="L181">
        <f>IF(J181="","",SUMPRODUCT(($A$2:$A$636=1)*($G$2:$G$636=J181)*(ISNUMBER($B$2:$B$636))*($B$2:$B$636&lt;0.5)))</f>
        <v/>
      </c>
      <c r="M181">
        <f>IFERROR(L181/K181,"")</f>
        <v/>
      </c>
      <c r="N181">
        <f>IF(K181="","",M181+K181/100000+ROW()/100000000)</f>
        <v/>
      </c>
      <c r="R181">
        <f>IF(A181=1,IFERROR(I181,0)+ROW()/100000000,-1E+99)</f>
        <v/>
      </c>
      <c r="S181">
        <f>IF(A181=1,IFERROR(Raw_data!$T181,""),"")</f>
        <v/>
      </c>
      <c r="T181">
        <f>IF(A181=1,IFERROR(Raw_data!$AA181,""),"")</f>
        <v/>
      </c>
      <c r="U181">
        <f>IF(A181=1,IFERROR(Raw_data!$U181,""),"")</f>
        <v/>
      </c>
      <c r="V181">
        <f>IF(A181=1,IFERROR(Raw_data!$AB181,""),"")</f>
        <v/>
      </c>
    </row>
    <row r="182">
      <c r="A182">
        <f>--(AND(OR(Dashboard!$B$4="All",Raw_data!$AL182=Dashboard!$B$4),OR(Dashboard!$B$5="All",Raw_data!$AM182=Dashboard!$B$5),OR(Dashboard!$B$6="All",Raw_data!$AN182=Dashboard!$B$6),OR(Dashboard!$B$7="All",Raw_data!$AO182=Dashboard!$B$7),OR(Dashboard!$B$8="All",Raw_data!$AP182=Dashboard!$B$8),OR(Dashboard!$B$9="All",Raw_data!$AQ182=Dashboard!$B$9),OR(Dashboard!$B$10="All",Raw_data!$AF182=Dashboard!$B$10),OR(Raw_data!$F182="",Raw_data!$F182&lt;=TODAY())))</f>
        <v/>
      </c>
      <c r="B182">
        <f>IFERROR(IF(Dashboard!$B$3="Weighted",Raw_data!$U182,Raw_data!$T182),"")</f>
        <v/>
      </c>
      <c r="C182">
        <f>IFERROR(IF(Dashboard!$B$3="Weighted",Raw_data!$AB182,Raw_data!$AA182),"")</f>
        <v/>
      </c>
      <c r="D182">
        <f>IF(OR(Raw_data!$J182="",Raw_data!$J182&lt;=0,Raw_data!$K182=""),"",IF(Raw_data!$K182&gt;TODAY(),0,DATEDIF(Raw_data!$K182,TODAY(),"M")))</f>
        <v/>
      </c>
      <c r="E182">
        <f>--(AND(Raw_data!$AF182="No",OR(Raw_data!$AG182&lt;&gt;"",Raw_data!$AJ182&gt;0,Raw_data!$AK182&lt;&gt;"")))</f>
        <v/>
      </c>
      <c r="F182">
        <f>--(OR(AND(ISNUMBER(B182),B182&lt;0.5,OR(D182&gt;=24,Raw_data!$I182&gt;0)),Raw_data!$AE182=TRUE))</f>
        <v/>
      </c>
      <c r="G182">
        <f>IF(Dashboard!$B$11="Department",Raw_data!$AL182,IF(Dashboard!$B$11="Team",Raw_data!$AM182,IF(Dashboard!$B$11="Unit",Raw_data!$AN182,IF(Dashboard!$B$11="Legal entity",Raw_data!$AO182,IF(Dashboard!$B$11="Location",Raw_data!$AP182,Raw_data!$AQ182)))))</f>
        <v/>
      </c>
      <c r="H182">
        <f>--(AND(ISNUMBER(B182),B182&lt;0.5))</f>
        <v/>
      </c>
      <c r="I182">
        <f>IFERROR(MAX(0,(0.5-B182)*100),0)+IF(D182&gt;=24,20,0)+IF(Raw_data!$I182&gt;0,20,0)+IF(Raw_data!$AE182=TRUE,10,0)</f>
        <v/>
      </c>
      <c r="J182">
        <f>IFERROR(CHOOSE(MATCH(Dashboard!$B$11,{"Department","Team","Unit","Legal entity","Location","Lead"},0),INDEX(Lists!$B$3:$B$20,ROW()-1),INDEX(Lists!$C$3:$C$146,ROW()-1),INDEX(Lists!$D$3:$D$67,ROW()-1),INDEX(Lists!$E$3:$E$5,ROW()-1),INDEX(Lists!$F$3:$F$12,ROW()-1),INDEX(Lists!$G$3:$G$126,ROW()-1)),"")</f>
        <v/>
      </c>
      <c r="K182">
        <f>IF(J182="","",SUMPRODUCT(($A$2:$A$636=1)*($G$2:$G$636=J182)))</f>
        <v/>
      </c>
      <c r="L182">
        <f>IF(J182="","",SUMPRODUCT(($A$2:$A$636=1)*($G$2:$G$636=J182)*(ISNUMBER($B$2:$B$636))*($B$2:$B$636&lt;0.5)))</f>
        <v/>
      </c>
      <c r="M182">
        <f>IFERROR(L182/K182,"")</f>
        <v/>
      </c>
      <c r="N182">
        <f>IF(K182="","",M182+K182/100000+ROW()/100000000)</f>
        <v/>
      </c>
      <c r="R182">
        <f>IF(A182=1,IFERROR(I182,0)+ROW()/100000000,-1E+99)</f>
        <v/>
      </c>
      <c r="S182">
        <f>IF(A182=1,IFERROR(Raw_data!$T182,""),"")</f>
        <v/>
      </c>
      <c r="T182">
        <f>IF(A182=1,IFERROR(Raw_data!$AA182,""),"")</f>
        <v/>
      </c>
      <c r="U182">
        <f>IF(A182=1,IFERROR(Raw_data!$U182,""),"")</f>
        <v/>
      </c>
      <c r="V182">
        <f>IF(A182=1,IFERROR(Raw_data!$AB182,""),"")</f>
        <v/>
      </c>
    </row>
    <row r="183">
      <c r="A183">
        <f>--(AND(OR(Dashboard!$B$4="All",Raw_data!$AL183=Dashboard!$B$4),OR(Dashboard!$B$5="All",Raw_data!$AM183=Dashboard!$B$5),OR(Dashboard!$B$6="All",Raw_data!$AN183=Dashboard!$B$6),OR(Dashboard!$B$7="All",Raw_data!$AO183=Dashboard!$B$7),OR(Dashboard!$B$8="All",Raw_data!$AP183=Dashboard!$B$8),OR(Dashboard!$B$9="All",Raw_data!$AQ183=Dashboard!$B$9),OR(Dashboard!$B$10="All",Raw_data!$AF183=Dashboard!$B$10),OR(Raw_data!$F183="",Raw_data!$F183&lt;=TODAY())))</f>
        <v/>
      </c>
      <c r="B183">
        <f>IFERROR(IF(Dashboard!$B$3="Weighted",Raw_data!$U183,Raw_data!$T183),"")</f>
        <v/>
      </c>
      <c r="C183">
        <f>IFERROR(IF(Dashboard!$B$3="Weighted",Raw_data!$AB183,Raw_data!$AA183),"")</f>
        <v/>
      </c>
      <c r="D183">
        <f>IF(OR(Raw_data!$J183="",Raw_data!$J183&lt;=0,Raw_data!$K183=""),"",IF(Raw_data!$K183&gt;TODAY(),0,DATEDIF(Raw_data!$K183,TODAY(),"M")))</f>
        <v/>
      </c>
      <c r="E183">
        <f>--(AND(Raw_data!$AF183="No",OR(Raw_data!$AG183&lt;&gt;"",Raw_data!$AJ183&gt;0,Raw_data!$AK183&lt;&gt;"")))</f>
        <v/>
      </c>
      <c r="F183">
        <f>--(OR(AND(ISNUMBER(B183),B183&lt;0.5,OR(D183&gt;=24,Raw_data!$I183&gt;0)),Raw_data!$AE183=TRUE))</f>
        <v/>
      </c>
      <c r="G183">
        <f>IF(Dashboard!$B$11="Department",Raw_data!$AL183,IF(Dashboard!$B$11="Team",Raw_data!$AM183,IF(Dashboard!$B$11="Unit",Raw_data!$AN183,IF(Dashboard!$B$11="Legal entity",Raw_data!$AO183,IF(Dashboard!$B$11="Location",Raw_data!$AP183,Raw_data!$AQ183)))))</f>
        <v/>
      </c>
      <c r="H183">
        <f>--(AND(ISNUMBER(B183),B183&lt;0.5))</f>
        <v/>
      </c>
      <c r="I183">
        <f>IFERROR(MAX(0,(0.5-B183)*100),0)+IF(D183&gt;=24,20,0)+IF(Raw_data!$I183&gt;0,20,0)+IF(Raw_data!$AE183=TRUE,10,0)</f>
        <v/>
      </c>
      <c r="J183">
        <f>IFERROR(CHOOSE(MATCH(Dashboard!$B$11,{"Department","Team","Unit","Legal entity","Location","Lead"},0),INDEX(Lists!$B$3:$B$20,ROW()-1),INDEX(Lists!$C$3:$C$146,ROW()-1),INDEX(Lists!$D$3:$D$67,ROW()-1),INDEX(Lists!$E$3:$E$5,ROW()-1),INDEX(Lists!$F$3:$F$12,ROW()-1),INDEX(Lists!$G$3:$G$126,ROW()-1)),"")</f>
        <v/>
      </c>
      <c r="K183">
        <f>IF(J183="","",SUMPRODUCT(($A$2:$A$636=1)*($G$2:$G$636=J183)))</f>
        <v/>
      </c>
      <c r="L183">
        <f>IF(J183="","",SUMPRODUCT(($A$2:$A$636=1)*($G$2:$G$636=J183)*(ISNUMBER($B$2:$B$636))*($B$2:$B$636&lt;0.5)))</f>
        <v/>
      </c>
      <c r="M183">
        <f>IFERROR(L183/K183,"")</f>
        <v/>
      </c>
      <c r="N183">
        <f>IF(K183="","",M183+K183/100000+ROW()/100000000)</f>
        <v/>
      </c>
      <c r="R183">
        <f>IF(A183=1,IFERROR(I183,0)+ROW()/100000000,-1E+99)</f>
        <v/>
      </c>
      <c r="S183">
        <f>IF(A183=1,IFERROR(Raw_data!$T183,""),"")</f>
        <v/>
      </c>
      <c r="T183">
        <f>IF(A183=1,IFERROR(Raw_data!$AA183,""),"")</f>
        <v/>
      </c>
      <c r="U183">
        <f>IF(A183=1,IFERROR(Raw_data!$U183,""),"")</f>
        <v/>
      </c>
      <c r="V183">
        <f>IF(A183=1,IFERROR(Raw_data!$AB183,""),"")</f>
        <v/>
      </c>
    </row>
    <row r="184">
      <c r="A184">
        <f>--(AND(OR(Dashboard!$B$4="All",Raw_data!$AL184=Dashboard!$B$4),OR(Dashboard!$B$5="All",Raw_data!$AM184=Dashboard!$B$5),OR(Dashboard!$B$6="All",Raw_data!$AN184=Dashboard!$B$6),OR(Dashboard!$B$7="All",Raw_data!$AO184=Dashboard!$B$7),OR(Dashboard!$B$8="All",Raw_data!$AP184=Dashboard!$B$8),OR(Dashboard!$B$9="All",Raw_data!$AQ184=Dashboard!$B$9),OR(Dashboard!$B$10="All",Raw_data!$AF184=Dashboard!$B$10),OR(Raw_data!$F184="",Raw_data!$F184&lt;=TODAY())))</f>
        <v/>
      </c>
      <c r="B184">
        <f>IFERROR(IF(Dashboard!$B$3="Weighted",Raw_data!$U184,Raw_data!$T184),"")</f>
        <v/>
      </c>
      <c r="C184">
        <f>IFERROR(IF(Dashboard!$B$3="Weighted",Raw_data!$AB184,Raw_data!$AA184),"")</f>
        <v/>
      </c>
      <c r="D184">
        <f>IF(OR(Raw_data!$J184="",Raw_data!$J184&lt;=0,Raw_data!$K184=""),"",IF(Raw_data!$K184&gt;TODAY(),0,DATEDIF(Raw_data!$K184,TODAY(),"M")))</f>
        <v/>
      </c>
      <c r="E184">
        <f>--(AND(Raw_data!$AF184="No",OR(Raw_data!$AG184&lt;&gt;"",Raw_data!$AJ184&gt;0,Raw_data!$AK184&lt;&gt;"")))</f>
        <v/>
      </c>
      <c r="F184">
        <f>--(OR(AND(ISNUMBER(B184),B184&lt;0.5,OR(D184&gt;=24,Raw_data!$I184&gt;0)),Raw_data!$AE184=TRUE))</f>
        <v/>
      </c>
      <c r="G184">
        <f>IF(Dashboard!$B$11="Department",Raw_data!$AL184,IF(Dashboard!$B$11="Team",Raw_data!$AM184,IF(Dashboard!$B$11="Unit",Raw_data!$AN184,IF(Dashboard!$B$11="Legal entity",Raw_data!$AO184,IF(Dashboard!$B$11="Location",Raw_data!$AP184,Raw_data!$AQ184)))))</f>
        <v/>
      </c>
      <c r="H184">
        <f>--(AND(ISNUMBER(B184),B184&lt;0.5))</f>
        <v/>
      </c>
      <c r="I184">
        <f>IFERROR(MAX(0,(0.5-B184)*100),0)+IF(D184&gt;=24,20,0)+IF(Raw_data!$I184&gt;0,20,0)+IF(Raw_data!$AE184=TRUE,10,0)</f>
        <v/>
      </c>
      <c r="J184">
        <f>IFERROR(CHOOSE(MATCH(Dashboard!$B$11,{"Department","Team","Unit","Legal entity","Location","Lead"},0),INDEX(Lists!$B$3:$B$20,ROW()-1),INDEX(Lists!$C$3:$C$146,ROW()-1),INDEX(Lists!$D$3:$D$67,ROW()-1),INDEX(Lists!$E$3:$E$5,ROW()-1),INDEX(Lists!$F$3:$F$12,ROW()-1),INDEX(Lists!$G$3:$G$126,ROW()-1)),"")</f>
        <v/>
      </c>
      <c r="K184">
        <f>IF(J184="","",SUMPRODUCT(($A$2:$A$636=1)*($G$2:$G$636=J184)))</f>
        <v/>
      </c>
      <c r="L184">
        <f>IF(J184="","",SUMPRODUCT(($A$2:$A$636=1)*($G$2:$G$636=J184)*(ISNUMBER($B$2:$B$636))*($B$2:$B$636&lt;0.5)))</f>
        <v/>
      </c>
      <c r="M184">
        <f>IFERROR(L184/K184,"")</f>
        <v/>
      </c>
      <c r="N184">
        <f>IF(K184="","",M184+K184/100000+ROW()/100000000)</f>
        <v/>
      </c>
      <c r="R184">
        <f>IF(A184=1,IFERROR(I184,0)+ROW()/100000000,-1E+99)</f>
        <v/>
      </c>
      <c r="S184">
        <f>IF(A184=1,IFERROR(Raw_data!$T184,""),"")</f>
        <v/>
      </c>
      <c r="T184">
        <f>IF(A184=1,IFERROR(Raw_data!$AA184,""),"")</f>
        <v/>
      </c>
      <c r="U184">
        <f>IF(A184=1,IFERROR(Raw_data!$U184,""),"")</f>
        <v/>
      </c>
      <c r="V184">
        <f>IF(A184=1,IFERROR(Raw_data!$AB184,""),"")</f>
        <v/>
      </c>
    </row>
    <row r="185">
      <c r="A185">
        <f>--(AND(OR(Dashboard!$B$4="All",Raw_data!$AL185=Dashboard!$B$4),OR(Dashboard!$B$5="All",Raw_data!$AM185=Dashboard!$B$5),OR(Dashboard!$B$6="All",Raw_data!$AN185=Dashboard!$B$6),OR(Dashboard!$B$7="All",Raw_data!$AO185=Dashboard!$B$7),OR(Dashboard!$B$8="All",Raw_data!$AP185=Dashboard!$B$8),OR(Dashboard!$B$9="All",Raw_data!$AQ185=Dashboard!$B$9),OR(Dashboard!$B$10="All",Raw_data!$AF185=Dashboard!$B$10),OR(Raw_data!$F185="",Raw_data!$F185&lt;=TODAY())))</f>
        <v/>
      </c>
      <c r="B185">
        <f>IFERROR(IF(Dashboard!$B$3="Weighted",Raw_data!$U185,Raw_data!$T185),"")</f>
        <v/>
      </c>
      <c r="C185">
        <f>IFERROR(IF(Dashboard!$B$3="Weighted",Raw_data!$AB185,Raw_data!$AA185),"")</f>
        <v/>
      </c>
      <c r="D185">
        <f>IF(OR(Raw_data!$J185="",Raw_data!$J185&lt;=0,Raw_data!$K185=""),"",IF(Raw_data!$K185&gt;TODAY(),0,DATEDIF(Raw_data!$K185,TODAY(),"M")))</f>
        <v/>
      </c>
      <c r="E185">
        <f>--(AND(Raw_data!$AF185="No",OR(Raw_data!$AG185&lt;&gt;"",Raw_data!$AJ185&gt;0,Raw_data!$AK185&lt;&gt;"")))</f>
        <v/>
      </c>
      <c r="F185">
        <f>--(OR(AND(ISNUMBER(B185),B185&lt;0.5,OR(D185&gt;=24,Raw_data!$I185&gt;0)),Raw_data!$AE185=TRUE))</f>
        <v/>
      </c>
      <c r="G185">
        <f>IF(Dashboard!$B$11="Department",Raw_data!$AL185,IF(Dashboard!$B$11="Team",Raw_data!$AM185,IF(Dashboard!$B$11="Unit",Raw_data!$AN185,IF(Dashboard!$B$11="Legal entity",Raw_data!$AO185,IF(Dashboard!$B$11="Location",Raw_data!$AP185,Raw_data!$AQ185)))))</f>
        <v/>
      </c>
      <c r="H185">
        <f>--(AND(ISNUMBER(B185),B185&lt;0.5))</f>
        <v/>
      </c>
      <c r="I185">
        <f>IFERROR(MAX(0,(0.5-B185)*100),0)+IF(D185&gt;=24,20,0)+IF(Raw_data!$I185&gt;0,20,0)+IF(Raw_data!$AE185=TRUE,10,0)</f>
        <v/>
      </c>
      <c r="J185">
        <f>IFERROR(CHOOSE(MATCH(Dashboard!$B$11,{"Department","Team","Unit","Legal entity","Location","Lead"},0),INDEX(Lists!$B$3:$B$20,ROW()-1),INDEX(Lists!$C$3:$C$146,ROW()-1),INDEX(Lists!$D$3:$D$67,ROW()-1),INDEX(Lists!$E$3:$E$5,ROW()-1),INDEX(Lists!$F$3:$F$12,ROW()-1),INDEX(Lists!$G$3:$G$126,ROW()-1)),"")</f>
        <v/>
      </c>
      <c r="K185">
        <f>IF(J185="","",SUMPRODUCT(($A$2:$A$636=1)*($G$2:$G$636=J185)))</f>
        <v/>
      </c>
      <c r="L185">
        <f>IF(J185="","",SUMPRODUCT(($A$2:$A$636=1)*($G$2:$G$636=J185)*(ISNUMBER($B$2:$B$636))*($B$2:$B$636&lt;0.5)))</f>
        <v/>
      </c>
      <c r="M185">
        <f>IFERROR(L185/K185,"")</f>
        <v/>
      </c>
      <c r="N185">
        <f>IF(K185="","",M185+K185/100000+ROW()/100000000)</f>
        <v/>
      </c>
      <c r="R185">
        <f>IF(A185=1,IFERROR(I185,0)+ROW()/100000000,-1E+99)</f>
        <v/>
      </c>
      <c r="S185">
        <f>IF(A185=1,IFERROR(Raw_data!$T185,""),"")</f>
        <v/>
      </c>
      <c r="T185">
        <f>IF(A185=1,IFERROR(Raw_data!$AA185,""),"")</f>
        <v/>
      </c>
      <c r="U185">
        <f>IF(A185=1,IFERROR(Raw_data!$U185,""),"")</f>
        <v/>
      </c>
      <c r="V185">
        <f>IF(A185=1,IFERROR(Raw_data!$AB185,""),"")</f>
        <v/>
      </c>
    </row>
    <row r="186">
      <c r="A186">
        <f>--(AND(OR(Dashboard!$B$4="All",Raw_data!$AL186=Dashboard!$B$4),OR(Dashboard!$B$5="All",Raw_data!$AM186=Dashboard!$B$5),OR(Dashboard!$B$6="All",Raw_data!$AN186=Dashboard!$B$6),OR(Dashboard!$B$7="All",Raw_data!$AO186=Dashboard!$B$7),OR(Dashboard!$B$8="All",Raw_data!$AP186=Dashboard!$B$8),OR(Dashboard!$B$9="All",Raw_data!$AQ186=Dashboard!$B$9),OR(Dashboard!$B$10="All",Raw_data!$AF186=Dashboard!$B$10),OR(Raw_data!$F186="",Raw_data!$F186&lt;=TODAY())))</f>
        <v/>
      </c>
      <c r="B186">
        <f>IFERROR(IF(Dashboard!$B$3="Weighted",Raw_data!$U186,Raw_data!$T186),"")</f>
        <v/>
      </c>
      <c r="C186">
        <f>IFERROR(IF(Dashboard!$B$3="Weighted",Raw_data!$AB186,Raw_data!$AA186),"")</f>
        <v/>
      </c>
      <c r="D186">
        <f>IF(OR(Raw_data!$J186="",Raw_data!$J186&lt;=0,Raw_data!$K186=""),"",IF(Raw_data!$K186&gt;TODAY(),0,DATEDIF(Raw_data!$K186,TODAY(),"M")))</f>
        <v/>
      </c>
      <c r="E186">
        <f>--(AND(Raw_data!$AF186="No",OR(Raw_data!$AG186&lt;&gt;"",Raw_data!$AJ186&gt;0,Raw_data!$AK186&lt;&gt;"")))</f>
        <v/>
      </c>
      <c r="F186">
        <f>--(OR(AND(ISNUMBER(B186),B186&lt;0.5,OR(D186&gt;=24,Raw_data!$I186&gt;0)),Raw_data!$AE186=TRUE))</f>
        <v/>
      </c>
      <c r="G186">
        <f>IF(Dashboard!$B$11="Department",Raw_data!$AL186,IF(Dashboard!$B$11="Team",Raw_data!$AM186,IF(Dashboard!$B$11="Unit",Raw_data!$AN186,IF(Dashboard!$B$11="Legal entity",Raw_data!$AO186,IF(Dashboard!$B$11="Location",Raw_data!$AP186,Raw_data!$AQ186)))))</f>
        <v/>
      </c>
      <c r="H186">
        <f>--(AND(ISNUMBER(B186),B186&lt;0.5))</f>
        <v/>
      </c>
      <c r="I186">
        <f>IFERROR(MAX(0,(0.5-B186)*100),0)+IF(D186&gt;=24,20,0)+IF(Raw_data!$I186&gt;0,20,0)+IF(Raw_data!$AE186=TRUE,10,0)</f>
        <v/>
      </c>
      <c r="J186">
        <f>IFERROR(CHOOSE(MATCH(Dashboard!$B$11,{"Department","Team","Unit","Legal entity","Location","Lead"},0),INDEX(Lists!$B$3:$B$20,ROW()-1),INDEX(Lists!$C$3:$C$146,ROW()-1),INDEX(Lists!$D$3:$D$67,ROW()-1),INDEX(Lists!$E$3:$E$5,ROW()-1),INDEX(Lists!$F$3:$F$12,ROW()-1),INDEX(Lists!$G$3:$G$126,ROW()-1)),"")</f>
        <v/>
      </c>
      <c r="K186">
        <f>IF(J186="","",SUMPRODUCT(($A$2:$A$636=1)*($G$2:$G$636=J186)))</f>
        <v/>
      </c>
      <c r="L186">
        <f>IF(J186="","",SUMPRODUCT(($A$2:$A$636=1)*($G$2:$G$636=J186)*(ISNUMBER($B$2:$B$636))*($B$2:$B$636&lt;0.5)))</f>
        <v/>
      </c>
      <c r="M186">
        <f>IFERROR(L186/K186,"")</f>
        <v/>
      </c>
      <c r="N186">
        <f>IF(K186="","",M186+K186/100000+ROW()/100000000)</f>
        <v/>
      </c>
      <c r="R186">
        <f>IF(A186=1,IFERROR(I186,0)+ROW()/100000000,-1E+99)</f>
        <v/>
      </c>
      <c r="S186">
        <f>IF(A186=1,IFERROR(Raw_data!$T186,""),"")</f>
        <v/>
      </c>
      <c r="T186">
        <f>IF(A186=1,IFERROR(Raw_data!$AA186,""),"")</f>
        <v/>
      </c>
      <c r="U186">
        <f>IF(A186=1,IFERROR(Raw_data!$U186,""),"")</f>
        <v/>
      </c>
      <c r="V186">
        <f>IF(A186=1,IFERROR(Raw_data!$AB186,""),"")</f>
        <v/>
      </c>
    </row>
    <row r="187">
      <c r="A187">
        <f>--(AND(OR(Dashboard!$B$4="All",Raw_data!$AL187=Dashboard!$B$4),OR(Dashboard!$B$5="All",Raw_data!$AM187=Dashboard!$B$5),OR(Dashboard!$B$6="All",Raw_data!$AN187=Dashboard!$B$6),OR(Dashboard!$B$7="All",Raw_data!$AO187=Dashboard!$B$7),OR(Dashboard!$B$8="All",Raw_data!$AP187=Dashboard!$B$8),OR(Dashboard!$B$9="All",Raw_data!$AQ187=Dashboard!$B$9),OR(Dashboard!$B$10="All",Raw_data!$AF187=Dashboard!$B$10),OR(Raw_data!$F187="",Raw_data!$F187&lt;=TODAY())))</f>
        <v/>
      </c>
      <c r="B187">
        <f>IFERROR(IF(Dashboard!$B$3="Weighted",Raw_data!$U187,Raw_data!$T187),"")</f>
        <v/>
      </c>
      <c r="C187">
        <f>IFERROR(IF(Dashboard!$B$3="Weighted",Raw_data!$AB187,Raw_data!$AA187),"")</f>
        <v/>
      </c>
      <c r="D187">
        <f>IF(OR(Raw_data!$J187="",Raw_data!$J187&lt;=0,Raw_data!$K187=""),"",IF(Raw_data!$K187&gt;TODAY(),0,DATEDIF(Raw_data!$K187,TODAY(),"M")))</f>
        <v/>
      </c>
      <c r="E187">
        <f>--(AND(Raw_data!$AF187="No",OR(Raw_data!$AG187&lt;&gt;"",Raw_data!$AJ187&gt;0,Raw_data!$AK187&lt;&gt;"")))</f>
        <v/>
      </c>
      <c r="F187">
        <f>--(OR(AND(ISNUMBER(B187),B187&lt;0.5,OR(D187&gt;=24,Raw_data!$I187&gt;0)),Raw_data!$AE187=TRUE))</f>
        <v/>
      </c>
      <c r="G187">
        <f>IF(Dashboard!$B$11="Department",Raw_data!$AL187,IF(Dashboard!$B$11="Team",Raw_data!$AM187,IF(Dashboard!$B$11="Unit",Raw_data!$AN187,IF(Dashboard!$B$11="Legal entity",Raw_data!$AO187,IF(Dashboard!$B$11="Location",Raw_data!$AP187,Raw_data!$AQ187)))))</f>
        <v/>
      </c>
      <c r="H187">
        <f>--(AND(ISNUMBER(B187),B187&lt;0.5))</f>
        <v/>
      </c>
      <c r="I187">
        <f>IFERROR(MAX(0,(0.5-B187)*100),0)+IF(D187&gt;=24,20,0)+IF(Raw_data!$I187&gt;0,20,0)+IF(Raw_data!$AE187=TRUE,10,0)</f>
        <v/>
      </c>
      <c r="J187">
        <f>IFERROR(CHOOSE(MATCH(Dashboard!$B$11,{"Department","Team","Unit","Legal entity","Location","Lead"},0),INDEX(Lists!$B$3:$B$20,ROW()-1),INDEX(Lists!$C$3:$C$146,ROW()-1),INDEX(Lists!$D$3:$D$67,ROW()-1),INDEX(Lists!$E$3:$E$5,ROW()-1),INDEX(Lists!$F$3:$F$12,ROW()-1),INDEX(Lists!$G$3:$G$126,ROW()-1)),"")</f>
        <v/>
      </c>
      <c r="K187">
        <f>IF(J187="","",SUMPRODUCT(($A$2:$A$636=1)*($G$2:$G$636=J187)))</f>
        <v/>
      </c>
      <c r="L187">
        <f>IF(J187="","",SUMPRODUCT(($A$2:$A$636=1)*($G$2:$G$636=J187)*(ISNUMBER($B$2:$B$636))*($B$2:$B$636&lt;0.5)))</f>
        <v/>
      </c>
      <c r="M187">
        <f>IFERROR(L187/K187,"")</f>
        <v/>
      </c>
      <c r="N187">
        <f>IF(K187="","",M187+K187/100000+ROW()/100000000)</f>
        <v/>
      </c>
      <c r="R187">
        <f>IF(A187=1,IFERROR(I187,0)+ROW()/100000000,-1E+99)</f>
        <v/>
      </c>
      <c r="S187">
        <f>IF(A187=1,IFERROR(Raw_data!$T187,""),"")</f>
        <v/>
      </c>
      <c r="T187">
        <f>IF(A187=1,IFERROR(Raw_data!$AA187,""),"")</f>
        <v/>
      </c>
      <c r="U187">
        <f>IF(A187=1,IFERROR(Raw_data!$U187,""),"")</f>
        <v/>
      </c>
      <c r="V187">
        <f>IF(A187=1,IFERROR(Raw_data!$AB187,""),"")</f>
        <v/>
      </c>
    </row>
    <row r="188">
      <c r="A188">
        <f>--(AND(OR(Dashboard!$B$4="All",Raw_data!$AL188=Dashboard!$B$4),OR(Dashboard!$B$5="All",Raw_data!$AM188=Dashboard!$B$5),OR(Dashboard!$B$6="All",Raw_data!$AN188=Dashboard!$B$6),OR(Dashboard!$B$7="All",Raw_data!$AO188=Dashboard!$B$7),OR(Dashboard!$B$8="All",Raw_data!$AP188=Dashboard!$B$8),OR(Dashboard!$B$9="All",Raw_data!$AQ188=Dashboard!$B$9),OR(Dashboard!$B$10="All",Raw_data!$AF188=Dashboard!$B$10),OR(Raw_data!$F188="",Raw_data!$F188&lt;=TODAY())))</f>
        <v/>
      </c>
      <c r="B188">
        <f>IFERROR(IF(Dashboard!$B$3="Weighted",Raw_data!$U188,Raw_data!$T188),"")</f>
        <v/>
      </c>
      <c r="C188">
        <f>IFERROR(IF(Dashboard!$B$3="Weighted",Raw_data!$AB188,Raw_data!$AA188),"")</f>
        <v/>
      </c>
      <c r="D188">
        <f>IF(OR(Raw_data!$J188="",Raw_data!$J188&lt;=0,Raw_data!$K188=""),"",IF(Raw_data!$K188&gt;TODAY(),0,DATEDIF(Raw_data!$K188,TODAY(),"M")))</f>
        <v/>
      </c>
      <c r="E188">
        <f>--(AND(Raw_data!$AF188="No",OR(Raw_data!$AG188&lt;&gt;"",Raw_data!$AJ188&gt;0,Raw_data!$AK188&lt;&gt;"")))</f>
        <v/>
      </c>
      <c r="F188">
        <f>--(OR(AND(ISNUMBER(B188),B188&lt;0.5,OR(D188&gt;=24,Raw_data!$I188&gt;0)),Raw_data!$AE188=TRUE))</f>
        <v/>
      </c>
      <c r="G188">
        <f>IF(Dashboard!$B$11="Department",Raw_data!$AL188,IF(Dashboard!$B$11="Team",Raw_data!$AM188,IF(Dashboard!$B$11="Unit",Raw_data!$AN188,IF(Dashboard!$B$11="Legal entity",Raw_data!$AO188,IF(Dashboard!$B$11="Location",Raw_data!$AP188,Raw_data!$AQ188)))))</f>
        <v/>
      </c>
      <c r="H188">
        <f>--(AND(ISNUMBER(B188),B188&lt;0.5))</f>
        <v/>
      </c>
      <c r="I188">
        <f>IFERROR(MAX(0,(0.5-B188)*100),0)+IF(D188&gt;=24,20,0)+IF(Raw_data!$I188&gt;0,20,0)+IF(Raw_data!$AE188=TRUE,10,0)</f>
        <v/>
      </c>
      <c r="J188">
        <f>IFERROR(CHOOSE(MATCH(Dashboard!$B$11,{"Department","Team","Unit","Legal entity","Location","Lead"},0),INDEX(Lists!$B$3:$B$20,ROW()-1),INDEX(Lists!$C$3:$C$146,ROW()-1),INDEX(Lists!$D$3:$D$67,ROW()-1),INDEX(Lists!$E$3:$E$5,ROW()-1),INDEX(Lists!$F$3:$F$12,ROW()-1),INDEX(Lists!$G$3:$G$126,ROW()-1)),"")</f>
        <v/>
      </c>
      <c r="K188">
        <f>IF(J188="","",SUMPRODUCT(($A$2:$A$636=1)*($G$2:$G$636=J188)))</f>
        <v/>
      </c>
      <c r="L188">
        <f>IF(J188="","",SUMPRODUCT(($A$2:$A$636=1)*($G$2:$G$636=J188)*(ISNUMBER($B$2:$B$636))*($B$2:$B$636&lt;0.5)))</f>
        <v/>
      </c>
      <c r="M188">
        <f>IFERROR(L188/K188,"")</f>
        <v/>
      </c>
      <c r="N188">
        <f>IF(K188="","",M188+K188/100000+ROW()/100000000)</f>
        <v/>
      </c>
      <c r="R188">
        <f>IF(A188=1,IFERROR(I188,0)+ROW()/100000000,-1E+99)</f>
        <v/>
      </c>
      <c r="S188">
        <f>IF(A188=1,IFERROR(Raw_data!$T188,""),"")</f>
        <v/>
      </c>
      <c r="T188">
        <f>IF(A188=1,IFERROR(Raw_data!$AA188,""),"")</f>
        <v/>
      </c>
      <c r="U188">
        <f>IF(A188=1,IFERROR(Raw_data!$U188,""),"")</f>
        <v/>
      </c>
      <c r="V188">
        <f>IF(A188=1,IFERROR(Raw_data!$AB188,""),"")</f>
        <v/>
      </c>
    </row>
    <row r="189">
      <c r="A189">
        <f>--(AND(OR(Dashboard!$B$4="All",Raw_data!$AL189=Dashboard!$B$4),OR(Dashboard!$B$5="All",Raw_data!$AM189=Dashboard!$B$5),OR(Dashboard!$B$6="All",Raw_data!$AN189=Dashboard!$B$6),OR(Dashboard!$B$7="All",Raw_data!$AO189=Dashboard!$B$7),OR(Dashboard!$B$8="All",Raw_data!$AP189=Dashboard!$B$8),OR(Dashboard!$B$9="All",Raw_data!$AQ189=Dashboard!$B$9),OR(Dashboard!$B$10="All",Raw_data!$AF189=Dashboard!$B$10),OR(Raw_data!$F189="",Raw_data!$F189&lt;=TODAY())))</f>
        <v/>
      </c>
      <c r="B189">
        <f>IFERROR(IF(Dashboard!$B$3="Weighted",Raw_data!$U189,Raw_data!$T189),"")</f>
        <v/>
      </c>
      <c r="C189">
        <f>IFERROR(IF(Dashboard!$B$3="Weighted",Raw_data!$AB189,Raw_data!$AA189),"")</f>
        <v/>
      </c>
      <c r="D189">
        <f>IF(OR(Raw_data!$J189="",Raw_data!$J189&lt;=0,Raw_data!$K189=""),"",IF(Raw_data!$K189&gt;TODAY(),0,DATEDIF(Raw_data!$K189,TODAY(),"M")))</f>
        <v/>
      </c>
      <c r="E189">
        <f>--(AND(Raw_data!$AF189="No",OR(Raw_data!$AG189&lt;&gt;"",Raw_data!$AJ189&gt;0,Raw_data!$AK189&lt;&gt;"")))</f>
        <v/>
      </c>
      <c r="F189">
        <f>--(OR(AND(ISNUMBER(B189),B189&lt;0.5,OR(D189&gt;=24,Raw_data!$I189&gt;0)),Raw_data!$AE189=TRUE))</f>
        <v/>
      </c>
      <c r="G189">
        <f>IF(Dashboard!$B$11="Department",Raw_data!$AL189,IF(Dashboard!$B$11="Team",Raw_data!$AM189,IF(Dashboard!$B$11="Unit",Raw_data!$AN189,IF(Dashboard!$B$11="Legal entity",Raw_data!$AO189,IF(Dashboard!$B$11="Location",Raw_data!$AP189,Raw_data!$AQ189)))))</f>
        <v/>
      </c>
      <c r="H189">
        <f>--(AND(ISNUMBER(B189),B189&lt;0.5))</f>
        <v/>
      </c>
      <c r="I189">
        <f>IFERROR(MAX(0,(0.5-B189)*100),0)+IF(D189&gt;=24,20,0)+IF(Raw_data!$I189&gt;0,20,0)+IF(Raw_data!$AE189=TRUE,10,0)</f>
        <v/>
      </c>
      <c r="J189">
        <f>IFERROR(CHOOSE(MATCH(Dashboard!$B$11,{"Department","Team","Unit","Legal entity","Location","Lead"},0),INDEX(Lists!$B$3:$B$20,ROW()-1),INDEX(Lists!$C$3:$C$146,ROW()-1),INDEX(Lists!$D$3:$D$67,ROW()-1),INDEX(Lists!$E$3:$E$5,ROW()-1),INDEX(Lists!$F$3:$F$12,ROW()-1),INDEX(Lists!$G$3:$G$126,ROW()-1)),"")</f>
        <v/>
      </c>
      <c r="K189">
        <f>IF(J189="","",SUMPRODUCT(($A$2:$A$636=1)*($G$2:$G$636=J189)))</f>
        <v/>
      </c>
      <c r="L189">
        <f>IF(J189="","",SUMPRODUCT(($A$2:$A$636=1)*($G$2:$G$636=J189)*(ISNUMBER($B$2:$B$636))*($B$2:$B$636&lt;0.5)))</f>
        <v/>
      </c>
      <c r="M189">
        <f>IFERROR(L189/K189,"")</f>
        <v/>
      </c>
      <c r="N189">
        <f>IF(K189="","",M189+K189/100000+ROW()/100000000)</f>
        <v/>
      </c>
      <c r="R189">
        <f>IF(A189=1,IFERROR(I189,0)+ROW()/100000000,-1E+99)</f>
        <v/>
      </c>
      <c r="S189">
        <f>IF(A189=1,IFERROR(Raw_data!$T189,""),"")</f>
        <v/>
      </c>
      <c r="T189">
        <f>IF(A189=1,IFERROR(Raw_data!$AA189,""),"")</f>
        <v/>
      </c>
      <c r="U189">
        <f>IF(A189=1,IFERROR(Raw_data!$U189,""),"")</f>
        <v/>
      </c>
      <c r="V189">
        <f>IF(A189=1,IFERROR(Raw_data!$AB189,""),"")</f>
        <v/>
      </c>
    </row>
    <row r="190">
      <c r="A190">
        <f>--(AND(OR(Dashboard!$B$4="All",Raw_data!$AL190=Dashboard!$B$4),OR(Dashboard!$B$5="All",Raw_data!$AM190=Dashboard!$B$5),OR(Dashboard!$B$6="All",Raw_data!$AN190=Dashboard!$B$6),OR(Dashboard!$B$7="All",Raw_data!$AO190=Dashboard!$B$7),OR(Dashboard!$B$8="All",Raw_data!$AP190=Dashboard!$B$8),OR(Dashboard!$B$9="All",Raw_data!$AQ190=Dashboard!$B$9),OR(Dashboard!$B$10="All",Raw_data!$AF190=Dashboard!$B$10),OR(Raw_data!$F190="",Raw_data!$F190&lt;=TODAY())))</f>
        <v/>
      </c>
      <c r="B190">
        <f>IFERROR(IF(Dashboard!$B$3="Weighted",Raw_data!$U190,Raw_data!$T190),"")</f>
        <v/>
      </c>
      <c r="C190">
        <f>IFERROR(IF(Dashboard!$B$3="Weighted",Raw_data!$AB190,Raw_data!$AA190),"")</f>
        <v/>
      </c>
      <c r="D190">
        <f>IF(OR(Raw_data!$J190="",Raw_data!$J190&lt;=0,Raw_data!$K190=""),"",IF(Raw_data!$K190&gt;TODAY(),0,DATEDIF(Raw_data!$K190,TODAY(),"M")))</f>
        <v/>
      </c>
      <c r="E190">
        <f>--(AND(Raw_data!$AF190="No",OR(Raw_data!$AG190&lt;&gt;"",Raw_data!$AJ190&gt;0,Raw_data!$AK190&lt;&gt;"")))</f>
        <v/>
      </c>
      <c r="F190">
        <f>--(OR(AND(ISNUMBER(B190),B190&lt;0.5,OR(D190&gt;=24,Raw_data!$I190&gt;0)),Raw_data!$AE190=TRUE))</f>
        <v/>
      </c>
      <c r="G190">
        <f>IF(Dashboard!$B$11="Department",Raw_data!$AL190,IF(Dashboard!$B$11="Team",Raw_data!$AM190,IF(Dashboard!$B$11="Unit",Raw_data!$AN190,IF(Dashboard!$B$11="Legal entity",Raw_data!$AO190,IF(Dashboard!$B$11="Location",Raw_data!$AP190,Raw_data!$AQ190)))))</f>
        <v/>
      </c>
      <c r="H190">
        <f>--(AND(ISNUMBER(B190),B190&lt;0.5))</f>
        <v/>
      </c>
      <c r="I190">
        <f>IFERROR(MAX(0,(0.5-B190)*100),0)+IF(D190&gt;=24,20,0)+IF(Raw_data!$I190&gt;0,20,0)+IF(Raw_data!$AE190=TRUE,10,0)</f>
        <v/>
      </c>
      <c r="J190">
        <f>IFERROR(CHOOSE(MATCH(Dashboard!$B$11,{"Department","Team","Unit","Legal entity","Location","Lead"},0),INDEX(Lists!$B$3:$B$20,ROW()-1),INDEX(Lists!$C$3:$C$146,ROW()-1),INDEX(Lists!$D$3:$D$67,ROW()-1),INDEX(Lists!$E$3:$E$5,ROW()-1),INDEX(Lists!$F$3:$F$12,ROW()-1),INDEX(Lists!$G$3:$G$126,ROW()-1)),"")</f>
        <v/>
      </c>
      <c r="K190">
        <f>IF(J190="","",SUMPRODUCT(($A$2:$A$636=1)*($G$2:$G$636=J190)))</f>
        <v/>
      </c>
      <c r="L190">
        <f>IF(J190="","",SUMPRODUCT(($A$2:$A$636=1)*($G$2:$G$636=J190)*(ISNUMBER($B$2:$B$636))*($B$2:$B$636&lt;0.5)))</f>
        <v/>
      </c>
      <c r="M190">
        <f>IFERROR(L190/K190,"")</f>
        <v/>
      </c>
      <c r="N190">
        <f>IF(K190="","",M190+K190/100000+ROW()/100000000)</f>
        <v/>
      </c>
      <c r="R190">
        <f>IF(A190=1,IFERROR(I190,0)+ROW()/100000000,-1E+99)</f>
        <v/>
      </c>
      <c r="S190">
        <f>IF(A190=1,IFERROR(Raw_data!$T190,""),"")</f>
        <v/>
      </c>
      <c r="T190">
        <f>IF(A190=1,IFERROR(Raw_data!$AA190,""),"")</f>
        <v/>
      </c>
      <c r="U190">
        <f>IF(A190=1,IFERROR(Raw_data!$U190,""),"")</f>
        <v/>
      </c>
      <c r="V190">
        <f>IF(A190=1,IFERROR(Raw_data!$AB190,""),"")</f>
        <v/>
      </c>
    </row>
    <row r="191">
      <c r="A191">
        <f>--(AND(OR(Dashboard!$B$4="All",Raw_data!$AL191=Dashboard!$B$4),OR(Dashboard!$B$5="All",Raw_data!$AM191=Dashboard!$B$5),OR(Dashboard!$B$6="All",Raw_data!$AN191=Dashboard!$B$6),OR(Dashboard!$B$7="All",Raw_data!$AO191=Dashboard!$B$7),OR(Dashboard!$B$8="All",Raw_data!$AP191=Dashboard!$B$8),OR(Dashboard!$B$9="All",Raw_data!$AQ191=Dashboard!$B$9),OR(Dashboard!$B$10="All",Raw_data!$AF191=Dashboard!$B$10),OR(Raw_data!$F191="",Raw_data!$F191&lt;=TODAY())))</f>
        <v/>
      </c>
      <c r="B191">
        <f>IFERROR(IF(Dashboard!$B$3="Weighted",Raw_data!$U191,Raw_data!$T191),"")</f>
        <v/>
      </c>
      <c r="C191">
        <f>IFERROR(IF(Dashboard!$B$3="Weighted",Raw_data!$AB191,Raw_data!$AA191),"")</f>
        <v/>
      </c>
      <c r="D191">
        <f>IF(OR(Raw_data!$J191="",Raw_data!$J191&lt;=0,Raw_data!$K191=""),"",IF(Raw_data!$K191&gt;TODAY(),0,DATEDIF(Raw_data!$K191,TODAY(),"M")))</f>
        <v/>
      </c>
      <c r="E191">
        <f>--(AND(Raw_data!$AF191="No",OR(Raw_data!$AG191&lt;&gt;"",Raw_data!$AJ191&gt;0,Raw_data!$AK191&lt;&gt;"")))</f>
        <v/>
      </c>
      <c r="F191">
        <f>--(OR(AND(ISNUMBER(B191),B191&lt;0.5,OR(D191&gt;=24,Raw_data!$I191&gt;0)),Raw_data!$AE191=TRUE))</f>
        <v/>
      </c>
      <c r="G191">
        <f>IF(Dashboard!$B$11="Department",Raw_data!$AL191,IF(Dashboard!$B$11="Team",Raw_data!$AM191,IF(Dashboard!$B$11="Unit",Raw_data!$AN191,IF(Dashboard!$B$11="Legal entity",Raw_data!$AO191,IF(Dashboard!$B$11="Location",Raw_data!$AP191,Raw_data!$AQ191)))))</f>
        <v/>
      </c>
      <c r="H191">
        <f>--(AND(ISNUMBER(B191),B191&lt;0.5))</f>
        <v/>
      </c>
      <c r="I191">
        <f>IFERROR(MAX(0,(0.5-B191)*100),0)+IF(D191&gt;=24,20,0)+IF(Raw_data!$I191&gt;0,20,0)+IF(Raw_data!$AE191=TRUE,10,0)</f>
        <v/>
      </c>
      <c r="J191">
        <f>IFERROR(CHOOSE(MATCH(Dashboard!$B$11,{"Department","Team","Unit","Legal entity","Location","Lead"},0),INDEX(Lists!$B$3:$B$20,ROW()-1),INDEX(Lists!$C$3:$C$146,ROW()-1),INDEX(Lists!$D$3:$D$67,ROW()-1),INDEX(Lists!$E$3:$E$5,ROW()-1),INDEX(Lists!$F$3:$F$12,ROW()-1),INDEX(Lists!$G$3:$G$126,ROW()-1)),"")</f>
        <v/>
      </c>
      <c r="K191">
        <f>IF(J191="","",SUMPRODUCT(($A$2:$A$636=1)*($G$2:$G$636=J191)))</f>
        <v/>
      </c>
      <c r="L191">
        <f>IF(J191="","",SUMPRODUCT(($A$2:$A$636=1)*($G$2:$G$636=J191)*(ISNUMBER($B$2:$B$636))*($B$2:$B$636&lt;0.5)))</f>
        <v/>
      </c>
      <c r="M191">
        <f>IFERROR(L191/K191,"")</f>
        <v/>
      </c>
      <c r="N191">
        <f>IF(K191="","",M191+K191/100000+ROW()/100000000)</f>
        <v/>
      </c>
      <c r="R191">
        <f>IF(A191=1,IFERROR(I191,0)+ROW()/100000000,-1E+99)</f>
        <v/>
      </c>
      <c r="S191">
        <f>IF(A191=1,IFERROR(Raw_data!$T191,""),"")</f>
        <v/>
      </c>
      <c r="T191">
        <f>IF(A191=1,IFERROR(Raw_data!$AA191,""),"")</f>
        <v/>
      </c>
      <c r="U191">
        <f>IF(A191=1,IFERROR(Raw_data!$U191,""),"")</f>
        <v/>
      </c>
      <c r="V191">
        <f>IF(A191=1,IFERROR(Raw_data!$AB191,""),"")</f>
        <v/>
      </c>
    </row>
    <row r="192">
      <c r="A192">
        <f>--(AND(OR(Dashboard!$B$4="All",Raw_data!$AL192=Dashboard!$B$4),OR(Dashboard!$B$5="All",Raw_data!$AM192=Dashboard!$B$5),OR(Dashboard!$B$6="All",Raw_data!$AN192=Dashboard!$B$6),OR(Dashboard!$B$7="All",Raw_data!$AO192=Dashboard!$B$7),OR(Dashboard!$B$8="All",Raw_data!$AP192=Dashboard!$B$8),OR(Dashboard!$B$9="All",Raw_data!$AQ192=Dashboard!$B$9),OR(Dashboard!$B$10="All",Raw_data!$AF192=Dashboard!$B$10),OR(Raw_data!$F192="",Raw_data!$F192&lt;=TODAY())))</f>
        <v/>
      </c>
      <c r="B192">
        <f>IFERROR(IF(Dashboard!$B$3="Weighted",Raw_data!$U192,Raw_data!$T192),"")</f>
        <v/>
      </c>
      <c r="C192">
        <f>IFERROR(IF(Dashboard!$B$3="Weighted",Raw_data!$AB192,Raw_data!$AA192),"")</f>
        <v/>
      </c>
      <c r="D192">
        <f>IF(OR(Raw_data!$J192="",Raw_data!$J192&lt;=0,Raw_data!$K192=""),"",IF(Raw_data!$K192&gt;TODAY(),0,DATEDIF(Raw_data!$K192,TODAY(),"M")))</f>
        <v/>
      </c>
      <c r="E192">
        <f>--(AND(Raw_data!$AF192="No",OR(Raw_data!$AG192&lt;&gt;"",Raw_data!$AJ192&gt;0,Raw_data!$AK192&lt;&gt;"")))</f>
        <v/>
      </c>
      <c r="F192">
        <f>--(OR(AND(ISNUMBER(B192),B192&lt;0.5,OR(D192&gt;=24,Raw_data!$I192&gt;0)),Raw_data!$AE192=TRUE))</f>
        <v/>
      </c>
      <c r="G192">
        <f>IF(Dashboard!$B$11="Department",Raw_data!$AL192,IF(Dashboard!$B$11="Team",Raw_data!$AM192,IF(Dashboard!$B$11="Unit",Raw_data!$AN192,IF(Dashboard!$B$11="Legal entity",Raw_data!$AO192,IF(Dashboard!$B$11="Location",Raw_data!$AP192,Raw_data!$AQ192)))))</f>
        <v/>
      </c>
      <c r="H192">
        <f>--(AND(ISNUMBER(B192),B192&lt;0.5))</f>
        <v/>
      </c>
      <c r="I192">
        <f>IFERROR(MAX(0,(0.5-B192)*100),0)+IF(D192&gt;=24,20,0)+IF(Raw_data!$I192&gt;0,20,0)+IF(Raw_data!$AE192=TRUE,10,0)</f>
        <v/>
      </c>
      <c r="J192">
        <f>IFERROR(CHOOSE(MATCH(Dashboard!$B$11,{"Department","Team","Unit","Legal entity","Location","Lead"},0),INDEX(Lists!$B$3:$B$20,ROW()-1),INDEX(Lists!$C$3:$C$146,ROW()-1),INDEX(Lists!$D$3:$D$67,ROW()-1),INDEX(Lists!$E$3:$E$5,ROW()-1),INDEX(Lists!$F$3:$F$12,ROW()-1),INDEX(Lists!$G$3:$G$126,ROW()-1)),"")</f>
        <v/>
      </c>
      <c r="K192">
        <f>IF(J192="","",SUMPRODUCT(($A$2:$A$636=1)*($G$2:$G$636=J192)))</f>
        <v/>
      </c>
      <c r="L192">
        <f>IF(J192="","",SUMPRODUCT(($A$2:$A$636=1)*($G$2:$G$636=J192)*(ISNUMBER($B$2:$B$636))*($B$2:$B$636&lt;0.5)))</f>
        <v/>
      </c>
      <c r="M192">
        <f>IFERROR(L192/K192,"")</f>
        <v/>
      </c>
      <c r="N192">
        <f>IF(K192="","",M192+K192/100000+ROW()/100000000)</f>
        <v/>
      </c>
      <c r="R192">
        <f>IF(A192=1,IFERROR(I192,0)+ROW()/100000000,-1E+99)</f>
        <v/>
      </c>
      <c r="S192">
        <f>IF(A192=1,IFERROR(Raw_data!$T192,""),"")</f>
        <v/>
      </c>
      <c r="T192">
        <f>IF(A192=1,IFERROR(Raw_data!$AA192,""),"")</f>
        <v/>
      </c>
      <c r="U192">
        <f>IF(A192=1,IFERROR(Raw_data!$U192,""),"")</f>
        <v/>
      </c>
      <c r="V192">
        <f>IF(A192=1,IFERROR(Raw_data!$AB192,""),"")</f>
        <v/>
      </c>
    </row>
    <row r="193">
      <c r="A193">
        <f>--(AND(OR(Dashboard!$B$4="All",Raw_data!$AL193=Dashboard!$B$4),OR(Dashboard!$B$5="All",Raw_data!$AM193=Dashboard!$B$5),OR(Dashboard!$B$6="All",Raw_data!$AN193=Dashboard!$B$6),OR(Dashboard!$B$7="All",Raw_data!$AO193=Dashboard!$B$7),OR(Dashboard!$B$8="All",Raw_data!$AP193=Dashboard!$B$8),OR(Dashboard!$B$9="All",Raw_data!$AQ193=Dashboard!$B$9),OR(Dashboard!$B$10="All",Raw_data!$AF193=Dashboard!$B$10),OR(Raw_data!$F193="",Raw_data!$F193&lt;=TODAY())))</f>
        <v/>
      </c>
      <c r="B193">
        <f>IFERROR(IF(Dashboard!$B$3="Weighted",Raw_data!$U193,Raw_data!$T193),"")</f>
        <v/>
      </c>
      <c r="C193">
        <f>IFERROR(IF(Dashboard!$B$3="Weighted",Raw_data!$AB193,Raw_data!$AA193),"")</f>
        <v/>
      </c>
      <c r="D193">
        <f>IF(OR(Raw_data!$J193="",Raw_data!$J193&lt;=0,Raw_data!$K193=""),"",IF(Raw_data!$K193&gt;TODAY(),0,DATEDIF(Raw_data!$K193,TODAY(),"M")))</f>
        <v/>
      </c>
      <c r="E193">
        <f>--(AND(Raw_data!$AF193="No",OR(Raw_data!$AG193&lt;&gt;"",Raw_data!$AJ193&gt;0,Raw_data!$AK193&lt;&gt;"")))</f>
        <v/>
      </c>
      <c r="F193">
        <f>--(OR(AND(ISNUMBER(B193),B193&lt;0.5,OR(D193&gt;=24,Raw_data!$I193&gt;0)),Raw_data!$AE193=TRUE))</f>
        <v/>
      </c>
      <c r="G193">
        <f>IF(Dashboard!$B$11="Department",Raw_data!$AL193,IF(Dashboard!$B$11="Team",Raw_data!$AM193,IF(Dashboard!$B$11="Unit",Raw_data!$AN193,IF(Dashboard!$B$11="Legal entity",Raw_data!$AO193,IF(Dashboard!$B$11="Location",Raw_data!$AP193,Raw_data!$AQ193)))))</f>
        <v/>
      </c>
      <c r="H193">
        <f>--(AND(ISNUMBER(B193),B193&lt;0.5))</f>
        <v/>
      </c>
      <c r="I193">
        <f>IFERROR(MAX(0,(0.5-B193)*100),0)+IF(D193&gt;=24,20,0)+IF(Raw_data!$I193&gt;0,20,0)+IF(Raw_data!$AE193=TRUE,10,0)</f>
        <v/>
      </c>
      <c r="J193">
        <f>IFERROR(CHOOSE(MATCH(Dashboard!$B$11,{"Department","Team","Unit","Legal entity","Location","Lead"},0),INDEX(Lists!$B$3:$B$20,ROW()-1),INDEX(Lists!$C$3:$C$146,ROW()-1),INDEX(Lists!$D$3:$D$67,ROW()-1),INDEX(Lists!$E$3:$E$5,ROW()-1),INDEX(Lists!$F$3:$F$12,ROW()-1),INDEX(Lists!$G$3:$G$126,ROW()-1)),"")</f>
        <v/>
      </c>
      <c r="K193">
        <f>IF(J193="","",SUMPRODUCT(($A$2:$A$636=1)*($G$2:$G$636=J193)))</f>
        <v/>
      </c>
      <c r="L193">
        <f>IF(J193="","",SUMPRODUCT(($A$2:$A$636=1)*($G$2:$G$636=J193)*(ISNUMBER($B$2:$B$636))*($B$2:$B$636&lt;0.5)))</f>
        <v/>
      </c>
      <c r="M193">
        <f>IFERROR(L193/K193,"")</f>
        <v/>
      </c>
      <c r="N193">
        <f>IF(K193="","",M193+K193/100000+ROW()/100000000)</f>
        <v/>
      </c>
      <c r="R193">
        <f>IF(A193=1,IFERROR(I193,0)+ROW()/100000000,-1E+99)</f>
        <v/>
      </c>
      <c r="S193">
        <f>IF(A193=1,IFERROR(Raw_data!$T193,""),"")</f>
        <v/>
      </c>
      <c r="T193">
        <f>IF(A193=1,IFERROR(Raw_data!$AA193,""),"")</f>
        <v/>
      </c>
      <c r="U193">
        <f>IF(A193=1,IFERROR(Raw_data!$U193,""),"")</f>
        <v/>
      </c>
      <c r="V193">
        <f>IF(A193=1,IFERROR(Raw_data!$AB193,""),"")</f>
        <v/>
      </c>
    </row>
    <row r="194">
      <c r="A194">
        <f>--(AND(OR(Dashboard!$B$4="All",Raw_data!$AL194=Dashboard!$B$4),OR(Dashboard!$B$5="All",Raw_data!$AM194=Dashboard!$B$5),OR(Dashboard!$B$6="All",Raw_data!$AN194=Dashboard!$B$6),OR(Dashboard!$B$7="All",Raw_data!$AO194=Dashboard!$B$7),OR(Dashboard!$B$8="All",Raw_data!$AP194=Dashboard!$B$8),OR(Dashboard!$B$9="All",Raw_data!$AQ194=Dashboard!$B$9),OR(Dashboard!$B$10="All",Raw_data!$AF194=Dashboard!$B$10),OR(Raw_data!$F194="",Raw_data!$F194&lt;=TODAY())))</f>
        <v/>
      </c>
      <c r="B194">
        <f>IFERROR(IF(Dashboard!$B$3="Weighted",Raw_data!$U194,Raw_data!$T194),"")</f>
        <v/>
      </c>
      <c r="C194">
        <f>IFERROR(IF(Dashboard!$B$3="Weighted",Raw_data!$AB194,Raw_data!$AA194),"")</f>
        <v/>
      </c>
      <c r="D194">
        <f>IF(OR(Raw_data!$J194="",Raw_data!$J194&lt;=0,Raw_data!$K194=""),"",IF(Raw_data!$K194&gt;TODAY(),0,DATEDIF(Raw_data!$K194,TODAY(),"M")))</f>
        <v/>
      </c>
      <c r="E194">
        <f>--(AND(Raw_data!$AF194="No",OR(Raw_data!$AG194&lt;&gt;"",Raw_data!$AJ194&gt;0,Raw_data!$AK194&lt;&gt;"")))</f>
        <v/>
      </c>
      <c r="F194">
        <f>--(OR(AND(ISNUMBER(B194),B194&lt;0.5,OR(D194&gt;=24,Raw_data!$I194&gt;0)),Raw_data!$AE194=TRUE))</f>
        <v/>
      </c>
      <c r="G194">
        <f>IF(Dashboard!$B$11="Department",Raw_data!$AL194,IF(Dashboard!$B$11="Team",Raw_data!$AM194,IF(Dashboard!$B$11="Unit",Raw_data!$AN194,IF(Dashboard!$B$11="Legal entity",Raw_data!$AO194,IF(Dashboard!$B$11="Location",Raw_data!$AP194,Raw_data!$AQ194)))))</f>
        <v/>
      </c>
      <c r="H194">
        <f>--(AND(ISNUMBER(B194),B194&lt;0.5))</f>
        <v/>
      </c>
      <c r="I194">
        <f>IFERROR(MAX(0,(0.5-B194)*100),0)+IF(D194&gt;=24,20,0)+IF(Raw_data!$I194&gt;0,20,0)+IF(Raw_data!$AE194=TRUE,10,0)</f>
        <v/>
      </c>
      <c r="J194">
        <f>IFERROR(CHOOSE(MATCH(Dashboard!$B$11,{"Department","Team","Unit","Legal entity","Location","Lead"},0),INDEX(Lists!$B$3:$B$20,ROW()-1),INDEX(Lists!$C$3:$C$146,ROW()-1),INDEX(Lists!$D$3:$D$67,ROW()-1),INDEX(Lists!$E$3:$E$5,ROW()-1),INDEX(Lists!$F$3:$F$12,ROW()-1),INDEX(Lists!$G$3:$G$126,ROW()-1)),"")</f>
        <v/>
      </c>
      <c r="K194">
        <f>IF(J194="","",SUMPRODUCT(($A$2:$A$636=1)*($G$2:$G$636=J194)))</f>
        <v/>
      </c>
      <c r="L194">
        <f>IF(J194="","",SUMPRODUCT(($A$2:$A$636=1)*($G$2:$G$636=J194)*(ISNUMBER($B$2:$B$636))*($B$2:$B$636&lt;0.5)))</f>
        <v/>
      </c>
      <c r="M194">
        <f>IFERROR(L194/K194,"")</f>
        <v/>
      </c>
      <c r="N194">
        <f>IF(K194="","",M194+K194/100000+ROW()/100000000)</f>
        <v/>
      </c>
      <c r="R194">
        <f>IF(A194=1,IFERROR(I194,0)+ROW()/100000000,-1E+99)</f>
        <v/>
      </c>
      <c r="S194">
        <f>IF(A194=1,IFERROR(Raw_data!$T194,""),"")</f>
        <v/>
      </c>
      <c r="T194">
        <f>IF(A194=1,IFERROR(Raw_data!$AA194,""),"")</f>
        <v/>
      </c>
      <c r="U194">
        <f>IF(A194=1,IFERROR(Raw_data!$U194,""),"")</f>
        <v/>
      </c>
      <c r="V194">
        <f>IF(A194=1,IFERROR(Raw_data!$AB194,""),"")</f>
        <v/>
      </c>
    </row>
    <row r="195">
      <c r="A195">
        <f>--(AND(OR(Dashboard!$B$4="All",Raw_data!$AL195=Dashboard!$B$4),OR(Dashboard!$B$5="All",Raw_data!$AM195=Dashboard!$B$5),OR(Dashboard!$B$6="All",Raw_data!$AN195=Dashboard!$B$6),OR(Dashboard!$B$7="All",Raw_data!$AO195=Dashboard!$B$7),OR(Dashboard!$B$8="All",Raw_data!$AP195=Dashboard!$B$8),OR(Dashboard!$B$9="All",Raw_data!$AQ195=Dashboard!$B$9),OR(Dashboard!$B$10="All",Raw_data!$AF195=Dashboard!$B$10),OR(Raw_data!$F195="",Raw_data!$F195&lt;=TODAY())))</f>
        <v/>
      </c>
      <c r="B195">
        <f>IFERROR(IF(Dashboard!$B$3="Weighted",Raw_data!$U195,Raw_data!$T195),"")</f>
        <v/>
      </c>
      <c r="C195">
        <f>IFERROR(IF(Dashboard!$B$3="Weighted",Raw_data!$AB195,Raw_data!$AA195),"")</f>
        <v/>
      </c>
      <c r="D195">
        <f>IF(OR(Raw_data!$J195="",Raw_data!$J195&lt;=0,Raw_data!$K195=""),"",IF(Raw_data!$K195&gt;TODAY(),0,DATEDIF(Raw_data!$K195,TODAY(),"M")))</f>
        <v/>
      </c>
      <c r="E195">
        <f>--(AND(Raw_data!$AF195="No",OR(Raw_data!$AG195&lt;&gt;"",Raw_data!$AJ195&gt;0,Raw_data!$AK195&lt;&gt;"")))</f>
        <v/>
      </c>
      <c r="F195">
        <f>--(OR(AND(ISNUMBER(B195),B195&lt;0.5,OR(D195&gt;=24,Raw_data!$I195&gt;0)),Raw_data!$AE195=TRUE))</f>
        <v/>
      </c>
      <c r="G195">
        <f>IF(Dashboard!$B$11="Department",Raw_data!$AL195,IF(Dashboard!$B$11="Team",Raw_data!$AM195,IF(Dashboard!$B$11="Unit",Raw_data!$AN195,IF(Dashboard!$B$11="Legal entity",Raw_data!$AO195,IF(Dashboard!$B$11="Location",Raw_data!$AP195,Raw_data!$AQ195)))))</f>
        <v/>
      </c>
      <c r="H195">
        <f>--(AND(ISNUMBER(B195),B195&lt;0.5))</f>
        <v/>
      </c>
      <c r="I195">
        <f>IFERROR(MAX(0,(0.5-B195)*100),0)+IF(D195&gt;=24,20,0)+IF(Raw_data!$I195&gt;0,20,0)+IF(Raw_data!$AE195=TRUE,10,0)</f>
        <v/>
      </c>
      <c r="J195">
        <f>IFERROR(CHOOSE(MATCH(Dashboard!$B$11,{"Department","Team","Unit","Legal entity","Location","Lead"},0),INDEX(Lists!$B$3:$B$20,ROW()-1),INDEX(Lists!$C$3:$C$146,ROW()-1),INDEX(Lists!$D$3:$D$67,ROW()-1),INDEX(Lists!$E$3:$E$5,ROW()-1),INDEX(Lists!$F$3:$F$12,ROW()-1),INDEX(Lists!$G$3:$G$126,ROW()-1)),"")</f>
        <v/>
      </c>
      <c r="K195">
        <f>IF(J195="","",SUMPRODUCT(($A$2:$A$636=1)*($G$2:$G$636=J195)))</f>
        <v/>
      </c>
      <c r="L195">
        <f>IF(J195="","",SUMPRODUCT(($A$2:$A$636=1)*($G$2:$G$636=J195)*(ISNUMBER($B$2:$B$636))*($B$2:$B$636&lt;0.5)))</f>
        <v/>
      </c>
      <c r="M195">
        <f>IFERROR(L195/K195,"")</f>
        <v/>
      </c>
      <c r="N195">
        <f>IF(K195="","",M195+K195/100000+ROW()/100000000)</f>
        <v/>
      </c>
      <c r="R195">
        <f>IF(A195=1,IFERROR(I195,0)+ROW()/100000000,-1E+99)</f>
        <v/>
      </c>
      <c r="S195">
        <f>IF(A195=1,IFERROR(Raw_data!$T195,""),"")</f>
        <v/>
      </c>
      <c r="T195">
        <f>IF(A195=1,IFERROR(Raw_data!$AA195,""),"")</f>
        <v/>
      </c>
      <c r="U195">
        <f>IF(A195=1,IFERROR(Raw_data!$U195,""),"")</f>
        <v/>
      </c>
      <c r="V195">
        <f>IF(A195=1,IFERROR(Raw_data!$AB195,""),"")</f>
        <v/>
      </c>
    </row>
    <row r="196">
      <c r="A196">
        <f>--(AND(OR(Dashboard!$B$4="All",Raw_data!$AL196=Dashboard!$B$4),OR(Dashboard!$B$5="All",Raw_data!$AM196=Dashboard!$B$5),OR(Dashboard!$B$6="All",Raw_data!$AN196=Dashboard!$B$6),OR(Dashboard!$B$7="All",Raw_data!$AO196=Dashboard!$B$7),OR(Dashboard!$B$8="All",Raw_data!$AP196=Dashboard!$B$8),OR(Dashboard!$B$9="All",Raw_data!$AQ196=Dashboard!$B$9),OR(Dashboard!$B$10="All",Raw_data!$AF196=Dashboard!$B$10),OR(Raw_data!$F196="",Raw_data!$F196&lt;=TODAY())))</f>
        <v/>
      </c>
      <c r="B196">
        <f>IFERROR(IF(Dashboard!$B$3="Weighted",Raw_data!$U196,Raw_data!$T196),"")</f>
        <v/>
      </c>
      <c r="C196">
        <f>IFERROR(IF(Dashboard!$B$3="Weighted",Raw_data!$AB196,Raw_data!$AA196),"")</f>
        <v/>
      </c>
      <c r="D196">
        <f>IF(OR(Raw_data!$J196="",Raw_data!$J196&lt;=0,Raw_data!$K196=""),"",IF(Raw_data!$K196&gt;TODAY(),0,DATEDIF(Raw_data!$K196,TODAY(),"M")))</f>
        <v/>
      </c>
      <c r="E196">
        <f>--(AND(Raw_data!$AF196="No",OR(Raw_data!$AG196&lt;&gt;"",Raw_data!$AJ196&gt;0,Raw_data!$AK196&lt;&gt;"")))</f>
        <v/>
      </c>
      <c r="F196">
        <f>--(OR(AND(ISNUMBER(B196),B196&lt;0.5,OR(D196&gt;=24,Raw_data!$I196&gt;0)),Raw_data!$AE196=TRUE))</f>
        <v/>
      </c>
      <c r="G196">
        <f>IF(Dashboard!$B$11="Department",Raw_data!$AL196,IF(Dashboard!$B$11="Team",Raw_data!$AM196,IF(Dashboard!$B$11="Unit",Raw_data!$AN196,IF(Dashboard!$B$11="Legal entity",Raw_data!$AO196,IF(Dashboard!$B$11="Location",Raw_data!$AP196,Raw_data!$AQ196)))))</f>
        <v/>
      </c>
      <c r="H196">
        <f>--(AND(ISNUMBER(B196),B196&lt;0.5))</f>
        <v/>
      </c>
      <c r="I196">
        <f>IFERROR(MAX(0,(0.5-B196)*100),0)+IF(D196&gt;=24,20,0)+IF(Raw_data!$I196&gt;0,20,0)+IF(Raw_data!$AE196=TRUE,10,0)</f>
        <v/>
      </c>
      <c r="J196">
        <f>IFERROR(CHOOSE(MATCH(Dashboard!$B$11,{"Department","Team","Unit","Legal entity","Location","Lead"},0),INDEX(Lists!$B$3:$B$20,ROW()-1),INDEX(Lists!$C$3:$C$146,ROW()-1),INDEX(Lists!$D$3:$D$67,ROW()-1),INDEX(Lists!$E$3:$E$5,ROW()-1),INDEX(Lists!$F$3:$F$12,ROW()-1),INDEX(Lists!$G$3:$G$126,ROW()-1)),"")</f>
        <v/>
      </c>
      <c r="K196">
        <f>IF(J196="","",SUMPRODUCT(($A$2:$A$636=1)*($G$2:$G$636=J196)))</f>
        <v/>
      </c>
      <c r="L196">
        <f>IF(J196="","",SUMPRODUCT(($A$2:$A$636=1)*($G$2:$G$636=J196)*(ISNUMBER($B$2:$B$636))*($B$2:$B$636&lt;0.5)))</f>
        <v/>
      </c>
      <c r="M196">
        <f>IFERROR(L196/K196,"")</f>
        <v/>
      </c>
      <c r="N196">
        <f>IF(K196="","",M196+K196/100000+ROW()/100000000)</f>
        <v/>
      </c>
      <c r="R196">
        <f>IF(A196=1,IFERROR(I196,0)+ROW()/100000000,-1E+99)</f>
        <v/>
      </c>
      <c r="S196">
        <f>IF(A196=1,IFERROR(Raw_data!$T196,""),"")</f>
        <v/>
      </c>
      <c r="T196">
        <f>IF(A196=1,IFERROR(Raw_data!$AA196,""),"")</f>
        <v/>
      </c>
      <c r="U196">
        <f>IF(A196=1,IFERROR(Raw_data!$U196,""),"")</f>
        <v/>
      </c>
      <c r="V196">
        <f>IF(A196=1,IFERROR(Raw_data!$AB196,""),"")</f>
        <v/>
      </c>
    </row>
    <row r="197">
      <c r="A197">
        <f>--(AND(OR(Dashboard!$B$4="All",Raw_data!$AL197=Dashboard!$B$4),OR(Dashboard!$B$5="All",Raw_data!$AM197=Dashboard!$B$5),OR(Dashboard!$B$6="All",Raw_data!$AN197=Dashboard!$B$6),OR(Dashboard!$B$7="All",Raw_data!$AO197=Dashboard!$B$7),OR(Dashboard!$B$8="All",Raw_data!$AP197=Dashboard!$B$8),OR(Dashboard!$B$9="All",Raw_data!$AQ197=Dashboard!$B$9),OR(Dashboard!$B$10="All",Raw_data!$AF197=Dashboard!$B$10),OR(Raw_data!$F197="",Raw_data!$F197&lt;=TODAY())))</f>
        <v/>
      </c>
      <c r="B197">
        <f>IFERROR(IF(Dashboard!$B$3="Weighted",Raw_data!$U197,Raw_data!$T197),"")</f>
        <v/>
      </c>
      <c r="C197">
        <f>IFERROR(IF(Dashboard!$B$3="Weighted",Raw_data!$AB197,Raw_data!$AA197),"")</f>
        <v/>
      </c>
      <c r="D197">
        <f>IF(OR(Raw_data!$J197="",Raw_data!$J197&lt;=0,Raw_data!$K197=""),"",IF(Raw_data!$K197&gt;TODAY(),0,DATEDIF(Raw_data!$K197,TODAY(),"M")))</f>
        <v/>
      </c>
      <c r="E197">
        <f>--(AND(Raw_data!$AF197="No",OR(Raw_data!$AG197&lt;&gt;"",Raw_data!$AJ197&gt;0,Raw_data!$AK197&lt;&gt;"")))</f>
        <v/>
      </c>
      <c r="F197">
        <f>--(OR(AND(ISNUMBER(B197),B197&lt;0.5,OR(D197&gt;=24,Raw_data!$I197&gt;0)),Raw_data!$AE197=TRUE))</f>
        <v/>
      </c>
      <c r="G197">
        <f>IF(Dashboard!$B$11="Department",Raw_data!$AL197,IF(Dashboard!$B$11="Team",Raw_data!$AM197,IF(Dashboard!$B$11="Unit",Raw_data!$AN197,IF(Dashboard!$B$11="Legal entity",Raw_data!$AO197,IF(Dashboard!$B$11="Location",Raw_data!$AP197,Raw_data!$AQ197)))))</f>
        <v/>
      </c>
      <c r="H197">
        <f>--(AND(ISNUMBER(B197),B197&lt;0.5))</f>
        <v/>
      </c>
      <c r="I197">
        <f>IFERROR(MAX(0,(0.5-B197)*100),0)+IF(D197&gt;=24,20,0)+IF(Raw_data!$I197&gt;0,20,0)+IF(Raw_data!$AE197=TRUE,10,0)</f>
        <v/>
      </c>
      <c r="J197">
        <f>IFERROR(CHOOSE(MATCH(Dashboard!$B$11,{"Department","Team","Unit","Legal entity","Location","Lead"},0),INDEX(Lists!$B$3:$B$20,ROW()-1),INDEX(Lists!$C$3:$C$146,ROW()-1),INDEX(Lists!$D$3:$D$67,ROW()-1),INDEX(Lists!$E$3:$E$5,ROW()-1),INDEX(Lists!$F$3:$F$12,ROW()-1),INDEX(Lists!$G$3:$G$126,ROW()-1)),"")</f>
        <v/>
      </c>
      <c r="K197">
        <f>IF(J197="","",SUMPRODUCT(($A$2:$A$636=1)*($G$2:$G$636=J197)))</f>
        <v/>
      </c>
      <c r="L197">
        <f>IF(J197="","",SUMPRODUCT(($A$2:$A$636=1)*($G$2:$G$636=J197)*(ISNUMBER($B$2:$B$636))*($B$2:$B$636&lt;0.5)))</f>
        <v/>
      </c>
      <c r="M197">
        <f>IFERROR(L197/K197,"")</f>
        <v/>
      </c>
      <c r="N197">
        <f>IF(K197="","",M197+K197/100000+ROW()/100000000)</f>
        <v/>
      </c>
      <c r="R197">
        <f>IF(A197=1,IFERROR(I197,0)+ROW()/100000000,-1E+99)</f>
        <v/>
      </c>
      <c r="S197">
        <f>IF(A197=1,IFERROR(Raw_data!$T197,""),"")</f>
        <v/>
      </c>
      <c r="T197">
        <f>IF(A197=1,IFERROR(Raw_data!$AA197,""),"")</f>
        <v/>
      </c>
      <c r="U197">
        <f>IF(A197=1,IFERROR(Raw_data!$U197,""),"")</f>
        <v/>
      </c>
      <c r="V197">
        <f>IF(A197=1,IFERROR(Raw_data!$AB197,""),"")</f>
        <v/>
      </c>
    </row>
    <row r="198">
      <c r="A198">
        <f>--(AND(OR(Dashboard!$B$4="All",Raw_data!$AL198=Dashboard!$B$4),OR(Dashboard!$B$5="All",Raw_data!$AM198=Dashboard!$B$5),OR(Dashboard!$B$6="All",Raw_data!$AN198=Dashboard!$B$6),OR(Dashboard!$B$7="All",Raw_data!$AO198=Dashboard!$B$7),OR(Dashboard!$B$8="All",Raw_data!$AP198=Dashboard!$B$8),OR(Dashboard!$B$9="All",Raw_data!$AQ198=Dashboard!$B$9),OR(Dashboard!$B$10="All",Raw_data!$AF198=Dashboard!$B$10),OR(Raw_data!$F198="",Raw_data!$F198&lt;=TODAY())))</f>
        <v/>
      </c>
      <c r="B198">
        <f>IFERROR(IF(Dashboard!$B$3="Weighted",Raw_data!$U198,Raw_data!$T198),"")</f>
        <v/>
      </c>
      <c r="C198">
        <f>IFERROR(IF(Dashboard!$B$3="Weighted",Raw_data!$AB198,Raw_data!$AA198),"")</f>
        <v/>
      </c>
      <c r="D198">
        <f>IF(OR(Raw_data!$J198="",Raw_data!$J198&lt;=0,Raw_data!$K198=""),"",IF(Raw_data!$K198&gt;TODAY(),0,DATEDIF(Raw_data!$K198,TODAY(),"M")))</f>
        <v/>
      </c>
      <c r="E198">
        <f>--(AND(Raw_data!$AF198="No",OR(Raw_data!$AG198&lt;&gt;"",Raw_data!$AJ198&gt;0,Raw_data!$AK198&lt;&gt;"")))</f>
        <v/>
      </c>
      <c r="F198">
        <f>--(OR(AND(ISNUMBER(B198),B198&lt;0.5,OR(D198&gt;=24,Raw_data!$I198&gt;0)),Raw_data!$AE198=TRUE))</f>
        <v/>
      </c>
      <c r="G198">
        <f>IF(Dashboard!$B$11="Department",Raw_data!$AL198,IF(Dashboard!$B$11="Team",Raw_data!$AM198,IF(Dashboard!$B$11="Unit",Raw_data!$AN198,IF(Dashboard!$B$11="Legal entity",Raw_data!$AO198,IF(Dashboard!$B$11="Location",Raw_data!$AP198,Raw_data!$AQ198)))))</f>
        <v/>
      </c>
      <c r="H198">
        <f>--(AND(ISNUMBER(B198),B198&lt;0.5))</f>
        <v/>
      </c>
      <c r="I198">
        <f>IFERROR(MAX(0,(0.5-B198)*100),0)+IF(D198&gt;=24,20,0)+IF(Raw_data!$I198&gt;0,20,0)+IF(Raw_data!$AE198=TRUE,10,0)</f>
        <v/>
      </c>
      <c r="J198">
        <f>IFERROR(CHOOSE(MATCH(Dashboard!$B$11,{"Department","Team","Unit","Legal entity","Location","Lead"},0),INDEX(Lists!$B$3:$B$20,ROW()-1),INDEX(Lists!$C$3:$C$146,ROW()-1),INDEX(Lists!$D$3:$D$67,ROW()-1),INDEX(Lists!$E$3:$E$5,ROW()-1),INDEX(Lists!$F$3:$F$12,ROW()-1),INDEX(Lists!$G$3:$G$126,ROW()-1)),"")</f>
        <v/>
      </c>
      <c r="K198">
        <f>IF(J198="","",SUMPRODUCT(($A$2:$A$636=1)*($G$2:$G$636=J198)))</f>
        <v/>
      </c>
      <c r="L198">
        <f>IF(J198="","",SUMPRODUCT(($A$2:$A$636=1)*($G$2:$G$636=J198)*(ISNUMBER($B$2:$B$636))*($B$2:$B$636&lt;0.5)))</f>
        <v/>
      </c>
      <c r="M198">
        <f>IFERROR(L198/K198,"")</f>
        <v/>
      </c>
      <c r="N198">
        <f>IF(K198="","",M198+K198/100000+ROW()/100000000)</f>
        <v/>
      </c>
      <c r="R198">
        <f>IF(A198=1,IFERROR(I198,0)+ROW()/100000000,-1E+99)</f>
        <v/>
      </c>
      <c r="S198">
        <f>IF(A198=1,IFERROR(Raw_data!$T198,""),"")</f>
        <v/>
      </c>
      <c r="T198">
        <f>IF(A198=1,IFERROR(Raw_data!$AA198,""),"")</f>
        <v/>
      </c>
      <c r="U198">
        <f>IF(A198=1,IFERROR(Raw_data!$U198,""),"")</f>
        <v/>
      </c>
      <c r="V198">
        <f>IF(A198=1,IFERROR(Raw_data!$AB198,""),"")</f>
        <v/>
      </c>
    </row>
    <row r="199">
      <c r="A199">
        <f>--(AND(OR(Dashboard!$B$4="All",Raw_data!$AL199=Dashboard!$B$4),OR(Dashboard!$B$5="All",Raw_data!$AM199=Dashboard!$B$5),OR(Dashboard!$B$6="All",Raw_data!$AN199=Dashboard!$B$6),OR(Dashboard!$B$7="All",Raw_data!$AO199=Dashboard!$B$7),OR(Dashboard!$B$8="All",Raw_data!$AP199=Dashboard!$B$8),OR(Dashboard!$B$9="All",Raw_data!$AQ199=Dashboard!$B$9),OR(Dashboard!$B$10="All",Raw_data!$AF199=Dashboard!$B$10),OR(Raw_data!$F199="",Raw_data!$F199&lt;=TODAY())))</f>
        <v/>
      </c>
      <c r="B199">
        <f>IFERROR(IF(Dashboard!$B$3="Weighted",Raw_data!$U199,Raw_data!$T199),"")</f>
        <v/>
      </c>
      <c r="C199">
        <f>IFERROR(IF(Dashboard!$B$3="Weighted",Raw_data!$AB199,Raw_data!$AA199),"")</f>
        <v/>
      </c>
      <c r="D199">
        <f>IF(OR(Raw_data!$J199="",Raw_data!$J199&lt;=0,Raw_data!$K199=""),"",IF(Raw_data!$K199&gt;TODAY(),0,DATEDIF(Raw_data!$K199,TODAY(),"M")))</f>
        <v/>
      </c>
      <c r="E199">
        <f>--(AND(Raw_data!$AF199="No",OR(Raw_data!$AG199&lt;&gt;"",Raw_data!$AJ199&gt;0,Raw_data!$AK199&lt;&gt;"")))</f>
        <v/>
      </c>
      <c r="F199">
        <f>--(OR(AND(ISNUMBER(B199),B199&lt;0.5,OR(D199&gt;=24,Raw_data!$I199&gt;0)),Raw_data!$AE199=TRUE))</f>
        <v/>
      </c>
      <c r="G199">
        <f>IF(Dashboard!$B$11="Department",Raw_data!$AL199,IF(Dashboard!$B$11="Team",Raw_data!$AM199,IF(Dashboard!$B$11="Unit",Raw_data!$AN199,IF(Dashboard!$B$11="Legal entity",Raw_data!$AO199,IF(Dashboard!$B$11="Location",Raw_data!$AP199,Raw_data!$AQ199)))))</f>
        <v/>
      </c>
      <c r="H199">
        <f>--(AND(ISNUMBER(B199),B199&lt;0.5))</f>
        <v/>
      </c>
      <c r="I199">
        <f>IFERROR(MAX(0,(0.5-B199)*100),0)+IF(D199&gt;=24,20,0)+IF(Raw_data!$I199&gt;0,20,0)+IF(Raw_data!$AE199=TRUE,10,0)</f>
        <v/>
      </c>
      <c r="J199">
        <f>IFERROR(CHOOSE(MATCH(Dashboard!$B$11,{"Department","Team","Unit","Legal entity","Location","Lead"},0),INDEX(Lists!$B$3:$B$20,ROW()-1),INDEX(Lists!$C$3:$C$146,ROW()-1),INDEX(Lists!$D$3:$D$67,ROW()-1),INDEX(Lists!$E$3:$E$5,ROW()-1),INDEX(Lists!$F$3:$F$12,ROW()-1),INDEX(Lists!$G$3:$G$126,ROW()-1)),"")</f>
        <v/>
      </c>
      <c r="K199">
        <f>IF(J199="","",SUMPRODUCT(($A$2:$A$636=1)*($G$2:$G$636=J199)))</f>
        <v/>
      </c>
      <c r="L199">
        <f>IF(J199="","",SUMPRODUCT(($A$2:$A$636=1)*($G$2:$G$636=J199)*(ISNUMBER($B$2:$B$636))*($B$2:$B$636&lt;0.5)))</f>
        <v/>
      </c>
      <c r="M199">
        <f>IFERROR(L199/K199,"")</f>
        <v/>
      </c>
      <c r="N199">
        <f>IF(K199="","",M199+K199/100000+ROW()/100000000)</f>
        <v/>
      </c>
      <c r="R199">
        <f>IF(A199=1,IFERROR(I199,0)+ROW()/100000000,-1E+99)</f>
        <v/>
      </c>
      <c r="S199">
        <f>IF(A199=1,IFERROR(Raw_data!$T199,""),"")</f>
        <v/>
      </c>
      <c r="T199">
        <f>IF(A199=1,IFERROR(Raw_data!$AA199,""),"")</f>
        <v/>
      </c>
      <c r="U199">
        <f>IF(A199=1,IFERROR(Raw_data!$U199,""),"")</f>
        <v/>
      </c>
      <c r="V199">
        <f>IF(A199=1,IFERROR(Raw_data!$AB199,""),"")</f>
        <v/>
      </c>
    </row>
    <row r="200">
      <c r="A200">
        <f>--(AND(OR(Dashboard!$B$4="All",Raw_data!$AL200=Dashboard!$B$4),OR(Dashboard!$B$5="All",Raw_data!$AM200=Dashboard!$B$5),OR(Dashboard!$B$6="All",Raw_data!$AN200=Dashboard!$B$6),OR(Dashboard!$B$7="All",Raw_data!$AO200=Dashboard!$B$7),OR(Dashboard!$B$8="All",Raw_data!$AP200=Dashboard!$B$8),OR(Dashboard!$B$9="All",Raw_data!$AQ200=Dashboard!$B$9),OR(Dashboard!$B$10="All",Raw_data!$AF200=Dashboard!$B$10),OR(Raw_data!$F200="",Raw_data!$F200&lt;=TODAY())))</f>
        <v/>
      </c>
      <c r="B200">
        <f>IFERROR(IF(Dashboard!$B$3="Weighted",Raw_data!$U200,Raw_data!$T200),"")</f>
        <v/>
      </c>
      <c r="C200">
        <f>IFERROR(IF(Dashboard!$B$3="Weighted",Raw_data!$AB200,Raw_data!$AA200),"")</f>
        <v/>
      </c>
      <c r="D200">
        <f>IF(OR(Raw_data!$J200="",Raw_data!$J200&lt;=0,Raw_data!$K200=""),"",IF(Raw_data!$K200&gt;TODAY(),0,DATEDIF(Raw_data!$K200,TODAY(),"M")))</f>
        <v/>
      </c>
      <c r="E200">
        <f>--(AND(Raw_data!$AF200="No",OR(Raw_data!$AG200&lt;&gt;"",Raw_data!$AJ200&gt;0,Raw_data!$AK200&lt;&gt;"")))</f>
        <v/>
      </c>
      <c r="F200">
        <f>--(OR(AND(ISNUMBER(B200),B200&lt;0.5,OR(D200&gt;=24,Raw_data!$I200&gt;0)),Raw_data!$AE200=TRUE))</f>
        <v/>
      </c>
      <c r="G200">
        <f>IF(Dashboard!$B$11="Department",Raw_data!$AL200,IF(Dashboard!$B$11="Team",Raw_data!$AM200,IF(Dashboard!$B$11="Unit",Raw_data!$AN200,IF(Dashboard!$B$11="Legal entity",Raw_data!$AO200,IF(Dashboard!$B$11="Location",Raw_data!$AP200,Raw_data!$AQ200)))))</f>
        <v/>
      </c>
      <c r="H200">
        <f>--(AND(ISNUMBER(B200),B200&lt;0.5))</f>
        <v/>
      </c>
      <c r="I200">
        <f>IFERROR(MAX(0,(0.5-B200)*100),0)+IF(D200&gt;=24,20,0)+IF(Raw_data!$I200&gt;0,20,0)+IF(Raw_data!$AE200=TRUE,10,0)</f>
        <v/>
      </c>
      <c r="J200">
        <f>IFERROR(CHOOSE(MATCH(Dashboard!$B$11,{"Department","Team","Unit","Legal entity","Location","Lead"},0),INDEX(Lists!$B$3:$B$20,ROW()-1),INDEX(Lists!$C$3:$C$146,ROW()-1),INDEX(Lists!$D$3:$D$67,ROW()-1),INDEX(Lists!$E$3:$E$5,ROW()-1),INDEX(Lists!$F$3:$F$12,ROW()-1),INDEX(Lists!$G$3:$G$126,ROW()-1)),"")</f>
        <v/>
      </c>
      <c r="K200">
        <f>IF(J200="","",SUMPRODUCT(($A$2:$A$636=1)*($G$2:$G$636=J200)))</f>
        <v/>
      </c>
      <c r="L200">
        <f>IF(J200="","",SUMPRODUCT(($A$2:$A$636=1)*($G$2:$G$636=J200)*(ISNUMBER($B$2:$B$636))*($B$2:$B$636&lt;0.5)))</f>
        <v/>
      </c>
      <c r="M200">
        <f>IFERROR(L200/K200,"")</f>
        <v/>
      </c>
      <c r="N200">
        <f>IF(K200="","",M200+K200/100000+ROW()/100000000)</f>
        <v/>
      </c>
      <c r="R200">
        <f>IF(A200=1,IFERROR(I200,0)+ROW()/100000000,-1E+99)</f>
        <v/>
      </c>
      <c r="S200">
        <f>IF(A200=1,IFERROR(Raw_data!$T200,""),"")</f>
        <v/>
      </c>
      <c r="T200">
        <f>IF(A200=1,IFERROR(Raw_data!$AA200,""),"")</f>
        <v/>
      </c>
      <c r="U200">
        <f>IF(A200=1,IFERROR(Raw_data!$U200,""),"")</f>
        <v/>
      </c>
      <c r="V200">
        <f>IF(A200=1,IFERROR(Raw_data!$AB200,""),"")</f>
        <v/>
      </c>
    </row>
    <row r="201">
      <c r="A201">
        <f>--(AND(OR(Dashboard!$B$4="All",Raw_data!$AL201=Dashboard!$B$4),OR(Dashboard!$B$5="All",Raw_data!$AM201=Dashboard!$B$5),OR(Dashboard!$B$6="All",Raw_data!$AN201=Dashboard!$B$6),OR(Dashboard!$B$7="All",Raw_data!$AO201=Dashboard!$B$7),OR(Dashboard!$B$8="All",Raw_data!$AP201=Dashboard!$B$8),OR(Dashboard!$B$9="All",Raw_data!$AQ201=Dashboard!$B$9),OR(Dashboard!$B$10="All",Raw_data!$AF201=Dashboard!$B$10),OR(Raw_data!$F201="",Raw_data!$F201&lt;=TODAY())))</f>
        <v/>
      </c>
      <c r="B201">
        <f>IFERROR(IF(Dashboard!$B$3="Weighted",Raw_data!$U201,Raw_data!$T201),"")</f>
        <v/>
      </c>
      <c r="C201">
        <f>IFERROR(IF(Dashboard!$B$3="Weighted",Raw_data!$AB201,Raw_data!$AA201),"")</f>
        <v/>
      </c>
      <c r="D201">
        <f>IF(OR(Raw_data!$J201="",Raw_data!$J201&lt;=0,Raw_data!$K201=""),"",IF(Raw_data!$K201&gt;TODAY(),0,DATEDIF(Raw_data!$K201,TODAY(),"M")))</f>
        <v/>
      </c>
      <c r="E201">
        <f>--(AND(Raw_data!$AF201="No",OR(Raw_data!$AG201&lt;&gt;"",Raw_data!$AJ201&gt;0,Raw_data!$AK201&lt;&gt;"")))</f>
        <v/>
      </c>
      <c r="F201">
        <f>--(OR(AND(ISNUMBER(B201),B201&lt;0.5,OR(D201&gt;=24,Raw_data!$I201&gt;0)),Raw_data!$AE201=TRUE))</f>
        <v/>
      </c>
      <c r="G201">
        <f>IF(Dashboard!$B$11="Department",Raw_data!$AL201,IF(Dashboard!$B$11="Team",Raw_data!$AM201,IF(Dashboard!$B$11="Unit",Raw_data!$AN201,IF(Dashboard!$B$11="Legal entity",Raw_data!$AO201,IF(Dashboard!$B$11="Location",Raw_data!$AP201,Raw_data!$AQ201)))))</f>
        <v/>
      </c>
      <c r="H201">
        <f>--(AND(ISNUMBER(B201),B201&lt;0.5))</f>
        <v/>
      </c>
      <c r="I201">
        <f>IFERROR(MAX(0,(0.5-B201)*100),0)+IF(D201&gt;=24,20,0)+IF(Raw_data!$I201&gt;0,20,0)+IF(Raw_data!$AE201=TRUE,10,0)</f>
        <v/>
      </c>
      <c r="J201">
        <f>IFERROR(CHOOSE(MATCH(Dashboard!$B$11,{"Department","Team","Unit","Legal entity","Location","Lead"},0),INDEX(Lists!$B$3:$B$20,ROW()-1),INDEX(Lists!$C$3:$C$146,ROW()-1),INDEX(Lists!$D$3:$D$67,ROW()-1),INDEX(Lists!$E$3:$E$5,ROW()-1),INDEX(Lists!$F$3:$F$12,ROW()-1),INDEX(Lists!$G$3:$G$126,ROW()-1)),"")</f>
        <v/>
      </c>
      <c r="K201">
        <f>IF(J201="","",SUMPRODUCT(($A$2:$A$636=1)*($G$2:$G$636=J201)))</f>
        <v/>
      </c>
      <c r="L201">
        <f>IF(J201="","",SUMPRODUCT(($A$2:$A$636=1)*($G$2:$G$636=J201)*(ISNUMBER($B$2:$B$636))*($B$2:$B$636&lt;0.5)))</f>
        <v/>
      </c>
      <c r="M201">
        <f>IFERROR(L201/K201,"")</f>
        <v/>
      </c>
      <c r="N201">
        <f>IF(K201="","",M201+K201/100000+ROW()/100000000)</f>
        <v/>
      </c>
      <c r="R201">
        <f>IF(A201=1,IFERROR(I201,0)+ROW()/100000000,-1E+99)</f>
        <v/>
      </c>
      <c r="S201">
        <f>IF(A201=1,IFERROR(Raw_data!$T201,""),"")</f>
        <v/>
      </c>
      <c r="T201">
        <f>IF(A201=1,IFERROR(Raw_data!$AA201,""),"")</f>
        <v/>
      </c>
      <c r="U201">
        <f>IF(A201=1,IFERROR(Raw_data!$U201,""),"")</f>
        <v/>
      </c>
      <c r="V201">
        <f>IF(A201=1,IFERROR(Raw_data!$AB201,""),"")</f>
        <v/>
      </c>
    </row>
    <row r="202">
      <c r="A202">
        <f>--(AND(OR(Dashboard!$B$4="All",Raw_data!$AL202=Dashboard!$B$4),OR(Dashboard!$B$5="All",Raw_data!$AM202=Dashboard!$B$5),OR(Dashboard!$B$6="All",Raw_data!$AN202=Dashboard!$B$6),OR(Dashboard!$B$7="All",Raw_data!$AO202=Dashboard!$B$7),OR(Dashboard!$B$8="All",Raw_data!$AP202=Dashboard!$B$8),OR(Dashboard!$B$9="All",Raw_data!$AQ202=Dashboard!$B$9),OR(Dashboard!$B$10="All",Raw_data!$AF202=Dashboard!$B$10),OR(Raw_data!$F202="",Raw_data!$F202&lt;=TODAY())))</f>
        <v/>
      </c>
      <c r="B202">
        <f>IFERROR(IF(Dashboard!$B$3="Weighted",Raw_data!$U202,Raw_data!$T202),"")</f>
        <v/>
      </c>
      <c r="C202">
        <f>IFERROR(IF(Dashboard!$B$3="Weighted",Raw_data!$AB202,Raw_data!$AA202),"")</f>
        <v/>
      </c>
      <c r="D202">
        <f>IF(OR(Raw_data!$J202="",Raw_data!$J202&lt;=0,Raw_data!$K202=""),"",IF(Raw_data!$K202&gt;TODAY(),0,DATEDIF(Raw_data!$K202,TODAY(),"M")))</f>
        <v/>
      </c>
      <c r="E202">
        <f>--(AND(Raw_data!$AF202="No",OR(Raw_data!$AG202&lt;&gt;"",Raw_data!$AJ202&gt;0,Raw_data!$AK202&lt;&gt;"")))</f>
        <v/>
      </c>
      <c r="F202">
        <f>--(OR(AND(ISNUMBER(B202),B202&lt;0.5,OR(D202&gt;=24,Raw_data!$I202&gt;0)),Raw_data!$AE202=TRUE))</f>
        <v/>
      </c>
      <c r="G202">
        <f>IF(Dashboard!$B$11="Department",Raw_data!$AL202,IF(Dashboard!$B$11="Team",Raw_data!$AM202,IF(Dashboard!$B$11="Unit",Raw_data!$AN202,IF(Dashboard!$B$11="Legal entity",Raw_data!$AO202,IF(Dashboard!$B$11="Location",Raw_data!$AP202,Raw_data!$AQ202)))))</f>
        <v/>
      </c>
      <c r="H202">
        <f>--(AND(ISNUMBER(B202),B202&lt;0.5))</f>
        <v/>
      </c>
      <c r="I202">
        <f>IFERROR(MAX(0,(0.5-B202)*100),0)+IF(D202&gt;=24,20,0)+IF(Raw_data!$I202&gt;0,20,0)+IF(Raw_data!$AE202=TRUE,10,0)</f>
        <v/>
      </c>
      <c r="J202">
        <f>IFERROR(CHOOSE(MATCH(Dashboard!$B$11,{"Department","Team","Unit","Legal entity","Location","Lead"},0),INDEX(Lists!$B$3:$B$20,ROW()-1),INDEX(Lists!$C$3:$C$146,ROW()-1),INDEX(Lists!$D$3:$D$67,ROW()-1),INDEX(Lists!$E$3:$E$5,ROW()-1),INDEX(Lists!$F$3:$F$12,ROW()-1),INDEX(Lists!$G$3:$G$126,ROW()-1)),"")</f>
        <v/>
      </c>
      <c r="K202">
        <f>IF(J202="","",SUMPRODUCT(($A$2:$A$636=1)*($G$2:$G$636=J202)))</f>
        <v/>
      </c>
      <c r="L202">
        <f>IF(J202="","",SUMPRODUCT(($A$2:$A$636=1)*($G$2:$G$636=J202)*(ISNUMBER($B$2:$B$636))*($B$2:$B$636&lt;0.5)))</f>
        <v/>
      </c>
      <c r="M202">
        <f>IFERROR(L202/K202,"")</f>
        <v/>
      </c>
      <c r="N202">
        <f>IF(K202="","",M202+K202/100000+ROW()/100000000)</f>
        <v/>
      </c>
      <c r="R202">
        <f>IF(A202=1,IFERROR(I202,0)+ROW()/100000000,-1E+99)</f>
        <v/>
      </c>
      <c r="S202">
        <f>IF(A202=1,IFERROR(Raw_data!$T202,""),"")</f>
        <v/>
      </c>
      <c r="T202">
        <f>IF(A202=1,IFERROR(Raw_data!$AA202,""),"")</f>
        <v/>
      </c>
      <c r="U202">
        <f>IF(A202=1,IFERROR(Raw_data!$U202,""),"")</f>
        <v/>
      </c>
      <c r="V202">
        <f>IF(A202=1,IFERROR(Raw_data!$AB202,""),"")</f>
        <v/>
      </c>
    </row>
    <row r="203">
      <c r="A203">
        <f>--(AND(OR(Dashboard!$B$4="All",Raw_data!$AL203=Dashboard!$B$4),OR(Dashboard!$B$5="All",Raw_data!$AM203=Dashboard!$B$5),OR(Dashboard!$B$6="All",Raw_data!$AN203=Dashboard!$B$6),OR(Dashboard!$B$7="All",Raw_data!$AO203=Dashboard!$B$7),OR(Dashboard!$B$8="All",Raw_data!$AP203=Dashboard!$B$8),OR(Dashboard!$B$9="All",Raw_data!$AQ203=Dashboard!$B$9),OR(Dashboard!$B$10="All",Raw_data!$AF203=Dashboard!$B$10),OR(Raw_data!$F203="",Raw_data!$F203&lt;=TODAY())))</f>
        <v/>
      </c>
      <c r="B203">
        <f>IFERROR(IF(Dashboard!$B$3="Weighted",Raw_data!$U203,Raw_data!$T203),"")</f>
        <v/>
      </c>
      <c r="C203">
        <f>IFERROR(IF(Dashboard!$B$3="Weighted",Raw_data!$AB203,Raw_data!$AA203),"")</f>
        <v/>
      </c>
      <c r="D203">
        <f>IF(OR(Raw_data!$J203="",Raw_data!$J203&lt;=0,Raw_data!$K203=""),"",IF(Raw_data!$K203&gt;TODAY(),0,DATEDIF(Raw_data!$K203,TODAY(),"M")))</f>
        <v/>
      </c>
      <c r="E203">
        <f>--(AND(Raw_data!$AF203="No",OR(Raw_data!$AG203&lt;&gt;"",Raw_data!$AJ203&gt;0,Raw_data!$AK203&lt;&gt;"")))</f>
        <v/>
      </c>
      <c r="F203">
        <f>--(OR(AND(ISNUMBER(B203),B203&lt;0.5,OR(D203&gt;=24,Raw_data!$I203&gt;0)),Raw_data!$AE203=TRUE))</f>
        <v/>
      </c>
      <c r="G203">
        <f>IF(Dashboard!$B$11="Department",Raw_data!$AL203,IF(Dashboard!$B$11="Team",Raw_data!$AM203,IF(Dashboard!$B$11="Unit",Raw_data!$AN203,IF(Dashboard!$B$11="Legal entity",Raw_data!$AO203,IF(Dashboard!$B$11="Location",Raw_data!$AP203,Raw_data!$AQ203)))))</f>
        <v/>
      </c>
      <c r="H203">
        <f>--(AND(ISNUMBER(B203),B203&lt;0.5))</f>
        <v/>
      </c>
      <c r="I203">
        <f>IFERROR(MAX(0,(0.5-B203)*100),0)+IF(D203&gt;=24,20,0)+IF(Raw_data!$I203&gt;0,20,0)+IF(Raw_data!$AE203=TRUE,10,0)</f>
        <v/>
      </c>
      <c r="J203">
        <f>IFERROR(CHOOSE(MATCH(Dashboard!$B$11,{"Department","Team","Unit","Legal entity","Location","Lead"},0),INDEX(Lists!$B$3:$B$20,ROW()-1),INDEX(Lists!$C$3:$C$146,ROW()-1),INDEX(Lists!$D$3:$D$67,ROW()-1),INDEX(Lists!$E$3:$E$5,ROW()-1),INDEX(Lists!$F$3:$F$12,ROW()-1),INDEX(Lists!$G$3:$G$126,ROW()-1)),"")</f>
        <v/>
      </c>
      <c r="K203">
        <f>IF(J203="","",SUMPRODUCT(($A$2:$A$636=1)*($G$2:$G$636=J203)))</f>
        <v/>
      </c>
      <c r="L203">
        <f>IF(J203="","",SUMPRODUCT(($A$2:$A$636=1)*($G$2:$G$636=J203)*(ISNUMBER($B$2:$B$636))*($B$2:$B$636&lt;0.5)))</f>
        <v/>
      </c>
      <c r="M203">
        <f>IFERROR(L203/K203,"")</f>
        <v/>
      </c>
      <c r="N203">
        <f>IF(K203="","",M203+K203/100000+ROW()/100000000)</f>
        <v/>
      </c>
      <c r="R203">
        <f>IF(A203=1,IFERROR(I203,0)+ROW()/100000000,-1E+99)</f>
        <v/>
      </c>
      <c r="S203">
        <f>IF(A203=1,IFERROR(Raw_data!$T203,""),"")</f>
        <v/>
      </c>
      <c r="T203">
        <f>IF(A203=1,IFERROR(Raw_data!$AA203,""),"")</f>
        <v/>
      </c>
      <c r="U203">
        <f>IF(A203=1,IFERROR(Raw_data!$U203,""),"")</f>
        <v/>
      </c>
      <c r="V203">
        <f>IF(A203=1,IFERROR(Raw_data!$AB203,""),"")</f>
        <v/>
      </c>
    </row>
    <row r="204">
      <c r="A204">
        <f>--(AND(OR(Dashboard!$B$4="All",Raw_data!$AL204=Dashboard!$B$4),OR(Dashboard!$B$5="All",Raw_data!$AM204=Dashboard!$B$5),OR(Dashboard!$B$6="All",Raw_data!$AN204=Dashboard!$B$6),OR(Dashboard!$B$7="All",Raw_data!$AO204=Dashboard!$B$7),OR(Dashboard!$B$8="All",Raw_data!$AP204=Dashboard!$B$8),OR(Dashboard!$B$9="All",Raw_data!$AQ204=Dashboard!$B$9),OR(Dashboard!$B$10="All",Raw_data!$AF204=Dashboard!$B$10),OR(Raw_data!$F204="",Raw_data!$F204&lt;=TODAY())))</f>
        <v/>
      </c>
      <c r="B204">
        <f>IFERROR(IF(Dashboard!$B$3="Weighted",Raw_data!$U204,Raw_data!$T204),"")</f>
        <v/>
      </c>
      <c r="C204">
        <f>IFERROR(IF(Dashboard!$B$3="Weighted",Raw_data!$AB204,Raw_data!$AA204),"")</f>
        <v/>
      </c>
      <c r="D204">
        <f>IF(OR(Raw_data!$J204="",Raw_data!$J204&lt;=0,Raw_data!$K204=""),"",IF(Raw_data!$K204&gt;TODAY(),0,DATEDIF(Raw_data!$K204,TODAY(),"M")))</f>
        <v/>
      </c>
      <c r="E204">
        <f>--(AND(Raw_data!$AF204="No",OR(Raw_data!$AG204&lt;&gt;"",Raw_data!$AJ204&gt;0,Raw_data!$AK204&lt;&gt;"")))</f>
        <v/>
      </c>
      <c r="F204">
        <f>--(OR(AND(ISNUMBER(B204),B204&lt;0.5,OR(D204&gt;=24,Raw_data!$I204&gt;0)),Raw_data!$AE204=TRUE))</f>
        <v/>
      </c>
      <c r="G204">
        <f>IF(Dashboard!$B$11="Department",Raw_data!$AL204,IF(Dashboard!$B$11="Team",Raw_data!$AM204,IF(Dashboard!$B$11="Unit",Raw_data!$AN204,IF(Dashboard!$B$11="Legal entity",Raw_data!$AO204,IF(Dashboard!$B$11="Location",Raw_data!$AP204,Raw_data!$AQ204)))))</f>
        <v/>
      </c>
      <c r="H204">
        <f>--(AND(ISNUMBER(B204),B204&lt;0.5))</f>
        <v/>
      </c>
      <c r="I204">
        <f>IFERROR(MAX(0,(0.5-B204)*100),0)+IF(D204&gt;=24,20,0)+IF(Raw_data!$I204&gt;0,20,0)+IF(Raw_data!$AE204=TRUE,10,0)</f>
        <v/>
      </c>
      <c r="J204">
        <f>IFERROR(CHOOSE(MATCH(Dashboard!$B$11,{"Department","Team","Unit","Legal entity","Location","Lead"},0),INDEX(Lists!$B$3:$B$20,ROW()-1),INDEX(Lists!$C$3:$C$146,ROW()-1),INDEX(Lists!$D$3:$D$67,ROW()-1),INDEX(Lists!$E$3:$E$5,ROW()-1),INDEX(Lists!$F$3:$F$12,ROW()-1),INDEX(Lists!$G$3:$G$126,ROW()-1)),"")</f>
        <v/>
      </c>
      <c r="K204">
        <f>IF(J204="","",SUMPRODUCT(($A$2:$A$636=1)*($G$2:$G$636=J204)))</f>
        <v/>
      </c>
      <c r="L204">
        <f>IF(J204="","",SUMPRODUCT(($A$2:$A$636=1)*($G$2:$G$636=J204)*(ISNUMBER($B$2:$B$636))*($B$2:$B$636&lt;0.5)))</f>
        <v/>
      </c>
      <c r="M204">
        <f>IFERROR(L204/K204,"")</f>
        <v/>
      </c>
      <c r="N204">
        <f>IF(K204="","",M204+K204/100000+ROW()/100000000)</f>
        <v/>
      </c>
      <c r="R204">
        <f>IF(A204=1,IFERROR(I204,0)+ROW()/100000000,-1E+99)</f>
        <v/>
      </c>
      <c r="S204">
        <f>IF(A204=1,IFERROR(Raw_data!$T204,""),"")</f>
        <v/>
      </c>
      <c r="T204">
        <f>IF(A204=1,IFERROR(Raw_data!$AA204,""),"")</f>
        <v/>
      </c>
      <c r="U204">
        <f>IF(A204=1,IFERROR(Raw_data!$U204,""),"")</f>
        <v/>
      </c>
      <c r="V204">
        <f>IF(A204=1,IFERROR(Raw_data!$AB204,""),"")</f>
        <v/>
      </c>
    </row>
    <row r="205">
      <c r="A205">
        <f>--(AND(OR(Dashboard!$B$4="All",Raw_data!$AL205=Dashboard!$B$4),OR(Dashboard!$B$5="All",Raw_data!$AM205=Dashboard!$B$5),OR(Dashboard!$B$6="All",Raw_data!$AN205=Dashboard!$B$6),OR(Dashboard!$B$7="All",Raw_data!$AO205=Dashboard!$B$7),OR(Dashboard!$B$8="All",Raw_data!$AP205=Dashboard!$B$8),OR(Dashboard!$B$9="All",Raw_data!$AQ205=Dashboard!$B$9),OR(Dashboard!$B$10="All",Raw_data!$AF205=Dashboard!$B$10),OR(Raw_data!$F205="",Raw_data!$F205&lt;=TODAY())))</f>
        <v/>
      </c>
      <c r="B205">
        <f>IFERROR(IF(Dashboard!$B$3="Weighted",Raw_data!$U205,Raw_data!$T205),"")</f>
        <v/>
      </c>
      <c r="C205">
        <f>IFERROR(IF(Dashboard!$B$3="Weighted",Raw_data!$AB205,Raw_data!$AA205),"")</f>
        <v/>
      </c>
      <c r="D205">
        <f>IF(OR(Raw_data!$J205="",Raw_data!$J205&lt;=0,Raw_data!$K205=""),"",IF(Raw_data!$K205&gt;TODAY(),0,DATEDIF(Raw_data!$K205,TODAY(),"M")))</f>
        <v/>
      </c>
      <c r="E205">
        <f>--(AND(Raw_data!$AF205="No",OR(Raw_data!$AG205&lt;&gt;"",Raw_data!$AJ205&gt;0,Raw_data!$AK205&lt;&gt;"")))</f>
        <v/>
      </c>
      <c r="F205">
        <f>--(OR(AND(ISNUMBER(B205),B205&lt;0.5,OR(D205&gt;=24,Raw_data!$I205&gt;0)),Raw_data!$AE205=TRUE))</f>
        <v/>
      </c>
      <c r="G205">
        <f>IF(Dashboard!$B$11="Department",Raw_data!$AL205,IF(Dashboard!$B$11="Team",Raw_data!$AM205,IF(Dashboard!$B$11="Unit",Raw_data!$AN205,IF(Dashboard!$B$11="Legal entity",Raw_data!$AO205,IF(Dashboard!$B$11="Location",Raw_data!$AP205,Raw_data!$AQ205)))))</f>
        <v/>
      </c>
      <c r="H205">
        <f>--(AND(ISNUMBER(B205),B205&lt;0.5))</f>
        <v/>
      </c>
      <c r="I205">
        <f>IFERROR(MAX(0,(0.5-B205)*100),0)+IF(D205&gt;=24,20,0)+IF(Raw_data!$I205&gt;0,20,0)+IF(Raw_data!$AE205=TRUE,10,0)</f>
        <v/>
      </c>
      <c r="J205">
        <f>IFERROR(CHOOSE(MATCH(Dashboard!$B$11,{"Department","Team","Unit","Legal entity","Location","Lead"},0),INDEX(Lists!$B$3:$B$20,ROW()-1),INDEX(Lists!$C$3:$C$146,ROW()-1),INDEX(Lists!$D$3:$D$67,ROW()-1),INDEX(Lists!$E$3:$E$5,ROW()-1),INDEX(Lists!$F$3:$F$12,ROW()-1),INDEX(Lists!$G$3:$G$126,ROW()-1)),"")</f>
        <v/>
      </c>
      <c r="K205">
        <f>IF(J205="","",SUMPRODUCT(($A$2:$A$636=1)*($G$2:$G$636=J205)))</f>
        <v/>
      </c>
      <c r="L205">
        <f>IF(J205="","",SUMPRODUCT(($A$2:$A$636=1)*($G$2:$G$636=J205)*(ISNUMBER($B$2:$B$636))*($B$2:$B$636&lt;0.5)))</f>
        <v/>
      </c>
      <c r="M205">
        <f>IFERROR(L205/K205,"")</f>
        <v/>
      </c>
      <c r="N205">
        <f>IF(K205="","",M205+K205/100000+ROW()/100000000)</f>
        <v/>
      </c>
      <c r="R205">
        <f>IF(A205=1,IFERROR(I205,0)+ROW()/100000000,-1E+99)</f>
        <v/>
      </c>
      <c r="S205">
        <f>IF(A205=1,IFERROR(Raw_data!$T205,""),"")</f>
        <v/>
      </c>
      <c r="T205">
        <f>IF(A205=1,IFERROR(Raw_data!$AA205,""),"")</f>
        <v/>
      </c>
      <c r="U205">
        <f>IF(A205=1,IFERROR(Raw_data!$U205,""),"")</f>
        <v/>
      </c>
      <c r="V205">
        <f>IF(A205=1,IFERROR(Raw_data!$AB205,""),"")</f>
        <v/>
      </c>
    </row>
    <row r="206">
      <c r="A206">
        <f>--(AND(OR(Dashboard!$B$4="All",Raw_data!$AL206=Dashboard!$B$4),OR(Dashboard!$B$5="All",Raw_data!$AM206=Dashboard!$B$5),OR(Dashboard!$B$6="All",Raw_data!$AN206=Dashboard!$B$6),OR(Dashboard!$B$7="All",Raw_data!$AO206=Dashboard!$B$7),OR(Dashboard!$B$8="All",Raw_data!$AP206=Dashboard!$B$8),OR(Dashboard!$B$9="All",Raw_data!$AQ206=Dashboard!$B$9),OR(Dashboard!$B$10="All",Raw_data!$AF206=Dashboard!$B$10),OR(Raw_data!$F206="",Raw_data!$F206&lt;=TODAY())))</f>
        <v/>
      </c>
      <c r="B206">
        <f>IFERROR(IF(Dashboard!$B$3="Weighted",Raw_data!$U206,Raw_data!$T206),"")</f>
        <v/>
      </c>
      <c r="C206">
        <f>IFERROR(IF(Dashboard!$B$3="Weighted",Raw_data!$AB206,Raw_data!$AA206),"")</f>
        <v/>
      </c>
      <c r="D206">
        <f>IF(OR(Raw_data!$J206="",Raw_data!$J206&lt;=0,Raw_data!$K206=""),"",IF(Raw_data!$K206&gt;TODAY(),0,DATEDIF(Raw_data!$K206,TODAY(),"M")))</f>
        <v/>
      </c>
      <c r="E206">
        <f>--(AND(Raw_data!$AF206="No",OR(Raw_data!$AG206&lt;&gt;"",Raw_data!$AJ206&gt;0,Raw_data!$AK206&lt;&gt;"")))</f>
        <v/>
      </c>
      <c r="F206">
        <f>--(OR(AND(ISNUMBER(B206),B206&lt;0.5,OR(D206&gt;=24,Raw_data!$I206&gt;0)),Raw_data!$AE206=TRUE))</f>
        <v/>
      </c>
      <c r="G206">
        <f>IF(Dashboard!$B$11="Department",Raw_data!$AL206,IF(Dashboard!$B$11="Team",Raw_data!$AM206,IF(Dashboard!$B$11="Unit",Raw_data!$AN206,IF(Dashboard!$B$11="Legal entity",Raw_data!$AO206,IF(Dashboard!$B$11="Location",Raw_data!$AP206,Raw_data!$AQ206)))))</f>
        <v/>
      </c>
      <c r="H206">
        <f>--(AND(ISNUMBER(B206),B206&lt;0.5))</f>
        <v/>
      </c>
      <c r="I206">
        <f>IFERROR(MAX(0,(0.5-B206)*100),0)+IF(D206&gt;=24,20,0)+IF(Raw_data!$I206&gt;0,20,0)+IF(Raw_data!$AE206=TRUE,10,0)</f>
        <v/>
      </c>
      <c r="J206">
        <f>IFERROR(CHOOSE(MATCH(Dashboard!$B$11,{"Department","Team","Unit","Legal entity","Location","Lead"},0),INDEX(Lists!$B$3:$B$20,ROW()-1),INDEX(Lists!$C$3:$C$146,ROW()-1),INDEX(Lists!$D$3:$D$67,ROW()-1),INDEX(Lists!$E$3:$E$5,ROW()-1),INDEX(Lists!$F$3:$F$12,ROW()-1),INDEX(Lists!$G$3:$G$126,ROW()-1)),"")</f>
        <v/>
      </c>
      <c r="K206">
        <f>IF(J206="","",SUMPRODUCT(($A$2:$A$636=1)*($G$2:$G$636=J206)))</f>
        <v/>
      </c>
      <c r="L206">
        <f>IF(J206="","",SUMPRODUCT(($A$2:$A$636=1)*($G$2:$G$636=J206)*(ISNUMBER($B$2:$B$636))*($B$2:$B$636&lt;0.5)))</f>
        <v/>
      </c>
      <c r="M206">
        <f>IFERROR(L206/K206,"")</f>
        <v/>
      </c>
      <c r="N206">
        <f>IF(K206="","",M206+K206/100000+ROW()/100000000)</f>
        <v/>
      </c>
      <c r="R206">
        <f>IF(A206=1,IFERROR(I206,0)+ROW()/100000000,-1E+99)</f>
        <v/>
      </c>
      <c r="S206">
        <f>IF(A206=1,IFERROR(Raw_data!$T206,""),"")</f>
        <v/>
      </c>
      <c r="T206">
        <f>IF(A206=1,IFERROR(Raw_data!$AA206,""),"")</f>
        <v/>
      </c>
      <c r="U206">
        <f>IF(A206=1,IFERROR(Raw_data!$U206,""),"")</f>
        <v/>
      </c>
      <c r="V206">
        <f>IF(A206=1,IFERROR(Raw_data!$AB206,""),"")</f>
        <v/>
      </c>
    </row>
    <row r="207">
      <c r="A207">
        <f>--(AND(OR(Dashboard!$B$4="All",Raw_data!$AL207=Dashboard!$B$4),OR(Dashboard!$B$5="All",Raw_data!$AM207=Dashboard!$B$5),OR(Dashboard!$B$6="All",Raw_data!$AN207=Dashboard!$B$6),OR(Dashboard!$B$7="All",Raw_data!$AO207=Dashboard!$B$7),OR(Dashboard!$B$8="All",Raw_data!$AP207=Dashboard!$B$8),OR(Dashboard!$B$9="All",Raw_data!$AQ207=Dashboard!$B$9),OR(Dashboard!$B$10="All",Raw_data!$AF207=Dashboard!$B$10),OR(Raw_data!$F207="",Raw_data!$F207&lt;=TODAY())))</f>
        <v/>
      </c>
      <c r="B207">
        <f>IFERROR(IF(Dashboard!$B$3="Weighted",Raw_data!$U207,Raw_data!$T207),"")</f>
        <v/>
      </c>
      <c r="C207">
        <f>IFERROR(IF(Dashboard!$B$3="Weighted",Raw_data!$AB207,Raw_data!$AA207),"")</f>
        <v/>
      </c>
      <c r="D207">
        <f>IF(OR(Raw_data!$J207="",Raw_data!$J207&lt;=0,Raw_data!$K207=""),"",IF(Raw_data!$K207&gt;TODAY(),0,DATEDIF(Raw_data!$K207,TODAY(),"M")))</f>
        <v/>
      </c>
      <c r="E207">
        <f>--(AND(Raw_data!$AF207="No",OR(Raw_data!$AG207&lt;&gt;"",Raw_data!$AJ207&gt;0,Raw_data!$AK207&lt;&gt;"")))</f>
        <v/>
      </c>
      <c r="F207">
        <f>--(OR(AND(ISNUMBER(B207),B207&lt;0.5,OR(D207&gt;=24,Raw_data!$I207&gt;0)),Raw_data!$AE207=TRUE))</f>
        <v/>
      </c>
      <c r="G207">
        <f>IF(Dashboard!$B$11="Department",Raw_data!$AL207,IF(Dashboard!$B$11="Team",Raw_data!$AM207,IF(Dashboard!$B$11="Unit",Raw_data!$AN207,IF(Dashboard!$B$11="Legal entity",Raw_data!$AO207,IF(Dashboard!$B$11="Location",Raw_data!$AP207,Raw_data!$AQ207)))))</f>
        <v/>
      </c>
      <c r="H207">
        <f>--(AND(ISNUMBER(B207),B207&lt;0.5))</f>
        <v/>
      </c>
      <c r="I207">
        <f>IFERROR(MAX(0,(0.5-B207)*100),0)+IF(D207&gt;=24,20,0)+IF(Raw_data!$I207&gt;0,20,0)+IF(Raw_data!$AE207=TRUE,10,0)</f>
        <v/>
      </c>
      <c r="J207">
        <f>IFERROR(CHOOSE(MATCH(Dashboard!$B$11,{"Department","Team","Unit","Legal entity","Location","Lead"},0),INDEX(Lists!$B$3:$B$20,ROW()-1),INDEX(Lists!$C$3:$C$146,ROW()-1),INDEX(Lists!$D$3:$D$67,ROW()-1),INDEX(Lists!$E$3:$E$5,ROW()-1),INDEX(Lists!$F$3:$F$12,ROW()-1),INDEX(Lists!$G$3:$G$126,ROW()-1)),"")</f>
        <v/>
      </c>
      <c r="K207">
        <f>IF(J207="","",SUMPRODUCT(($A$2:$A$636=1)*($G$2:$G$636=J207)))</f>
        <v/>
      </c>
      <c r="L207">
        <f>IF(J207="","",SUMPRODUCT(($A$2:$A$636=1)*($G$2:$G$636=J207)*(ISNUMBER($B$2:$B$636))*($B$2:$B$636&lt;0.5)))</f>
        <v/>
      </c>
      <c r="M207">
        <f>IFERROR(L207/K207,"")</f>
        <v/>
      </c>
      <c r="N207">
        <f>IF(K207="","",M207+K207/100000+ROW()/100000000)</f>
        <v/>
      </c>
      <c r="R207">
        <f>IF(A207=1,IFERROR(I207,0)+ROW()/100000000,-1E+99)</f>
        <v/>
      </c>
      <c r="S207">
        <f>IF(A207=1,IFERROR(Raw_data!$T207,""),"")</f>
        <v/>
      </c>
      <c r="T207">
        <f>IF(A207=1,IFERROR(Raw_data!$AA207,""),"")</f>
        <v/>
      </c>
      <c r="U207">
        <f>IF(A207=1,IFERROR(Raw_data!$U207,""),"")</f>
        <v/>
      </c>
      <c r="V207">
        <f>IF(A207=1,IFERROR(Raw_data!$AB207,""),"")</f>
        <v/>
      </c>
    </row>
    <row r="208">
      <c r="A208">
        <f>--(AND(OR(Dashboard!$B$4="All",Raw_data!$AL208=Dashboard!$B$4),OR(Dashboard!$B$5="All",Raw_data!$AM208=Dashboard!$B$5),OR(Dashboard!$B$6="All",Raw_data!$AN208=Dashboard!$B$6),OR(Dashboard!$B$7="All",Raw_data!$AO208=Dashboard!$B$7),OR(Dashboard!$B$8="All",Raw_data!$AP208=Dashboard!$B$8),OR(Dashboard!$B$9="All",Raw_data!$AQ208=Dashboard!$B$9),OR(Dashboard!$B$10="All",Raw_data!$AF208=Dashboard!$B$10),OR(Raw_data!$F208="",Raw_data!$F208&lt;=TODAY())))</f>
        <v/>
      </c>
      <c r="B208">
        <f>IFERROR(IF(Dashboard!$B$3="Weighted",Raw_data!$U208,Raw_data!$T208),"")</f>
        <v/>
      </c>
      <c r="C208">
        <f>IFERROR(IF(Dashboard!$B$3="Weighted",Raw_data!$AB208,Raw_data!$AA208),"")</f>
        <v/>
      </c>
      <c r="D208">
        <f>IF(OR(Raw_data!$J208="",Raw_data!$J208&lt;=0,Raw_data!$K208=""),"",IF(Raw_data!$K208&gt;TODAY(),0,DATEDIF(Raw_data!$K208,TODAY(),"M")))</f>
        <v/>
      </c>
      <c r="E208">
        <f>--(AND(Raw_data!$AF208="No",OR(Raw_data!$AG208&lt;&gt;"",Raw_data!$AJ208&gt;0,Raw_data!$AK208&lt;&gt;"")))</f>
        <v/>
      </c>
      <c r="F208">
        <f>--(OR(AND(ISNUMBER(B208),B208&lt;0.5,OR(D208&gt;=24,Raw_data!$I208&gt;0)),Raw_data!$AE208=TRUE))</f>
        <v/>
      </c>
      <c r="G208">
        <f>IF(Dashboard!$B$11="Department",Raw_data!$AL208,IF(Dashboard!$B$11="Team",Raw_data!$AM208,IF(Dashboard!$B$11="Unit",Raw_data!$AN208,IF(Dashboard!$B$11="Legal entity",Raw_data!$AO208,IF(Dashboard!$B$11="Location",Raw_data!$AP208,Raw_data!$AQ208)))))</f>
        <v/>
      </c>
      <c r="H208">
        <f>--(AND(ISNUMBER(B208),B208&lt;0.5))</f>
        <v/>
      </c>
      <c r="I208">
        <f>IFERROR(MAX(0,(0.5-B208)*100),0)+IF(D208&gt;=24,20,0)+IF(Raw_data!$I208&gt;0,20,0)+IF(Raw_data!$AE208=TRUE,10,0)</f>
        <v/>
      </c>
      <c r="J208">
        <f>IFERROR(CHOOSE(MATCH(Dashboard!$B$11,{"Department","Team","Unit","Legal entity","Location","Lead"},0),INDEX(Lists!$B$3:$B$20,ROW()-1),INDEX(Lists!$C$3:$C$146,ROW()-1),INDEX(Lists!$D$3:$D$67,ROW()-1),INDEX(Lists!$E$3:$E$5,ROW()-1),INDEX(Lists!$F$3:$F$12,ROW()-1),INDEX(Lists!$G$3:$G$126,ROW()-1)),"")</f>
        <v/>
      </c>
      <c r="K208">
        <f>IF(J208="","",SUMPRODUCT(($A$2:$A$636=1)*($G$2:$G$636=J208)))</f>
        <v/>
      </c>
      <c r="L208">
        <f>IF(J208="","",SUMPRODUCT(($A$2:$A$636=1)*($G$2:$G$636=J208)*(ISNUMBER($B$2:$B$636))*($B$2:$B$636&lt;0.5)))</f>
        <v/>
      </c>
      <c r="M208">
        <f>IFERROR(L208/K208,"")</f>
        <v/>
      </c>
      <c r="N208">
        <f>IF(K208="","",M208+K208/100000+ROW()/100000000)</f>
        <v/>
      </c>
      <c r="R208">
        <f>IF(A208=1,IFERROR(I208,0)+ROW()/100000000,-1E+99)</f>
        <v/>
      </c>
      <c r="S208">
        <f>IF(A208=1,IFERROR(Raw_data!$T208,""),"")</f>
        <v/>
      </c>
      <c r="T208">
        <f>IF(A208=1,IFERROR(Raw_data!$AA208,""),"")</f>
        <v/>
      </c>
      <c r="U208">
        <f>IF(A208=1,IFERROR(Raw_data!$U208,""),"")</f>
        <v/>
      </c>
      <c r="V208">
        <f>IF(A208=1,IFERROR(Raw_data!$AB208,""),"")</f>
        <v/>
      </c>
    </row>
    <row r="209">
      <c r="A209">
        <f>--(AND(OR(Dashboard!$B$4="All",Raw_data!$AL209=Dashboard!$B$4),OR(Dashboard!$B$5="All",Raw_data!$AM209=Dashboard!$B$5),OR(Dashboard!$B$6="All",Raw_data!$AN209=Dashboard!$B$6),OR(Dashboard!$B$7="All",Raw_data!$AO209=Dashboard!$B$7),OR(Dashboard!$B$8="All",Raw_data!$AP209=Dashboard!$B$8),OR(Dashboard!$B$9="All",Raw_data!$AQ209=Dashboard!$B$9),OR(Dashboard!$B$10="All",Raw_data!$AF209=Dashboard!$B$10),OR(Raw_data!$F209="",Raw_data!$F209&lt;=TODAY())))</f>
        <v/>
      </c>
      <c r="B209">
        <f>IFERROR(IF(Dashboard!$B$3="Weighted",Raw_data!$U209,Raw_data!$T209),"")</f>
        <v/>
      </c>
      <c r="C209">
        <f>IFERROR(IF(Dashboard!$B$3="Weighted",Raw_data!$AB209,Raw_data!$AA209),"")</f>
        <v/>
      </c>
      <c r="D209">
        <f>IF(OR(Raw_data!$J209="",Raw_data!$J209&lt;=0,Raw_data!$K209=""),"",IF(Raw_data!$K209&gt;TODAY(),0,DATEDIF(Raw_data!$K209,TODAY(),"M")))</f>
        <v/>
      </c>
      <c r="E209">
        <f>--(AND(Raw_data!$AF209="No",OR(Raw_data!$AG209&lt;&gt;"",Raw_data!$AJ209&gt;0,Raw_data!$AK209&lt;&gt;"")))</f>
        <v/>
      </c>
      <c r="F209">
        <f>--(OR(AND(ISNUMBER(B209),B209&lt;0.5,OR(D209&gt;=24,Raw_data!$I209&gt;0)),Raw_data!$AE209=TRUE))</f>
        <v/>
      </c>
      <c r="G209">
        <f>IF(Dashboard!$B$11="Department",Raw_data!$AL209,IF(Dashboard!$B$11="Team",Raw_data!$AM209,IF(Dashboard!$B$11="Unit",Raw_data!$AN209,IF(Dashboard!$B$11="Legal entity",Raw_data!$AO209,IF(Dashboard!$B$11="Location",Raw_data!$AP209,Raw_data!$AQ209)))))</f>
        <v/>
      </c>
      <c r="H209">
        <f>--(AND(ISNUMBER(B209),B209&lt;0.5))</f>
        <v/>
      </c>
      <c r="I209">
        <f>IFERROR(MAX(0,(0.5-B209)*100),0)+IF(D209&gt;=24,20,0)+IF(Raw_data!$I209&gt;0,20,0)+IF(Raw_data!$AE209=TRUE,10,0)</f>
        <v/>
      </c>
      <c r="J209">
        <f>IFERROR(CHOOSE(MATCH(Dashboard!$B$11,{"Department","Team","Unit","Legal entity","Location","Lead"},0),INDEX(Lists!$B$3:$B$20,ROW()-1),INDEX(Lists!$C$3:$C$146,ROW()-1),INDEX(Lists!$D$3:$D$67,ROW()-1),INDEX(Lists!$E$3:$E$5,ROW()-1),INDEX(Lists!$F$3:$F$12,ROW()-1),INDEX(Lists!$G$3:$G$126,ROW()-1)),"")</f>
        <v/>
      </c>
      <c r="K209">
        <f>IF(J209="","",SUMPRODUCT(($A$2:$A$636=1)*($G$2:$G$636=J209)))</f>
        <v/>
      </c>
      <c r="L209">
        <f>IF(J209="","",SUMPRODUCT(($A$2:$A$636=1)*($G$2:$G$636=J209)*(ISNUMBER($B$2:$B$636))*($B$2:$B$636&lt;0.5)))</f>
        <v/>
      </c>
      <c r="M209">
        <f>IFERROR(L209/K209,"")</f>
        <v/>
      </c>
      <c r="N209">
        <f>IF(K209="","",M209+K209/100000+ROW()/100000000)</f>
        <v/>
      </c>
      <c r="R209">
        <f>IF(A209=1,IFERROR(I209,0)+ROW()/100000000,-1E+99)</f>
        <v/>
      </c>
      <c r="S209">
        <f>IF(A209=1,IFERROR(Raw_data!$T209,""),"")</f>
        <v/>
      </c>
      <c r="T209">
        <f>IF(A209=1,IFERROR(Raw_data!$AA209,""),"")</f>
        <v/>
      </c>
      <c r="U209">
        <f>IF(A209=1,IFERROR(Raw_data!$U209,""),"")</f>
        <v/>
      </c>
      <c r="V209">
        <f>IF(A209=1,IFERROR(Raw_data!$AB209,""),"")</f>
        <v/>
      </c>
    </row>
    <row r="210">
      <c r="A210">
        <f>--(AND(OR(Dashboard!$B$4="All",Raw_data!$AL210=Dashboard!$B$4),OR(Dashboard!$B$5="All",Raw_data!$AM210=Dashboard!$B$5),OR(Dashboard!$B$6="All",Raw_data!$AN210=Dashboard!$B$6),OR(Dashboard!$B$7="All",Raw_data!$AO210=Dashboard!$B$7),OR(Dashboard!$B$8="All",Raw_data!$AP210=Dashboard!$B$8),OR(Dashboard!$B$9="All",Raw_data!$AQ210=Dashboard!$B$9),OR(Dashboard!$B$10="All",Raw_data!$AF210=Dashboard!$B$10),OR(Raw_data!$F210="",Raw_data!$F210&lt;=TODAY())))</f>
        <v/>
      </c>
      <c r="B210">
        <f>IFERROR(IF(Dashboard!$B$3="Weighted",Raw_data!$U210,Raw_data!$T210),"")</f>
        <v/>
      </c>
      <c r="C210">
        <f>IFERROR(IF(Dashboard!$B$3="Weighted",Raw_data!$AB210,Raw_data!$AA210),"")</f>
        <v/>
      </c>
      <c r="D210">
        <f>IF(OR(Raw_data!$J210="",Raw_data!$J210&lt;=0,Raw_data!$K210=""),"",IF(Raw_data!$K210&gt;TODAY(),0,DATEDIF(Raw_data!$K210,TODAY(),"M")))</f>
        <v/>
      </c>
      <c r="E210">
        <f>--(AND(Raw_data!$AF210="No",OR(Raw_data!$AG210&lt;&gt;"",Raw_data!$AJ210&gt;0,Raw_data!$AK210&lt;&gt;"")))</f>
        <v/>
      </c>
      <c r="F210">
        <f>--(OR(AND(ISNUMBER(B210),B210&lt;0.5,OR(D210&gt;=24,Raw_data!$I210&gt;0)),Raw_data!$AE210=TRUE))</f>
        <v/>
      </c>
      <c r="G210">
        <f>IF(Dashboard!$B$11="Department",Raw_data!$AL210,IF(Dashboard!$B$11="Team",Raw_data!$AM210,IF(Dashboard!$B$11="Unit",Raw_data!$AN210,IF(Dashboard!$B$11="Legal entity",Raw_data!$AO210,IF(Dashboard!$B$11="Location",Raw_data!$AP210,Raw_data!$AQ210)))))</f>
        <v/>
      </c>
      <c r="H210">
        <f>--(AND(ISNUMBER(B210),B210&lt;0.5))</f>
        <v/>
      </c>
      <c r="I210">
        <f>IFERROR(MAX(0,(0.5-B210)*100),0)+IF(D210&gt;=24,20,0)+IF(Raw_data!$I210&gt;0,20,0)+IF(Raw_data!$AE210=TRUE,10,0)</f>
        <v/>
      </c>
      <c r="J210">
        <f>IFERROR(CHOOSE(MATCH(Dashboard!$B$11,{"Department","Team","Unit","Legal entity","Location","Lead"},0),INDEX(Lists!$B$3:$B$20,ROW()-1),INDEX(Lists!$C$3:$C$146,ROW()-1),INDEX(Lists!$D$3:$D$67,ROW()-1),INDEX(Lists!$E$3:$E$5,ROW()-1),INDEX(Lists!$F$3:$F$12,ROW()-1),INDEX(Lists!$G$3:$G$126,ROW()-1)),"")</f>
        <v/>
      </c>
      <c r="K210">
        <f>IF(J210="","",SUMPRODUCT(($A$2:$A$636=1)*($G$2:$G$636=J210)))</f>
        <v/>
      </c>
      <c r="L210">
        <f>IF(J210="","",SUMPRODUCT(($A$2:$A$636=1)*($G$2:$G$636=J210)*(ISNUMBER($B$2:$B$636))*($B$2:$B$636&lt;0.5)))</f>
        <v/>
      </c>
      <c r="M210">
        <f>IFERROR(L210/K210,"")</f>
        <v/>
      </c>
      <c r="N210">
        <f>IF(K210="","",M210+K210/100000+ROW()/100000000)</f>
        <v/>
      </c>
      <c r="R210">
        <f>IF(A210=1,IFERROR(I210,0)+ROW()/100000000,-1E+99)</f>
        <v/>
      </c>
      <c r="S210">
        <f>IF(A210=1,IFERROR(Raw_data!$T210,""),"")</f>
        <v/>
      </c>
      <c r="T210">
        <f>IF(A210=1,IFERROR(Raw_data!$AA210,""),"")</f>
        <v/>
      </c>
      <c r="U210">
        <f>IF(A210=1,IFERROR(Raw_data!$U210,""),"")</f>
        <v/>
      </c>
      <c r="V210">
        <f>IF(A210=1,IFERROR(Raw_data!$AB210,""),"")</f>
        <v/>
      </c>
    </row>
    <row r="211">
      <c r="A211">
        <f>--(AND(OR(Dashboard!$B$4="All",Raw_data!$AL211=Dashboard!$B$4),OR(Dashboard!$B$5="All",Raw_data!$AM211=Dashboard!$B$5),OR(Dashboard!$B$6="All",Raw_data!$AN211=Dashboard!$B$6),OR(Dashboard!$B$7="All",Raw_data!$AO211=Dashboard!$B$7),OR(Dashboard!$B$8="All",Raw_data!$AP211=Dashboard!$B$8),OR(Dashboard!$B$9="All",Raw_data!$AQ211=Dashboard!$B$9),OR(Dashboard!$B$10="All",Raw_data!$AF211=Dashboard!$B$10),OR(Raw_data!$F211="",Raw_data!$F211&lt;=TODAY())))</f>
        <v/>
      </c>
      <c r="B211">
        <f>IFERROR(IF(Dashboard!$B$3="Weighted",Raw_data!$U211,Raw_data!$T211),"")</f>
        <v/>
      </c>
      <c r="C211">
        <f>IFERROR(IF(Dashboard!$B$3="Weighted",Raw_data!$AB211,Raw_data!$AA211),"")</f>
        <v/>
      </c>
      <c r="D211">
        <f>IF(OR(Raw_data!$J211="",Raw_data!$J211&lt;=0,Raw_data!$K211=""),"",IF(Raw_data!$K211&gt;TODAY(),0,DATEDIF(Raw_data!$K211,TODAY(),"M")))</f>
        <v/>
      </c>
      <c r="E211">
        <f>--(AND(Raw_data!$AF211="No",OR(Raw_data!$AG211&lt;&gt;"",Raw_data!$AJ211&gt;0,Raw_data!$AK211&lt;&gt;"")))</f>
        <v/>
      </c>
      <c r="F211">
        <f>--(OR(AND(ISNUMBER(B211),B211&lt;0.5,OR(D211&gt;=24,Raw_data!$I211&gt;0)),Raw_data!$AE211=TRUE))</f>
        <v/>
      </c>
      <c r="G211">
        <f>IF(Dashboard!$B$11="Department",Raw_data!$AL211,IF(Dashboard!$B$11="Team",Raw_data!$AM211,IF(Dashboard!$B$11="Unit",Raw_data!$AN211,IF(Dashboard!$B$11="Legal entity",Raw_data!$AO211,IF(Dashboard!$B$11="Location",Raw_data!$AP211,Raw_data!$AQ211)))))</f>
        <v/>
      </c>
      <c r="H211">
        <f>--(AND(ISNUMBER(B211),B211&lt;0.5))</f>
        <v/>
      </c>
      <c r="I211">
        <f>IFERROR(MAX(0,(0.5-B211)*100),0)+IF(D211&gt;=24,20,0)+IF(Raw_data!$I211&gt;0,20,0)+IF(Raw_data!$AE211=TRUE,10,0)</f>
        <v/>
      </c>
      <c r="J211">
        <f>IFERROR(CHOOSE(MATCH(Dashboard!$B$11,{"Department","Team","Unit","Legal entity","Location","Lead"},0),INDEX(Lists!$B$3:$B$20,ROW()-1),INDEX(Lists!$C$3:$C$146,ROW()-1),INDEX(Lists!$D$3:$D$67,ROW()-1),INDEX(Lists!$E$3:$E$5,ROW()-1),INDEX(Lists!$F$3:$F$12,ROW()-1),INDEX(Lists!$G$3:$G$126,ROW()-1)),"")</f>
        <v/>
      </c>
      <c r="K211">
        <f>IF(J211="","",SUMPRODUCT(($A$2:$A$636=1)*($G$2:$G$636=J211)))</f>
        <v/>
      </c>
      <c r="L211">
        <f>IF(J211="","",SUMPRODUCT(($A$2:$A$636=1)*($G$2:$G$636=J211)*(ISNUMBER($B$2:$B$636))*($B$2:$B$636&lt;0.5)))</f>
        <v/>
      </c>
      <c r="M211">
        <f>IFERROR(L211/K211,"")</f>
        <v/>
      </c>
      <c r="N211">
        <f>IF(K211="","",M211+K211/100000+ROW()/100000000)</f>
        <v/>
      </c>
      <c r="R211">
        <f>IF(A211=1,IFERROR(I211,0)+ROW()/100000000,-1E+99)</f>
        <v/>
      </c>
      <c r="S211">
        <f>IF(A211=1,IFERROR(Raw_data!$T211,""),"")</f>
        <v/>
      </c>
      <c r="T211">
        <f>IF(A211=1,IFERROR(Raw_data!$AA211,""),"")</f>
        <v/>
      </c>
      <c r="U211">
        <f>IF(A211=1,IFERROR(Raw_data!$U211,""),"")</f>
        <v/>
      </c>
      <c r="V211">
        <f>IF(A211=1,IFERROR(Raw_data!$AB211,""),"")</f>
        <v/>
      </c>
    </row>
    <row r="212">
      <c r="A212">
        <f>--(AND(OR(Dashboard!$B$4="All",Raw_data!$AL212=Dashboard!$B$4),OR(Dashboard!$B$5="All",Raw_data!$AM212=Dashboard!$B$5),OR(Dashboard!$B$6="All",Raw_data!$AN212=Dashboard!$B$6),OR(Dashboard!$B$7="All",Raw_data!$AO212=Dashboard!$B$7),OR(Dashboard!$B$8="All",Raw_data!$AP212=Dashboard!$B$8),OR(Dashboard!$B$9="All",Raw_data!$AQ212=Dashboard!$B$9),OR(Dashboard!$B$10="All",Raw_data!$AF212=Dashboard!$B$10),OR(Raw_data!$F212="",Raw_data!$F212&lt;=TODAY())))</f>
        <v/>
      </c>
      <c r="B212">
        <f>IFERROR(IF(Dashboard!$B$3="Weighted",Raw_data!$U212,Raw_data!$T212),"")</f>
        <v/>
      </c>
      <c r="C212">
        <f>IFERROR(IF(Dashboard!$B$3="Weighted",Raw_data!$AB212,Raw_data!$AA212),"")</f>
        <v/>
      </c>
      <c r="D212">
        <f>IF(OR(Raw_data!$J212="",Raw_data!$J212&lt;=0,Raw_data!$K212=""),"",IF(Raw_data!$K212&gt;TODAY(),0,DATEDIF(Raw_data!$K212,TODAY(),"M")))</f>
        <v/>
      </c>
      <c r="E212">
        <f>--(AND(Raw_data!$AF212="No",OR(Raw_data!$AG212&lt;&gt;"",Raw_data!$AJ212&gt;0,Raw_data!$AK212&lt;&gt;"")))</f>
        <v/>
      </c>
      <c r="F212">
        <f>--(OR(AND(ISNUMBER(B212),B212&lt;0.5,OR(D212&gt;=24,Raw_data!$I212&gt;0)),Raw_data!$AE212=TRUE))</f>
        <v/>
      </c>
      <c r="G212">
        <f>IF(Dashboard!$B$11="Department",Raw_data!$AL212,IF(Dashboard!$B$11="Team",Raw_data!$AM212,IF(Dashboard!$B$11="Unit",Raw_data!$AN212,IF(Dashboard!$B$11="Legal entity",Raw_data!$AO212,IF(Dashboard!$B$11="Location",Raw_data!$AP212,Raw_data!$AQ212)))))</f>
        <v/>
      </c>
      <c r="H212">
        <f>--(AND(ISNUMBER(B212),B212&lt;0.5))</f>
        <v/>
      </c>
      <c r="I212">
        <f>IFERROR(MAX(0,(0.5-B212)*100),0)+IF(D212&gt;=24,20,0)+IF(Raw_data!$I212&gt;0,20,0)+IF(Raw_data!$AE212=TRUE,10,0)</f>
        <v/>
      </c>
      <c r="J212">
        <f>IFERROR(CHOOSE(MATCH(Dashboard!$B$11,{"Department","Team","Unit","Legal entity","Location","Lead"},0),INDEX(Lists!$B$3:$B$20,ROW()-1),INDEX(Lists!$C$3:$C$146,ROW()-1),INDEX(Lists!$D$3:$D$67,ROW()-1),INDEX(Lists!$E$3:$E$5,ROW()-1),INDEX(Lists!$F$3:$F$12,ROW()-1),INDEX(Lists!$G$3:$G$126,ROW()-1)),"")</f>
        <v/>
      </c>
      <c r="K212">
        <f>IF(J212="","",SUMPRODUCT(($A$2:$A$636=1)*($G$2:$G$636=J212)))</f>
        <v/>
      </c>
      <c r="L212">
        <f>IF(J212="","",SUMPRODUCT(($A$2:$A$636=1)*($G$2:$G$636=J212)*(ISNUMBER($B$2:$B$636))*($B$2:$B$636&lt;0.5)))</f>
        <v/>
      </c>
      <c r="M212">
        <f>IFERROR(L212/K212,"")</f>
        <v/>
      </c>
      <c r="N212">
        <f>IF(K212="","",M212+K212/100000+ROW()/100000000)</f>
        <v/>
      </c>
      <c r="R212">
        <f>IF(A212=1,IFERROR(I212,0)+ROW()/100000000,-1E+99)</f>
        <v/>
      </c>
      <c r="S212">
        <f>IF(A212=1,IFERROR(Raw_data!$T212,""),"")</f>
        <v/>
      </c>
      <c r="T212">
        <f>IF(A212=1,IFERROR(Raw_data!$AA212,""),"")</f>
        <v/>
      </c>
      <c r="U212">
        <f>IF(A212=1,IFERROR(Raw_data!$U212,""),"")</f>
        <v/>
      </c>
      <c r="V212">
        <f>IF(A212=1,IFERROR(Raw_data!$AB212,""),"")</f>
        <v/>
      </c>
    </row>
    <row r="213">
      <c r="A213">
        <f>--(AND(OR(Dashboard!$B$4="All",Raw_data!$AL213=Dashboard!$B$4),OR(Dashboard!$B$5="All",Raw_data!$AM213=Dashboard!$B$5),OR(Dashboard!$B$6="All",Raw_data!$AN213=Dashboard!$B$6),OR(Dashboard!$B$7="All",Raw_data!$AO213=Dashboard!$B$7),OR(Dashboard!$B$8="All",Raw_data!$AP213=Dashboard!$B$8),OR(Dashboard!$B$9="All",Raw_data!$AQ213=Dashboard!$B$9),OR(Dashboard!$B$10="All",Raw_data!$AF213=Dashboard!$B$10),OR(Raw_data!$F213="",Raw_data!$F213&lt;=TODAY())))</f>
        <v/>
      </c>
      <c r="B213">
        <f>IFERROR(IF(Dashboard!$B$3="Weighted",Raw_data!$U213,Raw_data!$T213),"")</f>
        <v/>
      </c>
      <c r="C213">
        <f>IFERROR(IF(Dashboard!$B$3="Weighted",Raw_data!$AB213,Raw_data!$AA213),"")</f>
        <v/>
      </c>
      <c r="D213">
        <f>IF(OR(Raw_data!$J213="",Raw_data!$J213&lt;=0,Raw_data!$K213=""),"",IF(Raw_data!$K213&gt;TODAY(),0,DATEDIF(Raw_data!$K213,TODAY(),"M")))</f>
        <v/>
      </c>
      <c r="E213">
        <f>--(AND(Raw_data!$AF213="No",OR(Raw_data!$AG213&lt;&gt;"",Raw_data!$AJ213&gt;0,Raw_data!$AK213&lt;&gt;"")))</f>
        <v/>
      </c>
      <c r="F213">
        <f>--(OR(AND(ISNUMBER(B213),B213&lt;0.5,OR(D213&gt;=24,Raw_data!$I213&gt;0)),Raw_data!$AE213=TRUE))</f>
        <v/>
      </c>
      <c r="G213">
        <f>IF(Dashboard!$B$11="Department",Raw_data!$AL213,IF(Dashboard!$B$11="Team",Raw_data!$AM213,IF(Dashboard!$B$11="Unit",Raw_data!$AN213,IF(Dashboard!$B$11="Legal entity",Raw_data!$AO213,IF(Dashboard!$B$11="Location",Raw_data!$AP213,Raw_data!$AQ213)))))</f>
        <v/>
      </c>
      <c r="H213">
        <f>--(AND(ISNUMBER(B213),B213&lt;0.5))</f>
        <v/>
      </c>
      <c r="I213">
        <f>IFERROR(MAX(0,(0.5-B213)*100),0)+IF(D213&gt;=24,20,0)+IF(Raw_data!$I213&gt;0,20,0)+IF(Raw_data!$AE213=TRUE,10,0)</f>
        <v/>
      </c>
      <c r="J213">
        <f>IFERROR(CHOOSE(MATCH(Dashboard!$B$11,{"Department","Team","Unit","Legal entity","Location","Lead"},0),INDEX(Lists!$B$3:$B$20,ROW()-1),INDEX(Lists!$C$3:$C$146,ROW()-1),INDEX(Lists!$D$3:$D$67,ROW()-1),INDEX(Lists!$E$3:$E$5,ROW()-1),INDEX(Lists!$F$3:$F$12,ROW()-1),INDEX(Lists!$G$3:$G$126,ROW()-1)),"")</f>
        <v/>
      </c>
      <c r="K213">
        <f>IF(J213="","",SUMPRODUCT(($A$2:$A$636=1)*($G$2:$G$636=J213)))</f>
        <v/>
      </c>
      <c r="L213">
        <f>IF(J213="","",SUMPRODUCT(($A$2:$A$636=1)*($G$2:$G$636=J213)*(ISNUMBER($B$2:$B$636))*($B$2:$B$636&lt;0.5)))</f>
        <v/>
      </c>
      <c r="M213">
        <f>IFERROR(L213/K213,"")</f>
        <v/>
      </c>
      <c r="N213">
        <f>IF(K213="","",M213+K213/100000+ROW()/100000000)</f>
        <v/>
      </c>
      <c r="R213">
        <f>IF(A213=1,IFERROR(I213,0)+ROW()/100000000,-1E+99)</f>
        <v/>
      </c>
      <c r="S213">
        <f>IF(A213=1,IFERROR(Raw_data!$T213,""),"")</f>
        <v/>
      </c>
      <c r="T213">
        <f>IF(A213=1,IFERROR(Raw_data!$AA213,""),"")</f>
        <v/>
      </c>
      <c r="U213">
        <f>IF(A213=1,IFERROR(Raw_data!$U213,""),"")</f>
        <v/>
      </c>
      <c r="V213">
        <f>IF(A213=1,IFERROR(Raw_data!$AB213,""),"")</f>
        <v/>
      </c>
    </row>
    <row r="214">
      <c r="A214">
        <f>--(AND(OR(Dashboard!$B$4="All",Raw_data!$AL214=Dashboard!$B$4),OR(Dashboard!$B$5="All",Raw_data!$AM214=Dashboard!$B$5),OR(Dashboard!$B$6="All",Raw_data!$AN214=Dashboard!$B$6),OR(Dashboard!$B$7="All",Raw_data!$AO214=Dashboard!$B$7),OR(Dashboard!$B$8="All",Raw_data!$AP214=Dashboard!$B$8),OR(Dashboard!$B$9="All",Raw_data!$AQ214=Dashboard!$B$9),OR(Dashboard!$B$10="All",Raw_data!$AF214=Dashboard!$B$10),OR(Raw_data!$F214="",Raw_data!$F214&lt;=TODAY())))</f>
        <v/>
      </c>
      <c r="B214">
        <f>IFERROR(IF(Dashboard!$B$3="Weighted",Raw_data!$U214,Raw_data!$T214),"")</f>
        <v/>
      </c>
      <c r="C214">
        <f>IFERROR(IF(Dashboard!$B$3="Weighted",Raw_data!$AB214,Raw_data!$AA214),"")</f>
        <v/>
      </c>
      <c r="D214">
        <f>IF(OR(Raw_data!$J214="",Raw_data!$J214&lt;=0,Raw_data!$K214=""),"",IF(Raw_data!$K214&gt;TODAY(),0,DATEDIF(Raw_data!$K214,TODAY(),"M")))</f>
        <v/>
      </c>
      <c r="E214">
        <f>--(AND(Raw_data!$AF214="No",OR(Raw_data!$AG214&lt;&gt;"",Raw_data!$AJ214&gt;0,Raw_data!$AK214&lt;&gt;"")))</f>
        <v/>
      </c>
      <c r="F214">
        <f>--(OR(AND(ISNUMBER(B214),B214&lt;0.5,OR(D214&gt;=24,Raw_data!$I214&gt;0)),Raw_data!$AE214=TRUE))</f>
        <v/>
      </c>
      <c r="G214">
        <f>IF(Dashboard!$B$11="Department",Raw_data!$AL214,IF(Dashboard!$B$11="Team",Raw_data!$AM214,IF(Dashboard!$B$11="Unit",Raw_data!$AN214,IF(Dashboard!$B$11="Legal entity",Raw_data!$AO214,IF(Dashboard!$B$11="Location",Raw_data!$AP214,Raw_data!$AQ214)))))</f>
        <v/>
      </c>
      <c r="H214">
        <f>--(AND(ISNUMBER(B214),B214&lt;0.5))</f>
        <v/>
      </c>
      <c r="I214">
        <f>IFERROR(MAX(0,(0.5-B214)*100),0)+IF(D214&gt;=24,20,0)+IF(Raw_data!$I214&gt;0,20,0)+IF(Raw_data!$AE214=TRUE,10,0)</f>
        <v/>
      </c>
      <c r="J214">
        <f>IFERROR(CHOOSE(MATCH(Dashboard!$B$11,{"Department","Team","Unit","Legal entity","Location","Lead"},0),INDEX(Lists!$B$3:$B$20,ROW()-1),INDEX(Lists!$C$3:$C$146,ROW()-1),INDEX(Lists!$D$3:$D$67,ROW()-1),INDEX(Lists!$E$3:$E$5,ROW()-1),INDEX(Lists!$F$3:$F$12,ROW()-1),INDEX(Lists!$G$3:$G$126,ROW()-1)),"")</f>
        <v/>
      </c>
      <c r="K214">
        <f>IF(J214="","",SUMPRODUCT(($A$2:$A$636=1)*($G$2:$G$636=J214)))</f>
        <v/>
      </c>
      <c r="L214">
        <f>IF(J214="","",SUMPRODUCT(($A$2:$A$636=1)*($G$2:$G$636=J214)*(ISNUMBER($B$2:$B$636))*($B$2:$B$636&lt;0.5)))</f>
        <v/>
      </c>
      <c r="M214">
        <f>IFERROR(L214/K214,"")</f>
        <v/>
      </c>
      <c r="N214">
        <f>IF(K214="","",M214+K214/100000+ROW()/100000000)</f>
        <v/>
      </c>
      <c r="R214">
        <f>IF(A214=1,IFERROR(I214,0)+ROW()/100000000,-1E+99)</f>
        <v/>
      </c>
      <c r="S214">
        <f>IF(A214=1,IFERROR(Raw_data!$T214,""),"")</f>
        <v/>
      </c>
      <c r="T214">
        <f>IF(A214=1,IFERROR(Raw_data!$AA214,""),"")</f>
        <v/>
      </c>
      <c r="U214">
        <f>IF(A214=1,IFERROR(Raw_data!$U214,""),"")</f>
        <v/>
      </c>
      <c r="V214">
        <f>IF(A214=1,IFERROR(Raw_data!$AB214,""),"")</f>
        <v/>
      </c>
    </row>
    <row r="215">
      <c r="A215">
        <f>--(AND(OR(Dashboard!$B$4="All",Raw_data!$AL215=Dashboard!$B$4),OR(Dashboard!$B$5="All",Raw_data!$AM215=Dashboard!$B$5),OR(Dashboard!$B$6="All",Raw_data!$AN215=Dashboard!$B$6),OR(Dashboard!$B$7="All",Raw_data!$AO215=Dashboard!$B$7),OR(Dashboard!$B$8="All",Raw_data!$AP215=Dashboard!$B$8),OR(Dashboard!$B$9="All",Raw_data!$AQ215=Dashboard!$B$9),OR(Dashboard!$B$10="All",Raw_data!$AF215=Dashboard!$B$10),OR(Raw_data!$F215="",Raw_data!$F215&lt;=TODAY())))</f>
        <v/>
      </c>
      <c r="B215">
        <f>IFERROR(IF(Dashboard!$B$3="Weighted",Raw_data!$U215,Raw_data!$T215),"")</f>
        <v/>
      </c>
      <c r="C215">
        <f>IFERROR(IF(Dashboard!$B$3="Weighted",Raw_data!$AB215,Raw_data!$AA215),"")</f>
        <v/>
      </c>
      <c r="D215">
        <f>IF(OR(Raw_data!$J215="",Raw_data!$J215&lt;=0,Raw_data!$K215=""),"",IF(Raw_data!$K215&gt;TODAY(),0,DATEDIF(Raw_data!$K215,TODAY(),"M")))</f>
        <v/>
      </c>
      <c r="E215">
        <f>--(AND(Raw_data!$AF215="No",OR(Raw_data!$AG215&lt;&gt;"",Raw_data!$AJ215&gt;0,Raw_data!$AK215&lt;&gt;"")))</f>
        <v/>
      </c>
      <c r="F215">
        <f>--(OR(AND(ISNUMBER(B215),B215&lt;0.5,OR(D215&gt;=24,Raw_data!$I215&gt;0)),Raw_data!$AE215=TRUE))</f>
        <v/>
      </c>
      <c r="G215">
        <f>IF(Dashboard!$B$11="Department",Raw_data!$AL215,IF(Dashboard!$B$11="Team",Raw_data!$AM215,IF(Dashboard!$B$11="Unit",Raw_data!$AN215,IF(Dashboard!$B$11="Legal entity",Raw_data!$AO215,IF(Dashboard!$B$11="Location",Raw_data!$AP215,Raw_data!$AQ215)))))</f>
        <v/>
      </c>
      <c r="H215">
        <f>--(AND(ISNUMBER(B215),B215&lt;0.5))</f>
        <v/>
      </c>
      <c r="I215">
        <f>IFERROR(MAX(0,(0.5-B215)*100),0)+IF(D215&gt;=24,20,0)+IF(Raw_data!$I215&gt;0,20,0)+IF(Raw_data!$AE215=TRUE,10,0)</f>
        <v/>
      </c>
      <c r="J215">
        <f>IFERROR(CHOOSE(MATCH(Dashboard!$B$11,{"Department","Team","Unit","Legal entity","Location","Lead"},0),INDEX(Lists!$B$3:$B$20,ROW()-1),INDEX(Lists!$C$3:$C$146,ROW()-1),INDEX(Lists!$D$3:$D$67,ROW()-1),INDEX(Lists!$E$3:$E$5,ROW()-1),INDEX(Lists!$F$3:$F$12,ROW()-1),INDEX(Lists!$G$3:$G$126,ROW()-1)),"")</f>
        <v/>
      </c>
      <c r="K215">
        <f>IF(J215="","",SUMPRODUCT(($A$2:$A$636=1)*($G$2:$G$636=J215)))</f>
        <v/>
      </c>
      <c r="L215">
        <f>IF(J215="","",SUMPRODUCT(($A$2:$A$636=1)*($G$2:$G$636=J215)*(ISNUMBER($B$2:$B$636))*($B$2:$B$636&lt;0.5)))</f>
        <v/>
      </c>
      <c r="M215">
        <f>IFERROR(L215/K215,"")</f>
        <v/>
      </c>
      <c r="N215">
        <f>IF(K215="","",M215+K215/100000+ROW()/100000000)</f>
        <v/>
      </c>
      <c r="R215">
        <f>IF(A215=1,IFERROR(I215,0)+ROW()/100000000,-1E+99)</f>
        <v/>
      </c>
      <c r="S215">
        <f>IF(A215=1,IFERROR(Raw_data!$T215,""),"")</f>
        <v/>
      </c>
      <c r="T215">
        <f>IF(A215=1,IFERROR(Raw_data!$AA215,""),"")</f>
        <v/>
      </c>
      <c r="U215">
        <f>IF(A215=1,IFERROR(Raw_data!$U215,""),"")</f>
        <v/>
      </c>
      <c r="V215">
        <f>IF(A215=1,IFERROR(Raw_data!$AB215,""),"")</f>
        <v/>
      </c>
    </row>
    <row r="216">
      <c r="A216">
        <f>--(AND(OR(Dashboard!$B$4="All",Raw_data!$AL216=Dashboard!$B$4),OR(Dashboard!$B$5="All",Raw_data!$AM216=Dashboard!$B$5),OR(Dashboard!$B$6="All",Raw_data!$AN216=Dashboard!$B$6),OR(Dashboard!$B$7="All",Raw_data!$AO216=Dashboard!$B$7),OR(Dashboard!$B$8="All",Raw_data!$AP216=Dashboard!$B$8),OR(Dashboard!$B$9="All",Raw_data!$AQ216=Dashboard!$B$9),OR(Dashboard!$B$10="All",Raw_data!$AF216=Dashboard!$B$10),OR(Raw_data!$F216="",Raw_data!$F216&lt;=TODAY())))</f>
        <v/>
      </c>
      <c r="B216">
        <f>IFERROR(IF(Dashboard!$B$3="Weighted",Raw_data!$U216,Raw_data!$T216),"")</f>
        <v/>
      </c>
      <c r="C216">
        <f>IFERROR(IF(Dashboard!$B$3="Weighted",Raw_data!$AB216,Raw_data!$AA216),"")</f>
        <v/>
      </c>
      <c r="D216">
        <f>IF(OR(Raw_data!$J216="",Raw_data!$J216&lt;=0,Raw_data!$K216=""),"",IF(Raw_data!$K216&gt;TODAY(),0,DATEDIF(Raw_data!$K216,TODAY(),"M")))</f>
        <v/>
      </c>
      <c r="E216">
        <f>--(AND(Raw_data!$AF216="No",OR(Raw_data!$AG216&lt;&gt;"",Raw_data!$AJ216&gt;0,Raw_data!$AK216&lt;&gt;"")))</f>
        <v/>
      </c>
      <c r="F216">
        <f>--(OR(AND(ISNUMBER(B216),B216&lt;0.5,OR(D216&gt;=24,Raw_data!$I216&gt;0)),Raw_data!$AE216=TRUE))</f>
        <v/>
      </c>
      <c r="G216">
        <f>IF(Dashboard!$B$11="Department",Raw_data!$AL216,IF(Dashboard!$B$11="Team",Raw_data!$AM216,IF(Dashboard!$B$11="Unit",Raw_data!$AN216,IF(Dashboard!$B$11="Legal entity",Raw_data!$AO216,IF(Dashboard!$B$11="Location",Raw_data!$AP216,Raw_data!$AQ216)))))</f>
        <v/>
      </c>
      <c r="H216">
        <f>--(AND(ISNUMBER(B216),B216&lt;0.5))</f>
        <v/>
      </c>
      <c r="I216">
        <f>IFERROR(MAX(0,(0.5-B216)*100),0)+IF(D216&gt;=24,20,0)+IF(Raw_data!$I216&gt;0,20,0)+IF(Raw_data!$AE216=TRUE,10,0)</f>
        <v/>
      </c>
      <c r="J216">
        <f>IFERROR(CHOOSE(MATCH(Dashboard!$B$11,{"Department","Team","Unit","Legal entity","Location","Lead"},0),INDEX(Lists!$B$3:$B$20,ROW()-1),INDEX(Lists!$C$3:$C$146,ROW()-1),INDEX(Lists!$D$3:$D$67,ROW()-1),INDEX(Lists!$E$3:$E$5,ROW()-1),INDEX(Lists!$F$3:$F$12,ROW()-1),INDEX(Lists!$G$3:$G$126,ROW()-1)),"")</f>
        <v/>
      </c>
      <c r="K216">
        <f>IF(J216="","",SUMPRODUCT(($A$2:$A$636=1)*($G$2:$G$636=J216)))</f>
        <v/>
      </c>
      <c r="L216">
        <f>IF(J216="","",SUMPRODUCT(($A$2:$A$636=1)*($G$2:$G$636=J216)*(ISNUMBER($B$2:$B$636))*($B$2:$B$636&lt;0.5)))</f>
        <v/>
      </c>
      <c r="M216">
        <f>IFERROR(L216/K216,"")</f>
        <v/>
      </c>
      <c r="N216">
        <f>IF(K216="","",M216+K216/100000+ROW()/100000000)</f>
        <v/>
      </c>
      <c r="R216">
        <f>IF(A216=1,IFERROR(I216,0)+ROW()/100000000,-1E+99)</f>
        <v/>
      </c>
      <c r="S216">
        <f>IF(A216=1,IFERROR(Raw_data!$T216,""),"")</f>
        <v/>
      </c>
      <c r="T216">
        <f>IF(A216=1,IFERROR(Raw_data!$AA216,""),"")</f>
        <v/>
      </c>
      <c r="U216">
        <f>IF(A216=1,IFERROR(Raw_data!$U216,""),"")</f>
        <v/>
      </c>
      <c r="V216">
        <f>IF(A216=1,IFERROR(Raw_data!$AB216,""),"")</f>
        <v/>
      </c>
    </row>
    <row r="217">
      <c r="A217">
        <f>--(AND(OR(Dashboard!$B$4="All",Raw_data!$AL217=Dashboard!$B$4),OR(Dashboard!$B$5="All",Raw_data!$AM217=Dashboard!$B$5),OR(Dashboard!$B$6="All",Raw_data!$AN217=Dashboard!$B$6),OR(Dashboard!$B$7="All",Raw_data!$AO217=Dashboard!$B$7),OR(Dashboard!$B$8="All",Raw_data!$AP217=Dashboard!$B$8),OR(Dashboard!$B$9="All",Raw_data!$AQ217=Dashboard!$B$9),OR(Dashboard!$B$10="All",Raw_data!$AF217=Dashboard!$B$10),OR(Raw_data!$F217="",Raw_data!$F217&lt;=TODAY())))</f>
        <v/>
      </c>
      <c r="B217">
        <f>IFERROR(IF(Dashboard!$B$3="Weighted",Raw_data!$U217,Raw_data!$T217),"")</f>
        <v/>
      </c>
      <c r="C217">
        <f>IFERROR(IF(Dashboard!$B$3="Weighted",Raw_data!$AB217,Raw_data!$AA217),"")</f>
        <v/>
      </c>
      <c r="D217">
        <f>IF(OR(Raw_data!$J217="",Raw_data!$J217&lt;=0,Raw_data!$K217=""),"",IF(Raw_data!$K217&gt;TODAY(),0,DATEDIF(Raw_data!$K217,TODAY(),"M")))</f>
        <v/>
      </c>
      <c r="E217">
        <f>--(AND(Raw_data!$AF217="No",OR(Raw_data!$AG217&lt;&gt;"",Raw_data!$AJ217&gt;0,Raw_data!$AK217&lt;&gt;"")))</f>
        <v/>
      </c>
      <c r="F217">
        <f>--(OR(AND(ISNUMBER(B217),B217&lt;0.5,OR(D217&gt;=24,Raw_data!$I217&gt;0)),Raw_data!$AE217=TRUE))</f>
        <v/>
      </c>
      <c r="G217">
        <f>IF(Dashboard!$B$11="Department",Raw_data!$AL217,IF(Dashboard!$B$11="Team",Raw_data!$AM217,IF(Dashboard!$B$11="Unit",Raw_data!$AN217,IF(Dashboard!$B$11="Legal entity",Raw_data!$AO217,IF(Dashboard!$B$11="Location",Raw_data!$AP217,Raw_data!$AQ217)))))</f>
        <v/>
      </c>
      <c r="H217">
        <f>--(AND(ISNUMBER(B217),B217&lt;0.5))</f>
        <v/>
      </c>
      <c r="I217">
        <f>IFERROR(MAX(0,(0.5-B217)*100),0)+IF(D217&gt;=24,20,0)+IF(Raw_data!$I217&gt;0,20,0)+IF(Raw_data!$AE217=TRUE,10,0)</f>
        <v/>
      </c>
      <c r="J217">
        <f>IFERROR(CHOOSE(MATCH(Dashboard!$B$11,{"Department","Team","Unit","Legal entity","Location","Lead"},0),INDEX(Lists!$B$3:$B$20,ROW()-1),INDEX(Lists!$C$3:$C$146,ROW()-1),INDEX(Lists!$D$3:$D$67,ROW()-1),INDEX(Lists!$E$3:$E$5,ROW()-1),INDEX(Lists!$F$3:$F$12,ROW()-1),INDEX(Lists!$G$3:$G$126,ROW()-1)),"")</f>
        <v/>
      </c>
      <c r="K217">
        <f>IF(J217="","",SUMPRODUCT(($A$2:$A$636=1)*($G$2:$G$636=J217)))</f>
        <v/>
      </c>
      <c r="L217">
        <f>IF(J217="","",SUMPRODUCT(($A$2:$A$636=1)*($G$2:$G$636=J217)*(ISNUMBER($B$2:$B$636))*($B$2:$B$636&lt;0.5)))</f>
        <v/>
      </c>
      <c r="M217">
        <f>IFERROR(L217/K217,"")</f>
        <v/>
      </c>
      <c r="N217">
        <f>IF(K217="","",M217+K217/100000+ROW()/100000000)</f>
        <v/>
      </c>
      <c r="R217">
        <f>IF(A217=1,IFERROR(I217,0)+ROW()/100000000,-1E+99)</f>
        <v/>
      </c>
      <c r="S217">
        <f>IF(A217=1,IFERROR(Raw_data!$T217,""),"")</f>
        <v/>
      </c>
      <c r="T217">
        <f>IF(A217=1,IFERROR(Raw_data!$AA217,""),"")</f>
        <v/>
      </c>
      <c r="U217">
        <f>IF(A217=1,IFERROR(Raw_data!$U217,""),"")</f>
        <v/>
      </c>
      <c r="V217">
        <f>IF(A217=1,IFERROR(Raw_data!$AB217,""),"")</f>
        <v/>
      </c>
    </row>
    <row r="218">
      <c r="A218">
        <f>--(AND(OR(Dashboard!$B$4="All",Raw_data!$AL218=Dashboard!$B$4),OR(Dashboard!$B$5="All",Raw_data!$AM218=Dashboard!$B$5),OR(Dashboard!$B$6="All",Raw_data!$AN218=Dashboard!$B$6),OR(Dashboard!$B$7="All",Raw_data!$AO218=Dashboard!$B$7),OR(Dashboard!$B$8="All",Raw_data!$AP218=Dashboard!$B$8),OR(Dashboard!$B$9="All",Raw_data!$AQ218=Dashboard!$B$9),OR(Dashboard!$B$10="All",Raw_data!$AF218=Dashboard!$B$10),OR(Raw_data!$F218="",Raw_data!$F218&lt;=TODAY())))</f>
        <v/>
      </c>
      <c r="B218">
        <f>IFERROR(IF(Dashboard!$B$3="Weighted",Raw_data!$U218,Raw_data!$T218),"")</f>
        <v/>
      </c>
      <c r="C218">
        <f>IFERROR(IF(Dashboard!$B$3="Weighted",Raw_data!$AB218,Raw_data!$AA218),"")</f>
        <v/>
      </c>
      <c r="D218">
        <f>IF(OR(Raw_data!$J218="",Raw_data!$J218&lt;=0,Raw_data!$K218=""),"",IF(Raw_data!$K218&gt;TODAY(),0,DATEDIF(Raw_data!$K218,TODAY(),"M")))</f>
        <v/>
      </c>
      <c r="E218">
        <f>--(AND(Raw_data!$AF218="No",OR(Raw_data!$AG218&lt;&gt;"",Raw_data!$AJ218&gt;0,Raw_data!$AK218&lt;&gt;"")))</f>
        <v/>
      </c>
      <c r="F218">
        <f>--(OR(AND(ISNUMBER(B218),B218&lt;0.5,OR(D218&gt;=24,Raw_data!$I218&gt;0)),Raw_data!$AE218=TRUE))</f>
        <v/>
      </c>
      <c r="G218">
        <f>IF(Dashboard!$B$11="Department",Raw_data!$AL218,IF(Dashboard!$B$11="Team",Raw_data!$AM218,IF(Dashboard!$B$11="Unit",Raw_data!$AN218,IF(Dashboard!$B$11="Legal entity",Raw_data!$AO218,IF(Dashboard!$B$11="Location",Raw_data!$AP218,Raw_data!$AQ218)))))</f>
        <v/>
      </c>
      <c r="H218">
        <f>--(AND(ISNUMBER(B218),B218&lt;0.5))</f>
        <v/>
      </c>
      <c r="I218">
        <f>IFERROR(MAX(0,(0.5-B218)*100),0)+IF(D218&gt;=24,20,0)+IF(Raw_data!$I218&gt;0,20,0)+IF(Raw_data!$AE218=TRUE,10,0)</f>
        <v/>
      </c>
      <c r="J218">
        <f>IFERROR(CHOOSE(MATCH(Dashboard!$B$11,{"Department","Team","Unit","Legal entity","Location","Lead"},0),INDEX(Lists!$B$3:$B$20,ROW()-1),INDEX(Lists!$C$3:$C$146,ROW()-1),INDEX(Lists!$D$3:$D$67,ROW()-1),INDEX(Lists!$E$3:$E$5,ROW()-1),INDEX(Lists!$F$3:$F$12,ROW()-1),INDEX(Lists!$G$3:$G$126,ROW()-1)),"")</f>
        <v/>
      </c>
      <c r="K218">
        <f>IF(J218="","",SUMPRODUCT(($A$2:$A$636=1)*($G$2:$G$636=J218)))</f>
        <v/>
      </c>
      <c r="L218">
        <f>IF(J218="","",SUMPRODUCT(($A$2:$A$636=1)*($G$2:$G$636=J218)*(ISNUMBER($B$2:$B$636))*($B$2:$B$636&lt;0.5)))</f>
        <v/>
      </c>
      <c r="M218">
        <f>IFERROR(L218/K218,"")</f>
        <v/>
      </c>
      <c r="N218">
        <f>IF(K218="","",M218+K218/100000+ROW()/100000000)</f>
        <v/>
      </c>
      <c r="R218">
        <f>IF(A218=1,IFERROR(I218,0)+ROW()/100000000,-1E+99)</f>
        <v/>
      </c>
      <c r="S218">
        <f>IF(A218=1,IFERROR(Raw_data!$T218,""),"")</f>
        <v/>
      </c>
      <c r="T218">
        <f>IF(A218=1,IFERROR(Raw_data!$AA218,""),"")</f>
        <v/>
      </c>
      <c r="U218">
        <f>IF(A218=1,IFERROR(Raw_data!$U218,""),"")</f>
        <v/>
      </c>
      <c r="V218">
        <f>IF(A218=1,IFERROR(Raw_data!$AB218,""),"")</f>
        <v/>
      </c>
    </row>
    <row r="219">
      <c r="A219">
        <f>--(AND(OR(Dashboard!$B$4="All",Raw_data!$AL219=Dashboard!$B$4),OR(Dashboard!$B$5="All",Raw_data!$AM219=Dashboard!$B$5),OR(Dashboard!$B$6="All",Raw_data!$AN219=Dashboard!$B$6),OR(Dashboard!$B$7="All",Raw_data!$AO219=Dashboard!$B$7),OR(Dashboard!$B$8="All",Raw_data!$AP219=Dashboard!$B$8),OR(Dashboard!$B$9="All",Raw_data!$AQ219=Dashboard!$B$9),OR(Dashboard!$B$10="All",Raw_data!$AF219=Dashboard!$B$10),OR(Raw_data!$F219="",Raw_data!$F219&lt;=TODAY())))</f>
        <v/>
      </c>
      <c r="B219">
        <f>IFERROR(IF(Dashboard!$B$3="Weighted",Raw_data!$U219,Raw_data!$T219),"")</f>
        <v/>
      </c>
      <c r="C219">
        <f>IFERROR(IF(Dashboard!$B$3="Weighted",Raw_data!$AB219,Raw_data!$AA219),"")</f>
        <v/>
      </c>
      <c r="D219">
        <f>IF(OR(Raw_data!$J219="",Raw_data!$J219&lt;=0,Raw_data!$K219=""),"",IF(Raw_data!$K219&gt;TODAY(),0,DATEDIF(Raw_data!$K219,TODAY(),"M")))</f>
        <v/>
      </c>
      <c r="E219">
        <f>--(AND(Raw_data!$AF219="No",OR(Raw_data!$AG219&lt;&gt;"",Raw_data!$AJ219&gt;0,Raw_data!$AK219&lt;&gt;"")))</f>
        <v/>
      </c>
      <c r="F219">
        <f>--(OR(AND(ISNUMBER(B219),B219&lt;0.5,OR(D219&gt;=24,Raw_data!$I219&gt;0)),Raw_data!$AE219=TRUE))</f>
        <v/>
      </c>
      <c r="G219">
        <f>IF(Dashboard!$B$11="Department",Raw_data!$AL219,IF(Dashboard!$B$11="Team",Raw_data!$AM219,IF(Dashboard!$B$11="Unit",Raw_data!$AN219,IF(Dashboard!$B$11="Legal entity",Raw_data!$AO219,IF(Dashboard!$B$11="Location",Raw_data!$AP219,Raw_data!$AQ219)))))</f>
        <v/>
      </c>
      <c r="H219">
        <f>--(AND(ISNUMBER(B219),B219&lt;0.5))</f>
        <v/>
      </c>
      <c r="I219">
        <f>IFERROR(MAX(0,(0.5-B219)*100),0)+IF(D219&gt;=24,20,0)+IF(Raw_data!$I219&gt;0,20,0)+IF(Raw_data!$AE219=TRUE,10,0)</f>
        <v/>
      </c>
      <c r="J219">
        <f>IFERROR(CHOOSE(MATCH(Dashboard!$B$11,{"Department","Team","Unit","Legal entity","Location","Lead"},0),INDEX(Lists!$B$3:$B$20,ROW()-1),INDEX(Lists!$C$3:$C$146,ROW()-1),INDEX(Lists!$D$3:$D$67,ROW()-1),INDEX(Lists!$E$3:$E$5,ROW()-1),INDEX(Lists!$F$3:$F$12,ROW()-1),INDEX(Lists!$G$3:$G$126,ROW()-1)),"")</f>
        <v/>
      </c>
      <c r="K219">
        <f>IF(J219="","",SUMPRODUCT(($A$2:$A$636=1)*($G$2:$G$636=J219)))</f>
        <v/>
      </c>
      <c r="L219">
        <f>IF(J219="","",SUMPRODUCT(($A$2:$A$636=1)*($G$2:$G$636=J219)*(ISNUMBER($B$2:$B$636))*($B$2:$B$636&lt;0.5)))</f>
        <v/>
      </c>
      <c r="M219">
        <f>IFERROR(L219/K219,"")</f>
        <v/>
      </c>
      <c r="N219">
        <f>IF(K219="","",M219+K219/100000+ROW()/100000000)</f>
        <v/>
      </c>
      <c r="R219">
        <f>IF(A219=1,IFERROR(I219,0)+ROW()/100000000,-1E+99)</f>
        <v/>
      </c>
      <c r="S219">
        <f>IF(A219=1,IFERROR(Raw_data!$T219,""),"")</f>
        <v/>
      </c>
      <c r="T219">
        <f>IF(A219=1,IFERROR(Raw_data!$AA219,""),"")</f>
        <v/>
      </c>
      <c r="U219">
        <f>IF(A219=1,IFERROR(Raw_data!$U219,""),"")</f>
        <v/>
      </c>
      <c r="V219">
        <f>IF(A219=1,IFERROR(Raw_data!$AB219,""),"")</f>
        <v/>
      </c>
    </row>
    <row r="220">
      <c r="A220">
        <f>--(AND(OR(Dashboard!$B$4="All",Raw_data!$AL220=Dashboard!$B$4),OR(Dashboard!$B$5="All",Raw_data!$AM220=Dashboard!$B$5),OR(Dashboard!$B$6="All",Raw_data!$AN220=Dashboard!$B$6),OR(Dashboard!$B$7="All",Raw_data!$AO220=Dashboard!$B$7),OR(Dashboard!$B$8="All",Raw_data!$AP220=Dashboard!$B$8),OR(Dashboard!$B$9="All",Raw_data!$AQ220=Dashboard!$B$9),OR(Dashboard!$B$10="All",Raw_data!$AF220=Dashboard!$B$10),OR(Raw_data!$F220="",Raw_data!$F220&lt;=TODAY())))</f>
        <v/>
      </c>
      <c r="B220">
        <f>IFERROR(IF(Dashboard!$B$3="Weighted",Raw_data!$U220,Raw_data!$T220),"")</f>
        <v/>
      </c>
      <c r="C220">
        <f>IFERROR(IF(Dashboard!$B$3="Weighted",Raw_data!$AB220,Raw_data!$AA220),"")</f>
        <v/>
      </c>
      <c r="D220">
        <f>IF(OR(Raw_data!$J220="",Raw_data!$J220&lt;=0,Raw_data!$K220=""),"",IF(Raw_data!$K220&gt;TODAY(),0,DATEDIF(Raw_data!$K220,TODAY(),"M")))</f>
        <v/>
      </c>
      <c r="E220">
        <f>--(AND(Raw_data!$AF220="No",OR(Raw_data!$AG220&lt;&gt;"",Raw_data!$AJ220&gt;0,Raw_data!$AK220&lt;&gt;"")))</f>
        <v/>
      </c>
      <c r="F220">
        <f>--(OR(AND(ISNUMBER(B220),B220&lt;0.5,OR(D220&gt;=24,Raw_data!$I220&gt;0)),Raw_data!$AE220=TRUE))</f>
        <v/>
      </c>
      <c r="G220">
        <f>IF(Dashboard!$B$11="Department",Raw_data!$AL220,IF(Dashboard!$B$11="Team",Raw_data!$AM220,IF(Dashboard!$B$11="Unit",Raw_data!$AN220,IF(Dashboard!$B$11="Legal entity",Raw_data!$AO220,IF(Dashboard!$B$11="Location",Raw_data!$AP220,Raw_data!$AQ220)))))</f>
        <v/>
      </c>
      <c r="H220">
        <f>--(AND(ISNUMBER(B220),B220&lt;0.5))</f>
        <v/>
      </c>
      <c r="I220">
        <f>IFERROR(MAX(0,(0.5-B220)*100),0)+IF(D220&gt;=24,20,0)+IF(Raw_data!$I220&gt;0,20,0)+IF(Raw_data!$AE220=TRUE,10,0)</f>
        <v/>
      </c>
      <c r="J220">
        <f>IFERROR(CHOOSE(MATCH(Dashboard!$B$11,{"Department","Team","Unit","Legal entity","Location","Lead"},0),INDEX(Lists!$B$3:$B$20,ROW()-1),INDEX(Lists!$C$3:$C$146,ROW()-1),INDEX(Lists!$D$3:$D$67,ROW()-1),INDEX(Lists!$E$3:$E$5,ROW()-1),INDEX(Lists!$F$3:$F$12,ROW()-1),INDEX(Lists!$G$3:$G$126,ROW()-1)),"")</f>
        <v/>
      </c>
      <c r="K220">
        <f>IF(J220="","",SUMPRODUCT(($A$2:$A$636=1)*($G$2:$G$636=J220)))</f>
        <v/>
      </c>
      <c r="L220">
        <f>IF(J220="","",SUMPRODUCT(($A$2:$A$636=1)*($G$2:$G$636=J220)*(ISNUMBER($B$2:$B$636))*($B$2:$B$636&lt;0.5)))</f>
        <v/>
      </c>
      <c r="M220">
        <f>IFERROR(L220/K220,"")</f>
        <v/>
      </c>
      <c r="N220">
        <f>IF(K220="","",M220+K220/100000+ROW()/100000000)</f>
        <v/>
      </c>
      <c r="R220">
        <f>IF(A220=1,IFERROR(I220,0)+ROW()/100000000,-1E+99)</f>
        <v/>
      </c>
      <c r="S220">
        <f>IF(A220=1,IFERROR(Raw_data!$T220,""),"")</f>
        <v/>
      </c>
      <c r="T220">
        <f>IF(A220=1,IFERROR(Raw_data!$AA220,""),"")</f>
        <v/>
      </c>
      <c r="U220">
        <f>IF(A220=1,IFERROR(Raw_data!$U220,""),"")</f>
        <v/>
      </c>
      <c r="V220">
        <f>IF(A220=1,IFERROR(Raw_data!$AB220,""),"")</f>
        <v/>
      </c>
    </row>
    <row r="221">
      <c r="A221">
        <f>--(AND(OR(Dashboard!$B$4="All",Raw_data!$AL221=Dashboard!$B$4),OR(Dashboard!$B$5="All",Raw_data!$AM221=Dashboard!$B$5),OR(Dashboard!$B$6="All",Raw_data!$AN221=Dashboard!$B$6),OR(Dashboard!$B$7="All",Raw_data!$AO221=Dashboard!$B$7),OR(Dashboard!$B$8="All",Raw_data!$AP221=Dashboard!$B$8),OR(Dashboard!$B$9="All",Raw_data!$AQ221=Dashboard!$B$9),OR(Dashboard!$B$10="All",Raw_data!$AF221=Dashboard!$B$10),OR(Raw_data!$F221="",Raw_data!$F221&lt;=TODAY())))</f>
        <v/>
      </c>
      <c r="B221">
        <f>IFERROR(IF(Dashboard!$B$3="Weighted",Raw_data!$U221,Raw_data!$T221),"")</f>
        <v/>
      </c>
      <c r="C221">
        <f>IFERROR(IF(Dashboard!$B$3="Weighted",Raw_data!$AB221,Raw_data!$AA221),"")</f>
        <v/>
      </c>
      <c r="D221">
        <f>IF(OR(Raw_data!$J221="",Raw_data!$J221&lt;=0,Raw_data!$K221=""),"",IF(Raw_data!$K221&gt;TODAY(),0,DATEDIF(Raw_data!$K221,TODAY(),"M")))</f>
        <v/>
      </c>
      <c r="E221">
        <f>--(AND(Raw_data!$AF221="No",OR(Raw_data!$AG221&lt;&gt;"",Raw_data!$AJ221&gt;0,Raw_data!$AK221&lt;&gt;"")))</f>
        <v/>
      </c>
      <c r="F221">
        <f>--(OR(AND(ISNUMBER(B221),B221&lt;0.5,OR(D221&gt;=24,Raw_data!$I221&gt;0)),Raw_data!$AE221=TRUE))</f>
        <v/>
      </c>
      <c r="G221">
        <f>IF(Dashboard!$B$11="Department",Raw_data!$AL221,IF(Dashboard!$B$11="Team",Raw_data!$AM221,IF(Dashboard!$B$11="Unit",Raw_data!$AN221,IF(Dashboard!$B$11="Legal entity",Raw_data!$AO221,IF(Dashboard!$B$11="Location",Raw_data!$AP221,Raw_data!$AQ221)))))</f>
        <v/>
      </c>
      <c r="H221">
        <f>--(AND(ISNUMBER(B221),B221&lt;0.5))</f>
        <v/>
      </c>
      <c r="I221">
        <f>IFERROR(MAX(0,(0.5-B221)*100),0)+IF(D221&gt;=24,20,0)+IF(Raw_data!$I221&gt;0,20,0)+IF(Raw_data!$AE221=TRUE,10,0)</f>
        <v/>
      </c>
      <c r="J221">
        <f>IFERROR(CHOOSE(MATCH(Dashboard!$B$11,{"Department","Team","Unit","Legal entity","Location","Lead"},0),INDEX(Lists!$B$3:$B$20,ROW()-1),INDEX(Lists!$C$3:$C$146,ROW()-1),INDEX(Lists!$D$3:$D$67,ROW()-1),INDEX(Lists!$E$3:$E$5,ROW()-1),INDEX(Lists!$F$3:$F$12,ROW()-1),INDEX(Lists!$G$3:$G$126,ROW()-1)),"")</f>
        <v/>
      </c>
      <c r="K221">
        <f>IF(J221="","",SUMPRODUCT(($A$2:$A$636=1)*($G$2:$G$636=J221)))</f>
        <v/>
      </c>
      <c r="L221">
        <f>IF(J221="","",SUMPRODUCT(($A$2:$A$636=1)*($G$2:$G$636=J221)*(ISNUMBER($B$2:$B$636))*($B$2:$B$636&lt;0.5)))</f>
        <v/>
      </c>
      <c r="M221">
        <f>IFERROR(L221/K221,"")</f>
        <v/>
      </c>
      <c r="N221">
        <f>IF(K221="","",M221+K221/100000+ROW()/100000000)</f>
        <v/>
      </c>
      <c r="R221">
        <f>IF(A221=1,IFERROR(I221,0)+ROW()/100000000,-1E+99)</f>
        <v/>
      </c>
      <c r="S221">
        <f>IF(A221=1,IFERROR(Raw_data!$T221,""),"")</f>
        <v/>
      </c>
      <c r="T221">
        <f>IF(A221=1,IFERROR(Raw_data!$AA221,""),"")</f>
        <v/>
      </c>
      <c r="U221">
        <f>IF(A221=1,IFERROR(Raw_data!$U221,""),"")</f>
        <v/>
      </c>
      <c r="V221">
        <f>IF(A221=1,IFERROR(Raw_data!$AB221,""),"")</f>
        <v/>
      </c>
    </row>
    <row r="222">
      <c r="A222">
        <f>--(AND(OR(Dashboard!$B$4="All",Raw_data!$AL222=Dashboard!$B$4),OR(Dashboard!$B$5="All",Raw_data!$AM222=Dashboard!$B$5),OR(Dashboard!$B$6="All",Raw_data!$AN222=Dashboard!$B$6),OR(Dashboard!$B$7="All",Raw_data!$AO222=Dashboard!$B$7),OR(Dashboard!$B$8="All",Raw_data!$AP222=Dashboard!$B$8),OR(Dashboard!$B$9="All",Raw_data!$AQ222=Dashboard!$B$9),OR(Dashboard!$B$10="All",Raw_data!$AF222=Dashboard!$B$10),OR(Raw_data!$F222="",Raw_data!$F222&lt;=TODAY())))</f>
        <v/>
      </c>
      <c r="B222">
        <f>IFERROR(IF(Dashboard!$B$3="Weighted",Raw_data!$U222,Raw_data!$T222),"")</f>
        <v/>
      </c>
      <c r="C222">
        <f>IFERROR(IF(Dashboard!$B$3="Weighted",Raw_data!$AB222,Raw_data!$AA222),"")</f>
        <v/>
      </c>
      <c r="D222">
        <f>IF(OR(Raw_data!$J222="",Raw_data!$J222&lt;=0,Raw_data!$K222=""),"",IF(Raw_data!$K222&gt;TODAY(),0,DATEDIF(Raw_data!$K222,TODAY(),"M")))</f>
        <v/>
      </c>
      <c r="E222">
        <f>--(AND(Raw_data!$AF222="No",OR(Raw_data!$AG222&lt;&gt;"",Raw_data!$AJ222&gt;0,Raw_data!$AK222&lt;&gt;"")))</f>
        <v/>
      </c>
      <c r="F222">
        <f>--(OR(AND(ISNUMBER(B222),B222&lt;0.5,OR(D222&gt;=24,Raw_data!$I222&gt;0)),Raw_data!$AE222=TRUE))</f>
        <v/>
      </c>
      <c r="G222">
        <f>IF(Dashboard!$B$11="Department",Raw_data!$AL222,IF(Dashboard!$B$11="Team",Raw_data!$AM222,IF(Dashboard!$B$11="Unit",Raw_data!$AN222,IF(Dashboard!$B$11="Legal entity",Raw_data!$AO222,IF(Dashboard!$B$11="Location",Raw_data!$AP222,Raw_data!$AQ222)))))</f>
        <v/>
      </c>
      <c r="H222">
        <f>--(AND(ISNUMBER(B222),B222&lt;0.5))</f>
        <v/>
      </c>
      <c r="I222">
        <f>IFERROR(MAX(0,(0.5-B222)*100),0)+IF(D222&gt;=24,20,0)+IF(Raw_data!$I222&gt;0,20,0)+IF(Raw_data!$AE222=TRUE,10,0)</f>
        <v/>
      </c>
      <c r="J222">
        <f>IFERROR(CHOOSE(MATCH(Dashboard!$B$11,{"Department","Team","Unit","Legal entity","Location","Lead"},0),INDEX(Lists!$B$3:$B$20,ROW()-1),INDEX(Lists!$C$3:$C$146,ROW()-1),INDEX(Lists!$D$3:$D$67,ROW()-1),INDEX(Lists!$E$3:$E$5,ROW()-1),INDEX(Lists!$F$3:$F$12,ROW()-1),INDEX(Lists!$G$3:$G$126,ROW()-1)),"")</f>
        <v/>
      </c>
      <c r="K222">
        <f>IF(J222="","",SUMPRODUCT(($A$2:$A$636=1)*($G$2:$G$636=J222)))</f>
        <v/>
      </c>
      <c r="L222">
        <f>IF(J222="","",SUMPRODUCT(($A$2:$A$636=1)*($G$2:$G$636=J222)*(ISNUMBER($B$2:$B$636))*($B$2:$B$636&lt;0.5)))</f>
        <v/>
      </c>
      <c r="M222">
        <f>IFERROR(L222/K222,"")</f>
        <v/>
      </c>
      <c r="N222">
        <f>IF(K222="","",M222+K222/100000+ROW()/100000000)</f>
        <v/>
      </c>
      <c r="R222">
        <f>IF(A222=1,IFERROR(I222,0)+ROW()/100000000,-1E+99)</f>
        <v/>
      </c>
      <c r="S222">
        <f>IF(A222=1,IFERROR(Raw_data!$T222,""),"")</f>
        <v/>
      </c>
      <c r="T222">
        <f>IF(A222=1,IFERROR(Raw_data!$AA222,""),"")</f>
        <v/>
      </c>
      <c r="U222">
        <f>IF(A222=1,IFERROR(Raw_data!$U222,""),"")</f>
        <v/>
      </c>
      <c r="V222">
        <f>IF(A222=1,IFERROR(Raw_data!$AB222,""),"")</f>
        <v/>
      </c>
    </row>
    <row r="223">
      <c r="A223">
        <f>--(AND(OR(Dashboard!$B$4="All",Raw_data!$AL223=Dashboard!$B$4),OR(Dashboard!$B$5="All",Raw_data!$AM223=Dashboard!$B$5),OR(Dashboard!$B$6="All",Raw_data!$AN223=Dashboard!$B$6),OR(Dashboard!$B$7="All",Raw_data!$AO223=Dashboard!$B$7),OR(Dashboard!$B$8="All",Raw_data!$AP223=Dashboard!$B$8),OR(Dashboard!$B$9="All",Raw_data!$AQ223=Dashboard!$B$9),OR(Dashboard!$B$10="All",Raw_data!$AF223=Dashboard!$B$10),OR(Raw_data!$F223="",Raw_data!$F223&lt;=TODAY())))</f>
        <v/>
      </c>
      <c r="B223">
        <f>IFERROR(IF(Dashboard!$B$3="Weighted",Raw_data!$U223,Raw_data!$T223),"")</f>
        <v/>
      </c>
      <c r="C223">
        <f>IFERROR(IF(Dashboard!$B$3="Weighted",Raw_data!$AB223,Raw_data!$AA223),"")</f>
        <v/>
      </c>
      <c r="D223">
        <f>IF(OR(Raw_data!$J223="",Raw_data!$J223&lt;=0,Raw_data!$K223=""),"",IF(Raw_data!$K223&gt;TODAY(),0,DATEDIF(Raw_data!$K223,TODAY(),"M")))</f>
        <v/>
      </c>
      <c r="E223">
        <f>--(AND(Raw_data!$AF223="No",OR(Raw_data!$AG223&lt;&gt;"",Raw_data!$AJ223&gt;0,Raw_data!$AK223&lt;&gt;"")))</f>
        <v/>
      </c>
      <c r="F223">
        <f>--(OR(AND(ISNUMBER(B223),B223&lt;0.5,OR(D223&gt;=24,Raw_data!$I223&gt;0)),Raw_data!$AE223=TRUE))</f>
        <v/>
      </c>
      <c r="G223">
        <f>IF(Dashboard!$B$11="Department",Raw_data!$AL223,IF(Dashboard!$B$11="Team",Raw_data!$AM223,IF(Dashboard!$B$11="Unit",Raw_data!$AN223,IF(Dashboard!$B$11="Legal entity",Raw_data!$AO223,IF(Dashboard!$B$11="Location",Raw_data!$AP223,Raw_data!$AQ223)))))</f>
        <v/>
      </c>
      <c r="H223">
        <f>--(AND(ISNUMBER(B223),B223&lt;0.5))</f>
        <v/>
      </c>
      <c r="I223">
        <f>IFERROR(MAX(0,(0.5-B223)*100),0)+IF(D223&gt;=24,20,0)+IF(Raw_data!$I223&gt;0,20,0)+IF(Raw_data!$AE223=TRUE,10,0)</f>
        <v/>
      </c>
      <c r="J223">
        <f>IFERROR(CHOOSE(MATCH(Dashboard!$B$11,{"Department","Team","Unit","Legal entity","Location","Lead"},0),INDEX(Lists!$B$3:$B$20,ROW()-1),INDEX(Lists!$C$3:$C$146,ROW()-1),INDEX(Lists!$D$3:$D$67,ROW()-1),INDEX(Lists!$E$3:$E$5,ROW()-1),INDEX(Lists!$F$3:$F$12,ROW()-1),INDEX(Lists!$G$3:$G$126,ROW()-1)),"")</f>
        <v/>
      </c>
      <c r="K223">
        <f>IF(J223="","",SUMPRODUCT(($A$2:$A$636=1)*($G$2:$G$636=J223)))</f>
        <v/>
      </c>
      <c r="L223">
        <f>IF(J223="","",SUMPRODUCT(($A$2:$A$636=1)*($G$2:$G$636=J223)*(ISNUMBER($B$2:$B$636))*($B$2:$B$636&lt;0.5)))</f>
        <v/>
      </c>
      <c r="M223">
        <f>IFERROR(L223/K223,"")</f>
        <v/>
      </c>
      <c r="N223">
        <f>IF(K223="","",M223+K223/100000+ROW()/100000000)</f>
        <v/>
      </c>
      <c r="R223">
        <f>IF(A223=1,IFERROR(I223,0)+ROW()/100000000,-1E+99)</f>
        <v/>
      </c>
      <c r="S223">
        <f>IF(A223=1,IFERROR(Raw_data!$T223,""),"")</f>
        <v/>
      </c>
      <c r="T223">
        <f>IF(A223=1,IFERROR(Raw_data!$AA223,""),"")</f>
        <v/>
      </c>
      <c r="U223">
        <f>IF(A223=1,IFERROR(Raw_data!$U223,""),"")</f>
        <v/>
      </c>
      <c r="V223">
        <f>IF(A223=1,IFERROR(Raw_data!$AB223,""),"")</f>
        <v/>
      </c>
    </row>
    <row r="224">
      <c r="A224">
        <f>--(AND(OR(Dashboard!$B$4="All",Raw_data!$AL224=Dashboard!$B$4),OR(Dashboard!$B$5="All",Raw_data!$AM224=Dashboard!$B$5),OR(Dashboard!$B$6="All",Raw_data!$AN224=Dashboard!$B$6),OR(Dashboard!$B$7="All",Raw_data!$AO224=Dashboard!$B$7),OR(Dashboard!$B$8="All",Raw_data!$AP224=Dashboard!$B$8),OR(Dashboard!$B$9="All",Raw_data!$AQ224=Dashboard!$B$9),OR(Dashboard!$B$10="All",Raw_data!$AF224=Dashboard!$B$10),OR(Raw_data!$F224="",Raw_data!$F224&lt;=TODAY())))</f>
        <v/>
      </c>
      <c r="B224">
        <f>IFERROR(IF(Dashboard!$B$3="Weighted",Raw_data!$U224,Raw_data!$T224),"")</f>
        <v/>
      </c>
      <c r="C224">
        <f>IFERROR(IF(Dashboard!$B$3="Weighted",Raw_data!$AB224,Raw_data!$AA224),"")</f>
        <v/>
      </c>
      <c r="D224">
        <f>IF(OR(Raw_data!$J224="",Raw_data!$J224&lt;=0,Raw_data!$K224=""),"",IF(Raw_data!$K224&gt;TODAY(),0,DATEDIF(Raw_data!$K224,TODAY(),"M")))</f>
        <v/>
      </c>
      <c r="E224">
        <f>--(AND(Raw_data!$AF224="No",OR(Raw_data!$AG224&lt;&gt;"",Raw_data!$AJ224&gt;0,Raw_data!$AK224&lt;&gt;"")))</f>
        <v/>
      </c>
      <c r="F224">
        <f>--(OR(AND(ISNUMBER(B224),B224&lt;0.5,OR(D224&gt;=24,Raw_data!$I224&gt;0)),Raw_data!$AE224=TRUE))</f>
        <v/>
      </c>
      <c r="G224">
        <f>IF(Dashboard!$B$11="Department",Raw_data!$AL224,IF(Dashboard!$B$11="Team",Raw_data!$AM224,IF(Dashboard!$B$11="Unit",Raw_data!$AN224,IF(Dashboard!$B$11="Legal entity",Raw_data!$AO224,IF(Dashboard!$B$11="Location",Raw_data!$AP224,Raw_data!$AQ224)))))</f>
        <v/>
      </c>
      <c r="H224">
        <f>--(AND(ISNUMBER(B224),B224&lt;0.5))</f>
        <v/>
      </c>
      <c r="I224">
        <f>IFERROR(MAX(0,(0.5-B224)*100),0)+IF(D224&gt;=24,20,0)+IF(Raw_data!$I224&gt;0,20,0)+IF(Raw_data!$AE224=TRUE,10,0)</f>
        <v/>
      </c>
      <c r="J224">
        <f>IFERROR(CHOOSE(MATCH(Dashboard!$B$11,{"Department","Team","Unit","Legal entity","Location","Lead"},0),INDEX(Lists!$B$3:$B$20,ROW()-1),INDEX(Lists!$C$3:$C$146,ROW()-1),INDEX(Lists!$D$3:$D$67,ROW()-1),INDEX(Lists!$E$3:$E$5,ROW()-1),INDEX(Lists!$F$3:$F$12,ROW()-1),INDEX(Lists!$G$3:$G$126,ROW()-1)),"")</f>
        <v/>
      </c>
      <c r="K224">
        <f>IF(J224="","",SUMPRODUCT(($A$2:$A$636=1)*($G$2:$G$636=J224)))</f>
        <v/>
      </c>
      <c r="L224">
        <f>IF(J224="","",SUMPRODUCT(($A$2:$A$636=1)*($G$2:$G$636=J224)*(ISNUMBER($B$2:$B$636))*($B$2:$B$636&lt;0.5)))</f>
        <v/>
      </c>
      <c r="M224">
        <f>IFERROR(L224/K224,"")</f>
        <v/>
      </c>
      <c r="N224">
        <f>IF(K224="","",M224+K224/100000+ROW()/100000000)</f>
        <v/>
      </c>
      <c r="R224">
        <f>IF(A224=1,IFERROR(I224,0)+ROW()/100000000,-1E+99)</f>
        <v/>
      </c>
      <c r="S224">
        <f>IF(A224=1,IFERROR(Raw_data!$T224,""),"")</f>
        <v/>
      </c>
      <c r="T224">
        <f>IF(A224=1,IFERROR(Raw_data!$AA224,""),"")</f>
        <v/>
      </c>
      <c r="U224">
        <f>IF(A224=1,IFERROR(Raw_data!$U224,""),"")</f>
        <v/>
      </c>
      <c r="V224">
        <f>IF(A224=1,IFERROR(Raw_data!$AB224,""),"")</f>
        <v/>
      </c>
    </row>
    <row r="225">
      <c r="A225">
        <f>--(AND(OR(Dashboard!$B$4="All",Raw_data!$AL225=Dashboard!$B$4),OR(Dashboard!$B$5="All",Raw_data!$AM225=Dashboard!$B$5),OR(Dashboard!$B$6="All",Raw_data!$AN225=Dashboard!$B$6),OR(Dashboard!$B$7="All",Raw_data!$AO225=Dashboard!$B$7),OR(Dashboard!$B$8="All",Raw_data!$AP225=Dashboard!$B$8),OR(Dashboard!$B$9="All",Raw_data!$AQ225=Dashboard!$B$9),OR(Dashboard!$B$10="All",Raw_data!$AF225=Dashboard!$B$10),OR(Raw_data!$F225="",Raw_data!$F225&lt;=TODAY())))</f>
        <v/>
      </c>
      <c r="B225">
        <f>IFERROR(IF(Dashboard!$B$3="Weighted",Raw_data!$U225,Raw_data!$T225),"")</f>
        <v/>
      </c>
      <c r="C225">
        <f>IFERROR(IF(Dashboard!$B$3="Weighted",Raw_data!$AB225,Raw_data!$AA225),"")</f>
        <v/>
      </c>
      <c r="D225">
        <f>IF(OR(Raw_data!$J225="",Raw_data!$J225&lt;=0,Raw_data!$K225=""),"",IF(Raw_data!$K225&gt;TODAY(),0,DATEDIF(Raw_data!$K225,TODAY(),"M")))</f>
        <v/>
      </c>
      <c r="E225">
        <f>--(AND(Raw_data!$AF225="No",OR(Raw_data!$AG225&lt;&gt;"",Raw_data!$AJ225&gt;0,Raw_data!$AK225&lt;&gt;"")))</f>
        <v/>
      </c>
      <c r="F225">
        <f>--(OR(AND(ISNUMBER(B225),B225&lt;0.5,OR(D225&gt;=24,Raw_data!$I225&gt;0)),Raw_data!$AE225=TRUE))</f>
        <v/>
      </c>
      <c r="G225">
        <f>IF(Dashboard!$B$11="Department",Raw_data!$AL225,IF(Dashboard!$B$11="Team",Raw_data!$AM225,IF(Dashboard!$B$11="Unit",Raw_data!$AN225,IF(Dashboard!$B$11="Legal entity",Raw_data!$AO225,IF(Dashboard!$B$11="Location",Raw_data!$AP225,Raw_data!$AQ225)))))</f>
        <v/>
      </c>
      <c r="H225">
        <f>--(AND(ISNUMBER(B225),B225&lt;0.5))</f>
        <v/>
      </c>
      <c r="I225">
        <f>IFERROR(MAX(0,(0.5-B225)*100),0)+IF(D225&gt;=24,20,0)+IF(Raw_data!$I225&gt;0,20,0)+IF(Raw_data!$AE225=TRUE,10,0)</f>
        <v/>
      </c>
      <c r="J225">
        <f>IFERROR(CHOOSE(MATCH(Dashboard!$B$11,{"Department","Team","Unit","Legal entity","Location","Lead"},0),INDEX(Lists!$B$3:$B$20,ROW()-1),INDEX(Lists!$C$3:$C$146,ROW()-1),INDEX(Lists!$D$3:$D$67,ROW()-1),INDEX(Lists!$E$3:$E$5,ROW()-1),INDEX(Lists!$F$3:$F$12,ROW()-1),INDEX(Lists!$G$3:$G$126,ROW()-1)),"")</f>
        <v/>
      </c>
      <c r="K225">
        <f>IF(J225="","",SUMPRODUCT(($A$2:$A$636=1)*($G$2:$G$636=J225)))</f>
        <v/>
      </c>
      <c r="L225">
        <f>IF(J225="","",SUMPRODUCT(($A$2:$A$636=1)*($G$2:$G$636=J225)*(ISNUMBER($B$2:$B$636))*($B$2:$B$636&lt;0.5)))</f>
        <v/>
      </c>
      <c r="M225">
        <f>IFERROR(L225/K225,"")</f>
        <v/>
      </c>
      <c r="N225">
        <f>IF(K225="","",M225+K225/100000+ROW()/100000000)</f>
        <v/>
      </c>
      <c r="R225">
        <f>IF(A225=1,IFERROR(I225,0)+ROW()/100000000,-1E+99)</f>
        <v/>
      </c>
      <c r="S225">
        <f>IF(A225=1,IFERROR(Raw_data!$T225,""),"")</f>
        <v/>
      </c>
      <c r="T225">
        <f>IF(A225=1,IFERROR(Raw_data!$AA225,""),"")</f>
        <v/>
      </c>
      <c r="U225">
        <f>IF(A225=1,IFERROR(Raw_data!$U225,""),"")</f>
        <v/>
      </c>
      <c r="V225">
        <f>IF(A225=1,IFERROR(Raw_data!$AB225,""),"")</f>
        <v/>
      </c>
    </row>
    <row r="226">
      <c r="A226">
        <f>--(AND(OR(Dashboard!$B$4="All",Raw_data!$AL226=Dashboard!$B$4),OR(Dashboard!$B$5="All",Raw_data!$AM226=Dashboard!$B$5),OR(Dashboard!$B$6="All",Raw_data!$AN226=Dashboard!$B$6),OR(Dashboard!$B$7="All",Raw_data!$AO226=Dashboard!$B$7),OR(Dashboard!$B$8="All",Raw_data!$AP226=Dashboard!$B$8),OR(Dashboard!$B$9="All",Raw_data!$AQ226=Dashboard!$B$9),OR(Dashboard!$B$10="All",Raw_data!$AF226=Dashboard!$B$10),OR(Raw_data!$F226="",Raw_data!$F226&lt;=TODAY())))</f>
        <v/>
      </c>
      <c r="B226">
        <f>IFERROR(IF(Dashboard!$B$3="Weighted",Raw_data!$U226,Raw_data!$T226),"")</f>
        <v/>
      </c>
      <c r="C226">
        <f>IFERROR(IF(Dashboard!$B$3="Weighted",Raw_data!$AB226,Raw_data!$AA226),"")</f>
        <v/>
      </c>
      <c r="D226">
        <f>IF(OR(Raw_data!$J226="",Raw_data!$J226&lt;=0,Raw_data!$K226=""),"",IF(Raw_data!$K226&gt;TODAY(),0,DATEDIF(Raw_data!$K226,TODAY(),"M")))</f>
        <v/>
      </c>
      <c r="E226">
        <f>--(AND(Raw_data!$AF226="No",OR(Raw_data!$AG226&lt;&gt;"",Raw_data!$AJ226&gt;0,Raw_data!$AK226&lt;&gt;"")))</f>
        <v/>
      </c>
      <c r="F226">
        <f>--(OR(AND(ISNUMBER(B226),B226&lt;0.5,OR(D226&gt;=24,Raw_data!$I226&gt;0)),Raw_data!$AE226=TRUE))</f>
        <v/>
      </c>
      <c r="G226">
        <f>IF(Dashboard!$B$11="Department",Raw_data!$AL226,IF(Dashboard!$B$11="Team",Raw_data!$AM226,IF(Dashboard!$B$11="Unit",Raw_data!$AN226,IF(Dashboard!$B$11="Legal entity",Raw_data!$AO226,IF(Dashboard!$B$11="Location",Raw_data!$AP226,Raw_data!$AQ226)))))</f>
        <v/>
      </c>
      <c r="H226">
        <f>--(AND(ISNUMBER(B226),B226&lt;0.5))</f>
        <v/>
      </c>
      <c r="I226">
        <f>IFERROR(MAX(0,(0.5-B226)*100),0)+IF(D226&gt;=24,20,0)+IF(Raw_data!$I226&gt;0,20,0)+IF(Raw_data!$AE226=TRUE,10,0)</f>
        <v/>
      </c>
      <c r="J226">
        <f>IFERROR(CHOOSE(MATCH(Dashboard!$B$11,{"Department","Team","Unit","Legal entity","Location","Lead"},0),INDEX(Lists!$B$3:$B$20,ROW()-1),INDEX(Lists!$C$3:$C$146,ROW()-1),INDEX(Lists!$D$3:$D$67,ROW()-1),INDEX(Lists!$E$3:$E$5,ROW()-1),INDEX(Lists!$F$3:$F$12,ROW()-1),INDEX(Lists!$G$3:$G$126,ROW()-1)),"")</f>
        <v/>
      </c>
      <c r="K226">
        <f>IF(J226="","",SUMPRODUCT(($A$2:$A$636=1)*($G$2:$G$636=J226)))</f>
        <v/>
      </c>
      <c r="L226">
        <f>IF(J226="","",SUMPRODUCT(($A$2:$A$636=1)*($G$2:$G$636=J226)*(ISNUMBER($B$2:$B$636))*($B$2:$B$636&lt;0.5)))</f>
        <v/>
      </c>
      <c r="M226">
        <f>IFERROR(L226/K226,"")</f>
        <v/>
      </c>
      <c r="N226">
        <f>IF(K226="","",M226+K226/100000+ROW()/100000000)</f>
        <v/>
      </c>
      <c r="R226">
        <f>IF(A226=1,IFERROR(I226,0)+ROW()/100000000,-1E+99)</f>
        <v/>
      </c>
      <c r="S226">
        <f>IF(A226=1,IFERROR(Raw_data!$T226,""),"")</f>
        <v/>
      </c>
      <c r="T226">
        <f>IF(A226=1,IFERROR(Raw_data!$AA226,""),"")</f>
        <v/>
      </c>
      <c r="U226">
        <f>IF(A226=1,IFERROR(Raw_data!$U226,""),"")</f>
        <v/>
      </c>
      <c r="V226">
        <f>IF(A226=1,IFERROR(Raw_data!$AB226,""),"")</f>
        <v/>
      </c>
    </row>
    <row r="227">
      <c r="A227">
        <f>--(AND(OR(Dashboard!$B$4="All",Raw_data!$AL227=Dashboard!$B$4),OR(Dashboard!$B$5="All",Raw_data!$AM227=Dashboard!$B$5),OR(Dashboard!$B$6="All",Raw_data!$AN227=Dashboard!$B$6),OR(Dashboard!$B$7="All",Raw_data!$AO227=Dashboard!$B$7),OR(Dashboard!$B$8="All",Raw_data!$AP227=Dashboard!$B$8),OR(Dashboard!$B$9="All",Raw_data!$AQ227=Dashboard!$B$9),OR(Dashboard!$B$10="All",Raw_data!$AF227=Dashboard!$B$10),OR(Raw_data!$F227="",Raw_data!$F227&lt;=TODAY())))</f>
        <v/>
      </c>
      <c r="B227">
        <f>IFERROR(IF(Dashboard!$B$3="Weighted",Raw_data!$U227,Raw_data!$T227),"")</f>
        <v/>
      </c>
      <c r="C227">
        <f>IFERROR(IF(Dashboard!$B$3="Weighted",Raw_data!$AB227,Raw_data!$AA227),"")</f>
        <v/>
      </c>
      <c r="D227">
        <f>IF(OR(Raw_data!$J227="",Raw_data!$J227&lt;=0,Raw_data!$K227=""),"",IF(Raw_data!$K227&gt;TODAY(),0,DATEDIF(Raw_data!$K227,TODAY(),"M")))</f>
        <v/>
      </c>
      <c r="E227">
        <f>--(AND(Raw_data!$AF227="No",OR(Raw_data!$AG227&lt;&gt;"",Raw_data!$AJ227&gt;0,Raw_data!$AK227&lt;&gt;"")))</f>
        <v/>
      </c>
      <c r="F227">
        <f>--(OR(AND(ISNUMBER(B227),B227&lt;0.5,OR(D227&gt;=24,Raw_data!$I227&gt;0)),Raw_data!$AE227=TRUE))</f>
        <v/>
      </c>
      <c r="G227">
        <f>IF(Dashboard!$B$11="Department",Raw_data!$AL227,IF(Dashboard!$B$11="Team",Raw_data!$AM227,IF(Dashboard!$B$11="Unit",Raw_data!$AN227,IF(Dashboard!$B$11="Legal entity",Raw_data!$AO227,IF(Dashboard!$B$11="Location",Raw_data!$AP227,Raw_data!$AQ227)))))</f>
        <v/>
      </c>
      <c r="H227">
        <f>--(AND(ISNUMBER(B227),B227&lt;0.5))</f>
        <v/>
      </c>
      <c r="I227">
        <f>IFERROR(MAX(0,(0.5-B227)*100),0)+IF(D227&gt;=24,20,0)+IF(Raw_data!$I227&gt;0,20,0)+IF(Raw_data!$AE227=TRUE,10,0)</f>
        <v/>
      </c>
      <c r="J227">
        <f>IFERROR(CHOOSE(MATCH(Dashboard!$B$11,{"Department","Team","Unit","Legal entity","Location","Lead"},0),INDEX(Lists!$B$3:$B$20,ROW()-1),INDEX(Lists!$C$3:$C$146,ROW()-1),INDEX(Lists!$D$3:$D$67,ROW()-1),INDEX(Lists!$E$3:$E$5,ROW()-1),INDEX(Lists!$F$3:$F$12,ROW()-1),INDEX(Lists!$G$3:$G$126,ROW()-1)),"")</f>
        <v/>
      </c>
      <c r="K227">
        <f>IF(J227="","",SUMPRODUCT(($A$2:$A$636=1)*($G$2:$G$636=J227)))</f>
        <v/>
      </c>
      <c r="L227">
        <f>IF(J227="","",SUMPRODUCT(($A$2:$A$636=1)*($G$2:$G$636=J227)*(ISNUMBER($B$2:$B$636))*($B$2:$B$636&lt;0.5)))</f>
        <v/>
      </c>
      <c r="M227">
        <f>IFERROR(L227/K227,"")</f>
        <v/>
      </c>
      <c r="N227">
        <f>IF(K227="","",M227+K227/100000+ROW()/100000000)</f>
        <v/>
      </c>
      <c r="R227">
        <f>IF(A227=1,IFERROR(I227,0)+ROW()/100000000,-1E+99)</f>
        <v/>
      </c>
      <c r="S227">
        <f>IF(A227=1,IFERROR(Raw_data!$T227,""),"")</f>
        <v/>
      </c>
      <c r="T227">
        <f>IF(A227=1,IFERROR(Raw_data!$AA227,""),"")</f>
        <v/>
      </c>
      <c r="U227">
        <f>IF(A227=1,IFERROR(Raw_data!$U227,""),"")</f>
        <v/>
      </c>
      <c r="V227">
        <f>IF(A227=1,IFERROR(Raw_data!$AB227,""),"")</f>
        <v/>
      </c>
    </row>
    <row r="228">
      <c r="A228">
        <f>--(AND(OR(Dashboard!$B$4="All",Raw_data!$AL228=Dashboard!$B$4),OR(Dashboard!$B$5="All",Raw_data!$AM228=Dashboard!$B$5),OR(Dashboard!$B$6="All",Raw_data!$AN228=Dashboard!$B$6),OR(Dashboard!$B$7="All",Raw_data!$AO228=Dashboard!$B$7),OR(Dashboard!$B$8="All",Raw_data!$AP228=Dashboard!$B$8),OR(Dashboard!$B$9="All",Raw_data!$AQ228=Dashboard!$B$9),OR(Dashboard!$B$10="All",Raw_data!$AF228=Dashboard!$B$10),OR(Raw_data!$F228="",Raw_data!$F228&lt;=TODAY())))</f>
        <v/>
      </c>
      <c r="B228">
        <f>IFERROR(IF(Dashboard!$B$3="Weighted",Raw_data!$U228,Raw_data!$T228),"")</f>
        <v/>
      </c>
      <c r="C228">
        <f>IFERROR(IF(Dashboard!$B$3="Weighted",Raw_data!$AB228,Raw_data!$AA228),"")</f>
        <v/>
      </c>
      <c r="D228">
        <f>IF(OR(Raw_data!$J228="",Raw_data!$J228&lt;=0,Raw_data!$K228=""),"",IF(Raw_data!$K228&gt;TODAY(),0,DATEDIF(Raw_data!$K228,TODAY(),"M")))</f>
        <v/>
      </c>
      <c r="E228">
        <f>--(AND(Raw_data!$AF228="No",OR(Raw_data!$AG228&lt;&gt;"",Raw_data!$AJ228&gt;0,Raw_data!$AK228&lt;&gt;"")))</f>
        <v/>
      </c>
      <c r="F228">
        <f>--(OR(AND(ISNUMBER(B228),B228&lt;0.5,OR(D228&gt;=24,Raw_data!$I228&gt;0)),Raw_data!$AE228=TRUE))</f>
        <v/>
      </c>
      <c r="G228">
        <f>IF(Dashboard!$B$11="Department",Raw_data!$AL228,IF(Dashboard!$B$11="Team",Raw_data!$AM228,IF(Dashboard!$B$11="Unit",Raw_data!$AN228,IF(Dashboard!$B$11="Legal entity",Raw_data!$AO228,IF(Dashboard!$B$11="Location",Raw_data!$AP228,Raw_data!$AQ228)))))</f>
        <v/>
      </c>
      <c r="H228">
        <f>--(AND(ISNUMBER(B228),B228&lt;0.5))</f>
        <v/>
      </c>
      <c r="I228">
        <f>IFERROR(MAX(0,(0.5-B228)*100),0)+IF(D228&gt;=24,20,0)+IF(Raw_data!$I228&gt;0,20,0)+IF(Raw_data!$AE228=TRUE,10,0)</f>
        <v/>
      </c>
      <c r="J228">
        <f>IFERROR(CHOOSE(MATCH(Dashboard!$B$11,{"Department","Team","Unit","Legal entity","Location","Lead"},0),INDEX(Lists!$B$3:$B$20,ROW()-1),INDEX(Lists!$C$3:$C$146,ROW()-1),INDEX(Lists!$D$3:$D$67,ROW()-1),INDEX(Lists!$E$3:$E$5,ROW()-1),INDEX(Lists!$F$3:$F$12,ROW()-1),INDEX(Lists!$G$3:$G$126,ROW()-1)),"")</f>
        <v/>
      </c>
      <c r="K228">
        <f>IF(J228="","",SUMPRODUCT(($A$2:$A$636=1)*($G$2:$G$636=J228)))</f>
        <v/>
      </c>
      <c r="L228">
        <f>IF(J228="","",SUMPRODUCT(($A$2:$A$636=1)*($G$2:$G$636=J228)*(ISNUMBER($B$2:$B$636))*($B$2:$B$636&lt;0.5)))</f>
        <v/>
      </c>
      <c r="M228">
        <f>IFERROR(L228/K228,"")</f>
        <v/>
      </c>
      <c r="N228">
        <f>IF(K228="","",M228+K228/100000+ROW()/100000000)</f>
        <v/>
      </c>
      <c r="R228">
        <f>IF(A228=1,IFERROR(I228,0)+ROW()/100000000,-1E+99)</f>
        <v/>
      </c>
      <c r="S228">
        <f>IF(A228=1,IFERROR(Raw_data!$T228,""),"")</f>
        <v/>
      </c>
      <c r="T228">
        <f>IF(A228=1,IFERROR(Raw_data!$AA228,""),"")</f>
        <v/>
      </c>
      <c r="U228">
        <f>IF(A228=1,IFERROR(Raw_data!$U228,""),"")</f>
        <v/>
      </c>
      <c r="V228">
        <f>IF(A228=1,IFERROR(Raw_data!$AB228,""),"")</f>
        <v/>
      </c>
    </row>
    <row r="229">
      <c r="A229">
        <f>--(AND(OR(Dashboard!$B$4="All",Raw_data!$AL229=Dashboard!$B$4),OR(Dashboard!$B$5="All",Raw_data!$AM229=Dashboard!$B$5),OR(Dashboard!$B$6="All",Raw_data!$AN229=Dashboard!$B$6),OR(Dashboard!$B$7="All",Raw_data!$AO229=Dashboard!$B$7),OR(Dashboard!$B$8="All",Raw_data!$AP229=Dashboard!$B$8),OR(Dashboard!$B$9="All",Raw_data!$AQ229=Dashboard!$B$9),OR(Dashboard!$B$10="All",Raw_data!$AF229=Dashboard!$B$10),OR(Raw_data!$F229="",Raw_data!$F229&lt;=TODAY())))</f>
        <v/>
      </c>
      <c r="B229">
        <f>IFERROR(IF(Dashboard!$B$3="Weighted",Raw_data!$U229,Raw_data!$T229),"")</f>
        <v/>
      </c>
      <c r="C229">
        <f>IFERROR(IF(Dashboard!$B$3="Weighted",Raw_data!$AB229,Raw_data!$AA229),"")</f>
        <v/>
      </c>
      <c r="D229">
        <f>IF(OR(Raw_data!$J229="",Raw_data!$J229&lt;=0,Raw_data!$K229=""),"",IF(Raw_data!$K229&gt;TODAY(),0,DATEDIF(Raw_data!$K229,TODAY(),"M")))</f>
        <v/>
      </c>
      <c r="E229">
        <f>--(AND(Raw_data!$AF229="No",OR(Raw_data!$AG229&lt;&gt;"",Raw_data!$AJ229&gt;0,Raw_data!$AK229&lt;&gt;"")))</f>
        <v/>
      </c>
      <c r="F229">
        <f>--(OR(AND(ISNUMBER(B229),B229&lt;0.5,OR(D229&gt;=24,Raw_data!$I229&gt;0)),Raw_data!$AE229=TRUE))</f>
        <v/>
      </c>
      <c r="G229">
        <f>IF(Dashboard!$B$11="Department",Raw_data!$AL229,IF(Dashboard!$B$11="Team",Raw_data!$AM229,IF(Dashboard!$B$11="Unit",Raw_data!$AN229,IF(Dashboard!$B$11="Legal entity",Raw_data!$AO229,IF(Dashboard!$B$11="Location",Raw_data!$AP229,Raw_data!$AQ229)))))</f>
        <v/>
      </c>
      <c r="H229">
        <f>--(AND(ISNUMBER(B229),B229&lt;0.5))</f>
        <v/>
      </c>
      <c r="I229">
        <f>IFERROR(MAX(0,(0.5-B229)*100),0)+IF(D229&gt;=24,20,0)+IF(Raw_data!$I229&gt;0,20,0)+IF(Raw_data!$AE229=TRUE,10,0)</f>
        <v/>
      </c>
      <c r="J229">
        <f>IFERROR(CHOOSE(MATCH(Dashboard!$B$11,{"Department","Team","Unit","Legal entity","Location","Lead"},0),INDEX(Lists!$B$3:$B$20,ROW()-1),INDEX(Lists!$C$3:$C$146,ROW()-1),INDEX(Lists!$D$3:$D$67,ROW()-1),INDEX(Lists!$E$3:$E$5,ROW()-1),INDEX(Lists!$F$3:$F$12,ROW()-1),INDEX(Lists!$G$3:$G$126,ROW()-1)),"")</f>
        <v/>
      </c>
      <c r="K229">
        <f>IF(J229="","",SUMPRODUCT(($A$2:$A$636=1)*($G$2:$G$636=J229)))</f>
        <v/>
      </c>
      <c r="L229">
        <f>IF(J229="","",SUMPRODUCT(($A$2:$A$636=1)*($G$2:$G$636=J229)*(ISNUMBER($B$2:$B$636))*($B$2:$B$636&lt;0.5)))</f>
        <v/>
      </c>
      <c r="M229">
        <f>IFERROR(L229/K229,"")</f>
        <v/>
      </c>
      <c r="N229">
        <f>IF(K229="","",M229+K229/100000+ROW()/100000000)</f>
        <v/>
      </c>
      <c r="R229">
        <f>IF(A229=1,IFERROR(I229,0)+ROW()/100000000,-1E+99)</f>
        <v/>
      </c>
      <c r="S229">
        <f>IF(A229=1,IFERROR(Raw_data!$T229,""),"")</f>
        <v/>
      </c>
      <c r="T229">
        <f>IF(A229=1,IFERROR(Raw_data!$AA229,""),"")</f>
        <v/>
      </c>
      <c r="U229">
        <f>IF(A229=1,IFERROR(Raw_data!$U229,""),"")</f>
        <v/>
      </c>
      <c r="V229">
        <f>IF(A229=1,IFERROR(Raw_data!$AB229,""),"")</f>
        <v/>
      </c>
    </row>
    <row r="230">
      <c r="A230">
        <f>--(AND(OR(Dashboard!$B$4="All",Raw_data!$AL230=Dashboard!$B$4),OR(Dashboard!$B$5="All",Raw_data!$AM230=Dashboard!$B$5),OR(Dashboard!$B$6="All",Raw_data!$AN230=Dashboard!$B$6),OR(Dashboard!$B$7="All",Raw_data!$AO230=Dashboard!$B$7),OR(Dashboard!$B$8="All",Raw_data!$AP230=Dashboard!$B$8),OR(Dashboard!$B$9="All",Raw_data!$AQ230=Dashboard!$B$9),OR(Dashboard!$B$10="All",Raw_data!$AF230=Dashboard!$B$10),OR(Raw_data!$F230="",Raw_data!$F230&lt;=TODAY())))</f>
        <v/>
      </c>
      <c r="B230">
        <f>IFERROR(IF(Dashboard!$B$3="Weighted",Raw_data!$U230,Raw_data!$T230),"")</f>
        <v/>
      </c>
      <c r="C230">
        <f>IFERROR(IF(Dashboard!$B$3="Weighted",Raw_data!$AB230,Raw_data!$AA230),"")</f>
        <v/>
      </c>
      <c r="D230">
        <f>IF(OR(Raw_data!$J230="",Raw_data!$J230&lt;=0,Raw_data!$K230=""),"",IF(Raw_data!$K230&gt;TODAY(),0,DATEDIF(Raw_data!$K230,TODAY(),"M")))</f>
        <v/>
      </c>
      <c r="E230">
        <f>--(AND(Raw_data!$AF230="No",OR(Raw_data!$AG230&lt;&gt;"",Raw_data!$AJ230&gt;0,Raw_data!$AK230&lt;&gt;"")))</f>
        <v/>
      </c>
      <c r="F230">
        <f>--(OR(AND(ISNUMBER(B230),B230&lt;0.5,OR(D230&gt;=24,Raw_data!$I230&gt;0)),Raw_data!$AE230=TRUE))</f>
        <v/>
      </c>
      <c r="G230">
        <f>IF(Dashboard!$B$11="Department",Raw_data!$AL230,IF(Dashboard!$B$11="Team",Raw_data!$AM230,IF(Dashboard!$B$11="Unit",Raw_data!$AN230,IF(Dashboard!$B$11="Legal entity",Raw_data!$AO230,IF(Dashboard!$B$11="Location",Raw_data!$AP230,Raw_data!$AQ230)))))</f>
        <v/>
      </c>
      <c r="H230">
        <f>--(AND(ISNUMBER(B230),B230&lt;0.5))</f>
        <v/>
      </c>
      <c r="I230">
        <f>IFERROR(MAX(0,(0.5-B230)*100),0)+IF(D230&gt;=24,20,0)+IF(Raw_data!$I230&gt;0,20,0)+IF(Raw_data!$AE230=TRUE,10,0)</f>
        <v/>
      </c>
      <c r="J230">
        <f>IFERROR(CHOOSE(MATCH(Dashboard!$B$11,{"Department","Team","Unit","Legal entity","Location","Lead"},0),INDEX(Lists!$B$3:$B$20,ROW()-1),INDEX(Lists!$C$3:$C$146,ROW()-1),INDEX(Lists!$D$3:$D$67,ROW()-1),INDEX(Lists!$E$3:$E$5,ROW()-1),INDEX(Lists!$F$3:$F$12,ROW()-1),INDEX(Lists!$G$3:$G$126,ROW()-1)),"")</f>
        <v/>
      </c>
      <c r="K230">
        <f>IF(J230="","",SUMPRODUCT(($A$2:$A$636=1)*($G$2:$G$636=J230)))</f>
        <v/>
      </c>
      <c r="L230">
        <f>IF(J230="","",SUMPRODUCT(($A$2:$A$636=1)*($G$2:$G$636=J230)*(ISNUMBER($B$2:$B$636))*($B$2:$B$636&lt;0.5)))</f>
        <v/>
      </c>
      <c r="M230">
        <f>IFERROR(L230/K230,"")</f>
        <v/>
      </c>
      <c r="N230">
        <f>IF(K230="","",M230+K230/100000+ROW()/100000000)</f>
        <v/>
      </c>
      <c r="R230">
        <f>IF(A230=1,IFERROR(I230,0)+ROW()/100000000,-1E+99)</f>
        <v/>
      </c>
      <c r="S230">
        <f>IF(A230=1,IFERROR(Raw_data!$T230,""),"")</f>
        <v/>
      </c>
      <c r="T230">
        <f>IF(A230=1,IFERROR(Raw_data!$AA230,""),"")</f>
        <v/>
      </c>
      <c r="U230">
        <f>IF(A230=1,IFERROR(Raw_data!$U230,""),"")</f>
        <v/>
      </c>
      <c r="V230">
        <f>IF(A230=1,IFERROR(Raw_data!$AB230,""),"")</f>
        <v/>
      </c>
    </row>
    <row r="231">
      <c r="A231">
        <f>--(AND(OR(Dashboard!$B$4="All",Raw_data!$AL231=Dashboard!$B$4),OR(Dashboard!$B$5="All",Raw_data!$AM231=Dashboard!$B$5),OR(Dashboard!$B$6="All",Raw_data!$AN231=Dashboard!$B$6),OR(Dashboard!$B$7="All",Raw_data!$AO231=Dashboard!$B$7),OR(Dashboard!$B$8="All",Raw_data!$AP231=Dashboard!$B$8),OR(Dashboard!$B$9="All",Raw_data!$AQ231=Dashboard!$B$9),OR(Dashboard!$B$10="All",Raw_data!$AF231=Dashboard!$B$10),OR(Raw_data!$F231="",Raw_data!$F231&lt;=TODAY())))</f>
        <v/>
      </c>
      <c r="B231">
        <f>IFERROR(IF(Dashboard!$B$3="Weighted",Raw_data!$U231,Raw_data!$T231),"")</f>
        <v/>
      </c>
      <c r="C231">
        <f>IFERROR(IF(Dashboard!$B$3="Weighted",Raw_data!$AB231,Raw_data!$AA231),"")</f>
        <v/>
      </c>
      <c r="D231">
        <f>IF(OR(Raw_data!$J231="",Raw_data!$J231&lt;=0,Raw_data!$K231=""),"",IF(Raw_data!$K231&gt;TODAY(),0,DATEDIF(Raw_data!$K231,TODAY(),"M")))</f>
        <v/>
      </c>
      <c r="E231">
        <f>--(AND(Raw_data!$AF231="No",OR(Raw_data!$AG231&lt;&gt;"",Raw_data!$AJ231&gt;0,Raw_data!$AK231&lt;&gt;"")))</f>
        <v/>
      </c>
      <c r="F231">
        <f>--(OR(AND(ISNUMBER(B231),B231&lt;0.5,OR(D231&gt;=24,Raw_data!$I231&gt;0)),Raw_data!$AE231=TRUE))</f>
        <v/>
      </c>
      <c r="G231">
        <f>IF(Dashboard!$B$11="Department",Raw_data!$AL231,IF(Dashboard!$B$11="Team",Raw_data!$AM231,IF(Dashboard!$B$11="Unit",Raw_data!$AN231,IF(Dashboard!$B$11="Legal entity",Raw_data!$AO231,IF(Dashboard!$B$11="Location",Raw_data!$AP231,Raw_data!$AQ231)))))</f>
        <v/>
      </c>
      <c r="H231">
        <f>--(AND(ISNUMBER(B231),B231&lt;0.5))</f>
        <v/>
      </c>
      <c r="I231">
        <f>IFERROR(MAX(0,(0.5-B231)*100),0)+IF(D231&gt;=24,20,0)+IF(Raw_data!$I231&gt;0,20,0)+IF(Raw_data!$AE231=TRUE,10,0)</f>
        <v/>
      </c>
      <c r="J231">
        <f>IFERROR(CHOOSE(MATCH(Dashboard!$B$11,{"Department","Team","Unit","Legal entity","Location","Lead"},0),INDEX(Lists!$B$3:$B$20,ROW()-1),INDEX(Lists!$C$3:$C$146,ROW()-1),INDEX(Lists!$D$3:$D$67,ROW()-1),INDEX(Lists!$E$3:$E$5,ROW()-1),INDEX(Lists!$F$3:$F$12,ROW()-1),INDEX(Lists!$G$3:$G$126,ROW()-1)),"")</f>
        <v/>
      </c>
      <c r="K231">
        <f>IF(J231="","",SUMPRODUCT(($A$2:$A$636=1)*($G$2:$G$636=J231)))</f>
        <v/>
      </c>
      <c r="L231">
        <f>IF(J231="","",SUMPRODUCT(($A$2:$A$636=1)*($G$2:$G$636=J231)*(ISNUMBER($B$2:$B$636))*($B$2:$B$636&lt;0.5)))</f>
        <v/>
      </c>
      <c r="M231">
        <f>IFERROR(L231/K231,"")</f>
        <v/>
      </c>
      <c r="N231">
        <f>IF(K231="","",M231+K231/100000+ROW()/100000000)</f>
        <v/>
      </c>
      <c r="R231">
        <f>IF(A231=1,IFERROR(I231,0)+ROW()/100000000,-1E+99)</f>
        <v/>
      </c>
      <c r="S231">
        <f>IF(A231=1,IFERROR(Raw_data!$T231,""),"")</f>
        <v/>
      </c>
      <c r="T231">
        <f>IF(A231=1,IFERROR(Raw_data!$AA231,""),"")</f>
        <v/>
      </c>
      <c r="U231">
        <f>IF(A231=1,IFERROR(Raw_data!$U231,""),"")</f>
        <v/>
      </c>
      <c r="V231">
        <f>IF(A231=1,IFERROR(Raw_data!$AB231,""),"")</f>
        <v/>
      </c>
    </row>
    <row r="232">
      <c r="A232">
        <f>--(AND(OR(Dashboard!$B$4="All",Raw_data!$AL232=Dashboard!$B$4),OR(Dashboard!$B$5="All",Raw_data!$AM232=Dashboard!$B$5),OR(Dashboard!$B$6="All",Raw_data!$AN232=Dashboard!$B$6),OR(Dashboard!$B$7="All",Raw_data!$AO232=Dashboard!$B$7),OR(Dashboard!$B$8="All",Raw_data!$AP232=Dashboard!$B$8),OR(Dashboard!$B$9="All",Raw_data!$AQ232=Dashboard!$B$9),OR(Dashboard!$B$10="All",Raw_data!$AF232=Dashboard!$B$10),OR(Raw_data!$F232="",Raw_data!$F232&lt;=TODAY())))</f>
        <v/>
      </c>
      <c r="B232">
        <f>IFERROR(IF(Dashboard!$B$3="Weighted",Raw_data!$U232,Raw_data!$T232),"")</f>
        <v/>
      </c>
      <c r="C232">
        <f>IFERROR(IF(Dashboard!$B$3="Weighted",Raw_data!$AB232,Raw_data!$AA232),"")</f>
        <v/>
      </c>
      <c r="D232">
        <f>IF(OR(Raw_data!$J232="",Raw_data!$J232&lt;=0,Raw_data!$K232=""),"",IF(Raw_data!$K232&gt;TODAY(),0,DATEDIF(Raw_data!$K232,TODAY(),"M")))</f>
        <v/>
      </c>
      <c r="E232">
        <f>--(AND(Raw_data!$AF232="No",OR(Raw_data!$AG232&lt;&gt;"",Raw_data!$AJ232&gt;0,Raw_data!$AK232&lt;&gt;"")))</f>
        <v/>
      </c>
      <c r="F232">
        <f>--(OR(AND(ISNUMBER(B232),B232&lt;0.5,OR(D232&gt;=24,Raw_data!$I232&gt;0)),Raw_data!$AE232=TRUE))</f>
        <v/>
      </c>
      <c r="G232">
        <f>IF(Dashboard!$B$11="Department",Raw_data!$AL232,IF(Dashboard!$B$11="Team",Raw_data!$AM232,IF(Dashboard!$B$11="Unit",Raw_data!$AN232,IF(Dashboard!$B$11="Legal entity",Raw_data!$AO232,IF(Dashboard!$B$11="Location",Raw_data!$AP232,Raw_data!$AQ232)))))</f>
        <v/>
      </c>
      <c r="H232">
        <f>--(AND(ISNUMBER(B232),B232&lt;0.5))</f>
        <v/>
      </c>
      <c r="I232">
        <f>IFERROR(MAX(0,(0.5-B232)*100),0)+IF(D232&gt;=24,20,0)+IF(Raw_data!$I232&gt;0,20,0)+IF(Raw_data!$AE232=TRUE,10,0)</f>
        <v/>
      </c>
      <c r="J232">
        <f>IFERROR(CHOOSE(MATCH(Dashboard!$B$11,{"Department","Team","Unit","Legal entity","Location","Lead"},0),INDEX(Lists!$B$3:$B$20,ROW()-1),INDEX(Lists!$C$3:$C$146,ROW()-1),INDEX(Lists!$D$3:$D$67,ROW()-1),INDEX(Lists!$E$3:$E$5,ROW()-1),INDEX(Lists!$F$3:$F$12,ROW()-1),INDEX(Lists!$G$3:$G$126,ROW()-1)),"")</f>
        <v/>
      </c>
      <c r="K232">
        <f>IF(J232="","",SUMPRODUCT(($A$2:$A$636=1)*($G$2:$G$636=J232)))</f>
        <v/>
      </c>
      <c r="L232">
        <f>IF(J232="","",SUMPRODUCT(($A$2:$A$636=1)*($G$2:$G$636=J232)*(ISNUMBER($B$2:$B$636))*($B$2:$B$636&lt;0.5)))</f>
        <v/>
      </c>
      <c r="M232">
        <f>IFERROR(L232/K232,"")</f>
        <v/>
      </c>
      <c r="N232">
        <f>IF(K232="","",M232+K232/100000+ROW()/100000000)</f>
        <v/>
      </c>
      <c r="R232">
        <f>IF(A232=1,IFERROR(I232,0)+ROW()/100000000,-1E+99)</f>
        <v/>
      </c>
      <c r="S232">
        <f>IF(A232=1,IFERROR(Raw_data!$T232,""),"")</f>
        <v/>
      </c>
      <c r="T232">
        <f>IF(A232=1,IFERROR(Raw_data!$AA232,""),"")</f>
        <v/>
      </c>
      <c r="U232">
        <f>IF(A232=1,IFERROR(Raw_data!$U232,""),"")</f>
        <v/>
      </c>
      <c r="V232">
        <f>IF(A232=1,IFERROR(Raw_data!$AB232,""),"")</f>
        <v/>
      </c>
    </row>
    <row r="233">
      <c r="A233">
        <f>--(AND(OR(Dashboard!$B$4="All",Raw_data!$AL233=Dashboard!$B$4),OR(Dashboard!$B$5="All",Raw_data!$AM233=Dashboard!$B$5),OR(Dashboard!$B$6="All",Raw_data!$AN233=Dashboard!$B$6),OR(Dashboard!$B$7="All",Raw_data!$AO233=Dashboard!$B$7),OR(Dashboard!$B$8="All",Raw_data!$AP233=Dashboard!$B$8),OR(Dashboard!$B$9="All",Raw_data!$AQ233=Dashboard!$B$9),OR(Dashboard!$B$10="All",Raw_data!$AF233=Dashboard!$B$10),OR(Raw_data!$F233="",Raw_data!$F233&lt;=TODAY())))</f>
        <v/>
      </c>
      <c r="B233">
        <f>IFERROR(IF(Dashboard!$B$3="Weighted",Raw_data!$U233,Raw_data!$T233),"")</f>
        <v/>
      </c>
      <c r="C233">
        <f>IFERROR(IF(Dashboard!$B$3="Weighted",Raw_data!$AB233,Raw_data!$AA233),"")</f>
        <v/>
      </c>
      <c r="D233">
        <f>IF(OR(Raw_data!$J233="",Raw_data!$J233&lt;=0,Raw_data!$K233=""),"",IF(Raw_data!$K233&gt;TODAY(),0,DATEDIF(Raw_data!$K233,TODAY(),"M")))</f>
        <v/>
      </c>
      <c r="E233">
        <f>--(AND(Raw_data!$AF233="No",OR(Raw_data!$AG233&lt;&gt;"",Raw_data!$AJ233&gt;0,Raw_data!$AK233&lt;&gt;"")))</f>
        <v/>
      </c>
      <c r="F233">
        <f>--(OR(AND(ISNUMBER(B233),B233&lt;0.5,OR(D233&gt;=24,Raw_data!$I233&gt;0)),Raw_data!$AE233=TRUE))</f>
        <v/>
      </c>
      <c r="G233">
        <f>IF(Dashboard!$B$11="Department",Raw_data!$AL233,IF(Dashboard!$B$11="Team",Raw_data!$AM233,IF(Dashboard!$B$11="Unit",Raw_data!$AN233,IF(Dashboard!$B$11="Legal entity",Raw_data!$AO233,IF(Dashboard!$B$11="Location",Raw_data!$AP233,Raw_data!$AQ233)))))</f>
        <v/>
      </c>
      <c r="H233">
        <f>--(AND(ISNUMBER(B233),B233&lt;0.5))</f>
        <v/>
      </c>
      <c r="I233">
        <f>IFERROR(MAX(0,(0.5-B233)*100),0)+IF(D233&gt;=24,20,0)+IF(Raw_data!$I233&gt;0,20,0)+IF(Raw_data!$AE233=TRUE,10,0)</f>
        <v/>
      </c>
      <c r="J233">
        <f>IFERROR(CHOOSE(MATCH(Dashboard!$B$11,{"Department","Team","Unit","Legal entity","Location","Lead"},0),INDEX(Lists!$B$3:$B$20,ROW()-1),INDEX(Lists!$C$3:$C$146,ROW()-1),INDEX(Lists!$D$3:$D$67,ROW()-1),INDEX(Lists!$E$3:$E$5,ROW()-1),INDEX(Lists!$F$3:$F$12,ROW()-1),INDEX(Lists!$G$3:$G$126,ROW()-1)),"")</f>
        <v/>
      </c>
      <c r="K233">
        <f>IF(J233="","",SUMPRODUCT(($A$2:$A$636=1)*($G$2:$G$636=J233)))</f>
        <v/>
      </c>
      <c r="L233">
        <f>IF(J233="","",SUMPRODUCT(($A$2:$A$636=1)*($G$2:$G$636=J233)*(ISNUMBER($B$2:$B$636))*($B$2:$B$636&lt;0.5)))</f>
        <v/>
      </c>
      <c r="M233">
        <f>IFERROR(L233/K233,"")</f>
        <v/>
      </c>
      <c r="N233">
        <f>IF(K233="","",M233+K233/100000+ROW()/100000000)</f>
        <v/>
      </c>
      <c r="R233">
        <f>IF(A233=1,IFERROR(I233,0)+ROW()/100000000,-1E+99)</f>
        <v/>
      </c>
      <c r="S233">
        <f>IF(A233=1,IFERROR(Raw_data!$T233,""),"")</f>
        <v/>
      </c>
      <c r="T233">
        <f>IF(A233=1,IFERROR(Raw_data!$AA233,""),"")</f>
        <v/>
      </c>
      <c r="U233">
        <f>IF(A233=1,IFERROR(Raw_data!$U233,""),"")</f>
        <v/>
      </c>
      <c r="V233">
        <f>IF(A233=1,IFERROR(Raw_data!$AB233,""),"")</f>
        <v/>
      </c>
    </row>
    <row r="234">
      <c r="A234">
        <f>--(AND(OR(Dashboard!$B$4="All",Raw_data!$AL234=Dashboard!$B$4),OR(Dashboard!$B$5="All",Raw_data!$AM234=Dashboard!$B$5),OR(Dashboard!$B$6="All",Raw_data!$AN234=Dashboard!$B$6),OR(Dashboard!$B$7="All",Raw_data!$AO234=Dashboard!$B$7),OR(Dashboard!$B$8="All",Raw_data!$AP234=Dashboard!$B$8),OR(Dashboard!$B$9="All",Raw_data!$AQ234=Dashboard!$B$9),OR(Dashboard!$B$10="All",Raw_data!$AF234=Dashboard!$B$10),OR(Raw_data!$F234="",Raw_data!$F234&lt;=TODAY())))</f>
        <v/>
      </c>
      <c r="B234">
        <f>IFERROR(IF(Dashboard!$B$3="Weighted",Raw_data!$U234,Raw_data!$T234),"")</f>
        <v/>
      </c>
      <c r="C234">
        <f>IFERROR(IF(Dashboard!$B$3="Weighted",Raw_data!$AB234,Raw_data!$AA234),"")</f>
        <v/>
      </c>
      <c r="D234">
        <f>IF(OR(Raw_data!$J234="",Raw_data!$J234&lt;=0,Raw_data!$K234=""),"",IF(Raw_data!$K234&gt;TODAY(),0,DATEDIF(Raw_data!$K234,TODAY(),"M")))</f>
        <v/>
      </c>
      <c r="E234">
        <f>--(AND(Raw_data!$AF234="No",OR(Raw_data!$AG234&lt;&gt;"",Raw_data!$AJ234&gt;0,Raw_data!$AK234&lt;&gt;"")))</f>
        <v/>
      </c>
      <c r="F234">
        <f>--(OR(AND(ISNUMBER(B234),B234&lt;0.5,OR(D234&gt;=24,Raw_data!$I234&gt;0)),Raw_data!$AE234=TRUE))</f>
        <v/>
      </c>
      <c r="G234">
        <f>IF(Dashboard!$B$11="Department",Raw_data!$AL234,IF(Dashboard!$B$11="Team",Raw_data!$AM234,IF(Dashboard!$B$11="Unit",Raw_data!$AN234,IF(Dashboard!$B$11="Legal entity",Raw_data!$AO234,IF(Dashboard!$B$11="Location",Raw_data!$AP234,Raw_data!$AQ234)))))</f>
        <v/>
      </c>
      <c r="H234">
        <f>--(AND(ISNUMBER(B234),B234&lt;0.5))</f>
        <v/>
      </c>
      <c r="I234">
        <f>IFERROR(MAX(0,(0.5-B234)*100),0)+IF(D234&gt;=24,20,0)+IF(Raw_data!$I234&gt;0,20,0)+IF(Raw_data!$AE234=TRUE,10,0)</f>
        <v/>
      </c>
      <c r="J234">
        <f>IFERROR(CHOOSE(MATCH(Dashboard!$B$11,{"Department","Team","Unit","Legal entity","Location","Lead"},0),INDEX(Lists!$B$3:$B$20,ROW()-1),INDEX(Lists!$C$3:$C$146,ROW()-1),INDEX(Lists!$D$3:$D$67,ROW()-1),INDEX(Lists!$E$3:$E$5,ROW()-1),INDEX(Lists!$F$3:$F$12,ROW()-1),INDEX(Lists!$G$3:$G$126,ROW()-1)),"")</f>
        <v/>
      </c>
      <c r="K234">
        <f>IF(J234="","",SUMPRODUCT(($A$2:$A$636=1)*($G$2:$G$636=J234)))</f>
        <v/>
      </c>
      <c r="L234">
        <f>IF(J234="","",SUMPRODUCT(($A$2:$A$636=1)*($G$2:$G$636=J234)*(ISNUMBER($B$2:$B$636))*($B$2:$B$636&lt;0.5)))</f>
        <v/>
      </c>
      <c r="M234">
        <f>IFERROR(L234/K234,"")</f>
        <v/>
      </c>
      <c r="N234">
        <f>IF(K234="","",M234+K234/100000+ROW()/100000000)</f>
        <v/>
      </c>
      <c r="R234">
        <f>IF(A234=1,IFERROR(I234,0)+ROW()/100000000,-1E+99)</f>
        <v/>
      </c>
      <c r="S234">
        <f>IF(A234=1,IFERROR(Raw_data!$T234,""),"")</f>
        <v/>
      </c>
      <c r="T234">
        <f>IF(A234=1,IFERROR(Raw_data!$AA234,""),"")</f>
        <v/>
      </c>
      <c r="U234">
        <f>IF(A234=1,IFERROR(Raw_data!$U234,""),"")</f>
        <v/>
      </c>
      <c r="V234">
        <f>IF(A234=1,IFERROR(Raw_data!$AB234,""),"")</f>
        <v/>
      </c>
    </row>
    <row r="235">
      <c r="A235">
        <f>--(AND(OR(Dashboard!$B$4="All",Raw_data!$AL235=Dashboard!$B$4),OR(Dashboard!$B$5="All",Raw_data!$AM235=Dashboard!$B$5),OR(Dashboard!$B$6="All",Raw_data!$AN235=Dashboard!$B$6),OR(Dashboard!$B$7="All",Raw_data!$AO235=Dashboard!$B$7),OR(Dashboard!$B$8="All",Raw_data!$AP235=Dashboard!$B$8),OR(Dashboard!$B$9="All",Raw_data!$AQ235=Dashboard!$B$9),OR(Dashboard!$B$10="All",Raw_data!$AF235=Dashboard!$B$10),OR(Raw_data!$F235="",Raw_data!$F235&lt;=TODAY())))</f>
        <v/>
      </c>
      <c r="B235">
        <f>IFERROR(IF(Dashboard!$B$3="Weighted",Raw_data!$U235,Raw_data!$T235),"")</f>
        <v/>
      </c>
      <c r="C235">
        <f>IFERROR(IF(Dashboard!$B$3="Weighted",Raw_data!$AB235,Raw_data!$AA235),"")</f>
        <v/>
      </c>
      <c r="D235">
        <f>IF(OR(Raw_data!$J235="",Raw_data!$J235&lt;=0,Raw_data!$K235=""),"",IF(Raw_data!$K235&gt;TODAY(),0,DATEDIF(Raw_data!$K235,TODAY(),"M")))</f>
        <v/>
      </c>
      <c r="E235">
        <f>--(AND(Raw_data!$AF235="No",OR(Raw_data!$AG235&lt;&gt;"",Raw_data!$AJ235&gt;0,Raw_data!$AK235&lt;&gt;"")))</f>
        <v/>
      </c>
      <c r="F235">
        <f>--(OR(AND(ISNUMBER(B235),B235&lt;0.5,OR(D235&gt;=24,Raw_data!$I235&gt;0)),Raw_data!$AE235=TRUE))</f>
        <v/>
      </c>
      <c r="G235">
        <f>IF(Dashboard!$B$11="Department",Raw_data!$AL235,IF(Dashboard!$B$11="Team",Raw_data!$AM235,IF(Dashboard!$B$11="Unit",Raw_data!$AN235,IF(Dashboard!$B$11="Legal entity",Raw_data!$AO235,IF(Dashboard!$B$11="Location",Raw_data!$AP235,Raw_data!$AQ235)))))</f>
        <v/>
      </c>
      <c r="H235">
        <f>--(AND(ISNUMBER(B235),B235&lt;0.5))</f>
        <v/>
      </c>
      <c r="I235">
        <f>IFERROR(MAX(0,(0.5-B235)*100),0)+IF(D235&gt;=24,20,0)+IF(Raw_data!$I235&gt;0,20,0)+IF(Raw_data!$AE235=TRUE,10,0)</f>
        <v/>
      </c>
      <c r="J235">
        <f>IFERROR(CHOOSE(MATCH(Dashboard!$B$11,{"Department","Team","Unit","Legal entity","Location","Lead"},0),INDEX(Lists!$B$3:$B$20,ROW()-1),INDEX(Lists!$C$3:$C$146,ROW()-1),INDEX(Lists!$D$3:$D$67,ROW()-1),INDEX(Lists!$E$3:$E$5,ROW()-1),INDEX(Lists!$F$3:$F$12,ROW()-1),INDEX(Lists!$G$3:$G$126,ROW()-1)),"")</f>
        <v/>
      </c>
      <c r="K235">
        <f>IF(J235="","",SUMPRODUCT(($A$2:$A$636=1)*($G$2:$G$636=J235)))</f>
        <v/>
      </c>
      <c r="L235">
        <f>IF(J235="","",SUMPRODUCT(($A$2:$A$636=1)*($G$2:$G$636=J235)*(ISNUMBER($B$2:$B$636))*($B$2:$B$636&lt;0.5)))</f>
        <v/>
      </c>
      <c r="M235">
        <f>IFERROR(L235/K235,"")</f>
        <v/>
      </c>
      <c r="N235">
        <f>IF(K235="","",M235+K235/100000+ROW()/100000000)</f>
        <v/>
      </c>
      <c r="R235">
        <f>IF(A235=1,IFERROR(I235,0)+ROW()/100000000,-1E+99)</f>
        <v/>
      </c>
      <c r="S235">
        <f>IF(A235=1,IFERROR(Raw_data!$T235,""),"")</f>
        <v/>
      </c>
      <c r="T235">
        <f>IF(A235=1,IFERROR(Raw_data!$AA235,""),"")</f>
        <v/>
      </c>
      <c r="U235">
        <f>IF(A235=1,IFERROR(Raw_data!$U235,""),"")</f>
        <v/>
      </c>
      <c r="V235">
        <f>IF(A235=1,IFERROR(Raw_data!$AB235,""),"")</f>
        <v/>
      </c>
    </row>
    <row r="236">
      <c r="A236">
        <f>--(AND(OR(Dashboard!$B$4="All",Raw_data!$AL236=Dashboard!$B$4),OR(Dashboard!$B$5="All",Raw_data!$AM236=Dashboard!$B$5),OR(Dashboard!$B$6="All",Raw_data!$AN236=Dashboard!$B$6),OR(Dashboard!$B$7="All",Raw_data!$AO236=Dashboard!$B$7),OR(Dashboard!$B$8="All",Raw_data!$AP236=Dashboard!$B$8),OR(Dashboard!$B$9="All",Raw_data!$AQ236=Dashboard!$B$9),OR(Dashboard!$B$10="All",Raw_data!$AF236=Dashboard!$B$10),OR(Raw_data!$F236="",Raw_data!$F236&lt;=TODAY())))</f>
        <v/>
      </c>
      <c r="B236">
        <f>IFERROR(IF(Dashboard!$B$3="Weighted",Raw_data!$U236,Raw_data!$T236),"")</f>
        <v/>
      </c>
      <c r="C236">
        <f>IFERROR(IF(Dashboard!$B$3="Weighted",Raw_data!$AB236,Raw_data!$AA236),"")</f>
        <v/>
      </c>
      <c r="D236">
        <f>IF(OR(Raw_data!$J236="",Raw_data!$J236&lt;=0,Raw_data!$K236=""),"",IF(Raw_data!$K236&gt;TODAY(),0,DATEDIF(Raw_data!$K236,TODAY(),"M")))</f>
        <v/>
      </c>
      <c r="E236">
        <f>--(AND(Raw_data!$AF236="No",OR(Raw_data!$AG236&lt;&gt;"",Raw_data!$AJ236&gt;0,Raw_data!$AK236&lt;&gt;"")))</f>
        <v/>
      </c>
      <c r="F236">
        <f>--(OR(AND(ISNUMBER(B236),B236&lt;0.5,OR(D236&gt;=24,Raw_data!$I236&gt;0)),Raw_data!$AE236=TRUE))</f>
        <v/>
      </c>
      <c r="G236">
        <f>IF(Dashboard!$B$11="Department",Raw_data!$AL236,IF(Dashboard!$B$11="Team",Raw_data!$AM236,IF(Dashboard!$B$11="Unit",Raw_data!$AN236,IF(Dashboard!$B$11="Legal entity",Raw_data!$AO236,IF(Dashboard!$B$11="Location",Raw_data!$AP236,Raw_data!$AQ236)))))</f>
        <v/>
      </c>
      <c r="H236">
        <f>--(AND(ISNUMBER(B236),B236&lt;0.5))</f>
        <v/>
      </c>
      <c r="I236">
        <f>IFERROR(MAX(0,(0.5-B236)*100),0)+IF(D236&gt;=24,20,0)+IF(Raw_data!$I236&gt;0,20,0)+IF(Raw_data!$AE236=TRUE,10,0)</f>
        <v/>
      </c>
      <c r="J236">
        <f>IFERROR(CHOOSE(MATCH(Dashboard!$B$11,{"Department","Team","Unit","Legal entity","Location","Lead"},0),INDEX(Lists!$B$3:$B$20,ROW()-1),INDEX(Lists!$C$3:$C$146,ROW()-1),INDEX(Lists!$D$3:$D$67,ROW()-1),INDEX(Lists!$E$3:$E$5,ROW()-1),INDEX(Lists!$F$3:$F$12,ROW()-1),INDEX(Lists!$G$3:$G$126,ROW()-1)),"")</f>
        <v/>
      </c>
      <c r="K236">
        <f>IF(J236="","",SUMPRODUCT(($A$2:$A$636=1)*($G$2:$G$636=J236)))</f>
        <v/>
      </c>
      <c r="L236">
        <f>IF(J236="","",SUMPRODUCT(($A$2:$A$636=1)*($G$2:$G$636=J236)*(ISNUMBER($B$2:$B$636))*($B$2:$B$636&lt;0.5)))</f>
        <v/>
      </c>
      <c r="M236">
        <f>IFERROR(L236/K236,"")</f>
        <v/>
      </c>
      <c r="N236">
        <f>IF(K236="","",M236+K236/100000+ROW()/100000000)</f>
        <v/>
      </c>
      <c r="R236">
        <f>IF(A236=1,IFERROR(I236,0)+ROW()/100000000,-1E+99)</f>
        <v/>
      </c>
      <c r="S236">
        <f>IF(A236=1,IFERROR(Raw_data!$T236,""),"")</f>
        <v/>
      </c>
      <c r="T236">
        <f>IF(A236=1,IFERROR(Raw_data!$AA236,""),"")</f>
        <v/>
      </c>
      <c r="U236">
        <f>IF(A236=1,IFERROR(Raw_data!$U236,""),"")</f>
        <v/>
      </c>
      <c r="V236">
        <f>IF(A236=1,IFERROR(Raw_data!$AB236,""),"")</f>
        <v/>
      </c>
    </row>
    <row r="237">
      <c r="A237">
        <f>--(AND(OR(Dashboard!$B$4="All",Raw_data!$AL237=Dashboard!$B$4),OR(Dashboard!$B$5="All",Raw_data!$AM237=Dashboard!$B$5),OR(Dashboard!$B$6="All",Raw_data!$AN237=Dashboard!$B$6),OR(Dashboard!$B$7="All",Raw_data!$AO237=Dashboard!$B$7),OR(Dashboard!$B$8="All",Raw_data!$AP237=Dashboard!$B$8),OR(Dashboard!$B$9="All",Raw_data!$AQ237=Dashboard!$B$9),OR(Dashboard!$B$10="All",Raw_data!$AF237=Dashboard!$B$10),OR(Raw_data!$F237="",Raw_data!$F237&lt;=TODAY())))</f>
        <v/>
      </c>
      <c r="B237">
        <f>IFERROR(IF(Dashboard!$B$3="Weighted",Raw_data!$U237,Raw_data!$T237),"")</f>
        <v/>
      </c>
      <c r="C237">
        <f>IFERROR(IF(Dashboard!$B$3="Weighted",Raw_data!$AB237,Raw_data!$AA237),"")</f>
        <v/>
      </c>
      <c r="D237">
        <f>IF(OR(Raw_data!$J237="",Raw_data!$J237&lt;=0,Raw_data!$K237=""),"",IF(Raw_data!$K237&gt;TODAY(),0,DATEDIF(Raw_data!$K237,TODAY(),"M")))</f>
        <v/>
      </c>
      <c r="E237">
        <f>--(AND(Raw_data!$AF237="No",OR(Raw_data!$AG237&lt;&gt;"",Raw_data!$AJ237&gt;0,Raw_data!$AK237&lt;&gt;"")))</f>
        <v/>
      </c>
      <c r="F237">
        <f>--(OR(AND(ISNUMBER(B237),B237&lt;0.5,OR(D237&gt;=24,Raw_data!$I237&gt;0)),Raw_data!$AE237=TRUE))</f>
        <v/>
      </c>
      <c r="G237">
        <f>IF(Dashboard!$B$11="Department",Raw_data!$AL237,IF(Dashboard!$B$11="Team",Raw_data!$AM237,IF(Dashboard!$B$11="Unit",Raw_data!$AN237,IF(Dashboard!$B$11="Legal entity",Raw_data!$AO237,IF(Dashboard!$B$11="Location",Raw_data!$AP237,Raw_data!$AQ237)))))</f>
        <v/>
      </c>
      <c r="H237">
        <f>--(AND(ISNUMBER(B237),B237&lt;0.5))</f>
        <v/>
      </c>
      <c r="I237">
        <f>IFERROR(MAX(0,(0.5-B237)*100),0)+IF(D237&gt;=24,20,0)+IF(Raw_data!$I237&gt;0,20,0)+IF(Raw_data!$AE237=TRUE,10,0)</f>
        <v/>
      </c>
      <c r="J237">
        <f>IFERROR(CHOOSE(MATCH(Dashboard!$B$11,{"Department","Team","Unit","Legal entity","Location","Lead"},0),INDEX(Lists!$B$3:$B$20,ROW()-1),INDEX(Lists!$C$3:$C$146,ROW()-1),INDEX(Lists!$D$3:$D$67,ROW()-1),INDEX(Lists!$E$3:$E$5,ROW()-1),INDEX(Lists!$F$3:$F$12,ROW()-1),INDEX(Lists!$G$3:$G$126,ROW()-1)),"")</f>
        <v/>
      </c>
      <c r="K237">
        <f>IF(J237="","",SUMPRODUCT(($A$2:$A$636=1)*($G$2:$G$636=J237)))</f>
        <v/>
      </c>
      <c r="L237">
        <f>IF(J237="","",SUMPRODUCT(($A$2:$A$636=1)*($G$2:$G$636=J237)*(ISNUMBER($B$2:$B$636))*($B$2:$B$636&lt;0.5)))</f>
        <v/>
      </c>
      <c r="M237">
        <f>IFERROR(L237/K237,"")</f>
        <v/>
      </c>
      <c r="N237">
        <f>IF(K237="","",M237+K237/100000+ROW()/100000000)</f>
        <v/>
      </c>
      <c r="R237">
        <f>IF(A237=1,IFERROR(I237,0)+ROW()/100000000,-1E+99)</f>
        <v/>
      </c>
      <c r="S237">
        <f>IF(A237=1,IFERROR(Raw_data!$T237,""),"")</f>
        <v/>
      </c>
      <c r="T237">
        <f>IF(A237=1,IFERROR(Raw_data!$AA237,""),"")</f>
        <v/>
      </c>
      <c r="U237">
        <f>IF(A237=1,IFERROR(Raw_data!$U237,""),"")</f>
        <v/>
      </c>
      <c r="V237">
        <f>IF(A237=1,IFERROR(Raw_data!$AB237,""),"")</f>
        <v/>
      </c>
    </row>
    <row r="238">
      <c r="A238">
        <f>--(AND(OR(Dashboard!$B$4="All",Raw_data!$AL238=Dashboard!$B$4),OR(Dashboard!$B$5="All",Raw_data!$AM238=Dashboard!$B$5),OR(Dashboard!$B$6="All",Raw_data!$AN238=Dashboard!$B$6),OR(Dashboard!$B$7="All",Raw_data!$AO238=Dashboard!$B$7),OR(Dashboard!$B$8="All",Raw_data!$AP238=Dashboard!$B$8),OR(Dashboard!$B$9="All",Raw_data!$AQ238=Dashboard!$B$9),OR(Dashboard!$B$10="All",Raw_data!$AF238=Dashboard!$B$10),OR(Raw_data!$F238="",Raw_data!$F238&lt;=TODAY())))</f>
        <v/>
      </c>
      <c r="B238">
        <f>IFERROR(IF(Dashboard!$B$3="Weighted",Raw_data!$U238,Raw_data!$T238),"")</f>
        <v/>
      </c>
      <c r="C238">
        <f>IFERROR(IF(Dashboard!$B$3="Weighted",Raw_data!$AB238,Raw_data!$AA238),"")</f>
        <v/>
      </c>
      <c r="D238">
        <f>IF(OR(Raw_data!$J238="",Raw_data!$J238&lt;=0,Raw_data!$K238=""),"",IF(Raw_data!$K238&gt;TODAY(),0,DATEDIF(Raw_data!$K238,TODAY(),"M")))</f>
        <v/>
      </c>
      <c r="E238">
        <f>--(AND(Raw_data!$AF238="No",OR(Raw_data!$AG238&lt;&gt;"",Raw_data!$AJ238&gt;0,Raw_data!$AK238&lt;&gt;"")))</f>
        <v/>
      </c>
      <c r="F238">
        <f>--(OR(AND(ISNUMBER(B238),B238&lt;0.5,OR(D238&gt;=24,Raw_data!$I238&gt;0)),Raw_data!$AE238=TRUE))</f>
        <v/>
      </c>
      <c r="G238">
        <f>IF(Dashboard!$B$11="Department",Raw_data!$AL238,IF(Dashboard!$B$11="Team",Raw_data!$AM238,IF(Dashboard!$B$11="Unit",Raw_data!$AN238,IF(Dashboard!$B$11="Legal entity",Raw_data!$AO238,IF(Dashboard!$B$11="Location",Raw_data!$AP238,Raw_data!$AQ238)))))</f>
        <v/>
      </c>
      <c r="H238">
        <f>--(AND(ISNUMBER(B238),B238&lt;0.5))</f>
        <v/>
      </c>
      <c r="I238">
        <f>IFERROR(MAX(0,(0.5-B238)*100),0)+IF(D238&gt;=24,20,0)+IF(Raw_data!$I238&gt;0,20,0)+IF(Raw_data!$AE238=TRUE,10,0)</f>
        <v/>
      </c>
      <c r="J238">
        <f>IFERROR(CHOOSE(MATCH(Dashboard!$B$11,{"Department","Team","Unit","Legal entity","Location","Lead"},0),INDEX(Lists!$B$3:$B$20,ROW()-1),INDEX(Lists!$C$3:$C$146,ROW()-1),INDEX(Lists!$D$3:$D$67,ROW()-1),INDEX(Lists!$E$3:$E$5,ROW()-1),INDEX(Lists!$F$3:$F$12,ROW()-1),INDEX(Lists!$G$3:$G$126,ROW()-1)),"")</f>
        <v/>
      </c>
      <c r="K238">
        <f>IF(J238="","",SUMPRODUCT(($A$2:$A$636=1)*($G$2:$G$636=J238)))</f>
        <v/>
      </c>
      <c r="L238">
        <f>IF(J238="","",SUMPRODUCT(($A$2:$A$636=1)*($G$2:$G$636=J238)*(ISNUMBER($B$2:$B$636))*($B$2:$B$636&lt;0.5)))</f>
        <v/>
      </c>
      <c r="M238">
        <f>IFERROR(L238/K238,"")</f>
        <v/>
      </c>
      <c r="N238">
        <f>IF(K238="","",M238+K238/100000+ROW()/100000000)</f>
        <v/>
      </c>
      <c r="R238">
        <f>IF(A238=1,IFERROR(I238,0)+ROW()/100000000,-1E+99)</f>
        <v/>
      </c>
      <c r="S238">
        <f>IF(A238=1,IFERROR(Raw_data!$T238,""),"")</f>
        <v/>
      </c>
      <c r="T238">
        <f>IF(A238=1,IFERROR(Raw_data!$AA238,""),"")</f>
        <v/>
      </c>
      <c r="U238">
        <f>IF(A238=1,IFERROR(Raw_data!$U238,""),"")</f>
        <v/>
      </c>
      <c r="V238">
        <f>IF(A238=1,IFERROR(Raw_data!$AB238,""),"")</f>
        <v/>
      </c>
    </row>
    <row r="239">
      <c r="A239">
        <f>--(AND(OR(Dashboard!$B$4="All",Raw_data!$AL239=Dashboard!$B$4),OR(Dashboard!$B$5="All",Raw_data!$AM239=Dashboard!$B$5),OR(Dashboard!$B$6="All",Raw_data!$AN239=Dashboard!$B$6),OR(Dashboard!$B$7="All",Raw_data!$AO239=Dashboard!$B$7),OR(Dashboard!$B$8="All",Raw_data!$AP239=Dashboard!$B$8),OR(Dashboard!$B$9="All",Raw_data!$AQ239=Dashboard!$B$9),OR(Dashboard!$B$10="All",Raw_data!$AF239=Dashboard!$B$10),OR(Raw_data!$F239="",Raw_data!$F239&lt;=TODAY())))</f>
        <v/>
      </c>
      <c r="B239">
        <f>IFERROR(IF(Dashboard!$B$3="Weighted",Raw_data!$U239,Raw_data!$T239),"")</f>
        <v/>
      </c>
      <c r="C239">
        <f>IFERROR(IF(Dashboard!$B$3="Weighted",Raw_data!$AB239,Raw_data!$AA239),"")</f>
        <v/>
      </c>
      <c r="D239">
        <f>IF(OR(Raw_data!$J239="",Raw_data!$J239&lt;=0,Raw_data!$K239=""),"",IF(Raw_data!$K239&gt;TODAY(),0,DATEDIF(Raw_data!$K239,TODAY(),"M")))</f>
        <v/>
      </c>
      <c r="E239">
        <f>--(AND(Raw_data!$AF239="No",OR(Raw_data!$AG239&lt;&gt;"",Raw_data!$AJ239&gt;0,Raw_data!$AK239&lt;&gt;"")))</f>
        <v/>
      </c>
      <c r="F239">
        <f>--(OR(AND(ISNUMBER(B239),B239&lt;0.5,OR(D239&gt;=24,Raw_data!$I239&gt;0)),Raw_data!$AE239=TRUE))</f>
        <v/>
      </c>
      <c r="G239">
        <f>IF(Dashboard!$B$11="Department",Raw_data!$AL239,IF(Dashboard!$B$11="Team",Raw_data!$AM239,IF(Dashboard!$B$11="Unit",Raw_data!$AN239,IF(Dashboard!$B$11="Legal entity",Raw_data!$AO239,IF(Dashboard!$B$11="Location",Raw_data!$AP239,Raw_data!$AQ239)))))</f>
        <v/>
      </c>
      <c r="H239">
        <f>--(AND(ISNUMBER(B239),B239&lt;0.5))</f>
        <v/>
      </c>
      <c r="I239">
        <f>IFERROR(MAX(0,(0.5-B239)*100),0)+IF(D239&gt;=24,20,0)+IF(Raw_data!$I239&gt;0,20,0)+IF(Raw_data!$AE239=TRUE,10,0)</f>
        <v/>
      </c>
      <c r="J239">
        <f>IFERROR(CHOOSE(MATCH(Dashboard!$B$11,{"Department","Team","Unit","Legal entity","Location","Lead"},0),INDEX(Lists!$B$3:$B$20,ROW()-1),INDEX(Lists!$C$3:$C$146,ROW()-1),INDEX(Lists!$D$3:$D$67,ROW()-1),INDEX(Lists!$E$3:$E$5,ROW()-1),INDEX(Lists!$F$3:$F$12,ROW()-1),INDEX(Lists!$G$3:$G$126,ROW()-1)),"")</f>
        <v/>
      </c>
      <c r="K239">
        <f>IF(J239="","",SUMPRODUCT(($A$2:$A$636=1)*($G$2:$G$636=J239)))</f>
        <v/>
      </c>
      <c r="L239">
        <f>IF(J239="","",SUMPRODUCT(($A$2:$A$636=1)*($G$2:$G$636=J239)*(ISNUMBER($B$2:$B$636))*($B$2:$B$636&lt;0.5)))</f>
        <v/>
      </c>
      <c r="M239">
        <f>IFERROR(L239/K239,"")</f>
        <v/>
      </c>
      <c r="N239">
        <f>IF(K239="","",M239+K239/100000+ROW()/100000000)</f>
        <v/>
      </c>
      <c r="R239">
        <f>IF(A239=1,IFERROR(I239,0)+ROW()/100000000,-1E+99)</f>
        <v/>
      </c>
      <c r="S239">
        <f>IF(A239=1,IFERROR(Raw_data!$T239,""),"")</f>
        <v/>
      </c>
      <c r="T239">
        <f>IF(A239=1,IFERROR(Raw_data!$AA239,""),"")</f>
        <v/>
      </c>
      <c r="U239">
        <f>IF(A239=1,IFERROR(Raw_data!$U239,""),"")</f>
        <v/>
      </c>
      <c r="V239">
        <f>IF(A239=1,IFERROR(Raw_data!$AB239,""),"")</f>
        <v/>
      </c>
    </row>
    <row r="240">
      <c r="A240">
        <f>--(AND(OR(Dashboard!$B$4="All",Raw_data!$AL240=Dashboard!$B$4),OR(Dashboard!$B$5="All",Raw_data!$AM240=Dashboard!$B$5),OR(Dashboard!$B$6="All",Raw_data!$AN240=Dashboard!$B$6),OR(Dashboard!$B$7="All",Raw_data!$AO240=Dashboard!$B$7),OR(Dashboard!$B$8="All",Raw_data!$AP240=Dashboard!$B$8),OR(Dashboard!$B$9="All",Raw_data!$AQ240=Dashboard!$B$9),OR(Dashboard!$B$10="All",Raw_data!$AF240=Dashboard!$B$10),OR(Raw_data!$F240="",Raw_data!$F240&lt;=TODAY())))</f>
        <v/>
      </c>
      <c r="B240">
        <f>IFERROR(IF(Dashboard!$B$3="Weighted",Raw_data!$U240,Raw_data!$T240),"")</f>
        <v/>
      </c>
      <c r="C240">
        <f>IFERROR(IF(Dashboard!$B$3="Weighted",Raw_data!$AB240,Raw_data!$AA240),"")</f>
        <v/>
      </c>
      <c r="D240">
        <f>IF(OR(Raw_data!$J240="",Raw_data!$J240&lt;=0,Raw_data!$K240=""),"",IF(Raw_data!$K240&gt;TODAY(),0,DATEDIF(Raw_data!$K240,TODAY(),"M")))</f>
        <v/>
      </c>
      <c r="E240">
        <f>--(AND(Raw_data!$AF240="No",OR(Raw_data!$AG240&lt;&gt;"",Raw_data!$AJ240&gt;0,Raw_data!$AK240&lt;&gt;"")))</f>
        <v/>
      </c>
      <c r="F240">
        <f>--(OR(AND(ISNUMBER(B240),B240&lt;0.5,OR(D240&gt;=24,Raw_data!$I240&gt;0)),Raw_data!$AE240=TRUE))</f>
        <v/>
      </c>
      <c r="G240">
        <f>IF(Dashboard!$B$11="Department",Raw_data!$AL240,IF(Dashboard!$B$11="Team",Raw_data!$AM240,IF(Dashboard!$B$11="Unit",Raw_data!$AN240,IF(Dashboard!$B$11="Legal entity",Raw_data!$AO240,IF(Dashboard!$B$11="Location",Raw_data!$AP240,Raw_data!$AQ240)))))</f>
        <v/>
      </c>
      <c r="H240">
        <f>--(AND(ISNUMBER(B240),B240&lt;0.5))</f>
        <v/>
      </c>
      <c r="I240">
        <f>IFERROR(MAX(0,(0.5-B240)*100),0)+IF(D240&gt;=24,20,0)+IF(Raw_data!$I240&gt;0,20,0)+IF(Raw_data!$AE240=TRUE,10,0)</f>
        <v/>
      </c>
      <c r="J240">
        <f>IFERROR(CHOOSE(MATCH(Dashboard!$B$11,{"Department","Team","Unit","Legal entity","Location","Lead"},0),INDEX(Lists!$B$3:$B$20,ROW()-1),INDEX(Lists!$C$3:$C$146,ROW()-1),INDEX(Lists!$D$3:$D$67,ROW()-1),INDEX(Lists!$E$3:$E$5,ROW()-1),INDEX(Lists!$F$3:$F$12,ROW()-1),INDEX(Lists!$G$3:$G$126,ROW()-1)),"")</f>
        <v/>
      </c>
      <c r="K240">
        <f>IF(J240="","",SUMPRODUCT(($A$2:$A$636=1)*($G$2:$G$636=J240)))</f>
        <v/>
      </c>
      <c r="L240">
        <f>IF(J240="","",SUMPRODUCT(($A$2:$A$636=1)*($G$2:$G$636=J240)*(ISNUMBER($B$2:$B$636))*($B$2:$B$636&lt;0.5)))</f>
        <v/>
      </c>
      <c r="M240">
        <f>IFERROR(L240/K240,"")</f>
        <v/>
      </c>
      <c r="N240">
        <f>IF(K240="","",M240+K240/100000+ROW()/100000000)</f>
        <v/>
      </c>
      <c r="R240">
        <f>IF(A240=1,IFERROR(I240,0)+ROW()/100000000,-1E+99)</f>
        <v/>
      </c>
      <c r="S240">
        <f>IF(A240=1,IFERROR(Raw_data!$T240,""),"")</f>
        <v/>
      </c>
      <c r="T240">
        <f>IF(A240=1,IFERROR(Raw_data!$AA240,""),"")</f>
        <v/>
      </c>
      <c r="U240">
        <f>IF(A240=1,IFERROR(Raw_data!$U240,""),"")</f>
        <v/>
      </c>
      <c r="V240">
        <f>IF(A240=1,IFERROR(Raw_data!$AB240,""),"")</f>
        <v/>
      </c>
    </row>
    <row r="241">
      <c r="A241">
        <f>--(AND(OR(Dashboard!$B$4="All",Raw_data!$AL241=Dashboard!$B$4),OR(Dashboard!$B$5="All",Raw_data!$AM241=Dashboard!$B$5),OR(Dashboard!$B$6="All",Raw_data!$AN241=Dashboard!$B$6),OR(Dashboard!$B$7="All",Raw_data!$AO241=Dashboard!$B$7),OR(Dashboard!$B$8="All",Raw_data!$AP241=Dashboard!$B$8),OR(Dashboard!$B$9="All",Raw_data!$AQ241=Dashboard!$B$9),OR(Dashboard!$B$10="All",Raw_data!$AF241=Dashboard!$B$10),OR(Raw_data!$F241="",Raw_data!$F241&lt;=TODAY())))</f>
        <v/>
      </c>
      <c r="B241">
        <f>IFERROR(IF(Dashboard!$B$3="Weighted",Raw_data!$U241,Raw_data!$T241),"")</f>
        <v/>
      </c>
      <c r="C241">
        <f>IFERROR(IF(Dashboard!$B$3="Weighted",Raw_data!$AB241,Raw_data!$AA241),"")</f>
        <v/>
      </c>
      <c r="D241">
        <f>IF(OR(Raw_data!$J241="",Raw_data!$J241&lt;=0,Raw_data!$K241=""),"",IF(Raw_data!$K241&gt;TODAY(),0,DATEDIF(Raw_data!$K241,TODAY(),"M")))</f>
        <v/>
      </c>
      <c r="E241">
        <f>--(AND(Raw_data!$AF241="No",OR(Raw_data!$AG241&lt;&gt;"",Raw_data!$AJ241&gt;0,Raw_data!$AK241&lt;&gt;"")))</f>
        <v/>
      </c>
      <c r="F241">
        <f>--(OR(AND(ISNUMBER(B241),B241&lt;0.5,OR(D241&gt;=24,Raw_data!$I241&gt;0)),Raw_data!$AE241=TRUE))</f>
        <v/>
      </c>
      <c r="G241">
        <f>IF(Dashboard!$B$11="Department",Raw_data!$AL241,IF(Dashboard!$B$11="Team",Raw_data!$AM241,IF(Dashboard!$B$11="Unit",Raw_data!$AN241,IF(Dashboard!$B$11="Legal entity",Raw_data!$AO241,IF(Dashboard!$B$11="Location",Raw_data!$AP241,Raw_data!$AQ241)))))</f>
        <v/>
      </c>
      <c r="H241">
        <f>--(AND(ISNUMBER(B241),B241&lt;0.5))</f>
        <v/>
      </c>
      <c r="I241">
        <f>IFERROR(MAX(0,(0.5-B241)*100),0)+IF(D241&gt;=24,20,0)+IF(Raw_data!$I241&gt;0,20,0)+IF(Raw_data!$AE241=TRUE,10,0)</f>
        <v/>
      </c>
      <c r="J241">
        <f>IFERROR(CHOOSE(MATCH(Dashboard!$B$11,{"Department","Team","Unit","Legal entity","Location","Lead"},0),INDEX(Lists!$B$3:$B$20,ROW()-1),INDEX(Lists!$C$3:$C$146,ROW()-1),INDEX(Lists!$D$3:$D$67,ROW()-1),INDEX(Lists!$E$3:$E$5,ROW()-1),INDEX(Lists!$F$3:$F$12,ROW()-1),INDEX(Lists!$G$3:$G$126,ROW()-1)),"")</f>
        <v/>
      </c>
      <c r="K241">
        <f>IF(J241="","",SUMPRODUCT(($A$2:$A$636=1)*($G$2:$G$636=J241)))</f>
        <v/>
      </c>
      <c r="L241">
        <f>IF(J241="","",SUMPRODUCT(($A$2:$A$636=1)*($G$2:$G$636=J241)*(ISNUMBER($B$2:$B$636))*($B$2:$B$636&lt;0.5)))</f>
        <v/>
      </c>
      <c r="M241">
        <f>IFERROR(L241/K241,"")</f>
        <v/>
      </c>
      <c r="N241">
        <f>IF(K241="","",M241+K241/100000+ROW()/100000000)</f>
        <v/>
      </c>
      <c r="R241">
        <f>IF(A241=1,IFERROR(I241,0)+ROW()/100000000,-1E+99)</f>
        <v/>
      </c>
      <c r="S241">
        <f>IF(A241=1,IFERROR(Raw_data!$T241,""),"")</f>
        <v/>
      </c>
      <c r="T241">
        <f>IF(A241=1,IFERROR(Raw_data!$AA241,""),"")</f>
        <v/>
      </c>
      <c r="U241">
        <f>IF(A241=1,IFERROR(Raw_data!$U241,""),"")</f>
        <v/>
      </c>
      <c r="V241">
        <f>IF(A241=1,IFERROR(Raw_data!$AB241,""),"")</f>
        <v/>
      </c>
    </row>
    <row r="242">
      <c r="A242">
        <f>--(AND(OR(Dashboard!$B$4="All",Raw_data!$AL242=Dashboard!$B$4),OR(Dashboard!$B$5="All",Raw_data!$AM242=Dashboard!$B$5),OR(Dashboard!$B$6="All",Raw_data!$AN242=Dashboard!$B$6),OR(Dashboard!$B$7="All",Raw_data!$AO242=Dashboard!$B$7),OR(Dashboard!$B$8="All",Raw_data!$AP242=Dashboard!$B$8),OR(Dashboard!$B$9="All",Raw_data!$AQ242=Dashboard!$B$9),OR(Dashboard!$B$10="All",Raw_data!$AF242=Dashboard!$B$10),OR(Raw_data!$F242="",Raw_data!$F242&lt;=TODAY())))</f>
        <v/>
      </c>
      <c r="B242">
        <f>IFERROR(IF(Dashboard!$B$3="Weighted",Raw_data!$U242,Raw_data!$T242),"")</f>
        <v/>
      </c>
      <c r="C242">
        <f>IFERROR(IF(Dashboard!$B$3="Weighted",Raw_data!$AB242,Raw_data!$AA242),"")</f>
        <v/>
      </c>
      <c r="D242">
        <f>IF(OR(Raw_data!$J242="",Raw_data!$J242&lt;=0,Raw_data!$K242=""),"",IF(Raw_data!$K242&gt;TODAY(),0,DATEDIF(Raw_data!$K242,TODAY(),"M")))</f>
        <v/>
      </c>
      <c r="E242">
        <f>--(AND(Raw_data!$AF242="No",OR(Raw_data!$AG242&lt;&gt;"",Raw_data!$AJ242&gt;0,Raw_data!$AK242&lt;&gt;"")))</f>
        <v/>
      </c>
      <c r="F242">
        <f>--(OR(AND(ISNUMBER(B242),B242&lt;0.5,OR(D242&gt;=24,Raw_data!$I242&gt;0)),Raw_data!$AE242=TRUE))</f>
        <v/>
      </c>
      <c r="G242">
        <f>IF(Dashboard!$B$11="Department",Raw_data!$AL242,IF(Dashboard!$B$11="Team",Raw_data!$AM242,IF(Dashboard!$B$11="Unit",Raw_data!$AN242,IF(Dashboard!$B$11="Legal entity",Raw_data!$AO242,IF(Dashboard!$B$11="Location",Raw_data!$AP242,Raw_data!$AQ242)))))</f>
        <v/>
      </c>
      <c r="H242">
        <f>--(AND(ISNUMBER(B242),B242&lt;0.5))</f>
        <v/>
      </c>
      <c r="I242">
        <f>IFERROR(MAX(0,(0.5-B242)*100),0)+IF(D242&gt;=24,20,0)+IF(Raw_data!$I242&gt;0,20,0)+IF(Raw_data!$AE242=TRUE,10,0)</f>
        <v/>
      </c>
      <c r="J242">
        <f>IFERROR(CHOOSE(MATCH(Dashboard!$B$11,{"Department","Team","Unit","Legal entity","Location","Lead"},0),INDEX(Lists!$B$3:$B$20,ROW()-1),INDEX(Lists!$C$3:$C$146,ROW()-1),INDEX(Lists!$D$3:$D$67,ROW()-1),INDEX(Lists!$E$3:$E$5,ROW()-1),INDEX(Lists!$F$3:$F$12,ROW()-1),INDEX(Lists!$G$3:$G$126,ROW()-1)),"")</f>
        <v/>
      </c>
      <c r="K242">
        <f>IF(J242="","",SUMPRODUCT(($A$2:$A$636=1)*($G$2:$G$636=J242)))</f>
        <v/>
      </c>
      <c r="L242">
        <f>IF(J242="","",SUMPRODUCT(($A$2:$A$636=1)*($G$2:$G$636=J242)*(ISNUMBER($B$2:$B$636))*($B$2:$B$636&lt;0.5)))</f>
        <v/>
      </c>
      <c r="M242">
        <f>IFERROR(L242/K242,"")</f>
        <v/>
      </c>
      <c r="N242">
        <f>IF(K242="","",M242+K242/100000+ROW()/100000000)</f>
        <v/>
      </c>
      <c r="R242">
        <f>IF(A242=1,IFERROR(I242,0)+ROW()/100000000,-1E+99)</f>
        <v/>
      </c>
      <c r="S242">
        <f>IF(A242=1,IFERROR(Raw_data!$T242,""),"")</f>
        <v/>
      </c>
      <c r="T242">
        <f>IF(A242=1,IFERROR(Raw_data!$AA242,""),"")</f>
        <v/>
      </c>
      <c r="U242">
        <f>IF(A242=1,IFERROR(Raw_data!$U242,""),"")</f>
        <v/>
      </c>
      <c r="V242">
        <f>IF(A242=1,IFERROR(Raw_data!$AB242,""),"")</f>
        <v/>
      </c>
    </row>
    <row r="243">
      <c r="A243">
        <f>--(AND(OR(Dashboard!$B$4="All",Raw_data!$AL243=Dashboard!$B$4),OR(Dashboard!$B$5="All",Raw_data!$AM243=Dashboard!$B$5),OR(Dashboard!$B$6="All",Raw_data!$AN243=Dashboard!$B$6),OR(Dashboard!$B$7="All",Raw_data!$AO243=Dashboard!$B$7),OR(Dashboard!$B$8="All",Raw_data!$AP243=Dashboard!$B$8),OR(Dashboard!$B$9="All",Raw_data!$AQ243=Dashboard!$B$9),OR(Dashboard!$B$10="All",Raw_data!$AF243=Dashboard!$B$10),OR(Raw_data!$F243="",Raw_data!$F243&lt;=TODAY())))</f>
        <v/>
      </c>
      <c r="B243">
        <f>IFERROR(IF(Dashboard!$B$3="Weighted",Raw_data!$U243,Raw_data!$T243),"")</f>
        <v/>
      </c>
      <c r="C243">
        <f>IFERROR(IF(Dashboard!$B$3="Weighted",Raw_data!$AB243,Raw_data!$AA243),"")</f>
        <v/>
      </c>
      <c r="D243">
        <f>IF(OR(Raw_data!$J243="",Raw_data!$J243&lt;=0,Raw_data!$K243=""),"",IF(Raw_data!$K243&gt;TODAY(),0,DATEDIF(Raw_data!$K243,TODAY(),"M")))</f>
        <v/>
      </c>
      <c r="E243">
        <f>--(AND(Raw_data!$AF243="No",OR(Raw_data!$AG243&lt;&gt;"",Raw_data!$AJ243&gt;0,Raw_data!$AK243&lt;&gt;"")))</f>
        <v/>
      </c>
      <c r="F243">
        <f>--(OR(AND(ISNUMBER(B243),B243&lt;0.5,OR(D243&gt;=24,Raw_data!$I243&gt;0)),Raw_data!$AE243=TRUE))</f>
        <v/>
      </c>
      <c r="G243">
        <f>IF(Dashboard!$B$11="Department",Raw_data!$AL243,IF(Dashboard!$B$11="Team",Raw_data!$AM243,IF(Dashboard!$B$11="Unit",Raw_data!$AN243,IF(Dashboard!$B$11="Legal entity",Raw_data!$AO243,IF(Dashboard!$B$11="Location",Raw_data!$AP243,Raw_data!$AQ243)))))</f>
        <v/>
      </c>
      <c r="H243">
        <f>--(AND(ISNUMBER(B243),B243&lt;0.5))</f>
        <v/>
      </c>
      <c r="I243">
        <f>IFERROR(MAX(0,(0.5-B243)*100),0)+IF(D243&gt;=24,20,0)+IF(Raw_data!$I243&gt;0,20,0)+IF(Raw_data!$AE243=TRUE,10,0)</f>
        <v/>
      </c>
      <c r="J243">
        <f>IFERROR(CHOOSE(MATCH(Dashboard!$B$11,{"Department","Team","Unit","Legal entity","Location","Lead"},0),INDEX(Lists!$B$3:$B$20,ROW()-1),INDEX(Lists!$C$3:$C$146,ROW()-1),INDEX(Lists!$D$3:$D$67,ROW()-1),INDEX(Lists!$E$3:$E$5,ROW()-1),INDEX(Lists!$F$3:$F$12,ROW()-1),INDEX(Lists!$G$3:$G$126,ROW()-1)),"")</f>
        <v/>
      </c>
      <c r="K243">
        <f>IF(J243="","",SUMPRODUCT(($A$2:$A$636=1)*($G$2:$G$636=J243)))</f>
        <v/>
      </c>
      <c r="L243">
        <f>IF(J243="","",SUMPRODUCT(($A$2:$A$636=1)*($G$2:$G$636=J243)*(ISNUMBER($B$2:$B$636))*($B$2:$B$636&lt;0.5)))</f>
        <v/>
      </c>
      <c r="M243">
        <f>IFERROR(L243/K243,"")</f>
        <v/>
      </c>
      <c r="N243">
        <f>IF(K243="","",M243+K243/100000+ROW()/100000000)</f>
        <v/>
      </c>
      <c r="R243">
        <f>IF(A243=1,IFERROR(I243,0)+ROW()/100000000,-1E+99)</f>
        <v/>
      </c>
      <c r="S243">
        <f>IF(A243=1,IFERROR(Raw_data!$T243,""),"")</f>
        <v/>
      </c>
      <c r="T243">
        <f>IF(A243=1,IFERROR(Raw_data!$AA243,""),"")</f>
        <v/>
      </c>
      <c r="U243">
        <f>IF(A243=1,IFERROR(Raw_data!$U243,""),"")</f>
        <v/>
      </c>
      <c r="V243">
        <f>IF(A243=1,IFERROR(Raw_data!$AB243,""),"")</f>
        <v/>
      </c>
    </row>
    <row r="244">
      <c r="A244">
        <f>--(AND(OR(Dashboard!$B$4="All",Raw_data!$AL244=Dashboard!$B$4),OR(Dashboard!$B$5="All",Raw_data!$AM244=Dashboard!$B$5),OR(Dashboard!$B$6="All",Raw_data!$AN244=Dashboard!$B$6),OR(Dashboard!$B$7="All",Raw_data!$AO244=Dashboard!$B$7),OR(Dashboard!$B$8="All",Raw_data!$AP244=Dashboard!$B$8),OR(Dashboard!$B$9="All",Raw_data!$AQ244=Dashboard!$B$9),OR(Dashboard!$B$10="All",Raw_data!$AF244=Dashboard!$B$10),OR(Raw_data!$F244="",Raw_data!$F244&lt;=TODAY())))</f>
        <v/>
      </c>
      <c r="B244">
        <f>IFERROR(IF(Dashboard!$B$3="Weighted",Raw_data!$U244,Raw_data!$T244),"")</f>
        <v/>
      </c>
      <c r="C244">
        <f>IFERROR(IF(Dashboard!$B$3="Weighted",Raw_data!$AB244,Raw_data!$AA244),"")</f>
        <v/>
      </c>
      <c r="D244">
        <f>IF(OR(Raw_data!$J244="",Raw_data!$J244&lt;=0,Raw_data!$K244=""),"",IF(Raw_data!$K244&gt;TODAY(),0,DATEDIF(Raw_data!$K244,TODAY(),"M")))</f>
        <v/>
      </c>
      <c r="E244">
        <f>--(AND(Raw_data!$AF244="No",OR(Raw_data!$AG244&lt;&gt;"",Raw_data!$AJ244&gt;0,Raw_data!$AK244&lt;&gt;"")))</f>
        <v/>
      </c>
      <c r="F244">
        <f>--(OR(AND(ISNUMBER(B244),B244&lt;0.5,OR(D244&gt;=24,Raw_data!$I244&gt;0)),Raw_data!$AE244=TRUE))</f>
        <v/>
      </c>
      <c r="G244">
        <f>IF(Dashboard!$B$11="Department",Raw_data!$AL244,IF(Dashboard!$B$11="Team",Raw_data!$AM244,IF(Dashboard!$B$11="Unit",Raw_data!$AN244,IF(Dashboard!$B$11="Legal entity",Raw_data!$AO244,IF(Dashboard!$B$11="Location",Raw_data!$AP244,Raw_data!$AQ244)))))</f>
        <v/>
      </c>
      <c r="H244">
        <f>--(AND(ISNUMBER(B244),B244&lt;0.5))</f>
        <v/>
      </c>
      <c r="I244">
        <f>IFERROR(MAX(0,(0.5-B244)*100),0)+IF(D244&gt;=24,20,0)+IF(Raw_data!$I244&gt;0,20,0)+IF(Raw_data!$AE244=TRUE,10,0)</f>
        <v/>
      </c>
      <c r="J244">
        <f>IFERROR(CHOOSE(MATCH(Dashboard!$B$11,{"Department","Team","Unit","Legal entity","Location","Lead"},0),INDEX(Lists!$B$3:$B$20,ROW()-1),INDEX(Lists!$C$3:$C$146,ROW()-1),INDEX(Lists!$D$3:$D$67,ROW()-1),INDEX(Lists!$E$3:$E$5,ROW()-1),INDEX(Lists!$F$3:$F$12,ROW()-1),INDEX(Lists!$G$3:$G$126,ROW()-1)),"")</f>
        <v/>
      </c>
      <c r="K244">
        <f>IF(J244="","",SUMPRODUCT(($A$2:$A$636=1)*($G$2:$G$636=J244)))</f>
        <v/>
      </c>
      <c r="L244">
        <f>IF(J244="","",SUMPRODUCT(($A$2:$A$636=1)*($G$2:$G$636=J244)*(ISNUMBER($B$2:$B$636))*($B$2:$B$636&lt;0.5)))</f>
        <v/>
      </c>
      <c r="M244">
        <f>IFERROR(L244/K244,"")</f>
        <v/>
      </c>
      <c r="N244">
        <f>IF(K244="","",M244+K244/100000+ROW()/100000000)</f>
        <v/>
      </c>
      <c r="R244">
        <f>IF(A244=1,IFERROR(I244,0)+ROW()/100000000,-1E+99)</f>
        <v/>
      </c>
      <c r="S244">
        <f>IF(A244=1,IFERROR(Raw_data!$T244,""),"")</f>
        <v/>
      </c>
      <c r="T244">
        <f>IF(A244=1,IFERROR(Raw_data!$AA244,""),"")</f>
        <v/>
      </c>
      <c r="U244">
        <f>IF(A244=1,IFERROR(Raw_data!$U244,""),"")</f>
        <v/>
      </c>
      <c r="V244">
        <f>IF(A244=1,IFERROR(Raw_data!$AB244,""),"")</f>
        <v/>
      </c>
    </row>
    <row r="245">
      <c r="A245">
        <f>--(AND(OR(Dashboard!$B$4="All",Raw_data!$AL245=Dashboard!$B$4),OR(Dashboard!$B$5="All",Raw_data!$AM245=Dashboard!$B$5),OR(Dashboard!$B$6="All",Raw_data!$AN245=Dashboard!$B$6),OR(Dashboard!$B$7="All",Raw_data!$AO245=Dashboard!$B$7),OR(Dashboard!$B$8="All",Raw_data!$AP245=Dashboard!$B$8),OR(Dashboard!$B$9="All",Raw_data!$AQ245=Dashboard!$B$9),OR(Dashboard!$B$10="All",Raw_data!$AF245=Dashboard!$B$10),OR(Raw_data!$F245="",Raw_data!$F245&lt;=TODAY())))</f>
        <v/>
      </c>
      <c r="B245">
        <f>IFERROR(IF(Dashboard!$B$3="Weighted",Raw_data!$U245,Raw_data!$T245),"")</f>
        <v/>
      </c>
      <c r="C245">
        <f>IFERROR(IF(Dashboard!$B$3="Weighted",Raw_data!$AB245,Raw_data!$AA245),"")</f>
        <v/>
      </c>
      <c r="D245">
        <f>IF(OR(Raw_data!$J245="",Raw_data!$J245&lt;=0,Raw_data!$K245=""),"",IF(Raw_data!$K245&gt;TODAY(),0,DATEDIF(Raw_data!$K245,TODAY(),"M")))</f>
        <v/>
      </c>
      <c r="E245">
        <f>--(AND(Raw_data!$AF245="No",OR(Raw_data!$AG245&lt;&gt;"",Raw_data!$AJ245&gt;0,Raw_data!$AK245&lt;&gt;"")))</f>
        <v/>
      </c>
      <c r="F245">
        <f>--(OR(AND(ISNUMBER(B245),B245&lt;0.5,OR(D245&gt;=24,Raw_data!$I245&gt;0)),Raw_data!$AE245=TRUE))</f>
        <v/>
      </c>
      <c r="G245">
        <f>IF(Dashboard!$B$11="Department",Raw_data!$AL245,IF(Dashboard!$B$11="Team",Raw_data!$AM245,IF(Dashboard!$B$11="Unit",Raw_data!$AN245,IF(Dashboard!$B$11="Legal entity",Raw_data!$AO245,IF(Dashboard!$B$11="Location",Raw_data!$AP245,Raw_data!$AQ245)))))</f>
        <v/>
      </c>
      <c r="H245">
        <f>--(AND(ISNUMBER(B245),B245&lt;0.5))</f>
        <v/>
      </c>
      <c r="I245">
        <f>IFERROR(MAX(0,(0.5-B245)*100),0)+IF(D245&gt;=24,20,0)+IF(Raw_data!$I245&gt;0,20,0)+IF(Raw_data!$AE245=TRUE,10,0)</f>
        <v/>
      </c>
      <c r="J245">
        <f>IFERROR(CHOOSE(MATCH(Dashboard!$B$11,{"Department","Team","Unit","Legal entity","Location","Lead"},0),INDEX(Lists!$B$3:$B$20,ROW()-1),INDEX(Lists!$C$3:$C$146,ROW()-1),INDEX(Lists!$D$3:$D$67,ROW()-1),INDEX(Lists!$E$3:$E$5,ROW()-1),INDEX(Lists!$F$3:$F$12,ROW()-1),INDEX(Lists!$G$3:$G$126,ROW()-1)),"")</f>
        <v/>
      </c>
      <c r="K245">
        <f>IF(J245="","",SUMPRODUCT(($A$2:$A$636=1)*($G$2:$G$636=J245)))</f>
        <v/>
      </c>
      <c r="L245">
        <f>IF(J245="","",SUMPRODUCT(($A$2:$A$636=1)*($G$2:$G$636=J245)*(ISNUMBER($B$2:$B$636))*($B$2:$B$636&lt;0.5)))</f>
        <v/>
      </c>
      <c r="M245">
        <f>IFERROR(L245/K245,"")</f>
        <v/>
      </c>
      <c r="N245">
        <f>IF(K245="","",M245+K245/100000+ROW()/100000000)</f>
        <v/>
      </c>
      <c r="R245">
        <f>IF(A245=1,IFERROR(I245,0)+ROW()/100000000,-1E+99)</f>
        <v/>
      </c>
      <c r="S245">
        <f>IF(A245=1,IFERROR(Raw_data!$T245,""),"")</f>
        <v/>
      </c>
      <c r="T245">
        <f>IF(A245=1,IFERROR(Raw_data!$AA245,""),"")</f>
        <v/>
      </c>
      <c r="U245">
        <f>IF(A245=1,IFERROR(Raw_data!$U245,""),"")</f>
        <v/>
      </c>
      <c r="V245">
        <f>IF(A245=1,IFERROR(Raw_data!$AB245,""),"")</f>
        <v/>
      </c>
    </row>
    <row r="246">
      <c r="A246">
        <f>--(AND(OR(Dashboard!$B$4="All",Raw_data!$AL246=Dashboard!$B$4),OR(Dashboard!$B$5="All",Raw_data!$AM246=Dashboard!$B$5),OR(Dashboard!$B$6="All",Raw_data!$AN246=Dashboard!$B$6),OR(Dashboard!$B$7="All",Raw_data!$AO246=Dashboard!$B$7),OR(Dashboard!$B$8="All",Raw_data!$AP246=Dashboard!$B$8),OR(Dashboard!$B$9="All",Raw_data!$AQ246=Dashboard!$B$9),OR(Dashboard!$B$10="All",Raw_data!$AF246=Dashboard!$B$10),OR(Raw_data!$F246="",Raw_data!$F246&lt;=TODAY())))</f>
        <v/>
      </c>
      <c r="B246">
        <f>IFERROR(IF(Dashboard!$B$3="Weighted",Raw_data!$U246,Raw_data!$T246),"")</f>
        <v/>
      </c>
      <c r="C246">
        <f>IFERROR(IF(Dashboard!$B$3="Weighted",Raw_data!$AB246,Raw_data!$AA246),"")</f>
        <v/>
      </c>
      <c r="D246">
        <f>IF(OR(Raw_data!$J246="",Raw_data!$J246&lt;=0,Raw_data!$K246=""),"",IF(Raw_data!$K246&gt;TODAY(),0,DATEDIF(Raw_data!$K246,TODAY(),"M")))</f>
        <v/>
      </c>
      <c r="E246">
        <f>--(AND(Raw_data!$AF246="No",OR(Raw_data!$AG246&lt;&gt;"",Raw_data!$AJ246&gt;0,Raw_data!$AK246&lt;&gt;"")))</f>
        <v/>
      </c>
      <c r="F246">
        <f>--(OR(AND(ISNUMBER(B246),B246&lt;0.5,OR(D246&gt;=24,Raw_data!$I246&gt;0)),Raw_data!$AE246=TRUE))</f>
        <v/>
      </c>
      <c r="G246">
        <f>IF(Dashboard!$B$11="Department",Raw_data!$AL246,IF(Dashboard!$B$11="Team",Raw_data!$AM246,IF(Dashboard!$B$11="Unit",Raw_data!$AN246,IF(Dashboard!$B$11="Legal entity",Raw_data!$AO246,IF(Dashboard!$B$11="Location",Raw_data!$AP246,Raw_data!$AQ246)))))</f>
        <v/>
      </c>
      <c r="H246">
        <f>--(AND(ISNUMBER(B246),B246&lt;0.5))</f>
        <v/>
      </c>
      <c r="I246">
        <f>IFERROR(MAX(0,(0.5-B246)*100),0)+IF(D246&gt;=24,20,0)+IF(Raw_data!$I246&gt;0,20,0)+IF(Raw_data!$AE246=TRUE,10,0)</f>
        <v/>
      </c>
      <c r="J246">
        <f>IFERROR(CHOOSE(MATCH(Dashboard!$B$11,{"Department","Team","Unit","Legal entity","Location","Lead"},0),INDEX(Lists!$B$3:$B$20,ROW()-1),INDEX(Lists!$C$3:$C$146,ROW()-1),INDEX(Lists!$D$3:$D$67,ROW()-1),INDEX(Lists!$E$3:$E$5,ROW()-1),INDEX(Lists!$F$3:$F$12,ROW()-1),INDEX(Lists!$G$3:$G$126,ROW()-1)),"")</f>
        <v/>
      </c>
      <c r="K246">
        <f>IF(J246="","",SUMPRODUCT(($A$2:$A$636=1)*($G$2:$G$636=J246)))</f>
        <v/>
      </c>
      <c r="L246">
        <f>IF(J246="","",SUMPRODUCT(($A$2:$A$636=1)*($G$2:$G$636=J246)*(ISNUMBER($B$2:$B$636))*($B$2:$B$636&lt;0.5)))</f>
        <v/>
      </c>
      <c r="M246">
        <f>IFERROR(L246/K246,"")</f>
        <v/>
      </c>
      <c r="N246">
        <f>IF(K246="","",M246+K246/100000+ROW()/100000000)</f>
        <v/>
      </c>
      <c r="R246">
        <f>IF(A246=1,IFERROR(I246,0)+ROW()/100000000,-1E+99)</f>
        <v/>
      </c>
      <c r="S246">
        <f>IF(A246=1,IFERROR(Raw_data!$T246,""),"")</f>
        <v/>
      </c>
      <c r="T246">
        <f>IF(A246=1,IFERROR(Raw_data!$AA246,""),"")</f>
        <v/>
      </c>
      <c r="U246">
        <f>IF(A246=1,IFERROR(Raw_data!$U246,""),"")</f>
        <v/>
      </c>
      <c r="V246">
        <f>IF(A246=1,IFERROR(Raw_data!$AB246,""),"")</f>
        <v/>
      </c>
    </row>
    <row r="247">
      <c r="A247">
        <f>--(AND(OR(Dashboard!$B$4="All",Raw_data!$AL247=Dashboard!$B$4),OR(Dashboard!$B$5="All",Raw_data!$AM247=Dashboard!$B$5),OR(Dashboard!$B$6="All",Raw_data!$AN247=Dashboard!$B$6),OR(Dashboard!$B$7="All",Raw_data!$AO247=Dashboard!$B$7),OR(Dashboard!$B$8="All",Raw_data!$AP247=Dashboard!$B$8),OR(Dashboard!$B$9="All",Raw_data!$AQ247=Dashboard!$B$9),OR(Dashboard!$B$10="All",Raw_data!$AF247=Dashboard!$B$10),OR(Raw_data!$F247="",Raw_data!$F247&lt;=TODAY())))</f>
        <v/>
      </c>
      <c r="B247">
        <f>IFERROR(IF(Dashboard!$B$3="Weighted",Raw_data!$U247,Raw_data!$T247),"")</f>
        <v/>
      </c>
      <c r="C247">
        <f>IFERROR(IF(Dashboard!$B$3="Weighted",Raw_data!$AB247,Raw_data!$AA247),"")</f>
        <v/>
      </c>
      <c r="D247">
        <f>IF(OR(Raw_data!$J247="",Raw_data!$J247&lt;=0,Raw_data!$K247=""),"",IF(Raw_data!$K247&gt;TODAY(),0,DATEDIF(Raw_data!$K247,TODAY(),"M")))</f>
        <v/>
      </c>
      <c r="E247">
        <f>--(AND(Raw_data!$AF247="No",OR(Raw_data!$AG247&lt;&gt;"",Raw_data!$AJ247&gt;0,Raw_data!$AK247&lt;&gt;"")))</f>
        <v/>
      </c>
      <c r="F247">
        <f>--(OR(AND(ISNUMBER(B247),B247&lt;0.5,OR(D247&gt;=24,Raw_data!$I247&gt;0)),Raw_data!$AE247=TRUE))</f>
        <v/>
      </c>
      <c r="G247">
        <f>IF(Dashboard!$B$11="Department",Raw_data!$AL247,IF(Dashboard!$B$11="Team",Raw_data!$AM247,IF(Dashboard!$B$11="Unit",Raw_data!$AN247,IF(Dashboard!$B$11="Legal entity",Raw_data!$AO247,IF(Dashboard!$B$11="Location",Raw_data!$AP247,Raw_data!$AQ247)))))</f>
        <v/>
      </c>
      <c r="H247">
        <f>--(AND(ISNUMBER(B247),B247&lt;0.5))</f>
        <v/>
      </c>
      <c r="I247">
        <f>IFERROR(MAX(0,(0.5-B247)*100),0)+IF(D247&gt;=24,20,0)+IF(Raw_data!$I247&gt;0,20,0)+IF(Raw_data!$AE247=TRUE,10,0)</f>
        <v/>
      </c>
      <c r="J247">
        <f>IFERROR(CHOOSE(MATCH(Dashboard!$B$11,{"Department","Team","Unit","Legal entity","Location","Lead"},0),INDEX(Lists!$B$3:$B$20,ROW()-1),INDEX(Lists!$C$3:$C$146,ROW()-1),INDEX(Lists!$D$3:$D$67,ROW()-1),INDEX(Lists!$E$3:$E$5,ROW()-1),INDEX(Lists!$F$3:$F$12,ROW()-1),INDEX(Lists!$G$3:$G$126,ROW()-1)),"")</f>
        <v/>
      </c>
      <c r="K247">
        <f>IF(J247="","",SUMPRODUCT(($A$2:$A$636=1)*($G$2:$G$636=J247)))</f>
        <v/>
      </c>
      <c r="L247">
        <f>IF(J247="","",SUMPRODUCT(($A$2:$A$636=1)*($G$2:$G$636=J247)*(ISNUMBER($B$2:$B$636))*($B$2:$B$636&lt;0.5)))</f>
        <v/>
      </c>
      <c r="M247">
        <f>IFERROR(L247/K247,"")</f>
        <v/>
      </c>
      <c r="N247">
        <f>IF(K247="","",M247+K247/100000+ROW()/100000000)</f>
        <v/>
      </c>
      <c r="R247">
        <f>IF(A247=1,IFERROR(I247,0)+ROW()/100000000,-1E+99)</f>
        <v/>
      </c>
      <c r="S247">
        <f>IF(A247=1,IFERROR(Raw_data!$T247,""),"")</f>
        <v/>
      </c>
      <c r="T247">
        <f>IF(A247=1,IFERROR(Raw_data!$AA247,""),"")</f>
        <v/>
      </c>
      <c r="U247">
        <f>IF(A247=1,IFERROR(Raw_data!$U247,""),"")</f>
        <v/>
      </c>
      <c r="V247">
        <f>IF(A247=1,IFERROR(Raw_data!$AB247,""),"")</f>
        <v/>
      </c>
    </row>
    <row r="248">
      <c r="A248">
        <f>--(AND(OR(Dashboard!$B$4="All",Raw_data!$AL248=Dashboard!$B$4),OR(Dashboard!$B$5="All",Raw_data!$AM248=Dashboard!$B$5),OR(Dashboard!$B$6="All",Raw_data!$AN248=Dashboard!$B$6),OR(Dashboard!$B$7="All",Raw_data!$AO248=Dashboard!$B$7),OR(Dashboard!$B$8="All",Raw_data!$AP248=Dashboard!$B$8),OR(Dashboard!$B$9="All",Raw_data!$AQ248=Dashboard!$B$9),OR(Dashboard!$B$10="All",Raw_data!$AF248=Dashboard!$B$10),OR(Raw_data!$F248="",Raw_data!$F248&lt;=TODAY())))</f>
        <v/>
      </c>
      <c r="B248">
        <f>IFERROR(IF(Dashboard!$B$3="Weighted",Raw_data!$U248,Raw_data!$T248),"")</f>
        <v/>
      </c>
      <c r="C248">
        <f>IFERROR(IF(Dashboard!$B$3="Weighted",Raw_data!$AB248,Raw_data!$AA248),"")</f>
        <v/>
      </c>
      <c r="D248">
        <f>IF(OR(Raw_data!$J248="",Raw_data!$J248&lt;=0,Raw_data!$K248=""),"",IF(Raw_data!$K248&gt;TODAY(),0,DATEDIF(Raw_data!$K248,TODAY(),"M")))</f>
        <v/>
      </c>
      <c r="E248">
        <f>--(AND(Raw_data!$AF248="No",OR(Raw_data!$AG248&lt;&gt;"",Raw_data!$AJ248&gt;0,Raw_data!$AK248&lt;&gt;"")))</f>
        <v/>
      </c>
      <c r="F248">
        <f>--(OR(AND(ISNUMBER(B248),B248&lt;0.5,OR(D248&gt;=24,Raw_data!$I248&gt;0)),Raw_data!$AE248=TRUE))</f>
        <v/>
      </c>
      <c r="G248">
        <f>IF(Dashboard!$B$11="Department",Raw_data!$AL248,IF(Dashboard!$B$11="Team",Raw_data!$AM248,IF(Dashboard!$B$11="Unit",Raw_data!$AN248,IF(Dashboard!$B$11="Legal entity",Raw_data!$AO248,IF(Dashboard!$B$11="Location",Raw_data!$AP248,Raw_data!$AQ248)))))</f>
        <v/>
      </c>
      <c r="H248">
        <f>--(AND(ISNUMBER(B248),B248&lt;0.5))</f>
        <v/>
      </c>
      <c r="I248">
        <f>IFERROR(MAX(0,(0.5-B248)*100),0)+IF(D248&gt;=24,20,0)+IF(Raw_data!$I248&gt;0,20,0)+IF(Raw_data!$AE248=TRUE,10,0)</f>
        <v/>
      </c>
      <c r="J248">
        <f>IFERROR(CHOOSE(MATCH(Dashboard!$B$11,{"Department","Team","Unit","Legal entity","Location","Lead"},0),INDEX(Lists!$B$3:$B$20,ROW()-1),INDEX(Lists!$C$3:$C$146,ROW()-1),INDEX(Lists!$D$3:$D$67,ROW()-1),INDEX(Lists!$E$3:$E$5,ROW()-1),INDEX(Lists!$F$3:$F$12,ROW()-1),INDEX(Lists!$G$3:$G$126,ROW()-1)),"")</f>
        <v/>
      </c>
      <c r="K248">
        <f>IF(J248="","",SUMPRODUCT(($A$2:$A$636=1)*($G$2:$G$636=J248)))</f>
        <v/>
      </c>
      <c r="L248">
        <f>IF(J248="","",SUMPRODUCT(($A$2:$A$636=1)*($G$2:$G$636=J248)*(ISNUMBER($B$2:$B$636))*($B$2:$B$636&lt;0.5)))</f>
        <v/>
      </c>
      <c r="M248">
        <f>IFERROR(L248/K248,"")</f>
        <v/>
      </c>
      <c r="N248">
        <f>IF(K248="","",M248+K248/100000+ROW()/100000000)</f>
        <v/>
      </c>
      <c r="R248">
        <f>IF(A248=1,IFERROR(I248,0)+ROW()/100000000,-1E+99)</f>
        <v/>
      </c>
      <c r="S248">
        <f>IF(A248=1,IFERROR(Raw_data!$T248,""),"")</f>
        <v/>
      </c>
      <c r="T248">
        <f>IF(A248=1,IFERROR(Raw_data!$AA248,""),"")</f>
        <v/>
      </c>
      <c r="U248">
        <f>IF(A248=1,IFERROR(Raw_data!$U248,""),"")</f>
        <v/>
      </c>
      <c r="V248">
        <f>IF(A248=1,IFERROR(Raw_data!$AB248,""),"")</f>
        <v/>
      </c>
    </row>
    <row r="249">
      <c r="A249">
        <f>--(AND(OR(Dashboard!$B$4="All",Raw_data!$AL249=Dashboard!$B$4),OR(Dashboard!$B$5="All",Raw_data!$AM249=Dashboard!$B$5),OR(Dashboard!$B$6="All",Raw_data!$AN249=Dashboard!$B$6),OR(Dashboard!$B$7="All",Raw_data!$AO249=Dashboard!$B$7),OR(Dashboard!$B$8="All",Raw_data!$AP249=Dashboard!$B$8),OR(Dashboard!$B$9="All",Raw_data!$AQ249=Dashboard!$B$9),OR(Dashboard!$B$10="All",Raw_data!$AF249=Dashboard!$B$10),OR(Raw_data!$F249="",Raw_data!$F249&lt;=TODAY())))</f>
        <v/>
      </c>
      <c r="B249">
        <f>IFERROR(IF(Dashboard!$B$3="Weighted",Raw_data!$U249,Raw_data!$T249),"")</f>
        <v/>
      </c>
      <c r="C249">
        <f>IFERROR(IF(Dashboard!$B$3="Weighted",Raw_data!$AB249,Raw_data!$AA249),"")</f>
        <v/>
      </c>
      <c r="D249">
        <f>IF(OR(Raw_data!$J249="",Raw_data!$J249&lt;=0,Raw_data!$K249=""),"",IF(Raw_data!$K249&gt;TODAY(),0,DATEDIF(Raw_data!$K249,TODAY(),"M")))</f>
        <v/>
      </c>
      <c r="E249">
        <f>--(AND(Raw_data!$AF249="No",OR(Raw_data!$AG249&lt;&gt;"",Raw_data!$AJ249&gt;0,Raw_data!$AK249&lt;&gt;"")))</f>
        <v/>
      </c>
      <c r="F249">
        <f>--(OR(AND(ISNUMBER(B249),B249&lt;0.5,OR(D249&gt;=24,Raw_data!$I249&gt;0)),Raw_data!$AE249=TRUE))</f>
        <v/>
      </c>
      <c r="G249">
        <f>IF(Dashboard!$B$11="Department",Raw_data!$AL249,IF(Dashboard!$B$11="Team",Raw_data!$AM249,IF(Dashboard!$B$11="Unit",Raw_data!$AN249,IF(Dashboard!$B$11="Legal entity",Raw_data!$AO249,IF(Dashboard!$B$11="Location",Raw_data!$AP249,Raw_data!$AQ249)))))</f>
        <v/>
      </c>
      <c r="H249">
        <f>--(AND(ISNUMBER(B249),B249&lt;0.5))</f>
        <v/>
      </c>
      <c r="I249">
        <f>IFERROR(MAX(0,(0.5-B249)*100),0)+IF(D249&gt;=24,20,0)+IF(Raw_data!$I249&gt;0,20,0)+IF(Raw_data!$AE249=TRUE,10,0)</f>
        <v/>
      </c>
      <c r="J249">
        <f>IFERROR(CHOOSE(MATCH(Dashboard!$B$11,{"Department","Team","Unit","Legal entity","Location","Lead"},0),INDEX(Lists!$B$3:$B$20,ROW()-1),INDEX(Lists!$C$3:$C$146,ROW()-1),INDEX(Lists!$D$3:$D$67,ROW()-1),INDEX(Lists!$E$3:$E$5,ROW()-1),INDEX(Lists!$F$3:$F$12,ROW()-1),INDEX(Lists!$G$3:$G$126,ROW()-1)),"")</f>
        <v/>
      </c>
      <c r="K249">
        <f>IF(J249="","",SUMPRODUCT(($A$2:$A$636=1)*($G$2:$G$636=J249)))</f>
        <v/>
      </c>
      <c r="L249">
        <f>IF(J249="","",SUMPRODUCT(($A$2:$A$636=1)*($G$2:$G$636=J249)*(ISNUMBER($B$2:$B$636))*($B$2:$B$636&lt;0.5)))</f>
        <v/>
      </c>
      <c r="M249">
        <f>IFERROR(L249/K249,"")</f>
        <v/>
      </c>
      <c r="N249">
        <f>IF(K249="","",M249+K249/100000+ROW()/100000000)</f>
        <v/>
      </c>
      <c r="R249">
        <f>IF(A249=1,IFERROR(I249,0)+ROW()/100000000,-1E+99)</f>
        <v/>
      </c>
      <c r="S249">
        <f>IF(A249=1,IFERROR(Raw_data!$T249,""),"")</f>
        <v/>
      </c>
      <c r="T249">
        <f>IF(A249=1,IFERROR(Raw_data!$AA249,""),"")</f>
        <v/>
      </c>
      <c r="U249">
        <f>IF(A249=1,IFERROR(Raw_data!$U249,""),"")</f>
        <v/>
      </c>
      <c r="V249">
        <f>IF(A249=1,IFERROR(Raw_data!$AB249,""),"")</f>
        <v/>
      </c>
    </row>
    <row r="250">
      <c r="A250">
        <f>--(AND(OR(Dashboard!$B$4="All",Raw_data!$AL250=Dashboard!$B$4),OR(Dashboard!$B$5="All",Raw_data!$AM250=Dashboard!$B$5),OR(Dashboard!$B$6="All",Raw_data!$AN250=Dashboard!$B$6),OR(Dashboard!$B$7="All",Raw_data!$AO250=Dashboard!$B$7),OR(Dashboard!$B$8="All",Raw_data!$AP250=Dashboard!$B$8),OR(Dashboard!$B$9="All",Raw_data!$AQ250=Dashboard!$B$9),OR(Dashboard!$B$10="All",Raw_data!$AF250=Dashboard!$B$10),OR(Raw_data!$F250="",Raw_data!$F250&lt;=TODAY())))</f>
        <v/>
      </c>
      <c r="B250">
        <f>IFERROR(IF(Dashboard!$B$3="Weighted",Raw_data!$U250,Raw_data!$T250),"")</f>
        <v/>
      </c>
      <c r="C250">
        <f>IFERROR(IF(Dashboard!$B$3="Weighted",Raw_data!$AB250,Raw_data!$AA250),"")</f>
        <v/>
      </c>
      <c r="D250">
        <f>IF(OR(Raw_data!$J250="",Raw_data!$J250&lt;=0,Raw_data!$K250=""),"",IF(Raw_data!$K250&gt;TODAY(),0,DATEDIF(Raw_data!$K250,TODAY(),"M")))</f>
        <v/>
      </c>
      <c r="E250">
        <f>--(AND(Raw_data!$AF250="No",OR(Raw_data!$AG250&lt;&gt;"",Raw_data!$AJ250&gt;0,Raw_data!$AK250&lt;&gt;"")))</f>
        <v/>
      </c>
      <c r="F250">
        <f>--(OR(AND(ISNUMBER(B250),B250&lt;0.5,OR(D250&gt;=24,Raw_data!$I250&gt;0)),Raw_data!$AE250=TRUE))</f>
        <v/>
      </c>
      <c r="G250">
        <f>IF(Dashboard!$B$11="Department",Raw_data!$AL250,IF(Dashboard!$B$11="Team",Raw_data!$AM250,IF(Dashboard!$B$11="Unit",Raw_data!$AN250,IF(Dashboard!$B$11="Legal entity",Raw_data!$AO250,IF(Dashboard!$B$11="Location",Raw_data!$AP250,Raw_data!$AQ250)))))</f>
        <v/>
      </c>
      <c r="H250">
        <f>--(AND(ISNUMBER(B250),B250&lt;0.5))</f>
        <v/>
      </c>
      <c r="I250">
        <f>IFERROR(MAX(0,(0.5-B250)*100),0)+IF(D250&gt;=24,20,0)+IF(Raw_data!$I250&gt;0,20,0)+IF(Raw_data!$AE250=TRUE,10,0)</f>
        <v/>
      </c>
      <c r="J250">
        <f>IFERROR(CHOOSE(MATCH(Dashboard!$B$11,{"Department","Team","Unit","Legal entity","Location","Lead"},0),INDEX(Lists!$B$3:$B$20,ROW()-1),INDEX(Lists!$C$3:$C$146,ROW()-1),INDEX(Lists!$D$3:$D$67,ROW()-1),INDEX(Lists!$E$3:$E$5,ROW()-1),INDEX(Lists!$F$3:$F$12,ROW()-1),INDEX(Lists!$G$3:$G$126,ROW()-1)),"")</f>
        <v/>
      </c>
      <c r="K250">
        <f>IF(J250="","",SUMPRODUCT(($A$2:$A$636=1)*($G$2:$G$636=J250)))</f>
        <v/>
      </c>
      <c r="L250">
        <f>IF(J250="","",SUMPRODUCT(($A$2:$A$636=1)*($G$2:$G$636=J250)*(ISNUMBER($B$2:$B$636))*($B$2:$B$636&lt;0.5)))</f>
        <v/>
      </c>
      <c r="M250">
        <f>IFERROR(L250/K250,"")</f>
        <v/>
      </c>
      <c r="N250">
        <f>IF(K250="","",M250+K250/100000+ROW()/100000000)</f>
        <v/>
      </c>
      <c r="R250">
        <f>IF(A250=1,IFERROR(I250,0)+ROW()/100000000,-1E+99)</f>
        <v/>
      </c>
      <c r="S250">
        <f>IF(A250=1,IFERROR(Raw_data!$T250,""),"")</f>
        <v/>
      </c>
      <c r="T250">
        <f>IF(A250=1,IFERROR(Raw_data!$AA250,""),"")</f>
        <v/>
      </c>
      <c r="U250">
        <f>IF(A250=1,IFERROR(Raw_data!$U250,""),"")</f>
        <v/>
      </c>
      <c r="V250">
        <f>IF(A250=1,IFERROR(Raw_data!$AB250,""),"")</f>
        <v/>
      </c>
    </row>
    <row r="251">
      <c r="A251">
        <f>--(AND(OR(Dashboard!$B$4="All",Raw_data!$AL251=Dashboard!$B$4),OR(Dashboard!$B$5="All",Raw_data!$AM251=Dashboard!$B$5),OR(Dashboard!$B$6="All",Raw_data!$AN251=Dashboard!$B$6),OR(Dashboard!$B$7="All",Raw_data!$AO251=Dashboard!$B$7),OR(Dashboard!$B$8="All",Raw_data!$AP251=Dashboard!$B$8),OR(Dashboard!$B$9="All",Raw_data!$AQ251=Dashboard!$B$9),OR(Dashboard!$B$10="All",Raw_data!$AF251=Dashboard!$B$10),OR(Raw_data!$F251="",Raw_data!$F251&lt;=TODAY())))</f>
        <v/>
      </c>
      <c r="B251">
        <f>IFERROR(IF(Dashboard!$B$3="Weighted",Raw_data!$U251,Raw_data!$T251),"")</f>
        <v/>
      </c>
      <c r="C251">
        <f>IFERROR(IF(Dashboard!$B$3="Weighted",Raw_data!$AB251,Raw_data!$AA251),"")</f>
        <v/>
      </c>
      <c r="D251">
        <f>IF(OR(Raw_data!$J251="",Raw_data!$J251&lt;=0,Raw_data!$K251=""),"",IF(Raw_data!$K251&gt;TODAY(),0,DATEDIF(Raw_data!$K251,TODAY(),"M")))</f>
        <v/>
      </c>
      <c r="E251">
        <f>--(AND(Raw_data!$AF251="No",OR(Raw_data!$AG251&lt;&gt;"",Raw_data!$AJ251&gt;0,Raw_data!$AK251&lt;&gt;"")))</f>
        <v/>
      </c>
      <c r="F251">
        <f>--(OR(AND(ISNUMBER(B251),B251&lt;0.5,OR(D251&gt;=24,Raw_data!$I251&gt;0)),Raw_data!$AE251=TRUE))</f>
        <v/>
      </c>
      <c r="G251">
        <f>IF(Dashboard!$B$11="Department",Raw_data!$AL251,IF(Dashboard!$B$11="Team",Raw_data!$AM251,IF(Dashboard!$B$11="Unit",Raw_data!$AN251,IF(Dashboard!$B$11="Legal entity",Raw_data!$AO251,IF(Dashboard!$B$11="Location",Raw_data!$AP251,Raw_data!$AQ251)))))</f>
        <v/>
      </c>
      <c r="H251">
        <f>--(AND(ISNUMBER(B251),B251&lt;0.5))</f>
        <v/>
      </c>
      <c r="I251">
        <f>IFERROR(MAX(0,(0.5-B251)*100),0)+IF(D251&gt;=24,20,0)+IF(Raw_data!$I251&gt;0,20,0)+IF(Raw_data!$AE251=TRUE,10,0)</f>
        <v/>
      </c>
      <c r="J251">
        <f>IFERROR(CHOOSE(MATCH(Dashboard!$B$11,{"Department","Team","Unit","Legal entity","Location","Lead"},0),INDEX(Lists!$B$3:$B$20,ROW()-1),INDEX(Lists!$C$3:$C$146,ROW()-1),INDEX(Lists!$D$3:$D$67,ROW()-1),INDEX(Lists!$E$3:$E$5,ROW()-1),INDEX(Lists!$F$3:$F$12,ROW()-1),INDEX(Lists!$G$3:$G$126,ROW()-1)),"")</f>
        <v/>
      </c>
      <c r="K251">
        <f>IF(J251="","",SUMPRODUCT(($A$2:$A$636=1)*($G$2:$G$636=J251)))</f>
        <v/>
      </c>
      <c r="L251">
        <f>IF(J251="","",SUMPRODUCT(($A$2:$A$636=1)*($G$2:$G$636=J251)*(ISNUMBER($B$2:$B$636))*($B$2:$B$636&lt;0.5)))</f>
        <v/>
      </c>
      <c r="M251">
        <f>IFERROR(L251/K251,"")</f>
        <v/>
      </c>
      <c r="N251">
        <f>IF(K251="","",M251+K251/100000+ROW()/100000000)</f>
        <v/>
      </c>
      <c r="R251">
        <f>IF(A251=1,IFERROR(I251,0)+ROW()/100000000,-1E+99)</f>
        <v/>
      </c>
      <c r="S251">
        <f>IF(A251=1,IFERROR(Raw_data!$T251,""),"")</f>
        <v/>
      </c>
      <c r="T251">
        <f>IF(A251=1,IFERROR(Raw_data!$AA251,""),"")</f>
        <v/>
      </c>
      <c r="U251">
        <f>IF(A251=1,IFERROR(Raw_data!$U251,""),"")</f>
        <v/>
      </c>
      <c r="V251">
        <f>IF(A251=1,IFERROR(Raw_data!$AB251,""),"")</f>
        <v/>
      </c>
    </row>
    <row r="252">
      <c r="A252">
        <f>--(AND(OR(Dashboard!$B$4="All",Raw_data!$AL252=Dashboard!$B$4),OR(Dashboard!$B$5="All",Raw_data!$AM252=Dashboard!$B$5),OR(Dashboard!$B$6="All",Raw_data!$AN252=Dashboard!$B$6),OR(Dashboard!$B$7="All",Raw_data!$AO252=Dashboard!$B$7),OR(Dashboard!$B$8="All",Raw_data!$AP252=Dashboard!$B$8),OR(Dashboard!$B$9="All",Raw_data!$AQ252=Dashboard!$B$9),OR(Dashboard!$B$10="All",Raw_data!$AF252=Dashboard!$B$10),OR(Raw_data!$F252="",Raw_data!$F252&lt;=TODAY())))</f>
        <v/>
      </c>
      <c r="B252">
        <f>IFERROR(IF(Dashboard!$B$3="Weighted",Raw_data!$U252,Raw_data!$T252),"")</f>
        <v/>
      </c>
      <c r="C252">
        <f>IFERROR(IF(Dashboard!$B$3="Weighted",Raw_data!$AB252,Raw_data!$AA252),"")</f>
        <v/>
      </c>
      <c r="D252">
        <f>IF(OR(Raw_data!$J252="",Raw_data!$J252&lt;=0,Raw_data!$K252=""),"",IF(Raw_data!$K252&gt;TODAY(),0,DATEDIF(Raw_data!$K252,TODAY(),"M")))</f>
        <v/>
      </c>
      <c r="E252">
        <f>--(AND(Raw_data!$AF252="No",OR(Raw_data!$AG252&lt;&gt;"",Raw_data!$AJ252&gt;0,Raw_data!$AK252&lt;&gt;"")))</f>
        <v/>
      </c>
      <c r="F252">
        <f>--(OR(AND(ISNUMBER(B252),B252&lt;0.5,OR(D252&gt;=24,Raw_data!$I252&gt;0)),Raw_data!$AE252=TRUE))</f>
        <v/>
      </c>
      <c r="G252">
        <f>IF(Dashboard!$B$11="Department",Raw_data!$AL252,IF(Dashboard!$B$11="Team",Raw_data!$AM252,IF(Dashboard!$B$11="Unit",Raw_data!$AN252,IF(Dashboard!$B$11="Legal entity",Raw_data!$AO252,IF(Dashboard!$B$11="Location",Raw_data!$AP252,Raw_data!$AQ252)))))</f>
        <v/>
      </c>
      <c r="H252">
        <f>--(AND(ISNUMBER(B252),B252&lt;0.5))</f>
        <v/>
      </c>
      <c r="I252">
        <f>IFERROR(MAX(0,(0.5-B252)*100),0)+IF(D252&gt;=24,20,0)+IF(Raw_data!$I252&gt;0,20,0)+IF(Raw_data!$AE252=TRUE,10,0)</f>
        <v/>
      </c>
      <c r="J252">
        <f>IFERROR(CHOOSE(MATCH(Dashboard!$B$11,{"Department","Team","Unit","Legal entity","Location","Lead"},0),INDEX(Lists!$B$3:$B$20,ROW()-1),INDEX(Lists!$C$3:$C$146,ROW()-1),INDEX(Lists!$D$3:$D$67,ROW()-1),INDEX(Lists!$E$3:$E$5,ROW()-1),INDEX(Lists!$F$3:$F$12,ROW()-1),INDEX(Lists!$G$3:$G$126,ROW()-1)),"")</f>
        <v/>
      </c>
      <c r="K252">
        <f>IF(J252="","",SUMPRODUCT(($A$2:$A$636=1)*($G$2:$G$636=J252)))</f>
        <v/>
      </c>
      <c r="L252">
        <f>IF(J252="","",SUMPRODUCT(($A$2:$A$636=1)*($G$2:$G$636=J252)*(ISNUMBER($B$2:$B$636))*($B$2:$B$636&lt;0.5)))</f>
        <v/>
      </c>
      <c r="M252">
        <f>IFERROR(L252/K252,"")</f>
        <v/>
      </c>
      <c r="N252">
        <f>IF(K252="","",M252+K252/100000+ROW()/100000000)</f>
        <v/>
      </c>
      <c r="R252">
        <f>IF(A252=1,IFERROR(I252,0)+ROW()/100000000,-1E+99)</f>
        <v/>
      </c>
      <c r="S252">
        <f>IF(A252=1,IFERROR(Raw_data!$T252,""),"")</f>
        <v/>
      </c>
      <c r="T252">
        <f>IF(A252=1,IFERROR(Raw_data!$AA252,""),"")</f>
        <v/>
      </c>
      <c r="U252">
        <f>IF(A252=1,IFERROR(Raw_data!$U252,""),"")</f>
        <v/>
      </c>
      <c r="V252">
        <f>IF(A252=1,IFERROR(Raw_data!$AB252,""),"")</f>
        <v/>
      </c>
    </row>
    <row r="253">
      <c r="A253">
        <f>--(AND(OR(Dashboard!$B$4="All",Raw_data!$AL253=Dashboard!$B$4),OR(Dashboard!$B$5="All",Raw_data!$AM253=Dashboard!$B$5),OR(Dashboard!$B$6="All",Raw_data!$AN253=Dashboard!$B$6),OR(Dashboard!$B$7="All",Raw_data!$AO253=Dashboard!$B$7),OR(Dashboard!$B$8="All",Raw_data!$AP253=Dashboard!$B$8),OR(Dashboard!$B$9="All",Raw_data!$AQ253=Dashboard!$B$9),OR(Dashboard!$B$10="All",Raw_data!$AF253=Dashboard!$B$10),OR(Raw_data!$F253="",Raw_data!$F253&lt;=TODAY())))</f>
        <v/>
      </c>
      <c r="B253">
        <f>IFERROR(IF(Dashboard!$B$3="Weighted",Raw_data!$U253,Raw_data!$T253),"")</f>
        <v/>
      </c>
      <c r="C253">
        <f>IFERROR(IF(Dashboard!$B$3="Weighted",Raw_data!$AB253,Raw_data!$AA253),"")</f>
        <v/>
      </c>
      <c r="D253">
        <f>IF(OR(Raw_data!$J253="",Raw_data!$J253&lt;=0,Raw_data!$K253=""),"",IF(Raw_data!$K253&gt;TODAY(),0,DATEDIF(Raw_data!$K253,TODAY(),"M")))</f>
        <v/>
      </c>
      <c r="E253">
        <f>--(AND(Raw_data!$AF253="No",OR(Raw_data!$AG253&lt;&gt;"",Raw_data!$AJ253&gt;0,Raw_data!$AK253&lt;&gt;"")))</f>
        <v/>
      </c>
      <c r="F253">
        <f>--(OR(AND(ISNUMBER(B253),B253&lt;0.5,OR(D253&gt;=24,Raw_data!$I253&gt;0)),Raw_data!$AE253=TRUE))</f>
        <v/>
      </c>
      <c r="G253">
        <f>IF(Dashboard!$B$11="Department",Raw_data!$AL253,IF(Dashboard!$B$11="Team",Raw_data!$AM253,IF(Dashboard!$B$11="Unit",Raw_data!$AN253,IF(Dashboard!$B$11="Legal entity",Raw_data!$AO253,IF(Dashboard!$B$11="Location",Raw_data!$AP253,Raw_data!$AQ253)))))</f>
        <v/>
      </c>
      <c r="H253">
        <f>--(AND(ISNUMBER(B253),B253&lt;0.5))</f>
        <v/>
      </c>
      <c r="I253">
        <f>IFERROR(MAX(0,(0.5-B253)*100),0)+IF(D253&gt;=24,20,0)+IF(Raw_data!$I253&gt;0,20,0)+IF(Raw_data!$AE253=TRUE,10,0)</f>
        <v/>
      </c>
      <c r="J253">
        <f>IFERROR(CHOOSE(MATCH(Dashboard!$B$11,{"Department","Team","Unit","Legal entity","Location","Lead"},0),INDEX(Lists!$B$3:$B$20,ROW()-1),INDEX(Lists!$C$3:$C$146,ROW()-1),INDEX(Lists!$D$3:$D$67,ROW()-1),INDEX(Lists!$E$3:$E$5,ROW()-1),INDEX(Lists!$F$3:$F$12,ROW()-1),INDEX(Lists!$G$3:$G$126,ROW()-1)),"")</f>
        <v/>
      </c>
      <c r="K253">
        <f>IF(J253="","",SUMPRODUCT(($A$2:$A$636=1)*($G$2:$G$636=J253)))</f>
        <v/>
      </c>
      <c r="L253">
        <f>IF(J253="","",SUMPRODUCT(($A$2:$A$636=1)*($G$2:$G$636=J253)*(ISNUMBER($B$2:$B$636))*($B$2:$B$636&lt;0.5)))</f>
        <v/>
      </c>
      <c r="M253">
        <f>IFERROR(L253/K253,"")</f>
        <v/>
      </c>
      <c r="N253">
        <f>IF(K253="","",M253+K253/100000+ROW()/100000000)</f>
        <v/>
      </c>
      <c r="R253">
        <f>IF(A253=1,IFERROR(I253,0)+ROW()/100000000,-1E+99)</f>
        <v/>
      </c>
      <c r="S253">
        <f>IF(A253=1,IFERROR(Raw_data!$T253,""),"")</f>
        <v/>
      </c>
      <c r="T253">
        <f>IF(A253=1,IFERROR(Raw_data!$AA253,""),"")</f>
        <v/>
      </c>
      <c r="U253">
        <f>IF(A253=1,IFERROR(Raw_data!$U253,""),"")</f>
        <v/>
      </c>
      <c r="V253">
        <f>IF(A253=1,IFERROR(Raw_data!$AB253,""),"")</f>
        <v/>
      </c>
    </row>
    <row r="254">
      <c r="A254">
        <f>--(AND(OR(Dashboard!$B$4="All",Raw_data!$AL254=Dashboard!$B$4),OR(Dashboard!$B$5="All",Raw_data!$AM254=Dashboard!$B$5),OR(Dashboard!$B$6="All",Raw_data!$AN254=Dashboard!$B$6),OR(Dashboard!$B$7="All",Raw_data!$AO254=Dashboard!$B$7),OR(Dashboard!$B$8="All",Raw_data!$AP254=Dashboard!$B$8),OR(Dashboard!$B$9="All",Raw_data!$AQ254=Dashboard!$B$9),OR(Dashboard!$B$10="All",Raw_data!$AF254=Dashboard!$B$10),OR(Raw_data!$F254="",Raw_data!$F254&lt;=TODAY())))</f>
        <v/>
      </c>
      <c r="B254">
        <f>IFERROR(IF(Dashboard!$B$3="Weighted",Raw_data!$U254,Raw_data!$T254),"")</f>
        <v/>
      </c>
      <c r="C254">
        <f>IFERROR(IF(Dashboard!$B$3="Weighted",Raw_data!$AB254,Raw_data!$AA254),"")</f>
        <v/>
      </c>
      <c r="D254">
        <f>IF(OR(Raw_data!$J254="",Raw_data!$J254&lt;=0,Raw_data!$K254=""),"",IF(Raw_data!$K254&gt;TODAY(),0,DATEDIF(Raw_data!$K254,TODAY(),"M")))</f>
        <v/>
      </c>
      <c r="E254">
        <f>--(AND(Raw_data!$AF254="No",OR(Raw_data!$AG254&lt;&gt;"",Raw_data!$AJ254&gt;0,Raw_data!$AK254&lt;&gt;"")))</f>
        <v/>
      </c>
      <c r="F254">
        <f>--(OR(AND(ISNUMBER(B254),B254&lt;0.5,OR(D254&gt;=24,Raw_data!$I254&gt;0)),Raw_data!$AE254=TRUE))</f>
        <v/>
      </c>
      <c r="G254">
        <f>IF(Dashboard!$B$11="Department",Raw_data!$AL254,IF(Dashboard!$B$11="Team",Raw_data!$AM254,IF(Dashboard!$B$11="Unit",Raw_data!$AN254,IF(Dashboard!$B$11="Legal entity",Raw_data!$AO254,IF(Dashboard!$B$11="Location",Raw_data!$AP254,Raw_data!$AQ254)))))</f>
        <v/>
      </c>
      <c r="H254">
        <f>--(AND(ISNUMBER(B254),B254&lt;0.5))</f>
        <v/>
      </c>
      <c r="I254">
        <f>IFERROR(MAX(0,(0.5-B254)*100),0)+IF(D254&gt;=24,20,0)+IF(Raw_data!$I254&gt;0,20,0)+IF(Raw_data!$AE254=TRUE,10,0)</f>
        <v/>
      </c>
      <c r="J254">
        <f>IFERROR(CHOOSE(MATCH(Dashboard!$B$11,{"Department","Team","Unit","Legal entity","Location","Lead"},0),INDEX(Lists!$B$3:$B$20,ROW()-1),INDEX(Lists!$C$3:$C$146,ROW()-1),INDEX(Lists!$D$3:$D$67,ROW()-1),INDEX(Lists!$E$3:$E$5,ROW()-1),INDEX(Lists!$F$3:$F$12,ROW()-1),INDEX(Lists!$G$3:$G$126,ROW()-1)),"")</f>
        <v/>
      </c>
      <c r="K254">
        <f>IF(J254="","",SUMPRODUCT(($A$2:$A$636=1)*($G$2:$G$636=J254)))</f>
        <v/>
      </c>
      <c r="L254">
        <f>IF(J254="","",SUMPRODUCT(($A$2:$A$636=1)*($G$2:$G$636=J254)*(ISNUMBER($B$2:$B$636))*($B$2:$B$636&lt;0.5)))</f>
        <v/>
      </c>
      <c r="M254">
        <f>IFERROR(L254/K254,"")</f>
        <v/>
      </c>
      <c r="N254">
        <f>IF(K254="","",M254+K254/100000+ROW()/100000000)</f>
        <v/>
      </c>
      <c r="R254">
        <f>IF(A254=1,IFERROR(I254,0)+ROW()/100000000,-1E+99)</f>
        <v/>
      </c>
      <c r="S254">
        <f>IF(A254=1,IFERROR(Raw_data!$T254,""),"")</f>
        <v/>
      </c>
      <c r="T254">
        <f>IF(A254=1,IFERROR(Raw_data!$AA254,""),"")</f>
        <v/>
      </c>
      <c r="U254">
        <f>IF(A254=1,IFERROR(Raw_data!$U254,""),"")</f>
        <v/>
      </c>
      <c r="V254">
        <f>IF(A254=1,IFERROR(Raw_data!$AB254,""),"")</f>
        <v/>
      </c>
    </row>
    <row r="255">
      <c r="A255">
        <f>--(AND(OR(Dashboard!$B$4="All",Raw_data!$AL255=Dashboard!$B$4),OR(Dashboard!$B$5="All",Raw_data!$AM255=Dashboard!$B$5),OR(Dashboard!$B$6="All",Raw_data!$AN255=Dashboard!$B$6),OR(Dashboard!$B$7="All",Raw_data!$AO255=Dashboard!$B$7),OR(Dashboard!$B$8="All",Raw_data!$AP255=Dashboard!$B$8),OR(Dashboard!$B$9="All",Raw_data!$AQ255=Dashboard!$B$9),OR(Dashboard!$B$10="All",Raw_data!$AF255=Dashboard!$B$10),OR(Raw_data!$F255="",Raw_data!$F255&lt;=TODAY())))</f>
        <v/>
      </c>
      <c r="B255">
        <f>IFERROR(IF(Dashboard!$B$3="Weighted",Raw_data!$U255,Raw_data!$T255),"")</f>
        <v/>
      </c>
      <c r="C255">
        <f>IFERROR(IF(Dashboard!$B$3="Weighted",Raw_data!$AB255,Raw_data!$AA255),"")</f>
        <v/>
      </c>
      <c r="D255">
        <f>IF(OR(Raw_data!$J255="",Raw_data!$J255&lt;=0,Raw_data!$K255=""),"",IF(Raw_data!$K255&gt;TODAY(),0,DATEDIF(Raw_data!$K255,TODAY(),"M")))</f>
        <v/>
      </c>
      <c r="E255">
        <f>--(AND(Raw_data!$AF255="No",OR(Raw_data!$AG255&lt;&gt;"",Raw_data!$AJ255&gt;0,Raw_data!$AK255&lt;&gt;"")))</f>
        <v/>
      </c>
      <c r="F255">
        <f>--(OR(AND(ISNUMBER(B255),B255&lt;0.5,OR(D255&gt;=24,Raw_data!$I255&gt;0)),Raw_data!$AE255=TRUE))</f>
        <v/>
      </c>
      <c r="G255">
        <f>IF(Dashboard!$B$11="Department",Raw_data!$AL255,IF(Dashboard!$B$11="Team",Raw_data!$AM255,IF(Dashboard!$B$11="Unit",Raw_data!$AN255,IF(Dashboard!$B$11="Legal entity",Raw_data!$AO255,IF(Dashboard!$B$11="Location",Raw_data!$AP255,Raw_data!$AQ255)))))</f>
        <v/>
      </c>
      <c r="H255">
        <f>--(AND(ISNUMBER(B255),B255&lt;0.5))</f>
        <v/>
      </c>
      <c r="I255">
        <f>IFERROR(MAX(0,(0.5-B255)*100),0)+IF(D255&gt;=24,20,0)+IF(Raw_data!$I255&gt;0,20,0)+IF(Raw_data!$AE255=TRUE,10,0)</f>
        <v/>
      </c>
      <c r="J255">
        <f>IFERROR(CHOOSE(MATCH(Dashboard!$B$11,{"Department","Team","Unit","Legal entity","Location","Lead"},0),INDEX(Lists!$B$3:$B$20,ROW()-1),INDEX(Lists!$C$3:$C$146,ROW()-1),INDEX(Lists!$D$3:$D$67,ROW()-1),INDEX(Lists!$E$3:$E$5,ROW()-1),INDEX(Lists!$F$3:$F$12,ROW()-1),INDEX(Lists!$G$3:$G$126,ROW()-1)),"")</f>
        <v/>
      </c>
      <c r="K255">
        <f>IF(J255="","",SUMPRODUCT(($A$2:$A$636=1)*($G$2:$G$636=J255)))</f>
        <v/>
      </c>
      <c r="L255">
        <f>IF(J255="","",SUMPRODUCT(($A$2:$A$636=1)*($G$2:$G$636=J255)*(ISNUMBER($B$2:$B$636))*($B$2:$B$636&lt;0.5)))</f>
        <v/>
      </c>
      <c r="M255">
        <f>IFERROR(L255/K255,"")</f>
        <v/>
      </c>
      <c r="N255">
        <f>IF(K255="","",M255+K255/100000+ROW()/100000000)</f>
        <v/>
      </c>
      <c r="R255">
        <f>IF(A255=1,IFERROR(I255,0)+ROW()/100000000,-1E+99)</f>
        <v/>
      </c>
      <c r="S255">
        <f>IF(A255=1,IFERROR(Raw_data!$T255,""),"")</f>
        <v/>
      </c>
      <c r="T255">
        <f>IF(A255=1,IFERROR(Raw_data!$AA255,""),"")</f>
        <v/>
      </c>
      <c r="U255">
        <f>IF(A255=1,IFERROR(Raw_data!$U255,""),"")</f>
        <v/>
      </c>
      <c r="V255">
        <f>IF(A255=1,IFERROR(Raw_data!$AB255,""),"")</f>
        <v/>
      </c>
    </row>
    <row r="256">
      <c r="A256">
        <f>--(AND(OR(Dashboard!$B$4="All",Raw_data!$AL256=Dashboard!$B$4),OR(Dashboard!$B$5="All",Raw_data!$AM256=Dashboard!$B$5),OR(Dashboard!$B$6="All",Raw_data!$AN256=Dashboard!$B$6),OR(Dashboard!$B$7="All",Raw_data!$AO256=Dashboard!$B$7),OR(Dashboard!$B$8="All",Raw_data!$AP256=Dashboard!$B$8),OR(Dashboard!$B$9="All",Raw_data!$AQ256=Dashboard!$B$9),OR(Dashboard!$B$10="All",Raw_data!$AF256=Dashboard!$B$10),OR(Raw_data!$F256="",Raw_data!$F256&lt;=TODAY())))</f>
        <v/>
      </c>
      <c r="B256">
        <f>IFERROR(IF(Dashboard!$B$3="Weighted",Raw_data!$U256,Raw_data!$T256),"")</f>
        <v/>
      </c>
      <c r="C256">
        <f>IFERROR(IF(Dashboard!$B$3="Weighted",Raw_data!$AB256,Raw_data!$AA256),"")</f>
        <v/>
      </c>
      <c r="D256">
        <f>IF(OR(Raw_data!$J256="",Raw_data!$J256&lt;=0,Raw_data!$K256=""),"",IF(Raw_data!$K256&gt;TODAY(),0,DATEDIF(Raw_data!$K256,TODAY(),"M")))</f>
        <v/>
      </c>
      <c r="E256">
        <f>--(AND(Raw_data!$AF256="No",OR(Raw_data!$AG256&lt;&gt;"",Raw_data!$AJ256&gt;0,Raw_data!$AK256&lt;&gt;"")))</f>
        <v/>
      </c>
      <c r="F256">
        <f>--(OR(AND(ISNUMBER(B256),B256&lt;0.5,OR(D256&gt;=24,Raw_data!$I256&gt;0)),Raw_data!$AE256=TRUE))</f>
        <v/>
      </c>
      <c r="G256">
        <f>IF(Dashboard!$B$11="Department",Raw_data!$AL256,IF(Dashboard!$B$11="Team",Raw_data!$AM256,IF(Dashboard!$B$11="Unit",Raw_data!$AN256,IF(Dashboard!$B$11="Legal entity",Raw_data!$AO256,IF(Dashboard!$B$11="Location",Raw_data!$AP256,Raw_data!$AQ256)))))</f>
        <v/>
      </c>
      <c r="H256">
        <f>--(AND(ISNUMBER(B256),B256&lt;0.5))</f>
        <v/>
      </c>
      <c r="I256">
        <f>IFERROR(MAX(0,(0.5-B256)*100),0)+IF(D256&gt;=24,20,0)+IF(Raw_data!$I256&gt;0,20,0)+IF(Raw_data!$AE256=TRUE,10,0)</f>
        <v/>
      </c>
      <c r="J256">
        <f>IFERROR(CHOOSE(MATCH(Dashboard!$B$11,{"Department","Team","Unit","Legal entity","Location","Lead"},0),INDEX(Lists!$B$3:$B$20,ROW()-1),INDEX(Lists!$C$3:$C$146,ROW()-1),INDEX(Lists!$D$3:$D$67,ROW()-1),INDEX(Lists!$E$3:$E$5,ROW()-1),INDEX(Lists!$F$3:$F$12,ROW()-1),INDEX(Lists!$G$3:$G$126,ROW()-1)),"")</f>
        <v/>
      </c>
      <c r="K256">
        <f>IF(J256="","",SUMPRODUCT(($A$2:$A$636=1)*($G$2:$G$636=J256)))</f>
        <v/>
      </c>
      <c r="L256">
        <f>IF(J256="","",SUMPRODUCT(($A$2:$A$636=1)*($G$2:$G$636=J256)*(ISNUMBER($B$2:$B$636))*($B$2:$B$636&lt;0.5)))</f>
        <v/>
      </c>
      <c r="M256">
        <f>IFERROR(L256/K256,"")</f>
        <v/>
      </c>
      <c r="N256">
        <f>IF(K256="","",M256+K256/100000+ROW()/100000000)</f>
        <v/>
      </c>
      <c r="R256">
        <f>IF(A256=1,IFERROR(I256,0)+ROW()/100000000,-1E+99)</f>
        <v/>
      </c>
      <c r="S256">
        <f>IF(A256=1,IFERROR(Raw_data!$T256,""),"")</f>
        <v/>
      </c>
      <c r="T256">
        <f>IF(A256=1,IFERROR(Raw_data!$AA256,""),"")</f>
        <v/>
      </c>
      <c r="U256">
        <f>IF(A256=1,IFERROR(Raw_data!$U256,""),"")</f>
        <v/>
      </c>
      <c r="V256">
        <f>IF(A256=1,IFERROR(Raw_data!$AB256,""),"")</f>
        <v/>
      </c>
    </row>
    <row r="257">
      <c r="A257">
        <f>--(AND(OR(Dashboard!$B$4="All",Raw_data!$AL257=Dashboard!$B$4),OR(Dashboard!$B$5="All",Raw_data!$AM257=Dashboard!$B$5),OR(Dashboard!$B$6="All",Raw_data!$AN257=Dashboard!$B$6),OR(Dashboard!$B$7="All",Raw_data!$AO257=Dashboard!$B$7),OR(Dashboard!$B$8="All",Raw_data!$AP257=Dashboard!$B$8),OR(Dashboard!$B$9="All",Raw_data!$AQ257=Dashboard!$B$9),OR(Dashboard!$B$10="All",Raw_data!$AF257=Dashboard!$B$10),OR(Raw_data!$F257="",Raw_data!$F257&lt;=TODAY())))</f>
        <v/>
      </c>
      <c r="B257">
        <f>IFERROR(IF(Dashboard!$B$3="Weighted",Raw_data!$U257,Raw_data!$T257),"")</f>
        <v/>
      </c>
      <c r="C257">
        <f>IFERROR(IF(Dashboard!$B$3="Weighted",Raw_data!$AB257,Raw_data!$AA257),"")</f>
        <v/>
      </c>
      <c r="D257">
        <f>IF(OR(Raw_data!$J257="",Raw_data!$J257&lt;=0,Raw_data!$K257=""),"",IF(Raw_data!$K257&gt;TODAY(),0,DATEDIF(Raw_data!$K257,TODAY(),"M")))</f>
        <v/>
      </c>
      <c r="E257">
        <f>--(AND(Raw_data!$AF257="No",OR(Raw_data!$AG257&lt;&gt;"",Raw_data!$AJ257&gt;0,Raw_data!$AK257&lt;&gt;"")))</f>
        <v/>
      </c>
      <c r="F257">
        <f>--(OR(AND(ISNUMBER(B257),B257&lt;0.5,OR(D257&gt;=24,Raw_data!$I257&gt;0)),Raw_data!$AE257=TRUE))</f>
        <v/>
      </c>
      <c r="G257">
        <f>IF(Dashboard!$B$11="Department",Raw_data!$AL257,IF(Dashboard!$B$11="Team",Raw_data!$AM257,IF(Dashboard!$B$11="Unit",Raw_data!$AN257,IF(Dashboard!$B$11="Legal entity",Raw_data!$AO257,IF(Dashboard!$B$11="Location",Raw_data!$AP257,Raw_data!$AQ257)))))</f>
        <v/>
      </c>
      <c r="H257">
        <f>--(AND(ISNUMBER(B257),B257&lt;0.5))</f>
        <v/>
      </c>
      <c r="I257">
        <f>IFERROR(MAX(0,(0.5-B257)*100),0)+IF(D257&gt;=24,20,0)+IF(Raw_data!$I257&gt;0,20,0)+IF(Raw_data!$AE257=TRUE,10,0)</f>
        <v/>
      </c>
      <c r="J257">
        <f>IFERROR(CHOOSE(MATCH(Dashboard!$B$11,{"Department","Team","Unit","Legal entity","Location","Lead"},0),INDEX(Lists!$B$3:$B$20,ROW()-1),INDEX(Lists!$C$3:$C$146,ROW()-1),INDEX(Lists!$D$3:$D$67,ROW()-1),INDEX(Lists!$E$3:$E$5,ROW()-1),INDEX(Lists!$F$3:$F$12,ROW()-1),INDEX(Lists!$G$3:$G$126,ROW()-1)),"")</f>
        <v/>
      </c>
      <c r="K257">
        <f>IF(J257="","",SUMPRODUCT(($A$2:$A$636=1)*($G$2:$G$636=J257)))</f>
        <v/>
      </c>
      <c r="L257">
        <f>IF(J257="","",SUMPRODUCT(($A$2:$A$636=1)*($G$2:$G$636=J257)*(ISNUMBER($B$2:$B$636))*($B$2:$B$636&lt;0.5)))</f>
        <v/>
      </c>
      <c r="M257">
        <f>IFERROR(L257/K257,"")</f>
        <v/>
      </c>
      <c r="N257">
        <f>IF(K257="","",M257+K257/100000+ROW()/100000000)</f>
        <v/>
      </c>
      <c r="R257">
        <f>IF(A257=1,IFERROR(I257,0)+ROW()/100000000,-1E+99)</f>
        <v/>
      </c>
      <c r="S257">
        <f>IF(A257=1,IFERROR(Raw_data!$T257,""),"")</f>
        <v/>
      </c>
      <c r="T257">
        <f>IF(A257=1,IFERROR(Raw_data!$AA257,""),"")</f>
        <v/>
      </c>
      <c r="U257">
        <f>IF(A257=1,IFERROR(Raw_data!$U257,""),"")</f>
        <v/>
      </c>
      <c r="V257">
        <f>IF(A257=1,IFERROR(Raw_data!$AB257,""),"")</f>
        <v/>
      </c>
    </row>
    <row r="258">
      <c r="A258">
        <f>--(AND(OR(Dashboard!$B$4="All",Raw_data!$AL258=Dashboard!$B$4),OR(Dashboard!$B$5="All",Raw_data!$AM258=Dashboard!$B$5),OR(Dashboard!$B$6="All",Raw_data!$AN258=Dashboard!$B$6),OR(Dashboard!$B$7="All",Raw_data!$AO258=Dashboard!$B$7),OR(Dashboard!$B$8="All",Raw_data!$AP258=Dashboard!$B$8),OR(Dashboard!$B$9="All",Raw_data!$AQ258=Dashboard!$B$9),OR(Dashboard!$B$10="All",Raw_data!$AF258=Dashboard!$B$10),OR(Raw_data!$F258="",Raw_data!$F258&lt;=TODAY())))</f>
        <v/>
      </c>
      <c r="B258">
        <f>IFERROR(IF(Dashboard!$B$3="Weighted",Raw_data!$U258,Raw_data!$T258),"")</f>
        <v/>
      </c>
      <c r="C258">
        <f>IFERROR(IF(Dashboard!$B$3="Weighted",Raw_data!$AB258,Raw_data!$AA258),"")</f>
        <v/>
      </c>
      <c r="D258">
        <f>IF(OR(Raw_data!$J258="",Raw_data!$J258&lt;=0,Raw_data!$K258=""),"",IF(Raw_data!$K258&gt;TODAY(),0,DATEDIF(Raw_data!$K258,TODAY(),"M")))</f>
        <v/>
      </c>
      <c r="E258">
        <f>--(AND(Raw_data!$AF258="No",OR(Raw_data!$AG258&lt;&gt;"",Raw_data!$AJ258&gt;0,Raw_data!$AK258&lt;&gt;"")))</f>
        <v/>
      </c>
      <c r="F258">
        <f>--(OR(AND(ISNUMBER(B258),B258&lt;0.5,OR(D258&gt;=24,Raw_data!$I258&gt;0)),Raw_data!$AE258=TRUE))</f>
        <v/>
      </c>
      <c r="G258">
        <f>IF(Dashboard!$B$11="Department",Raw_data!$AL258,IF(Dashboard!$B$11="Team",Raw_data!$AM258,IF(Dashboard!$B$11="Unit",Raw_data!$AN258,IF(Dashboard!$B$11="Legal entity",Raw_data!$AO258,IF(Dashboard!$B$11="Location",Raw_data!$AP258,Raw_data!$AQ258)))))</f>
        <v/>
      </c>
      <c r="H258">
        <f>--(AND(ISNUMBER(B258),B258&lt;0.5))</f>
        <v/>
      </c>
      <c r="I258">
        <f>IFERROR(MAX(0,(0.5-B258)*100),0)+IF(D258&gt;=24,20,0)+IF(Raw_data!$I258&gt;0,20,0)+IF(Raw_data!$AE258=TRUE,10,0)</f>
        <v/>
      </c>
      <c r="J258">
        <f>IFERROR(CHOOSE(MATCH(Dashboard!$B$11,{"Department","Team","Unit","Legal entity","Location","Lead"},0),INDEX(Lists!$B$3:$B$20,ROW()-1),INDEX(Lists!$C$3:$C$146,ROW()-1),INDEX(Lists!$D$3:$D$67,ROW()-1),INDEX(Lists!$E$3:$E$5,ROW()-1),INDEX(Lists!$F$3:$F$12,ROW()-1),INDEX(Lists!$G$3:$G$126,ROW()-1)),"")</f>
        <v/>
      </c>
      <c r="K258">
        <f>IF(J258="","",SUMPRODUCT(($A$2:$A$636=1)*($G$2:$G$636=J258)))</f>
        <v/>
      </c>
      <c r="L258">
        <f>IF(J258="","",SUMPRODUCT(($A$2:$A$636=1)*($G$2:$G$636=J258)*(ISNUMBER($B$2:$B$636))*($B$2:$B$636&lt;0.5)))</f>
        <v/>
      </c>
      <c r="M258">
        <f>IFERROR(L258/K258,"")</f>
        <v/>
      </c>
      <c r="N258">
        <f>IF(K258="","",M258+K258/100000+ROW()/100000000)</f>
        <v/>
      </c>
      <c r="R258">
        <f>IF(A258=1,IFERROR(I258,0)+ROW()/100000000,-1E+99)</f>
        <v/>
      </c>
      <c r="S258">
        <f>IF(A258=1,IFERROR(Raw_data!$T258,""),"")</f>
        <v/>
      </c>
      <c r="T258">
        <f>IF(A258=1,IFERROR(Raw_data!$AA258,""),"")</f>
        <v/>
      </c>
      <c r="U258">
        <f>IF(A258=1,IFERROR(Raw_data!$U258,""),"")</f>
        <v/>
      </c>
      <c r="V258">
        <f>IF(A258=1,IFERROR(Raw_data!$AB258,""),"")</f>
        <v/>
      </c>
    </row>
    <row r="259">
      <c r="A259">
        <f>--(AND(OR(Dashboard!$B$4="All",Raw_data!$AL259=Dashboard!$B$4),OR(Dashboard!$B$5="All",Raw_data!$AM259=Dashboard!$B$5),OR(Dashboard!$B$6="All",Raw_data!$AN259=Dashboard!$B$6),OR(Dashboard!$B$7="All",Raw_data!$AO259=Dashboard!$B$7),OR(Dashboard!$B$8="All",Raw_data!$AP259=Dashboard!$B$8),OR(Dashboard!$B$9="All",Raw_data!$AQ259=Dashboard!$B$9),OR(Dashboard!$B$10="All",Raw_data!$AF259=Dashboard!$B$10),OR(Raw_data!$F259="",Raw_data!$F259&lt;=TODAY())))</f>
        <v/>
      </c>
      <c r="B259">
        <f>IFERROR(IF(Dashboard!$B$3="Weighted",Raw_data!$U259,Raw_data!$T259),"")</f>
        <v/>
      </c>
      <c r="C259">
        <f>IFERROR(IF(Dashboard!$B$3="Weighted",Raw_data!$AB259,Raw_data!$AA259),"")</f>
        <v/>
      </c>
      <c r="D259">
        <f>IF(OR(Raw_data!$J259="",Raw_data!$J259&lt;=0,Raw_data!$K259=""),"",IF(Raw_data!$K259&gt;TODAY(),0,DATEDIF(Raw_data!$K259,TODAY(),"M")))</f>
        <v/>
      </c>
      <c r="E259">
        <f>--(AND(Raw_data!$AF259="No",OR(Raw_data!$AG259&lt;&gt;"",Raw_data!$AJ259&gt;0,Raw_data!$AK259&lt;&gt;"")))</f>
        <v/>
      </c>
      <c r="F259">
        <f>--(OR(AND(ISNUMBER(B259),B259&lt;0.5,OR(D259&gt;=24,Raw_data!$I259&gt;0)),Raw_data!$AE259=TRUE))</f>
        <v/>
      </c>
      <c r="G259">
        <f>IF(Dashboard!$B$11="Department",Raw_data!$AL259,IF(Dashboard!$B$11="Team",Raw_data!$AM259,IF(Dashboard!$B$11="Unit",Raw_data!$AN259,IF(Dashboard!$B$11="Legal entity",Raw_data!$AO259,IF(Dashboard!$B$11="Location",Raw_data!$AP259,Raw_data!$AQ259)))))</f>
        <v/>
      </c>
      <c r="H259">
        <f>--(AND(ISNUMBER(B259),B259&lt;0.5))</f>
        <v/>
      </c>
      <c r="I259">
        <f>IFERROR(MAX(0,(0.5-B259)*100),0)+IF(D259&gt;=24,20,0)+IF(Raw_data!$I259&gt;0,20,0)+IF(Raw_data!$AE259=TRUE,10,0)</f>
        <v/>
      </c>
      <c r="J259">
        <f>IFERROR(CHOOSE(MATCH(Dashboard!$B$11,{"Department","Team","Unit","Legal entity","Location","Lead"},0),INDEX(Lists!$B$3:$B$20,ROW()-1),INDEX(Lists!$C$3:$C$146,ROW()-1),INDEX(Lists!$D$3:$D$67,ROW()-1),INDEX(Lists!$E$3:$E$5,ROW()-1),INDEX(Lists!$F$3:$F$12,ROW()-1),INDEX(Lists!$G$3:$G$126,ROW()-1)),"")</f>
        <v/>
      </c>
      <c r="K259">
        <f>IF(J259="","",SUMPRODUCT(($A$2:$A$636=1)*($G$2:$G$636=J259)))</f>
        <v/>
      </c>
      <c r="L259">
        <f>IF(J259="","",SUMPRODUCT(($A$2:$A$636=1)*($G$2:$G$636=J259)*(ISNUMBER($B$2:$B$636))*($B$2:$B$636&lt;0.5)))</f>
        <v/>
      </c>
      <c r="M259">
        <f>IFERROR(L259/K259,"")</f>
        <v/>
      </c>
      <c r="N259">
        <f>IF(K259="","",M259+K259/100000+ROW()/100000000)</f>
        <v/>
      </c>
      <c r="R259">
        <f>IF(A259=1,IFERROR(I259,0)+ROW()/100000000,-1E+99)</f>
        <v/>
      </c>
      <c r="S259">
        <f>IF(A259=1,IFERROR(Raw_data!$T259,""),"")</f>
        <v/>
      </c>
      <c r="T259">
        <f>IF(A259=1,IFERROR(Raw_data!$AA259,""),"")</f>
        <v/>
      </c>
      <c r="U259">
        <f>IF(A259=1,IFERROR(Raw_data!$U259,""),"")</f>
        <v/>
      </c>
      <c r="V259">
        <f>IF(A259=1,IFERROR(Raw_data!$AB259,""),"")</f>
        <v/>
      </c>
    </row>
    <row r="260">
      <c r="A260">
        <f>--(AND(OR(Dashboard!$B$4="All",Raw_data!$AL260=Dashboard!$B$4),OR(Dashboard!$B$5="All",Raw_data!$AM260=Dashboard!$B$5),OR(Dashboard!$B$6="All",Raw_data!$AN260=Dashboard!$B$6),OR(Dashboard!$B$7="All",Raw_data!$AO260=Dashboard!$B$7),OR(Dashboard!$B$8="All",Raw_data!$AP260=Dashboard!$B$8),OR(Dashboard!$B$9="All",Raw_data!$AQ260=Dashboard!$B$9),OR(Dashboard!$B$10="All",Raw_data!$AF260=Dashboard!$B$10),OR(Raw_data!$F260="",Raw_data!$F260&lt;=TODAY())))</f>
        <v/>
      </c>
      <c r="B260">
        <f>IFERROR(IF(Dashboard!$B$3="Weighted",Raw_data!$U260,Raw_data!$T260),"")</f>
        <v/>
      </c>
      <c r="C260">
        <f>IFERROR(IF(Dashboard!$B$3="Weighted",Raw_data!$AB260,Raw_data!$AA260),"")</f>
        <v/>
      </c>
      <c r="D260">
        <f>IF(OR(Raw_data!$J260="",Raw_data!$J260&lt;=0,Raw_data!$K260=""),"",IF(Raw_data!$K260&gt;TODAY(),0,DATEDIF(Raw_data!$K260,TODAY(),"M")))</f>
        <v/>
      </c>
      <c r="E260">
        <f>--(AND(Raw_data!$AF260="No",OR(Raw_data!$AG260&lt;&gt;"",Raw_data!$AJ260&gt;0,Raw_data!$AK260&lt;&gt;"")))</f>
        <v/>
      </c>
      <c r="F260">
        <f>--(OR(AND(ISNUMBER(B260),B260&lt;0.5,OR(D260&gt;=24,Raw_data!$I260&gt;0)),Raw_data!$AE260=TRUE))</f>
        <v/>
      </c>
      <c r="G260">
        <f>IF(Dashboard!$B$11="Department",Raw_data!$AL260,IF(Dashboard!$B$11="Team",Raw_data!$AM260,IF(Dashboard!$B$11="Unit",Raw_data!$AN260,IF(Dashboard!$B$11="Legal entity",Raw_data!$AO260,IF(Dashboard!$B$11="Location",Raw_data!$AP260,Raw_data!$AQ260)))))</f>
        <v/>
      </c>
      <c r="H260">
        <f>--(AND(ISNUMBER(B260),B260&lt;0.5))</f>
        <v/>
      </c>
      <c r="I260">
        <f>IFERROR(MAX(0,(0.5-B260)*100),0)+IF(D260&gt;=24,20,0)+IF(Raw_data!$I260&gt;0,20,0)+IF(Raw_data!$AE260=TRUE,10,0)</f>
        <v/>
      </c>
      <c r="J260">
        <f>IFERROR(CHOOSE(MATCH(Dashboard!$B$11,{"Department","Team","Unit","Legal entity","Location","Lead"},0),INDEX(Lists!$B$3:$B$20,ROW()-1),INDEX(Lists!$C$3:$C$146,ROW()-1),INDEX(Lists!$D$3:$D$67,ROW()-1),INDEX(Lists!$E$3:$E$5,ROW()-1),INDEX(Lists!$F$3:$F$12,ROW()-1),INDEX(Lists!$G$3:$G$126,ROW()-1)),"")</f>
        <v/>
      </c>
      <c r="K260">
        <f>IF(J260="","",SUMPRODUCT(($A$2:$A$636=1)*($G$2:$G$636=J260)))</f>
        <v/>
      </c>
      <c r="L260">
        <f>IF(J260="","",SUMPRODUCT(($A$2:$A$636=1)*($G$2:$G$636=J260)*(ISNUMBER($B$2:$B$636))*($B$2:$B$636&lt;0.5)))</f>
        <v/>
      </c>
      <c r="M260">
        <f>IFERROR(L260/K260,"")</f>
        <v/>
      </c>
      <c r="N260">
        <f>IF(K260="","",M260+K260/100000+ROW()/100000000)</f>
        <v/>
      </c>
      <c r="R260">
        <f>IF(A260=1,IFERROR(I260,0)+ROW()/100000000,-1E+99)</f>
        <v/>
      </c>
      <c r="S260">
        <f>IF(A260=1,IFERROR(Raw_data!$T260,""),"")</f>
        <v/>
      </c>
      <c r="T260">
        <f>IF(A260=1,IFERROR(Raw_data!$AA260,""),"")</f>
        <v/>
      </c>
      <c r="U260">
        <f>IF(A260=1,IFERROR(Raw_data!$U260,""),"")</f>
        <v/>
      </c>
      <c r="V260">
        <f>IF(A260=1,IFERROR(Raw_data!$AB260,""),"")</f>
        <v/>
      </c>
    </row>
    <row r="261">
      <c r="A261">
        <f>--(AND(OR(Dashboard!$B$4="All",Raw_data!$AL261=Dashboard!$B$4),OR(Dashboard!$B$5="All",Raw_data!$AM261=Dashboard!$B$5),OR(Dashboard!$B$6="All",Raw_data!$AN261=Dashboard!$B$6),OR(Dashboard!$B$7="All",Raw_data!$AO261=Dashboard!$B$7),OR(Dashboard!$B$8="All",Raw_data!$AP261=Dashboard!$B$8),OR(Dashboard!$B$9="All",Raw_data!$AQ261=Dashboard!$B$9),OR(Dashboard!$B$10="All",Raw_data!$AF261=Dashboard!$B$10),OR(Raw_data!$F261="",Raw_data!$F261&lt;=TODAY())))</f>
        <v/>
      </c>
      <c r="B261">
        <f>IFERROR(IF(Dashboard!$B$3="Weighted",Raw_data!$U261,Raw_data!$T261),"")</f>
        <v/>
      </c>
      <c r="C261">
        <f>IFERROR(IF(Dashboard!$B$3="Weighted",Raw_data!$AB261,Raw_data!$AA261),"")</f>
        <v/>
      </c>
      <c r="D261">
        <f>IF(OR(Raw_data!$J261="",Raw_data!$J261&lt;=0,Raw_data!$K261=""),"",IF(Raw_data!$K261&gt;TODAY(),0,DATEDIF(Raw_data!$K261,TODAY(),"M")))</f>
        <v/>
      </c>
      <c r="E261">
        <f>--(AND(Raw_data!$AF261="No",OR(Raw_data!$AG261&lt;&gt;"",Raw_data!$AJ261&gt;0,Raw_data!$AK261&lt;&gt;"")))</f>
        <v/>
      </c>
      <c r="F261">
        <f>--(OR(AND(ISNUMBER(B261),B261&lt;0.5,OR(D261&gt;=24,Raw_data!$I261&gt;0)),Raw_data!$AE261=TRUE))</f>
        <v/>
      </c>
      <c r="G261">
        <f>IF(Dashboard!$B$11="Department",Raw_data!$AL261,IF(Dashboard!$B$11="Team",Raw_data!$AM261,IF(Dashboard!$B$11="Unit",Raw_data!$AN261,IF(Dashboard!$B$11="Legal entity",Raw_data!$AO261,IF(Dashboard!$B$11="Location",Raw_data!$AP261,Raw_data!$AQ261)))))</f>
        <v/>
      </c>
      <c r="H261">
        <f>--(AND(ISNUMBER(B261),B261&lt;0.5))</f>
        <v/>
      </c>
      <c r="I261">
        <f>IFERROR(MAX(0,(0.5-B261)*100),0)+IF(D261&gt;=24,20,0)+IF(Raw_data!$I261&gt;0,20,0)+IF(Raw_data!$AE261=TRUE,10,0)</f>
        <v/>
      </c>
      <c r="J261">
        <f>IFERROR(CHOOSE(MATCH(Dashboard!$B$11,{"Department","Team","Unit","Legal entity","Location","Lead"},0),INDEX(Lists!$B$3:$B$20,ROW()-1),INDEX(Lists!$C$3:$C$146,ROW()-1),INDEX(Lists!$D$3:$D$67,ROW()-1),INDEX(Lists!$E$3:$E$5,ROW()-1),INDEX(Lists!$F$3:$F$12,ROW()-1),INDEX(Lists!$G$3:$G$126,ROW()-1)),"")</f>
        <v/>
      </c>
      <c r="K261">
        <f>IF(J261="","",SUMPRODUCT(($A$2:$A$636=1)*($G$2:$G$636=J261)))</f>
        <v/>
      </c>
      <c r="L261">
        <f>IF(J261="","",SUMPRODUCT(($A$2:$A$636=1)*($G$2:$G$636=J261)*(ISNUMBER($B$2:$B$636))*($B$2:$B$636&lt;0.5)))</f>
        <v/>
      </c>
      <c r="M261">
        <f>IFERROR(L261/K261,"")</f>
        <v/>
      </c>
      <c r="N261">
        <f>IF(K261="","",M261+K261/100000+ROW()/100000000)</f>
        <v/>
      </c>
      <c r="R261">
        <f>IF(A261=1,IFERROR(I261,0)+ROW()/100000000,-1E+99)</f>
        <v/>
      </c>
      <c r="S261">
        <f>IF(A261=1,IFERROR(Raw_data!$T261,""),"")</f>
        <v/>
      </c>
      <c r="T261">
        <f>IF(A261=1,IFERROR(Raw_data!$AA261,""),"")</f>
        <v/>
      </c>
      <c r="U261">
        <f>IF(A261=1,IFERROR(Raw_data!$U261,""),"")</f>
        <v/>
      </c>
      <c r="V261">
        <f>IF(A261=1,IFERROR(Raw_data!$AB261,""),"")</f>
        <v/>
      </c>
    </row>
    <row r="262">
      <c r="A262">
        <f>--(AND(OR(Dashboard!$B$4="All",Raw_data!$AL262=Dashboard!$B$4),OR(Dashboard!$B$5="All",Raw_data!$AM262=Dashboard!$B$5),OR(Dashboard!$B$6="All",Raw_data!$AN262=Dashboard!$B$6),OR(Dashboard!$B$7="All",Raw_data!$AO262=Dashboard!$B$7),OR(Dashboard!$B$8="All",Raw_data!$AP262=Dashboard!$B$8),OR(Dashboard!$B$9="All",Raw_data!$AQ262=Dashboard!$B$9),OR(Dashboard!$B$10="All",Raw_data!$AF262=Dashboard!$B$10),OR(Raw_data!$F262="",Raw_data!$F262&lt;=TODAY())))</f>
        <v/>
      </c>
      <c r="B262">
        <f>IFERROR(IF(Dashboard!$B$3="Weighted",Raw_data!$U262,Raw_data!$T262),"")</f>
        <v/>
      </c>
      <c r="C262">
        <f>IFERROR(IF(Dashboard!$B$3="Weighted",Raw_data!$AB262,Raw_data!$AA262),"")</f>
        <v/>
      </c>
      <c r="D262">
        <f>IF(OR(Raw_data!$J262="",Raw_data!$J262&lt;=0,Raw_data!$K262=""),"",IF(Raw_data!$K262&gt;TODAY(),0,DATEDIF(Raw_data!$K262,TODAY(),"M")))</f>
        <v/>
      </c>
      <c r="E262">
        <f>--(AND(Raw_data!$AF262="No",OR(Raw_data!$AG262&lt;&gt;"",Raw_data!$AJ262&gt;0,Raw_data!$AK262&lt;&gt;"")))</f>
        <v/>
      </c>
      <c r="F262">
        <f>--(OR(AND(ISNUMBER(B262),B262&lt;0.5,OR(D262&gt;=24,Raw_data!$I262&gt;0)),Raw_data!$AE262=TRUE))</f>
        <v/>
      </c>
      <c r="G262">
        <f>IF(Dashboard!$B$11="Department",Raw_data!$AL262,IF(Dashboard!$B$11="Team",Raw_data!$AM262,IF(Dashboard!$B$11="Unit",Raw_data!$AN262,IF(Dashboard!$B$11="Legal entity",Raw_data!$AO262,IF(Dashboard!$B$11="Location",Raw_data!$AP262,Raw_data!$AQ262)))))</f>
        <v/>
      </c>
      <c r="H262">
        <f>--(AND(ISNUMBER(B262),B262&lt;0.5))</f>
        <v/>
      </c>
      <c r="I262">
        <f>IFERROR(MAX(0,(0.5-B262)*100),0)+IF(D262&gt;=24,20,0)+IF(Raw_data!$I262&gt;0,20,0)+IF(Raw_data!$AE262=TRUE,10,0)</f>
        <v/>
      </c>
      <c r="J262">
        <f>IFERROR(CHOOSE(MATCH(Dashboard!$B$11,{"Department","Team","Unit","Legal entity","Location","Lead"},0),INDEX(Lists!$B$3:$B$20,ROW()-1),INDEX(Lists!$C$3:$C$146,ROW()-1),INDEX(Lists!$D$3:$D$67,ROW()-1),INDEX(Lists!$E$3:$E$5,ROW()-1),INDEX(Lists!$F$3:$F$12,ROW()-1),INDEX(Lists!$G$3:$G$126,ROW()-1)),"")</f>
        <v/>
      </c>
      <c r="K262">
        <f>IF(J262="","",SUMPRODUCT(($A$2:$A$636=1)*($G$2:$G$636=J262)))</f>
        <v/>
      </c>
      <c r="L262">
        <f>IF(J262="","",SUMPRODUCT(($A$2:$A$636=1)*($G$2:$G$636=J262)*(ISNUMBER($B$2:$B$636))*($B$2:$B$636&lt;0.5)))</f>
        <v/>
      </c>
      <c r="M262">
        <f>IFERROR(L262/K262,"")</f>
        <v/>
      </c>
      <c r="N262">
        <f>IF(K262="","",M262+K262/100000+ROW()/100000000)</f>
        <v/>
      </c>
      <c r="R262">
        <f>IF(A262=1,IFERROR(I262,0)+ROW()/100000000,-1E+99)</f>
        <v/>
      </c>
      <c r="S262">
        <f>IF(A262=1,IFERROR(Raw_data!$T262,""),"")</f>
        <v/>
      </c>
      <c r="T262">
        <f>IF(A262=1,IFERROR(Raw_data!$AA262,""),"")</f>
        <v/>
      </c>
      <c r="U262">
        <f>IF(A262=1,IFERROR(Raw_data!$U262,""),"")</f>
        <v/>
      </c>
      <c r="V262">
        <f>IF(A262=1,IFERROR(Raw_data!$AB262,""),"")</f>
        <v/>
      </c>
    </row>
    <row r="263">
      <c r="A263">
        <f>--(AND(OR(Dashboard!$B$4="All",Raw_data!$AL263=Dashboard!$B$4),OR(Dashboard!$B$5="All",Raw_data!$AM263=Dashboard!$B$5),OR(Dashboard!$B$6="All",Raw_data!$AN263=Dashboard!$B$6),OR(Dashboard!$B$7="All",Raw_data!$AO263=Dashboard!$B$7),OR(Dashboard!$B$8="All",Raw_data!$AP263=Dashboard!$B$8),OR(Dashboard!$B$9="All",Raw_data!$AQ263=Dashboard!$B$9),OR(Dashboard!$B$10="All",Raw_data!$AF263=Dashboard!$B$10),OR(Raw_data!$F263="",Raw_data!$F263&lt;=TODAY())))</f>
        <v/>
      </c>
      <c r="B263">
        <f>IFERROR(IF(Dashboard!$B$3="Weighted",Raw_data!$U263,Raw_data!$T263),"")</f>
        <v/>
      </c>
      <c r="C263">
        <f>IFERROR(IF(Dashboard!$B$3="Weighted",Raw_data!$AB263,Raw_data!$AA263),"")</f>
        <v/>
      </c>
      <c r="D263">
        <f>IF(OR(Raw_data!$J263="",Raw_data!$J263&lt;=0,Raw_data!$K263=""),"",IF(Raw_data!$K263&gt;TODAY(),0,DATEDIF(Raw_data!$K263,TODAY(),"M")))</f>
        <v/>
      </c>
      <c r="E263">
        <f>--(AND(Raw_data!$AF263="No",OR(Raw_data!$AG263&lt;&gt;"",Raw_data!$AJ263&gt;0,Raw_data!$AK263&lt;&gt;"")))</f>
        <v/>
      </c>
      <c r="F263">
        <f>--(OR(AND(ISNUMBER(B263),B263&lt;0.5,OR(D263&gt;=24,Raw_data!$I263&gt;0)),Raw_data!$AE263=TRUE))</f>
        <v/>
      </c>
      <c r="G263">
        <f>IF(Dashboard!$B$11="Department",Raw_data!$AL263,IF(Dashboard!$B$11="Team",Raw_data!$AM263,IF(Dashboard!$B$11="Unit",Raw_data!$AN263,IF(Dashboard!$B$11="Legal entity",Raw_data!$AO263,IF(Dashboard!$B$11="Location",Raw_data!$AP263,Raw_data!$AQ263)))))</f>
        <v/>
      </c>
      <c r="H263">
        <f>--(AND(ISNUMBER(B263),B263&lt;0.5))</f>
        <v/>
      </c>
      <c r="I263">
        <f>IFERROR(MAX(0,(0.5-B263)*100),0)+IF(D263&gt;=24,20,0)+IF(Raw_data!$I263&gt;0,20,0)+IF(Raw_data!$AE263=TRUE,10,0)</f>
        <v/>
      </c>
      <c r="J263">
        <f>IFERROR(CHOOSE(MATCH(Dashboard!$B$11,{"Department","Team","Unit","Legal entity","Location","Lead"},0),INDEX(Lists!$B$3:$B$20,ROW()-1),INDEX(Lists!$C$3:$C$146,ROW()-1),INDEX(Lists!$D$3:$D$67,ROW()-1),INDEX(Lists!$E$3:$E$5,ROW()-1),INDEX(Lists!$F$3:$F$12,ROW()-1),INDEX(Lists!$G$3:$G$126,ROW()-1)),"")</f>
        <v/>
      </c>
      <c r="K263">
        <f>IF(J263="","",SUMPRODUCT(($A$2:$A$636=1)*($G$2:$G$636=J263)))</f>
        <v/>
      </c>
      <c r="L263">
        <f>IF(J263="","",SUMPRODUCT(($A$2:$A$636=1)*($G$2:$G$636=J263)*(ISNUMBER($B$2:$B$636))*($B$2:$B$636&lt;0.5)))</f>
        <v/>
      </c>
      <c r="M263">
        <f>IFERROR(L263/K263,"")</f>
        <v/>
      </c>
      <c r="N263">
        <f>IF(K263="","",M263+K263/100000+ROW()/100000000)</f>
        <v/>
      </c>
      <c r="R263">
        <f>IF(A263=1,IFERROR(I263,0)+ROW()/100000000,-1E+99)</f>
        <v/>
      </c>
      <c r="S263">
        <f>IF(A263=1,IFERROR(Raw_data!$T263,""),"")</f>
        <v/>
      </c>
      <c r="T263">
        <f>IF(A263=1,IFERROR(Raw_data!$AA263,""),"")</f>
        <v/>
      </c>
      <c r="U263">
        <f>IF(A263=1,IFERROR(Raw_data!$U263,""),"")</f>
        <v/>
      </c>
      <c r="V263">
        <f>IF(A263=1,IFERROR(Raw_data!$AB263,""),"")</f>
        <v/>
      </c>
    </row>
    <row r="264">
      <c r="A264">
        <f>--(AND(OR(Dashboard!$B$4="All",Raw_data!$AL264=Dashboard!$B$4),OR(Dashboard!$B$5="All",Raw_data!$AM264=Dashboard!$B$5),OR(Dashboard!$B$6="All",Raw_data!$AN264=Dashboard!$B$6),OR(Dashboard!$B$7="All",Raw_data!$AO264=Dashboard!$B$7),OR(Dashboard!$B$8="All",Raw_data!$AP264=Dashboard!$B$8),OR(Dashboard!$B$9="All",Raw_data!$AQ264=Dashboard!$B$9),OR(Dashboard!$B$10="All",Raw_data!$AF264=Dashboard!$B$10),OR(Raw_data!$F264="",Raw_data!$F264&lt;=TODAY())))</f>
        <v/>
      </c>
      <c r="B264">
        <f>IFERROR(IF(Dashboard!$B$3="Weighted",Raw_data!$U264,Raw_data!$T264),"")</f>
        <v/>
      </c>
      <c r="C264">
        <f>IFERROR(IF(Dashboard!$B$3="Weighted",Raw_data!$AB264,Raw_data!$AA264),"")</f>
        <v/>
      </c>
      <c r="D264">
        <f>IF(OR(Raw_data!$J264="",Raw_data!$J264&lt;=0,Raw_data!$K264=""),"",IF(Raw_data!$K264&gt;TODAY(),0,DATEDIF(Raw_data!$K264,TODAY(),"M")))</f>
        <v/>
      </c>
      <c r="E264">
        <f>--(AND(Raw_data!$AF264="No",OR(Raw_data!$AG264&lt;&gt;"",Raw_data!$AJ264&gt;0,Raw_data!$AK264&lt;&gt;"")))</f>
        <v/>
      </c>
      <c r="F264">
        <f>--(OR(AND(ISNUMBER(B264),B264&lt;0.5,OR(D264&gt;=24,Raw_data!$I264&gt;0)),Raw_data!$AE264=TRUE))</f>
        <v/>
      </c>
      <c r="G264">
        <f>IF(Dashboard!$B$11="Department",Raw_data!$AL264,IF(Dashboard!$B$11="Team",Raw_data!$AM264,IF(Dashboard!$B$11="Unit",Raw_data!$AN264,IF(Dashboard!$B$11="Legal entity",Raw_data!$AO264,IF(Dashboard!$B$11="Location",Raw_data!$AP264,Raw_data!$AQ264)))))</f>
        <v/>
      </c>
      <c r="H264">
        <f>--(AND(ISNUMBER(B264),B264&lt;0.5))</f>
        <v/>
      </c>
      <c r="I264">
        <f>IFERROR(MAX(0,(0.5-B264)*100),0)+IF(D264&gt;=24,20,0)+IF(Raw_data!$I264&gt;0,20,0)+IF(Raw_data!$AE264=TRUE,10,0)</f>
        <v/>
      </c>
      <c r="J264">
        <f>IFERROR(CHOOSE(MATCH(Dashboard!$B$11,{"Department","Team","Unit","Legal entity","Location","Lead"},0),INDEX(Lists!$B$3:$B$20,ROW()-1),INDEX(Lists!$C$3:$C$146,ROW()-1),INDEX(Lists!$D$3:$D$67,ROW()-1),INDEX(Lists!$E$3:$E$5,ROW()-1),INDEX(Lists!$F$3:$F$12,ROW()-1),INDEX(Lists!$G$3:$G$126,ROW()-1)),"")</f>
        <v/>
      </c>
      <c r="K264">
        <f>IF(J264="","",SUMPRODUCT(($A$2:$A$636=1)*($G$2:$G$636=J264)))</f>
        <v/>
      </c>
      <c r="L264">
        <f>IF(J264="","",SUMPRODUCT(($A$2:$A$636=1)*($G$2:$G$636=J264)*(ISNUMBER($B$2:$B$636))*($B$2:$B$636&lt;0.5)))</f>
        <v/>
      </c>
      <c r="M264">
        <f>IFERROR(L264/K264,"")</f>
        <v/>
      </c>
      <c r="N264">
        <f>IF(K264="","",M264+K264/100000+ROW()/100000000)</f>
        <v/>
      </c>
      <c r="R264">
        <f>IF(A264=1,IFERROR(I264,0)+ROW()/100000000,-1E+99)</f>
        <v/>
      </c>
      <c r="S264">
        <f>IF(A264=1,IFERROR(Raw_data!$T264,""),"")</f>
        <v/>
      </c>
      <c r="T264">
        <f>IF(A264=1,IFERROR(Raw_data!$AA264,""),"")</f>
        <v/>
      </c>
      <c r="U264">
        <f>IF(A264=1,IFERROR(Raw_data!$U264,""),"")</f>
        <v/>
      </c>
      <c r="V264">
        <f>IF(A264=1,IFERROR(Raw_data!$AB264,""),"")</f>
        <v/>
      </c>
    </row>
    <row r="265">
      <c r="A265">
        <f>--(AND(OR(Dashboard!$B$4="All",Raw_data!$AL265=Dashboard!$B$4),OR(Dashboard!$B$5="All",Raw_data!$AM265=Dashboard!$B$5),OR(Dashboard!$B$6="All",Raw_data!$AN265=Dashboard!$B$6),OR(Dashboard!$B$7="All",Raw_data!$AO265=Dashboard!$B$7),OR(Dashboard!$B$8="All",Raw_data!$AP265=Dashboard!$B$8),OR(Dashboard!$B$9="All",Raw_data!$AQ265=Dashboard!$B$9),OR(Dashboard!$B$10="All",Raw_data!$AF265=Dashboard!$B$10),OR(Raw_data!$F265="",Raw_data!$F265&lt;=TODAY())))</f>
        <v/>
      </c>
      <c r="B265">
        <f>IFERROR(IF(Dashboard!$B$3="Weighted",Raw_data!$U265,Raw_data!$T265),"")</f>
        <v/>
      </c>
      <c r="C265">
        <f>IFERROR(IF(Dashboard!$B$3="Weighted",Raw_data!$AB265,Raw_data!$AA265),"")</f>
        <v/>
      </c>
      <c r="D265">
        <f>IF(OR(Raw_data!$J265="",Raw_data!$J265&lt;=0,Raw_data!$K265=""),"",IF(Raw_data!$K265&gt;TODAY(),0,DATEDIF(Raw_data!$K265,TODAY(),"M")))</f>
        <v/>
      </c>
      <c r="E265">
        <f>--(AND(Raw_data!$AF265="No",OR(Raw_data!$AG265&lt;&gt;"",Raw_data!$AJ265&gt;0,Raw_data!$AK265&lt;&gt;"")))</f>
        <v/>
      </c>
      <c r="F265">
        <f>--(OR(AND(ISNUMBER(B265),B265&lt;0.5,OR(D265&gt;=24,Raw_data!$I265&gt;0)),Raw_data!$AE265=TRUE))</f>
        <v/>
      </c>
      <c r="G265">
        <f>IF(Dashboard!$B$11="Department",Raw_data!$AL265,IF(Dashboard!$B$11="Team",Raw_data!$AM265,IF(Dashboard!$B$11="Unit",Raw_data!$AN265,IF(Dashboard!$B$11="Legal entity",Raw_data!$AO265,IF(Dashboard!$B$11="Location",Raw_data!$AP265,Raw_data!$AQ265)))))</f>
        <v/>
      </c>
      <c r="H265">
        <f>--(AND(ISNUMBER(B265),B265&lt;0.5))</f>
        <v/>
      </c>
      <c r="I265">
        <f>IFERROR(MAX(0,(0.5-B265)*100),0)+IF(D265&gt;=24,20,0)+IF(Raw_data!$I265&gt;0,20,0)+IF(Raw_data!$AE265=TRUE,10,0)</f>
        <v/>
      </c>
      <c r="J265">
        <f>IFERROR(CHOOSE(MATCH(Dashboard!$B$11,{"Department","Team","Unit","Legal entity","Location","Lead"},0),INDEX(Lists!$B$3:$B$20,ROW()-1),INDEX(Lists!$C$3:$C$146,ROW()-1),INDEX(Lists!$D$3:$D$67,ROW()-1),INDEX(Lists!$E$3:$E$5,ROW()-1),INDEX(Lists!$F$3:$F$12,ROW()-1),INDEX(Lists!$G$3:$G$126,ROW()-1)),"")</f>
        <v/>
      </c>
      <c r="K265">
        <f>IF(J265="","",SUMPRODUCT(($A$2:$A$636=1)*($G$2:$G$636=J265)))</f>
        <v/>
      </c>
      <c r="L265">
        <f>IF(J265="","",SUMPRODUCT(($A$2:$A$636=1)*($G$2:$G$636=J265)*(ISNUMBER($B$2:$B$636))*($B$2:$B$636&lt;0.5)))</f>
        <v/>
      </c>
      <c r="M265">
        <f>IFERROR(L265/K265,"")</f>
        <v/>
      </c>
      <c r="N265">
        <f>IF(K265="","",M265+K265/100000+ROW()/100000000)</f>
        <v/>
      </c>
      <c r="R265">
        <f>IF(A265=1,IFERROR(I265,0)+ROW()/100000000,-1E+99)</f>
        <v/>
      </c>
      <c r="S265">
        <f>IF(A265=1,IFERROR(Raw_data!$T265,""),"")</f>
        <v/>
      </c>
      <c r="T265">
        <f>IF(A265=1,IFERROR(Raw_data!$AA265,""),"")</f>
        <v/>
      </c>
      <c r="U265">
        <f>IF(A265=1,IFERROR(Raw_data!$U265,""),"")</f>
        <v/>
      </c>
      <c r="V265">
        <f>IF(A265=1,IFERROR(Raw_data!$AB265,""),"")</f>
        <v/>
      </c>
    </row>
    <row r="266">
      <c r="A266">
        <f>--(AND(OR(Dashboard!$B$4="All",Raw_data!$AL266=Dashboard!$B$4),OR(Dashboard!$B$5="All",Raw_data!$AM266=Dashboard!$B$5),OR(Dashboard!$B$6="All",Raw_data!$AN266=Dashboard!$B$6),OR(Dashboard!$B$7="All",Raw_data!$AO266=Dashboard!$B$7),OR(Dashboard!$B$8="All",Raw_data!$AP266=Dashboard!$B$8),OR(Dashboard!$B$9="All",Raw_data!$AQ266=Dashboard!$B$9),OR(Dashboard!$B$10="All",Raw_data!$AF266=Dashboard!$B$10),OR(Raw_data!$F266="",Raw_data!$F266&lt;=TODAY())))</f>
        <v/>
      </c>
      <c r="B266">
        <f>IFERROR(IF(Dashboard!$B$3="Weighted",Raw_data!$U266,Raw_data!$T266),"")</f>
        <v/>
      </c>
      <c r="C266">
        <f>IFERROR(IF(Dashboard!$B$3="Weighted",Raw_data!$AB266,Raw_data!$AA266),"")</f>
        <v/>
      </c>
      <c r="D266">
        <f>IF(OR(Raw_data!$J266="",Raw_data!$J266&lt;=0,Raw_data!$K266=""),"",IF(Raw_data!$K266&gt;TODAY(),0,DATEDIF(Raw_data!$K266,TODAY(),"M")))</f>
        <v/>
      </c>
      <c r="E266">
        <f>--(AND(Raw_data!$AF266="No",OR(Raw_data!$AG266&lt;&gt;"",Raw_data!$AJ266&gt;0,Raw_data!$AK266&lt;&gt;"")))</f>
        <v/>
      </c>
      <c r="F266">
        <f>--(OR(AND(ISNUMBER(B266),B266&lt;0.5,OR(D266&gt;=24,Raw_data!$I266&gt;0)),Raw_data!$AE266=TRUE))</f>
        <v/>
      </c>
      <c r="G266">
        <f>IF(Dashboard!$B$11="Department",Raw_data!$AL266,IF(Dashboard!$B$11="Team",Raw_data!$AM266,IF(Dashboard!$B$11="Unit",Raw_data!$AN266,IF(Dashboard!$B$11="Legal entity",Raw_data!$AO266,IF(Dashboard!$B$11="Location",Raw_data!$AP266,Raw_data!$AQ266)))))</f>
        <v/>
      </c>
      <c r="H266">
        <f>--(AND(ISNUMBER(B266),B266&lt;0.5))</f>
        <v/>
      </c>
      <c r="I266">
        <f>IFERROR(MAX(0,(0.5-B266)*100),0)+IF(D266&gt;=24,20,0)+IF(Raw_data!$I266&gt;0,20,0)+IF(Raw_data!$AE266=TRUE,10,0)</f>
        <v/>
      </c>
      <c r="J266">
        <f>IFERROR(CHOOSE(MATCH(Dashboard!$B$11,{"Department","Team","Unit","Legal entity","Location","Lead"},0),INDEX(Lists!$B$3:$B$20,ROW()-1),INDEX(Lists!$C$3:$C$146,ROW()-1),INDEX(Lists!$D$3:$D$67,ROW()-1),INDEX(Lists!$E$3:$E$5,ROW()-1),INDEX(Lists!$F$3:$F$12,ROW()-1),INDEX(Lists!$G$3:$G$126,ROW()-1)),"")</f>
        <v/>
      </c>
      <c r="K266">
        <f>IF(J266="","",SUMPRODUCT(($A$2:$A$636=1)*($G$2:$G$636=J266)))</f>
        <v/>
      </c>
      <c r="L266">
        <f>IF(J266="","",SUMPRODUCT(($A$2:$A$636=1)*($G$2:$G$636=J266)*(ISNUMBER($B$2:$B$636))*($B$2:$B$636&lt;0.5)))</f>
        <v/>
      </c>
      <c r="M266">
        <f>IFERROR(L266/K266,"")</f>
        <v/>
      </c>
      <c r="N266">
        <f>IF(K266="","",M266+K266/100000+ROW()/100000000)</f>
        <v/>
      </c>
      <c r="R266">
        <f>IF(A266=1,IFERROR(I266,0)+ROW()/100000000,-1E+99)</f>
        <v/>
      </c>
      <c r="S266">
        <f>IF(A266=1,IFERROR(Raw_data!$T266,""),"")</f>
        <v/>
      </c>
      <c r="T266">
        <f>IF(A266=1,IFERROR(Raw_data!$AA266,""),"")</f>
        <v/>
      </c>
      <c r="U266">
        <f>IF(A266=1,IFERROR(Raw_data!$U266,""),"")</f>
        <v/>
      </c>
      <c r="V266">
        <f>IF(A266=1,IFERROR(Raw_data!$AB266,""),"")</f>
        <v/>
      </c>
    </row>
    <row r="267">
      <c r="A267">
        <f>--(AND(OR(Dashboard!$B$4="All",Raw_data!$AL267=Dashboard!$B$4),OR(Dashboard!$B$5="All",Raw_data!$AM267=Dashboard!$B$5),OR(Dashboard!$B$6="All",Raw_data!$AN267=Dashboard!$B$6),OR(Dashboard!$B$7="All",Raw_data!$AO267=Dashboard!$B$7),OR(Dashboard!$B$8="All",Raw_data!$AP267=Dashboard!$B$8),OR(Dashboard!$B$9="All",Raw_data!$AQ267=Dashboard!$B$9),OR(Dashboard!$B$10="All",Raw_data!$AF267=Dashboard!$B$10),OR(Raw_data!$F267="",Raw_data!$F267&lt;=TODAY())))</f>
        <v/>
      </c>
      <c r="B267">
        <f>IFERROR(IF(Dashboard!$B$3="Weighted",Raw_data!$U267,Raw_data!$T267),"")</f>
        <v/>
      </c>
      <c r="C267">
        <f>IFERROR(IF(Dashboard!$B$3="Weighted",Raw_data!$AB267,Raw_data!$AA267),"")</f>
        <v/>
      </c>
      <c r="D267">
        <f>IF(OR(Raw_data!$J267="",Raw_data!$J267&lt;=0,Raw_data!$K267=""),"",IF(Raw_data!$K267&gt;TODAY(),0,DATEDIF(Raw_data!$K267,TODAY(),"M")))</f>
        <v/>
      </c>
      <c r="E267">
        <f>--(AND(Raw_data!$AF267="No",OR(Raw_data!$AG267&lt;&gt;"",Raw_data!$AJ267&gt;0,Raw_data!$AK267&lt;&gt;"")))</f>
        <v/>
      </c>
      <c r="F267">
        <f>--(OR(AND(ISNUMBER(B267),B267&lt;0.5,OR(D267&gt;=24,Raw_data!$I267&gt;0)),Raw_data!$AE267=TRUE))</f>
        <v/>
      </c>
      <c r="G267">
        <f>IF(Dashboard!$B$11="Department",Raw_data!$AL267,IF(Dashboard!$B$11="Team",Raw_data!$AM267,IF(Dashboard!$B$11="Unit",Raw_data!$AN267,IF(Dashboard!$B$11="Legal entity",Raw_data!$AO267,IF(Dashboard!$B$11="Location",Raw_data!$AP267,Raw_data!$AQ267)))))</f>
        <v/>
      </c>
      <c r="H267">
        <f>--(AND(ISNUMBER(B267),B267&lt;0.5))</f>
        <v/>
      </c>
      <c r="I267">
        <f>IFERROR(MAX(0,(0.5-B267)*100),0)+IF(D267&gt;=24,20,0)+IF(Raw_data!$I267&gt;0,20,0)+IF(Raw_data!$AE267=TRUE,10,0)</f>
        <v/>
      </c>
      <c r="J267">
        <f>IFERROR(CHOOSE(MATCH(Dashboard!$B$11,{"Department","Team","Unit","Legal entity","Location","Lead"},0),INDEX(Lists!$B$3:$B$20,ROW()-1),INDEX(Lists!$C$3:$C$146,ROW()-1),INDEX(Lists!$D$3:$D$67,ROW()-1),INDEX(Lists!$E$3:$E$5,ROW()-1),INDEX(Lists!$F$3:$F$12,ROW()-1),INDEX(Lists!$G$3:$G$126,ROW()-1)),"")</f>
        <v/>
      </c>
      <c r="K267">
        <f>IF(J267="","",SUMPRODUCT(($A$2:$A$636=1)*($G$2:$G$636=J267)))</f>
        <v/>
      </c>
      <c r="L267">
        <f>IF(J267="","",SUMPRODUCT(($A$2:$A$636=1)*($G$2:$G$636=J267)*(ISNUMBER($B$2:$B$636))*($B$2:$B$636&lt;0.5)))</f>
        <v/>
      </c>
      <c r="M267">
        <f>IFERROR(L267/K267,"")</f>
        <v/>
      </c>
      <c r="N267">
        <f>IF(K267="","",M267+K267/100000+ROW()/100000000)</f>
        <v/>
      </c>
      <c r="R267">
        <f>IF(A267=1,IFERROR(I267,0)+ROW()/100000000,-1E+99)</f>
        <v/>
      </c>
      <c r="S267">
        <f>IF(A267=1,IFERROR(Raw_data!$T267,""),"")</f>
        <v/>
      </c>
      <c r="T267">
        <f>IF(A267=1,IFERROR(Raw_data!$AA267,""),"")</f>
        <v/>
      </c>
      <c r="U267">
        <f>IF(A267=1,IFERROR(Raw_data!$U267,""),"")</f>
        <v/>
      </c>
      <c r="V267">
        <f>IF(A267=1,IFERROR(Raw_data!$AB267,""),"")</f>
        <v/>
      </c>
    </row>
    <row r="268">
      <c r="A268">
        <f>--(AND(OR(Dashboard!$B$4="All",Raw_data!$AL268=Dashboard!$B$4),OR(Dashboard!$B$5="All",Raw_data!$AM268=Dashboard!$B$5),OR(Dashboard!$B$6="All",Raw_data!$AN268=Dashboard!$B$6),OR(Dashboard!$B$7="All",Raw_data!$AO268=Dashboard!$B$7),OR(Dashboard!$B$8="All",Raw_data!$AP268=Dashboard!$B$8),OR(Dashboard!$B$9="All",Raw_data!$AQ268=Dashboard!$B$9),OR(Dashboard!$B$10="All",Raw_data!$AF268=Dashboard!$B$10),OR(Raw_data!$F268="",Raw_data!$F268&lt;=TODAY())))</f>
        <v/>
      </c>
      <c r="B268">
        <f>IFERROR(IF(Dashboard!$B$3="Weighted",Raw_data!$U268,Raw_data!$T268),"")</f>
        <v/>
      </c>
      <c r="C268">
        <f>IFERROR(IF(Dashboard!$B$3="Weighted",Raw_data!$AB268,Raw_data!$AA268),"")</f>
        <v/>
      </c>
      <c r="D268">
        <f>IF(OR(Raw_data!$J268="",Raw_data!$J268&lt;=0,Raw_data!$K268=""),"",IF(Raw_data!$K268&gt;TODAY(),0,DATEDIF(Raw_data!$K268,TODAY(),"M")))</f>
        <v/>
      </c>
      <c r="E268">
        <f>--(AND(Raw_data!$AF268="No",OR(Raw_data!$AG268&lt;&gt;"",Raw_data!$AJ268&gt;0,Raw_data!$AK268&lt;&gt;"")))</f>
        <v/>
      </c>
      <c r="F268">
        <f>--(OR(AND(ISNUMBER(B268),B268&lt;0.5,OR(D268&gt;=24,Raw_data!$I268&gt;0)),Raw_data!$AE268=TRUE))</f>
        <v/>
      </c>
      <c r="G268">
        <f>IF(Dashboard!$B$11="Department",Raw_data!$AL268,IF(Dashboard!$B$11="Team",Raw_data!$AM268,IF(Dashboard!$B$11="Unit",Raw_data!$AN268,IF(Dashboard!$B$11="Legal entity",Raw_data!$AO268,IF(Dashboard!$B$11="Location",Raw_data!$AP268,Raw_data!$AQ268)))))</f>
        <v/>
      </c>
      <c r="H268">
        <f>--(AND(ISNUMBER(B268),B268&lt;0.5))</f>
        <v/>
      </c>
      <c r="I268">
        <f>IFERROR(MAX(0,(0.5-B268)*100),0)+IF(D268&gt;=24,20,0)+IF(Raw_data!$I268&gt;0,20,0)+IF(Raw_data!$AE268=TRUE,10,0)</f>
        <v/>
      </c>
      <c r="J268">
        <f>IFERROR(CHOOSE(MATCH(Dashboard!$B$11,{"Department","Team","Unit","Legal entity","Location","Lead"},0),INDEX(Lists!$B$3:$B$20,ROW()-1),INDEX(Lists!$C$3:$C$146,ROW()-1),INDEX(Lists!$D$3:$D$67,ROW()-1),INDEX(Lists!$E$3:$E$5,ROW()-1),INDEX(Lists!$F$3:$F$12,ROW()-1),INDEX(Lists!$G$3:$G$126,ROW()-1)),"")</f>
        <v/>
      </c>
      <c r="K268">
        <f>IF(J268="","",SUMPRODUCT(($A$2:$A$636=1)*($G$2:$G$636=J268)))</f>
        <v/>
      </c>
      <c r="L268">
        <f>IF(J268="","",SUMPRODUCT(($A$2:$A$636=1)*($G$2:$G$636=J268)*(ISNUMBER($B$2:$B$636))*($B$2:$B$636&lt;0.5)))</f>
        <v/>
      </c>
      <c r="M268">
        <f>IFERROR(L268/K268,"")</f>
        <v/>
      </c>
      <c r="N268">
        <f>IF(K268="","",M268+K268/100000+ROW()/100000000)</f>
        <v/>
      </c>
      <c r="R268">
        <f>IF(A268=1,IFERROR(I268,0)+ROW()/100000000,-1E+99)</f>
        <v/>
      </c>
      <c r="S268">
        <f>IF(A268=1,IFERROR(Raw_data!$T268,""),"")</f>
        <v/>
      </c>
      <c r="T268">
        <f>IF(A268=1,IFERROR(Raw_data!$AA268,""),"")</f>
        <v/>
      </c>
      <c r="U268">
        <f>IF(A268=1,IFERROR(Raw_data!$U268,""),"")</f>
        <v/>
      </c>
      <c r="V268">
        <f>IF(A268=1,IFERROR(Raw_data!$AB268,""),"")</f>
        <v/>
      </c>
    </row>
    <row r="269">
      <c r="A269">
        <f>--(AND(OR(Dashboard!$B$4="All",Raw_data!$AL269=Dashboard!$B$4),OR(Dashboard!$B$5="All",Raw_data!$AM269=Dashboard!$B$5),OR(Dashboard!$B$6="All",Raw_data!$AN269=Dashboard!$B$6),OR(Dashboard!$B$7="All",Raw_data!$AO269=Dashboard!$B$7),OR(Dashboard!$B$8="All",Raw_data!$AP269=Dashboard!$B$8),OR(Dashboard!$B$9="All",Raw_data!$AQ269=Dashboard!$B$9),OR(Dashboard!$B$10="All",Raw_data!$AF269=Dashboard!$B$10),OR(Raw_data!$F269="",Raw_data!$F269&lt;=TODAY())))</f>
        <v/>
      </c>
      <c r="B269">
        <f>IFERROR(IF(Dashboard!$B$3="Weighted",Raw_data!$U269,Raw_data!$T269),"")</f>
        <v/>
      </c>
      <c r="C269">
        <f>IFERROR(IF(Dashboard!$B$3="Weighted",Raw_data!$AB269,Raw_data!$AA269),"")</f>
        <v/>
      </c>
      <c r="D269">
        <f>IF(OR(Raw_data!$J269="",Raw_data!$J269&lt;=0,Raw_data!$K269=""),"",IF(Raw_data!$K269&gt;TODAY(),0,DATEDIF(Raw_data!$K269,TODAY(),"M")))</f>
        <v/>
      </c>
      <c r="E269">
        <f>--(AND(Raw_data!$AF269="No",OR(Raw_data!$AG269&lt;&gt;"",Raw_data!$AJ269&gt;0,Raw_data!$AK269&lt;&gt;"")))</f>
        <v/>
      </c>
      <c r="F269">
        <f>--(OR(AND(ISNUMBER(B269),B269&lt;0.5,OR(D269&gt;=24,Raw_data!$I269&gt;0)),Raw_data!$AE269=TRUE))</f>
        <v/>
      </c>
      <c r="G269">
        <f>IF(Dashboard!$B$11="Department",Raw_data!$AL269,IF(Dashboard!$B$11="Team",Raw_data!$AM269,IF(Dashboard!$B$11="Unit",Raw_data!$AN269,IF(Dashboard!$B$11="Legal entity",Raw_data!$AO269,IF(Dashboard!$B$11="Location",Raw_data!$AP269,Raw_data!$AQ269)))))</f>
        <v/>
      </c>
      <c r="H269">
        <f>--(AND(ISNUMBER(B269),B269&lt;0.5))</f>
        <v/>
      </c>
      <c r="I269">
        <f>IFERROR(MAX(0,(0.5-B269)*100),0)+IF(D269&gt;=24,20,0)+IF(Raw_data!$I269&gt;0,20,0)+IF(Raw_data!$AE269=TRUE,10,0)</f>
        <v/>
      </c>
      <c r="J269">
        <f>IFERROR(CHOOSE(MATCH(Dashboard!$B$11,{"Department","Team","Unit","Legal entity","Location","Lead"},0),INDEX(Lists!$B$3:$B$20,ROW()-1),INDEX(Lists!$C$3:$C$146,ROW()-1),INDEX(Lists!$D$3:$D$67,ROW()-1),INDEX(Lists!$E$3:$E$5,ROW()-1),INDEX(Lists!$F$3:$F$12,ROW()-1),INDEX(Lists!$G$3:$G$126,ROW()-1)),"")</f>
        <v/>
      </c>
      <c r="K269">
        <f>IF(J269="","",SUMPRODUCT(($A$2:$A$636=1)*($G$2:$G$636=J269)))</f>
        <v/>
      </c>
      <c r="L269">
        <f>IF(J269="","",SUMPRODUCT(($A$2:$A$636=1)*($G$2:$G$636=J269)*(ISNUMBER($B$2:$B$636))*($B$2:$B$636&lt;0.5)))</f>
        <v/>
      </c>
      <c r="M269">
        <f>IFERROR(L269/K269,"")</f>
        <v/>
      </c>
      <c r="N269">
        <f>IF(K269="","",M269+K269/100000+ROW()/100000000)</f>
        <v/>
      </c>
      <c r="R269">
        <f>IF(A269=1,IFERROR(I269,0)+ROW()/100000000,-1E+99)</f>
        <v/>
      </c>
      <c r="S269">
        <f>IF(A269=1,IFERROR(Raw_data!$T269,""),"")</f>
        <v/>
      </c>
      <c r="T269">
        <f>IF(A269=1,IFERROR(Raw_data!$AA269,""),"")</f>
        <v/>
      </c>
      <c r="U269">
        <f>IF(A269=1,IFERROR(Raw_data!$U269,""),"")</f>
        <v/>
      </c>
      <c r="V269">
        <f>IF(A269=1,IFERROR(Raw_data!$AB269,""),"")</f>
        <v/>
      </c>
    </row>
    <row r="270">
      <c r="A270">
        <f>--(AND(OR(Dashboard!$B$4="All",Raw_data!$AL270=Dashboard!$B$4),OR(Dashboard!$B$5="All",Raw_data!$AM270=Dashboard!$B$5),OR(Dashboard!$B$6="All",Raw_data!$AN270=Dashboard!$B$6),OR(Dashboard!$B$7="All",Raw_data!$AO270=Dashboard!$B$7),OR(Dashboard!$B$8="All",Raw_data!$AP270=Dashboard!$B$8),OR(Dashboard!$B$9="All",Raw_data!$AQ270=Dashboard!$B$9),OR(Dashboard!$B$10="All",Raw_data!$AF270=Dashboard!$B$10),OR(Raw_data!$F270="",Raw_data!$F270&lt;=TODAY())))</f>
        <v/>
      </c>
      <c r="B270">
        <f>IFERROR(IF(Dashboard!$B$3="Weighted",Raw_data!$U270,Raw_data!$T270),"")</f>
        <v/>
      </c>
      <c r="C270">
        <f>IFERROR(IF(Dashboard!$B$3="Weighted",Raw_data!$AB270,Raw_data!$AA270),"")</f>
        <v/>
      </c>
      <c r="D270">
        <f>IF(OR(Raw_data!$J270="",Raw_data!$J270&lt;=0,Raw_data!$K270=""),"",IF(Raw_data!$K270&gt;TODAY(),0,DATEDIF(Raw_data!$K270,TODAY(),"M")))</f>
        <v/>
      </c>
      <c r="E270">
        <f>--(AND(Raw_data!$AF270="No",OR(Raw_data!$AG270&lt;&gt;"",Raw_data!$AJ270&gt;0,Raw_data!$AK270&lt;&gt;"")))</f>
        <v/>
      </c>
      <c r="F270">
        <f>--(OR(AND(ISNUMBER(B270),B270&lt;0.5,OR(D270&gt;=24,Raw_data!$I270&gt;0)),Raw_data!$AE270=TRUE))</f>
        <v/>
      </c>
      <c r="G270">
        <f>IF(Dashboard!$B$11="Department",Raw_data!$AL270,IF(Dashboard!$B$11="Team",Raw_data!$AM270,IF(Dashboard!$B$11="Unit",Raw_data!$AN270,IF(Dashboard!$B$11="Legal entity",Raw_data!$AO270,IF(Dashboard!$B$11="Location",Raw_data!$AP270,Raw_data!$AQ270)))))</f>
        <v/>
      </c>
      <c r="H270">
        <f>--(AND(ISNUMBER(B270),B270&lt;0.5))</f>
        <v/>
      </c>
      <c r="I270">
        <f>IFERROR(MAX(0,(0.5-B270)*100),0)+IF(D270&gt;=24,20,0)+IF(Raw_data!$I270&gt;0,20,0)+IF(Raw_data!$AE270=TRUE,10,0)</f>
        <v/>
      </c>
      <c r="J270">
        <f>IFERROR(CHOOSE(MATCH(Dashboard!$B$11,{"Department","Team","Unit","Legal entity","Location","Lead"},0),INDEX(Lists!$B$3:$B$20,ROW()-1),INDEX(Lists!$C$3:$C$146,ROW()-1),INDEX(Lists!$D$3:$D$67,ROW()-1),INDEX(Lists!$E$3:$E$5,ROW()-1),INDEX(Lists!$F$3:$F$12,ROW()-1),INDEX(Lists!$G$3:$G$126,ROW()-1)),"")</f>
        <v/>
      </c>
      <c r="K270">
        <f>IF(J270="","",SUMPRODUCT(($A$2:$A$636=1)*($G$2:$G$636=J270)))</f>
        <v/>
      </c>
      <c r="L270">
        <f>IF(J270="","",SUMPRODUCT(($A$2:$A$636=1)*($G$2:$G$636=J270)*(ISNUMBER($B$2:$B$636))*($B$2:$B$636&lt;0.5)))</f>
        <v/>
      </c>
      <c r="M270">
        <f>IFERROR(L270/K270,"")</f>
        <v/>
      </c>
      <c r="N270">
        <f>IF(K270="","",M270+K270/100000+ROW()/100000000)</f>
        <v/>
      </c>
      <c r="R270">
        <f>IF(A270=1,IFERROR(I270,0)+ROW()/100000000,-1E+99)</f>
        <v/>
      </c>
      <c r="S270">
        <f>IF(A270=1,IFERROR(Raw_data!$T270,""),"")</f>
        <v/>
      </c>
      <c r="T270">
        <f>IF(A270=1,IFERROR(Raw_data!$AA270,""),"")</f>
        <v/>
      </c>
      <c r="U270">
        <f>IF(A270=1,IFERROR(Raw_data!$U270,""),"")</f>
        <v/>
      </c>
      <c r="V270">
        <f>IF(A270=1,IFERROR(Raw_data!$AB270,""),"")</f>
        <v/>
      </c>
    </row>
    <row r="271">
      <c r="A271">
        <f>--(AND(OR(Dashboard!$B$4="All",Raw_data!$AL271=Dashboard!$B$4),OR(Dashboard!$B$5="All",Raw_data!$AM271=Dashboard!$B$5),OR(Dashboard!$B$6="All",Raw_data!$AN271=Dashboard!$B$6),OR(Dashboard!$B$7="All",Raw_data!$AO271=Dashboard!$B$7),OR(Dashboard!$B$8="All",Raw_data!$AP271=Dashboard!$B$8),OR(Dashboard!$B$9="All",Raw_data!$AQ271=Dashboard!$B$9),OR(Dashboard!$B$10="All",Raw_data!$AF271=Dashboard!$B$10),OR(Raw_data!$F271="",Raw_data!$F271&lt;=TODAY())))</f>
        <v/>
      </c>
      <c r="B271">
        <f>IFERROR(IF(Dashboard!$B$3="Weighted",Raw_data!$U271,Raw_data!$T271),"")</f>
        <v/>
      </c>
      <c r="C271">
        <f>IFERROR(IF(Dashboard!$B$3="Weighted",Raw_data!$AB271,Raw_data!$AA271),"")</f>
        <v/>
      </c>
      <c r="D271">
        <f>IF(OR(Raw_data!$J271="",Raw_data!$J271&lt;=0,Raw_data!$K271=""),"",IF(Raw_data!$K271&gt;TODAY(),0,DATEDIF(Raw_data!$K271,TODAY(),"M")))</f>
        <v/>
      </c>
      <c r="E271">
        <f>--(AND(Raw_data!$AF271="No",OR(Raw_data!$AG271&lt;&gt;"",Raw_data!$AJ271&gt;0,Raw_data!$AK271&lt;&gt;"")))</f>
        <v/>
      </c>
      <c r="F271">
        <f>--(OR(AND(ISNUMBER(B271),B271&lt;0.5,OR(D271&gt;=24,Raw_data!$I271&gt;0)),Raw_data!$AE271=TRUE))</f>
        <v/>
      </c>
      <c r="G271">
        <f>IF(Dashboard!$B$11="Department",Raw_data!$AL271,IF(Dashboard!$B$11="Team",Raw_data!$AM271,IF(Dashboard!$B$11="Unit",Raw_data!$AN271,IF(Dashboard!$B$11="Legal entity",Raw_data!$AO271,IF(Dashboard!$B$11="Location",Raw_data!$AP271,Raw_data!$AQ271)))))</f>
        <v/>
      </c>
      <c r="H271">
        <f>--(AND(ISNUMBER(B271),B271&lt;0.5))</f>
        <v/>
      </c>
      <c r="I271">
        <f>IFERROR(MAX(0,(0.5-B271)*100),0)+IF(D271&gt;=24,20,0)+IF(Raw_data!$I271&gt;0,20,0)+IF(Raw_data!$AE271=TRUE,10,0)</f>
        <v/>
      </c>
      <c r="J271">
        <f>IFERROR(CHOOSE(MATCH(Dashboard!$B$11,{"Department","Team","Unit","Legal entity","Location","Lead"},0),INDEX(Lists!$B$3:$B$20,ROW()-1),INDEX(Lists!$C$3:$C$146,ROW()-1),INDEX(Lists!$D$3:$D$67,ROW()-1),INDEX(Lists!$E$3:$E$5,ROW()-1),INDEX(Lists!$F$3:$F$12,ROW()-1),INDEX(Lists!$G$3:$G$126,ROW()-1)),"")</f>
        <v/>
      </c>
      <c r="K271">
        <f>IF(J271="","",SUMPRODUCT(($A$2:$A$636=1)*($G$2:$G$636=J271)))</f>
        <v/>
      </c>
      <c r="L271">
        <f>IF(J271="","",SUMPRODUCT(($A$2:$A$636=1)*($G$2:$G$636=J271)*(ISNUMBER($B$2:$B$636))*($B$2:$B$636&lt;0.5)))</f>
        <v/>
      </c>
      <c r="M271">
        <f>IFERROR(L271/K271,"")</f>
        <v/>
      </c>
      <c r="N271">
        <f>IF(K271="","",M271+K271/100000+ROW()/100000000)</f>
        <v/>
      </c>
      <c r="R271">
        <f>IF(A271=1,IFERROR(I271,0)+ROW()/100000000,-1E+99)</f>
        <v/>
      </c>
      <c r="S271">
        <f>IF(A271=1,IFERROR(Raw_data!$T271,""),"")</f>
        <v/>
      </c>
      <c r="T271">
        <f>IF(A271=1,IFERROR(Raw_data!$AA271,""),"")</f>
        <v/>
      </c>
      <c r="U271">
        <f>IF(A271=1,IFERROR(Raw_data!$U271,""),"")</f>
        <v/>
      </c>
      <c r="V271">
        <f>IF(A271=1,IFERROR(Raw_data!$AB271,""),"")</f>
        <v/>
      </c>
    </row>
    <row r="272">
      <c r="A272">
        <f>--(AND(OR(Dashboard!$B$4="All",Raw_data!$AL272=Dashboard!$B$4),OR(Dashboard!$B$5="All",Raw_data!$AM272=Dashboard!$B$5),OR(Dashboard!$B$6="All",Raw_data!$AN272=Dashboard!$B$6),OR(Dashboard!$B$7="All",Raw_data!$AO272=Dashboard!$B$7),OR(Dashboard!$B$8="All",Raw_data!$AP272=Dashboard!$B$8),OR(Dashboard!$B$9="All",Raw_data!$AQ272=Dashboard!$B$9),OR(Dashboard!$B$10="All",Raw_data!$AF272=Dashboard!$B$10),OR(Raw_data!$F272="",Raw_data!$F272&lt;=TODAY())))</f>
        <v/>
      </c>
      <c r="B272">
        <f>IFERROR(IF(Dashboard!$B$3="Weighted",Raw_data!$U272,Raw_data!$T272),"")</f>
        <v/>
      </c>
      <c r="C272">
        <f>IFERROR(IF(Dashboard!$B$3="Weighted",Raw_data!$AB272,Raw_data!$AA272),"")</f>
        <v/>
      </c>
      <c r="D272">
        <f>IF(OR(Raw_data!$J272="",Raw_data!$J272&lt;=0,Raw_data!$K272=""),"",IF(Raw_data!$K272&gt;TODAY(),0,DATEDIF(Raw_data!$K272,TODAY(),"M")))</f>
        <v/>
      </c>
      <c r="E272">
        <f>--(AND(Raw_data!$AF272="No",OR(Raw_data!$AG272&lt;&gt;"",Raw_data!$AJ272&gt;0,Raw_data!$AK272&lt;&gt;"")))</f>
        <v/>
      </c>
      <c r="F272">
        <f>--(OR(AND(ISNUMBER(B272),B272&lt;0.5,OR(D272&gt;=24,Raw_data!$I272&gt;0)),Raw_data!$AE272=TRUE))</f>
        <v/>
      </c>
      <c r="G272">
        <f>IF(Dashboard!$B$11="Department",Raw_data!$AL272,IF(Dashboard!$B$11="Team",Raw_data!$AM272,IF(Dashboard!$B$11="Unit",Raw_data!$AN272,IF(Dashboard!$B$11="Legal entity",Raw_data!$AO272,IF(Dashboard!$B$11="Location",Raw_data!$AP272,Raw_data!$AQ272)))))</f>
        <v/>
      </c>
      <c r="H272">
        <f>--(AND(ISNUMBER(B272),B272&lt;0.5))</f>
        <v/>
      </c>
      <c r="I272">
        <f>IFERROR(MAX(0,(0.5-B272)*100),0)+IF(D272&gt;=24,20,0)+IF(Raw_data!$I272&gt;0,20,0)+IF(Raw_data!$AE272=TRUE,10,0)</f>
        <v/>
      </c>
      <c r="J272">
        <f>IFERROR(CHOOSE(MATCH(Dashboard!$B$11,{"Department","Team","Unit","Legal entity","Location","Lead"},0),INDEX(Lists!$B$3:$B$20,ROW()-1),INDEX(Lists!$C$3:$C$146,ROW()-1),INDEX(Lists!$D$3:$D$67,ROW()-1),INDEX(Lists!$E$3:$E$5,ROW()-1),INDEX(Lists!$F$3:$F$12,ROW()-1),INDEX(Lists!$G$3:$G$126,ROW()-1)),"")</f>
        <v/>
      </c>
      <c r="K272">
        <f>IF(J272="","",SUMPRODUCT(($A$2:$A$636=1)*($G$2:$G$636=J272)))</f>
        <v/>
      </c>
      <c r="L272">
        <f>IF(J272="","",SUMPRODUCT(($A$2:$A$636=1)*($G$2:$G$636=J272)*(ISNUMBER($B$2:$B$636))*($B$2:$B$636&lt;0.5)))</f>
        <v/>
      </c>
      <c r="M272">
        <f>IFERROR(L272/K272,"")</f>
        <v/>
      </c>
      <c r="N272">
        <f>IF(K272="","",M272+K272/100000+ROW()/100000000)</f>
        <v/>
      </c>
      <c r="R272">
        <f>IF(A272=1,IFERROR(I272,0)+ROW()/100000000,-1E+99)</f>
        <v/>
      </c>
      <c r="S272">
        <f>IF(A272=1,IFERROR(Raw_data!$T272,""),"")</f>
        <v/>
      </c>
      <c r="T272">
        <f>IF(A272=1,IFERROR(Raw_data!$AA272,""),"")</f>
        <v/>
      </c>
      <c r="U272">
        <f>IF(A272=1,IFERROR(Raw_data!$U272,""),"")</f>
        <v/>
      </c>
      <c r="V272">
        <f>IF(A272=1,IFERROR(Raw_data!$AB272,""),"")</f>
        <v/>
      </c>
    </row>
    <row r="273">
      <c r="A273">
        <f>--(AND(OR(Dashboard!$B$4="All",Raw_data!$AL273=Dashboard!$B$4),OR(Dashboard!$B$5="All",Raw_data!$AM273=Dashboard!$B$5),OR(Dashboard!$B$6="All",Raw_data!$AN273=Dashboard!$B$6),OR(Dashboard!$B$7="All",Raw_data!$AO273=Dashboard!$B$7),OR(Dashboard!$B$8="All",Raw_data!$AP273=Dashboard!$B$8),OR(Dashboard!$B$9="All",Raw_data!$AQ273=Dashboard!$B$9),OR(Dashboard!$B$10="All",Raw_data!$AF273=Dashboard!$B$10),OR(Raw_data!$F273="",Raw_data!$F273&lt;=TODAY())))</f>
        <v/>
      </c>
      <c r="B273">
        <f>IFERROR(IF(Dashboard!$B$3="Weighted",Raw_data!$U273,Raw_data!$T273),"")</f>
        <v/>
      </c>
      <c r="C273">
        <f>IFERROR(IF(Dashboard!$B$3="Weighted",Raw_data!$AB273,Raw_data!$AA273),"")</f>
        <v/>
      </c>
      <c r="D273">
        <f>IF(OR(Raw_data!$J273="",Raw_data!$J273&lt;=0,Raw_data!$K273=""),"",IF(Raw_data!$K273&gt;TODAY(),0,DATEDIF(Raw_data!$K273,TODAY(),"M")))</f>
        <v/>
      </c>
      <c r="E273">
        <f>--(AND(Raw_data!$AF273="No",OR(Raw_data!$AG273&lt;&gt;"",Raw_data!$AJ273&gt;0,Raw_data!$AK273&lt;&gt;"")))</f>
        <v/>
      </c>
      <c r="F273">
        <f>--(OR(AND(ISNUMBER(B273),B273&lt;0.5,OR(D273&gt;=24,Raw_data!$I273&gt;0)),Raw_data!$AE273=TRUE))</f>
        <v/>
      </c>
      <c r="G273">
        <f>IF(Dashboard!$B$11="Department",Raw_data!$AL273,IF(Dashboard!$B$11="Team",Raw_data!$AM273,IF(Dashboard!$B$11="Unit",Raw_data!$AN273,IF(Dashboard!$B$11="Legal entity",Raw_data!$AO273,IF(Dashboard!$B$11="Location",Raw_data!$AP273,Raw_data!$AQ273)))))</f>
        <v/>
      </c>
      <c r="H273">
        <f>--(AND(ISNUMBER(B273),B273&lt;0.5))</f>
        <v/>
      </c>
      <c r="I273">
        <f>IFERROR(MAX(0,(0.5-B273)*100),0)+IF(D273&gt;=24,20,0)+IF(Raw_data!$I273&gt;0,20,0)+IF(Raw_data!$AE273=TRUE,10,0)</f>
        <v/>
      </c>
      <c r="J273">
        <f>IFERROR(CHOOSE(MATCH(Dashboard!$B$11,{"Department","Team","Unit","Legal entity","Location","Lead"},0),INDEX(Lists!$B$3:$B$20,ROW()-1),INDEX(Lists!$C$3:$C$146,ROW()-1),INDEX(Lists!$D$3:$D$67,ROW()-1),INDEX(Lists!$E$3:$E$5,ROW()-1),INDEX(Lists!$F$3:$F$12,ROW()-1),INDEX(Lists!$G$3:$G$126,ROW()-1)),"")</f>
        <v/>
      </c>
      <c r="K273">
        <f>IF(J273="","",SUMPRODUCT(($A$2:$A$636=1)*($G$2:$G$636=J273)))</f>
        <v/>
      </c>
      <c r="L273">
        <f>IF(J273="","",SUMPRODUCT(($A$2:$A$636=1)*($G$2:$G$636=J273)*(ISNUMBER($B$2:$B$636))*($B$2:$B$636&lt;0.5)))</f>
        <v/>
      </c>
      <c r="M273">
        <f>IFERROR(L273/K273,"")</f>
        <v/>
      </c>
      <c r="N273">
        <f>IF(K273="","",M273+K273/100000+ROW()/100000000)</f>
        <v/>
      </c>
      <c r="R273">
        <f>IF(A273=1,IFERROR(I273,0)+ROW()/100000000,-1E+99)</f>
        <v/>
      </c>
      <c r="S273">
        <f>IF(A273=1,IFERROR(Raw_data!$T273,""),"")</f>
        <v/>
      </c>
      <c r="T273">
        <f>IF(A273=1,IFERROR(Raw_data!$AA273,""),"")</f>
        <v/>
      </c>
      <c r="U273">
        <f>IF(A273=1,IFERROR(Raw_data!$U273,""),"")</f>
        <v/>
      </c>
      <c r="V273">
        <f>IF(A273=1,IFERROR(Raw_data!$AB273,""),"")</f>
        <v/>
      </c>
    </row>
    <row r="274">
      <c r="A274">
        <f>--(AND(OR(Dashboard!$B$4="All",Raw_data!$AL274=Dashboard!$B$4),OR(Dashboard!$B$5="All",Raw_data!$AM274=Dashboard!$B$5),OR(Dashboard!$B$6="All",Raw_data!$AN274=Dashboard!$B$6),OR(Dashboard!$B$7="All",Raw_data!$AO274=Dashboard!$B$7),OR(Dashboard!$B$8="All",Raw_data!$AP274=Dashboard!$B$8),OR(Dashboard!$B$9="All",Raw_data!$AQ274=Dashboard!$B$9),OR(Dashboard!$B$10="All",Raw_data!$AF274=Dashboard!$B$10),OR(Raw_data!$F274="",Raw_data!$F274&lt;=TODAY())))</f>
        <v/>
      </c>
      <c r="B274">
        <f>IFERROR(IF(Dashboard!$B$3="Weighted",Raw_data!$U274,Raw_data!$T274),"")</f>
        <v/>
      </c>
      <c r="C274">
        <f>IFERROR(IF(Dashboard!$B$3="Weighted",Raw_data!$AB274,Raw_data!$AA274),"")</f>
        <v/>
      </c>
      <c r="D274">
        <f>IF(OR(Raw_data!$J274="",Raw_data!$J274&lt;=0,Raw_data!$K274=""),"",IF(Raw_data!$K274&gt;TODAY(),0,DATEDIF(Raw_data!$K274,TODAY(),"M")))</f>
        <v/>
      </c>
      <c r="E274">
        <f>--(AND(Raw_data!$AF274="No",OR(Raw_data!$AG274&lt;&gt;"",Raw_data!$AJ274&gt;0,Raw_data!$AK274&lt;&gt;"")))</f>
        <v/>
      </c>
      <c r="F274">
        <f>--(OR(AND(ISNUMBER(B274),B274&lt;0.5,OR(D274&gt;=24,Raw_data!$I274&gt;0)),Raw_data!$AE274=TRUE))</f>
        <v/>
      </c>
      <c r="G274">
        <f>IF(Dashboard!$B$11="Department",Raw_data!$AL274,IF(Dashboard!$B$11="Team",Raw_data!$AM274,IF(Dashboard!$B$11="Unit",Raw_data!$AN274,IF(Dashboard!$B$11="Legal entity",Raw_data!$AO274,IF(Dashboard!$B$11="Location",Raw_data!$AP274,Raw_data!$AQ274)))))</f>
        <v/>
      </c>
      <c r="H274">
        <f>--(AND(ISNUMBER(B274),B274&lt;0.5))</f>
        <v/>
      </c>
      <c r="I274">
        <f>IFERROR(MAX(0,(0.5-B274)*100),0)+IF(D274&gt;=24,20,0)+IF(Raw_data!$I274&gt;0,20,0)+IF(Raw_data!$AE274=TRUE,10,0)</f>
        <v/>
      </c>
      <c r="J274">
        <f>IFERROR(CHOOSE(MATCH(Dashboard!$B$11,{"Department","Team","Unit","Legal entity","Location","Lead"},0),INDEX(Lists!$B$3:$B$20,ROW()-1),INDEX(Lists!$C$3:$C$146,ROW()-1),INDEX(Lists!$D$3:$D$67,ROW()-1),INDEX(Lists!$E$3:$E$5,ROW()-1),INDEX(Lists!$F$3:$F$12,ROW()-1),INDEX(Lists!$G$3:$G$126,ROW()-1)),"")</f>
        <v/>
      </c>
      <c r="K274">
        <f>IF(J274="","",SUMPRODUCT(($A$2:$A$636=1)*($G$2:$G$636=J274)))</f>
        <v/>
      </c>
      <c r="L274">
        <f>IF(J274="","",SUMPRODUCT(($A$2:$A$636=1)*($G$2:$G$636=J274)*(ISNUMBER($B$2:$B$636))*($B$2:$B$636&lt;0.5)))</f>
        <v/>
      </c>
      <c r="M274">
        <f>IFERROR(L274/K274,"")</f>
        <v/>
      </c>
      <c r="N274">
        <f>IF(K274="","",M274+K274/100000+ROW()/100000000)</f>
        <v/>
      </c>
      <c r="R274">
        <f>IF(A274=1,IFERROR(I274,0)+ROW()/100000000,-1E+99)</f>
        <v/>
      </c>
      <c r="S274">
        <f>IF(A274=1,IFERROR(Raw_data!$T274,""),"")</f>
        <v/>
      </c>
      <c r="T274">
        <f>IF(A274=1,IFERROR(Raw_data!$AA274,""),"")</f>
        <v/>
      </c>
      <c r="U274">
        <f>IF(A274=1,IFERROR(Raw_data!$U274,""),"")</f>
        <v/>
      </c>
      <c r="V274">
        <f>IF(A274=1,IFERROR(Raw_data!$AB274,""),"")</f>
        <v/>
      </c>
    </row>
    <row r="275">
      <c r="A275">
        <f>--(AND(OR(Dashboard!$B$4="All",Raw_data!$AL275=Dashboard!$B$4),OR(Dashboard!$B$5="All",Raw_data!$AM275=Dashboard!$B$5),OR(Dashboard!$B$6="All",Raw_data!$AN275=Dashboard!$B$6),OR(Dashboard!$B$7="All",Raw_data!$AO275=Dashboard!$B$7),OR(Dashboard!$B$8="All",Raw_data!$AP275=Dashboard!$B$8),OR(Dashboard!$B$9="All",Raw_data!$AQ275=Dashboard!$B$9),OR(Dashboard!$B$10="All",Raw_data!$AF275=Dashboard!$B$10),OR(Raw_data!$F275="",Raw_data!$F275&lt;=TODAY())))</f>
        <v/>
      </c>
      <c r="B275">
        <f>IFERROR(IF(Dashboard!$B$3="Weighted",Raw_data!$U275,Raw_data!$T275),"")</f>
        <v/>
      </c>
      <c r="C275">
        <f>IFERROR(IF(Dashboard!$B$3="Weighted",Raw_data!$AB275,Raw_data!$AA275),"")</f>
        <v/>
      </c>
      <c r="D275">
        <f>IF(OR(Raw_data!$J275="",Raw_data!$J275&lt;=0,Raw_data!$K275=""),"",IF(Raw_data!$K275&gt;TODAY(),0,DATEDIF(Raw_data!$K275,TODAY(),"M")))</f>
        <v/>
      </c>
      <c r="E275">
        <f>--(AND(Raw_data!$AF275="No",OR(Raw_data!$AG275&lt;&gt;"",Raw_data!$AJ275&gt;0,Raw_data!$AK275&lt;&gt;"")))</f>
        <v/>
      </c>
      <c r="F275">
        <f>--(OR(AND(ISNUMBER(B275),B275&lt;0.5,OR(D275&gt;=24,Raw_data!$I275&gt;0)),Raw_data!$AE275=TRUE))</f>
        <v/>
      </c>
      <c r="G275">
        <f>IF(Dashboard!$B$11="Department",Raw_data!$AL275,IF(Dashboard!$B$11="Team",Raw_data!$AM275,IF(Dashboard!$B$11="Unit",Raw_data!$AN275,IF(Dashboard!$B$11="Legal entity",Raw_data!$AO275,IF(Dashboard!$B$11="Location",Raw_data!$AP275,Raw_data!$AQ275)))))</f>
        <v/>
      </c>
      <c r="H275">
        <f>--(AND(ISNUMBER(B275),B275&lt;0.5))</f>
        <v/>
      </c>
      <c r="I275">
        <f>IFERROR(MAX(0,(0.5-B275)*100),0)+IF(D275&gt;=24,20,0)+IF(Raw_data!$I275&gt;0,20,0)+IF(Raw_data!$AE275=TRUE,10,0)</f>
        <v/>
      </c>
      <c r="J275">
        <f>IFERROR(CHOOSE(MATCH(Dashboard!$B$11,{"Department","Team","Unit","Legal entity","Location","Lead"},0),INDEX(Lists!$B$3:$B$20,ROW()-1),INDEX(Lists!$C$3:$C$146,ROW()-1),INDEX(Lists!$D$3:$D$67,ROW()-1),INDEX(Lists!$E$3:$E$5,ROW()-1),INDEX(Lists!$F$3:$F$12,ROW()-1),INDEX(Lists!$G$3:$G$126,ROW()-1)),"")</f>
        <v/>
      </c>
      <c r="K275">
        <f>IF(J275="","",SUMPRODUCT(($A$2:$A$636=1)*($G$2:$G$636=J275)))</f>
        <v/>
      </c>
      <c r="L275">
        <f>IF(J275="","",SUMPRODUCT(($A$2:$A$636=1)*($G$2:$G$636=J275)*(ISNUMBER($B$2:$B$636))*($B$2:$B$636&lt;0.5)))</f>
        <v/>
      </c>
      <c r="M275">
        <f>IFERROR(L275/K275,"")</f>
        <v/>
      </c>
      <c r="N275">
        <f>IF(K275="","",M275+K275/100000+ROW()/100000000)</f>
        <v/>
      </c>
      <c r="R275">
        <f>IF(A275=1,IFERROR(I275,0)+ROW()/100000000,-1E+99)</f>
        <v/>
      </c>
      <c r="S275">
        <f>IF(A275=1,IFERROR(Raw_data!$T275,""),"")</f>
        <v/>
      </c>
      <c r="T275">
        <f>IF(A275=1,IFERROR(Raw_data!$AA275,""),"")</f>
        <v/>
      </c>
      <c r="U275">
        <f>IF(A275=1,IFERROR(Raw_data!$U275,""),"")</f>
        <v/>
      </c>
      <c r="V275">
        <f>IF(A275=1,IFERROR(Raw_data!$AB275,""),"")</f>
        <v/>
      </c>
    </row>
    <row r="276">
      <c r="A276">
        <f>--(AND(OR(Dashboard!$B$4="All",Raw_data!$AL276=Dashboard!$B$4),OR(Dashboard!$B$5="All",Raw_data!$AM276=Dashboard!$B$5),OR(Dashboard!$B$6="All",Raw_data!$AN276=Dashboard!$B$6),OR(Dashboard!$B$7="All",Raw_data!$AO276=Dashboard!$B$7),OR(Dashboard!$B$8="All",Raw_data!$AP276=Dashboard!$B$8),OR(Dashboard!$B$9="All",Raw_data!$AQ276=Dashboard!$B$9),OR(Dashboard!$B$10="All",Raw_data!$AF276=Dashboard!$B$10),OR(Raw_data!$F276="",Raw_data!$F276&lt;=TODAY())))</f>
        <v/>
      </c>
      <c r="B276">
        <f>IFERROR(IF(Dashboard!$B$3="Weighted",Raw_data!$U276,Raw_data!$T276),"")</f>
        <v/>
      </c>
      <c r="C276">
        <f>IFERROR(IF(Dashboard!$B$3="Weighted",Raw_data!$AB276,Raw_data!$AA276),"")</f>
        <v/>
      </c>
      <c r="D276">
        <f>IF(OR(Raw_data!$J276="",Raw_data!$J276&lt;=0,Raw_data!$K276=""),"",IF(Raw_data!$K276&gt;TODAY(),0,DATEDIF(Raw_data!$K276,TODAY(),"M")))</f>
        <v/>
      </c>
      <c r="E276">
        <f>--(AND(Raw_data!$AF276="No",OR(Raw_data!$AG276&lt;&gt;"",Raw_data!$AJ276&gt;0,Raw_data!$AK276&lt;&gt;"")))</f>
        <v/>
      </c>
      <c r="F276">
        <f>--(OR(AND(ISNUMBER(B276),B276&lt;0.5,OR(D276&gt;=24,Raw_data!$I276&gt;0)),Raw_data!$AE276=TRUE))</f>
        <v/>
      </c>
      <c r="G276">
        <f>IF(Dashboard!$B$11="Department",Raw_data!$AL276,IF(Dashboard!$B$11="Team",Raw_data!$AM276,IF(Dashboard!$B$11="Unit",Raw_data!$AN276,IF(Dashboard!$B$11="Legal entity",Raw_data!$AO276,IF(Dashboard!$B$11="Location",Raw_data!$AP276,Raw_data!$AQ276)))))</f>
        <v/>
      </c>
      <c r="H276">
        <f>--(AND(ISNUMBER(B276),B276&lt;0.5))</f>
        <v/>
      </c>
      <c r="I276">
        <f>IFERROR(MAX(0,(0.5-B276)*100),0)+IF(D276&gt;=24,20,0)+IF(Raw_data!$I276&gt;0,20,0)+IF(Raw_data!$AE276=TRUE,10,0)</f>
        <v/>
      </c>
      <c r="J276">
        <f>IFERROR(CHOOSE(MATCH(Dashboard!$B$11,{"Department","Team","Unit","Legal entity","Location","Lead"},0),INDEX(Lists!$B$3:$B$20,ROW()-1),INDEX(Lists!$C$3:$C$146,ROW()-1),INDEX(Lists!$D$3:$D$67,ROW()-1),INDEX(Lists!$E$3:$E$5,ROW()-1),INDEX(Lists!$F$3:$F$12,ROW()-1),INDEX(Lists!$G$3:$G$126,ROW()-1)),"")</f>
        <v/>
      </c>
      <c r="K276">
        <f>IF(J276="","",SUMPRODUCT(($A$2:$A$636=1)*($G$2:$G$636=J276)))</f>
        <v/>
      </c>
      <c r="L276">
        <f>IF(J276="","",SUMPRODUCT(($A$2:$A$636=1)*($G$2:$G$636=J276)*(ISNUMBER($B$2:$B$636))*($B$2:$B$636&lt;0.5)))</f>
        <v/>
      </c>
      <c r="M276">
        <f>IFERROR(L276/K276,"")</f>
        <v/>
      </c>
      <c r="N276">
        <f>IF(K276="","",M276+K276/100000+ROW()/100000000)</f>
        <v/>
      </c>
      <c r="R276">
        <f>IF(A276=1,IFERROR(I276,0)+ROW()/100000000,-1E+99)</f>
        <v/>
      </c>
      <c r="S276">
        <f>IF(A276=1,IFERROR(Raw_data!$T276,""),"")</f>
        <v/>
      </c>
      <c r="T276">
        <f>IF(A276=1,IFERROR(Raw_data!$AA276,""),"")</f>
        <v/>
      </c>
      <c r="U276">
        <f>IF(A276=1,IFERROR(Raw_data!$U276,""),"")</f>
        <v/>
      </c>
      <c r="V276">
        <f>IF(A276=1,IFERROR(Raw_data!$AB276,""),"")</f>
        <v/>
      </c>
    </row>
    <row r="277">
      <c r="A277">
        <f>--(AND(OR(Dashboard!$B$4="All",Raw_data!$AL277=Dashboard!$B$4),OR(Dashboard!$B$5="All",Raw_data!$AM277=Dashboard!$B$5),OR(Dashboard!$B$6="All",Raw_data!$AN277=Dashboard!$B$6),OR(Dashboard!$B$7="All",Raw_data!$AO277=Dashboard!$B$7),OR(Dashboard!$B$8="All",Raw_data!$AP277=Dashboard!$B$8),OR(Dashboard!$B$9="All",Raw_data!$AQ277=Dashboard!$B$9),OR(Dashboard!$B$10="All",Raw_data!$AF277=Dashboard!$B$10),OR(Raw_data!$F277="",Raw_data!$F277&lt;=TODAY())))</f>
        <v/>
      </c>
      <c r="B277">
        <f>IFERROR(IF(Dashboard!$B$3="Weighted",Raw_data!$U277,Raw_data!$T277),"")</f>
        <v/>
      </c>
      <c r="C277">
        <f>IFERROR(IF(Dashboard!$B$3="Weighted",Raw_data!$AB277,Raw_data!$AA277),"")</f>
        <v/>
      </c>
      <c r="D277">
        <f>IF(OR(Raw_data!$J277="",Raw_data!$J277&lt;=0,Raw_data!$K277=""),"",IF(Raw_data!$K277&gt;TODAY(),0,DATEDIF(Raw_data!$K277,TODAY(),"M")))</f>
        <v/>
      </c>
      <c r="E277">
        <f>--(AND(Raw_data!$AF277="No",OR(Raw_data!$AG277&lt;&gt;"",Raw_data!$AJ277&gt;0,Raw_data!$AK277&lt;&gt;"")))</f>
        <v/>
      </c>
      <c r="F277">
        <f>--(OR(AND(ISNUMBER(B277),B277&lt;0.5,OR(D277&gt;=24,Raw_data!$I277&gt;0)),Raw_data!$AE277=TRUE))</f>
        <v/>
      </c>
      <c r="G277">
        <f>IF(Dashboard!$B$11="Department",Raw_data!$AL277,IF(Dashboard!$B$11="Team",Raw_data!$AM277,IF(Dashboard!$B$11="Unit",Raw_data!$AN277,IF(Dashboard!$B$11="Legal entity",Raw_data!$AO277,IF(Dashboard!$B$11="Location",Raw_data!$AP277,Raw_data!$AQ277)))))</f>
        <v/>
      </c>
      <c r="H277">
        <f>--(AND(ISNUMBER(B277),B277&lt;0.5))</f>
        <v/>
      </c>
      <c r="I277">
        <f>IFERROR(MAX(0,(0.5-B277)*100),0)+IF(D277&gt;=24,20,0)+IF(Raw_data!$I277&gt;0,20,0)+IF(Raw_data!$AE277=TRUE,10,0)</f>
        <v/>
      </c>
      <c r="J277">
        <f>IFERROR(CHOOSE(MATCH(Dashboard!$B$11,{"Department","Team","Unit","Legal entity","Location","Lead"},0),INDEX(Lists!$B$3:$B$20,ROW()-1),INDEX(Lists!$C$3:$C$146,ROW()-1),INDEX(Lists!$D$3:$D$67,ROW()-1),INDEX(Lists!$E$3:$E$5,ROW()-1),INDEX(Lists!$F$3:$F$12,ROW()-1),INDEX(Lists!$G$3:$G$126,ROW()-1)),"")</f>
        <v/>
      </c>
      <c r="K277">
        <f>IF(J277="","",SUMPRODUCT(($A$2:$A$636=1)*($G$2:$G$636=J277)))</f>
        <v/>
      </c>
      <c r="L277">
        <f>IF(J277="","",SUMPRODUCT(($A$2:$A$636=1)*($G$2:$G$636=J277)*(ISNUMBER($B$2:$B$636))*($B$2:$B$636&lt;0.5)))</f>
        <v/>
      </c>
      <c r="M277">
        <f>IFERROR(L277/K277,"")</f>
        <v/>
      </c>
      <c r="N277">
        <f>IF(K277="","",M277+K277/100000+ROW()/100000000)</f>
        <v/>
      </c>
      <c r="R277">
        <f>IF(A277=1,IFERROR(I277,0)+ROW()/100000000,-1E+99)</f>
        <v/>
      </c>
      <c r="S277">
        <f>IF(A277=1,IFERROR(Raw_data!$T277,""),"")</f>
        <v/>
      </c>
      <c r="T277">
        <f>IF(A277=1,IFERROR(Raw_data!$AA277,""),"")</f>
        <v/>
      </c>
      <c r="U277">
        <f>IF(A277=1,IFERROR(Raw_data!$U277,""),"")</f>
        <v/>
      </c>
      <c r="V277">
        <f>IF(A277=1,IFERROR(Raw_data!$AB277,""),"")</f>
        <v/>
      </c>
    </row>
    <row r="278">
      <c r="A278">
        <f>--(AND(OR(Dashboard!$B$4="All",Raw_data!$AL278=Dashboard!$B$4),OR(Dashboard!$B$5="All",Raw_data!$AM278=Dashboard!$B$5),OR(Dashboard!$B$6="All",Raw_data!$AN278=Dashboard!$B$6),OR(Dashboard!$B$7="All",Raw_data!$AO278=Dashboard!$B$7),OR(Dashboard!$B$8="All",Raw_data!$AP278=Dashboard!$B$8),OR(Dashboard!$B$9="All",Raw_data!$AQ278=Dashboard!$B$9),OR(Dashboard!$B$10="All",Raw_data!$AF278=Dashboard!$B$10),OR(Raw_data!$F278="",Raw_data!$F278&lt;=TODAY())))</f>
        <v/>
      </c>
      <c r="B278">
        <f>IFERROR(IF(Dashboard!$B$3="Weighted",Raw_data!$U278,Raw_data!$T278),"")</f>
        <v/>
      </c>
      <c r="C278">
        <f>IFERROR(IF(Dashboard!$B$3="Weighted",Raw_data!$AB278,Raw_data!$AA278),"")</f>
        <v/>
      </c>
      <c r="D278">
        <f>IF(OR(Raw_data!$J278="",Raw_data!$J278&lt;=0,Raw_data!$K278=""),"",IF(Raw_data!$K278&gt;TODAY(),0,DATEDIF(Raw_data!$K278,TODAY(),"M")))</f>
        <v/>
      </c>
      <c r="E278">
        <f>--(AND(Raw_data!$AF278="No",OR(Raw_data!$AG278&lt;&gt;"",Raw_data!$AJ278&gt;0,Raw_data!$AK278&lt;&gt;"")))</f>
        <v/>
      </c>
      <c r="F278">
        <f>--(OR(AND(ISNUMBER(B278),B278&lt;0.5,OR(D278&gt;=24,Raw_data!$I278&gt;0)),Raw_data!$AE278=TRUE))</f>
        <v/>
      </c>
      <c r="G278">
        <f>IF(Dashboard!$B$11="Department",Raw_data!$AL278,IF(Dashboard!$B$11="Team",Raw_data!$AM278,IF(Dashboard!$B$11="Unit",Raw_data!$AN278,IF(Dashboard!$B$11="Legal entity",Raw_data!$AO278,IF(Dashboard!$B$11="Location",Raw_data!$AP278,Raw_data!$AQ278)))))</f>
        <v/>
      </c>
      <c r="H278">
        <f>--(AND(ISNUMBER(B278),B278&lt;0.5))</f>
        <v/>
      </c>
      <c r="I278">
        <f>IFERROR(MAX(0,(0.5-B278)*100),0)+IF(D278&gt;=24,20,0)+IF(Raw_data!$I278&gt;0,20,0)+IF(Raw_data!$AE278=TRUE,10,0)</f>
        <v/>
      </c>
      <c r="J278">
        <f>IFERROR(CHOOSE(MATCH(Dashboard!$B$11,{"Department","Team","Unit","Legal entity","Location","Lead"},0),INDEX(Lists!$B$3:$B$20,ROW()-1),INDEX(Lists!$C$3:$C$146,ROW()-1),INDEX(Lists!$D$3:$D$67,ROW()-1),INDEX(Lists!$E$3:$E$5,ROW()-1),INDEX(Lists!$F$3:$F$12,ROW()-1),INDEX(Lists!$G$3:$G$126,ROW()-1)),"")</f>
        <v/>
      </c>
      <c r="K278">
        <f>IF(J278="","",SUMPRODUCT(($A$2:$A$636=1)*($G$2:$G$636=J278)))</f>
        <v/>
      </c>
      <c r="L278">
        <f>IF(J278="","",SUMPRODUCT(($A$2:$A$636=1)*($G$2:$G$636=J278)*(ISNUMBER($B$2:$B$636))*($B$2:$B$636&lt;0.5)))</f>
        <v/>
      </c>
      <c r="M278">
        <f>IFERROR(L278/K278,"")</f>
        <v/>
      </c>
      <c r="N278">
        <f>IF(K278="","",M278+K278/100000+ROW()/100000000)</f>
        <v/>
      </c>
      <c r="R278">
        <f>IF(A278=1,IFERROR(I278,0)+ROW()/100000000,-1E+99)</f>
        <v/>
      </c>
      <c r="S278">
        <f>IF(A278=1,IFERROR(Raw_data!$T278,""),"")</f>
        <v/>
      </c>
      <c r="T278">
        <f>IF(A278=1,IFERROR(Raw_data!$AA278,""),"")</f>
        <v/>
      </c>
      <c r="U278">
        <f>IF(A278=1,IFERROR(Raw_data!$U278,""),"")</f>
        <v/>
      </c>
      <c r="V278">
        <f>IF(A278=1,IFERROR(Raw_data!$AB278,""),"")</f>
        <v/>
      </c>
    </row>
    <row r="279">
      <c r="A279">
        <f>--(AND(OR(Dashboard!$B$4="All",Raw_data!$AL279=Dashboard!$B$4),OR(Dashboard!$B$5="All",Raw_data!$AM279=Dashboard!$B$5),OR(Dashboard!$B$6="All",Raw_data!$AN279=Dashboard!$B$6),OR(Dashboard!$B$7="All",Raw_data!$AO279=Dashboard!$B$7),OR(Dashboard!$B$8="All",Raw_data!$AP279=Dashboard!$B$8),OR(Dashboard!$B$9="All",Raw_data!$AQ279=Dashboard!$B$9),OR(Dashboard!$B$10="All",Raw_data!$AF279=Dashboard!$B$10),OR(Raw_data!$F279="",Raw_data!$F279&lt;=TODAY())))</f>
        <v/>
      </c>
      <c r="B279">
        <f>IFERROR(IF(Dashboard!$B$3="Weighted",Raw_data!$U279,Raw_data!$T279),"")</f>
        <v/>
      </c>
      <c r="C279">
        <f>IFERROR(IF(Dashboard!$B$3="Weighted",Raw_data!$AB279,Raw_data!$AA279),"")</f>
        <v/>
      </c>
      <c r="D279">
        <f>IF(OR(Raw_data!$J279="",Raw_data!$J279&lt;=0,Raw_data!$K279=""),"",IF(Raw_data!$K279&gt;TODAY(),0,DATEDIF(Raw_data!$K279,TODAY(),"M")))</f>
        <v/>
      </c>
      <c r="E279">
        <f>--(AND(Raw_data!$AF279="No",OR(Raw_data!$AG279&lt;&gt;"",Raw_data!$AJ279&gt;0,Raw_data!$AK279&lt;&gt;"")))</f>
        <v/>
      </c>
      <c r="F279">
        <f>--(OR(AND(ISNUMBER(B279),B279&lt;0.5,OR(D279&gt;=24,Raw_data!$I279&gt;0)),Raw_data!$AE279=TRUE))</f>
        <v/>
      </c>
      <c r="G279">
        <f>IF(Dashboard!$B$11="Department",Raw_data!$AL279,IF(Dashboard!$B$11="Team",Raw_data!$AM279,IF(Dashboard!$B$11="Unit",Raw_data!$AN279,IF(Dashboard!$B$11="Legal entity",Raw_data!$AO279,IF(Dashboard!$B$11="Location",Raw_data!$AP279,Raw_data!$AQ279)))))</f>
        <v/>
      </c>
      <c r="H279">
        <f>--(AND(ISNUMBER(B279),B279&lt;0.5))</f>
        <v/>
      </c>
      <c r="I279">
        <f>IFERROR(MAX(0,(0.5-B279)*100),0)+IF(D279&gt;=24,20,0)+IF(Raw_data!$I279&gt;0,20,0)+IF(Raw_data!$AE279=TRUE,10,0)</f>
        <v/>
      </c>
      <c r="J279">
        <f>IFERROR(CHOOSE(MATCH(Dashboard!$B$11,{"Department","Team","Unit","Legal entity","Location","Lead"},0),INDEX(Lists!$B$3:$B$20,ROW()-1),INDEX(Lists!$C$3:$C$146,ROW()-1),INDEX(Lists!$D$3:$D$67,ROW()-1),INDEX(Lists!$E$3:$E$5,ROW()-1),INDEX(Lists!$F$3:$F$12,ROW()-1),INDEX(Lists!$G$3:$G$126,ROW()-1)),"")</f>
        <v/>
      </c>
      <c r="K279">
        <f>IF(J279="","",SUMPRODUCT(($A$2:$A$636=1)*($G$2:$G$636=J279)))</f>
        <v/>
      </c>
      <c r="L279">
        <f>IF(J279="","",SUMPRODUCT(($A$2:$A$636=1)*($G$2:$G$636=J279)*(ISNUMBER($B$2:$B$636))*($B$2:$B$636&lt;0.5)))</f>
        <v/>
      </c>
      <c r="M279">
        <f>IFERROR(L279/K279,"")</f>
        <v/>
      </c>
      <c r="N279">
        <f>IF(K279="","",M279+K279/100000+ROW()/100000000)</f>
        <v/>
      </c>
      <c r="R279">
        <f>IF(A279=1,IFERROR(I279,0)+ROW()/100000000,-1E+99)</f>
        <v/>
      </c>
      <c r="S279">
        <f>IF(A279=1,IFERROR(Raw_data!$T279,""),"")</f>
        <v/>
      </c>
      <c r="T279">
        <f>IF(A279=1,IFERROR(Raw_data!$AA279,""),"")</f>
        <v/>
      </c>
      <c r="U279">
        <f>IF(A279=1,IFERROR(Raw_data!$U279,""),"")</f>
        <v/>
      </c>
      <c r="V279">
        <f>IF(A279=1,IFERROR(Raw_data!$AB279,""),"")</f>
        <v/>
      </c>
    </row>
    <row r="280">
      <c r="A280">
        <f>--(AND(OR(Dashboard!$B$4="All",Raw_data!$AL280=Dashboard!$B$4),OR(Dashboard!$B$5="All",Raw_data!$AM280=Dashboard!$B$5),OR(Dashboard!$B$6="All",Raw_data!$AN280=Dashboard!$B$6),OR(Dashboard!$B$7="All",Raw_data!$AO280=Dashboard!$B$7),OR(Dashboard!$B$8="All",Raw_data!$AP280=Dashboard!$B$8),OR(Dashboard!$B$9="All",Raw_data!$AQ280=Dashboard!$B$9),OR(Dashboard!$B$10="All",Raw_data!$AF280=Dashboard!$B$10),OR(Raw_data!$F280="",Raw_data!$F280&lt;=TODAY())))</f>
        <v/>
      </c>
      <c r="B280">
        <f>IFERROR(IF(Dashboard!$B$3="Weighted",Raw_data!$U280,Raw_data!$T280),"")</f>
        <v/>
      </c>
      <c r="C280">
        <f>IFERROR(IF(Dashboard!$B$3="Weighted",Raw_data!$AB280,Raw_data!$AA280),"")</f>
        <v/>
      </c>
      <c r="D280">
        <f>IF(OR(Raw_data!$J280="",Raw_data!$J280&lt;=0,Raw_data!$K280=""),"",IF(Raw_data!$K280&gt;TODAY(),0,DATEDIF(Raw_data!$K280,TODAY(),"M")))</f>
        <v/>
      </c>
      <c r="E280">
        <f>--(AND(Raw_data!$AF280="No",OR(Raw_data!$AG280&lt;&gt;"",Raw_data!$AJ280&gt;0,Raw_data!$AK280&lt;&gt;"")))</f>
        <v/>
      </c>
      <c r="F280">
        <f>--(OR(AND(ISNUMBER(B280),B280&lt;0.5,OR(D280&gt;=24,Raw_data!$I280&gt;0)),Raw_data!$AE280=TRUE))</f>
        <v/>
      </c>
      <c r="G280">
        <f>IF(Dashboard!$B$11="Department",Raw_data!$AL280,IF(Dashboard!$B$11="Team",Raw_data!$AM280,IF(Dashboard!$B$11="Unit",Raw_data!$AN280,IF(Dashboard!$B$11="Legal entity",Raw_data!$AO280,IF(Dashboard!$B$11="Location",Raw_data!$AP280,Raw_data!$AQ280)))))</f>
        <v/>
      </c>
      <c r="H280">
        <f>--(AND(ISNUMBER(B280),B280&lt;0.5))</f>
        <v/>
      </c>
      <c r="I280">
        <f>IFERROR(MAX(0,(0.5-B280)*100),0)+IF(D280&gt;=24,20,0)+IF(Raw_data!$I280&gt;0,20,0)+IF(Raw_data!$AE280=TRUE,10,0)</f>
        <v/>
      </c>
      <c r="J280">
        <f>IFERROR(CHOOSE(MATCH(Dashboard!$B$11,{"Department","Team","Unit","Legal entity","Location","Lead"},0),INDEX(Lists!$B$3:$B$20,ROW()-1),INDEX(Lists!$C$3:$C$146,ROW()-1),INDEX(Lists!$D$3:$D$67,ROW()-1),INDEX(Lists!$E$3:$E$5,ROW()-1),INDEX(Lists!$F$3:$F$12,ROW()-1),INDEX(Lists!$G$3:$G$126,ROW()-1)),"")</f>
        <v/>
      </c>
      <c r="K280">
        <f>IF(J280="","",SUMPRODUCT(($A$2:$A$636=1)*($G$2:$G$636=J280)))</f>
        <v/>
      </c>
      <c r="L280">
        <f>IF(J280="","",SUMPRODUCT(($A$2:$A$636=1)*($G$2:$G$636=J280)*(ISNUMBER($B$2:$B$636))*($B$2:$B$636&lt;0.5)))</f>
        <v/>
      </c>
      <c r="M280">
        <f>IFERROR(L280/K280,"")</f>
        <v/>
      </c>
      <c r="N280">
        <f>IF(K280="","",M280+K280/100000+ROW()/100000000)</f>
        <v/>
      </c>
      <c r="R280">
        <f>IF(A280=1,IFERROR(I280,0)+ROW()/100000000,-1E+99)</f>
        <v/>
      </c>
      <c r="S280">
        <f>IF(A280=1,IFERROR(Raw_data!$T280,""),"")</f>
        <v/>
      </c>
      <c r="T280">
        <f>IF(A280=1,IFERROR(Raw_data!$AA280,""),"")</f>
        <v/>
      </c>
      <c r="U280">
        <f>IF(A280=1,IFERROR(Raw_data!$U280,""),"")</f>
        <v/>
      </c>
      <c r="V280">
        <f>IF(A280=1,IFERROR(Raw_data!$AB280,""),"")</f>
        <v/>
      </c>
    </row>
    <row r="281">
      <c r="A281">
        <f>--(AND(OR(Dashboard!$B$4="All",Raw_data!$AL281=Dashboard!$B$4),OR(Dashboard!$B$5="All",Raw_data!$AM281=Dashboard!$B$5),OR(Dashboard!$B$6="All",Raw_data!$AN281=Dashboard!$B$6),OR(Dashboard!$B$7="All",Raw_data!$AO281=Dashboard!$B$7),OR(Dashboard!$B$8="All",Raw_data!$AP281=Dashboard!$B$8),OR(Dashboard!$B$9="All",Raw_data!$AQ281=Dashboard!$B$9),OR(Dashboard!$B$10="All",Raw_data!$AF281=Dashboard!$B$10),OR(Raw_data!$F281="",Raw_data!$F281&lt;=TODAY())))</f>
        <v/>
      </c>
      <c r="B281">
        <f>IFERROR(IF(Dashboard!$B$3="Weighted",Raw_data!$U281,Raw_data!$T281),"")</f>
        <v/>
      </c>
      <c r="C281">
        <f>IFERROR(IF(Dashboard!$B$3="Weighted",Raw_data!$AB281,Raw_data!$AA281),"")</f>
        <v/>
      </c>
      <c r="D281">
        <f>IF(OR(Raw_data!$J281="",Raw_data!$J281&lt;=0,Raw_data!$K281=""),"",IF(Raw_data!$K281&gt;TODAY(),0,DATEDIF(Raw_data!$K281,TODAY(),"M")))</f>
        <v/>
      </c>
      <c r="E281">
        <f>--(AND(Raw_data!$AF281="No",OR(Raw_data!$AG281&lt;&gt;"",Raw_data!$AJ281&gt;0,Raw_data!$AK281&lt;&gt;"")))</f>
        <v/>
      </c>
      <c r="F281">
        <f>--(OR(AND(ISNUMBER(B281),B281&lt;0.5,OR(D281&gt;=24,Raw_data!$I281&gt;0)),Raw_data!$AE281=TRUE))</f>
        <v/>
      </c>
      <c r="G281">
        <f>IF(Dashboard!$B$11="Department",Raw_data!$AL281,IF(Dashboard!$B$11="Team",Raw_data!$AM281,IF(Dashboard!$B$11="Unit",Raw_data!$AN281,IF(Dashboard!$B$11="Legal entity",Raw_data!$AO281,IF(Dashboard!$B$11="Location",Raw_data!$AP281,Raw_data!$AQ281)))))</f>
        <v/>
      </c>
      <c r="H281">
        <f>--(AND(ISNUMBER(B281),B281&lt;0.5))</f>
        <v/>
      </c>
      <c r="I281">
        <f>IFERROR(MAX(0,(0.5-B281)*100),0)+IF(D281&gt;=24,20,0)+IF(Raw_data!$I281&gt;0,20,0)+IF(Raw_data!$AE281=TRUE,10,0)</f>
        <v/>
      </c>
      <c r="J281">
        <f>IFERROR(CHOOSE(MATCH(Dashboard!$B$11,{"Department","Team","Unit","Legal entity","Location","Lead"},0),INDEX(Lists!$B$3:$B$20,ROW()-1),INDEX(Lists!$C$3:$C$146,ROW()-1),INDEX(Lists!$D$3:$D$67,ROW()-1),INDEX(Lists!$E$3:$E$5,ROW()-1),INDEX(Lists!$F$3:$F$12,ROW()-1),INDEX(Lists!$G$3:$G$126,ROW()-1)),"")</f>
        <v/>
      </c>
      <c r="K281">
        <f>IF(J281="","",SUMPRODUCT(($A$2:$A$636=1)*($G$2:$G$636=J281)))</f>
        <v/>
      </c>
      <c r="L281">
        <f>IF(J281="","",SUMPRODUCT(($A$2:$A$636=1)*($G$2:$G$636=J281)*(ISNUMBER($B$2:$B$636))*($B$2:$B$636&lt;0.5)))</f>
        <v/>
      </c>
      <c r="M281">
        <f>IFERROR(L281/K281,"")</f>
        <v/>
      </c>
      <c r="N281">
        <f>IF(K281="","",M281+K281/100000+ROW()/100000000)</f>
        <v/>
      </c>
      <c r="R281">
        <f>IF(A281=1,IFERROR(I281,0)+ROW()/100000000,-1E+99)</f>
        <v/>
      </c>
      <c r="S281">
        <f>IF(A281=1,IFERROR(Raw_data!$T281,""),"")</f>
        <v/>
      </c>
      <c r="T281">
        <f>IF(A281=1,IFERROR(Raw_data!$AA281,""),"")</f>
        <v/>
      </c>
      <c r="U281">
        <f>IF(A281=1,IFERROR(Raw_data!$U281,""),"")</f>
        <v/>
      </c>
      <c r="V281">
        <f>IF(A281=1,IFERROR(Raw_data!$AB281,""),"")</f>
        <v/>
      </c>
    </row>
    <row r="282">
      <c r="A282">
        <f>--(AND(OR(Dashboard!$B$4="All",Raw_data!$AL282=Dashboard!$B$4),OR(Dashboard!$B$5="All",Raw_data!$AM282=Dashboard!$B$5),OR(Dashboard!$B$6="All",Raw_data!$AN282=Dashboard!$B$6),OR(Dashboard!$B$7="All",Raw_data!$AO282=Dashboard!$B$7),OR(Dashboard!$B$8="All",Raw_data!$AP282=Dashboard!$B$8),OR(Dashboard!$B$9="All",Raw_data!$AQ282=Dashboard!$B$9),OR(Dashboard!$B$10="All",Raw_data!$AF282=Dashboard!$B$10),OR(Raw_data!$F282="",Raw_data!$F282&lt;=TODAY())))</f>
        <v/>
      </c>
      <c r="B282">
        <f>IFERROR(IF(Dashboard!$B$3="Weighted",Raw_data!$U282,Raw_data!$T282),"")</f>
        <v/>
      </c>
      <c r="C282">
        <f>IFERROR(IF(Dashboard!$B$3="Weighted",Raw_data!$AB282,Raw_data!$AA282),"")</f>
        <v/>
      </c>
      <c r="D282">
        <f>IF(OR(Raw_data!$J282="",Raw_data!$J282&lt;=0,Raw_data!$K282=""),"",IF(Raw_data!$K282&gt;TODAY(),0,DATEDIF(Raw_data!$K282,TODAY(),"M")))</f>
        <v/>
      </c>
      <c r="E282">
        <f>--(AND(Raw_data!$AF282="No",OR(Raw_data!$AG282&lt;&gt;"",Raw_data!$AJ282&gt;0,Raw_data!$AK282&lt;&gt;"")))</f>
        <v/>
      </c>
      <c r="F282">
        <f>--(OR(AND(ISNUMBER(B282),B282&lt;0.5,OR(D282&gt;=24,Raw_data!$I282&gt;0)),Raw_data!$AE282=TRUE))</f>
        <v/>
      </c>
      <c r="G282">
        <f>IF(Dashboard!$B$11="Department",Raw_data!$AL282,IF(Dashboard!$B$11="Team",Raw_data!$AM282,IF(Dashboard!$B$11="Unit",Raw_data!$AN282,IF(Dashboard!$B$11="Legal entity",Raw_data!$AO282,IF(Dashboard!$B$11="Location",Raw_data!$AP282,Raw_data!$AQ282)))))</f>
        <v/>
      </c>
      <c r="H282">
        <f>--(AND(ISNUMBER(B282),B282&lt;0.5))</f>
        <v/>
      </c>
      <c r="I282">
        <f>IFERROR(MAX(0,(0.5-B282)*100),0)+IF(D282&gt;=24,20,0)+IF(Raw_data!$I282&gt;0,20,0)+IF(Raw_data!$AE282=TRUE,10,0)</f>
        <v/>
      </c>
      <c r="J282">
        <f>IFERROR(CHOOSE(MATCH(Dashboard!$B$11,{"Department","Team","Unit","Legal entity","Location","Lead"},0),INDEX(Lists!$B$3:$B$20,ROW()-1),INDEX(Lists!$C$3:$C$146,ROW()-1),INDEX(Lists!$D$3:$D$67,ROW()-1),INDEX(Lists!$E$3:$E$5,ROW()-1),INDEX(Lists!$F$3:$F$12,ROW()-1),INDEX(Lists!$G$3:$G$126,ROW()-1)),"")</f>
        <v/>
      </c>
      <c r="K282">
        <f>IF(J282="","",SUMPRODUCT(($A$2:$A$636=1)*($G$2:$G$636=J282)))</f>
        <v/>
      </c>
      <c r="L282">
        <f>IF(J282="","",SUMPRODUCT(($A$2:$A$636=1)*($G$2:$G$636=J282)*(ISNUMBER($B$2:$B$636))*($B$2:$B$636&lt;0.5)))</f>
        <v/>
      </c>
      <c r="M282">
        <f>IFERROR(L282/K282,"")</f>
        <v/>
      </c>
      <c r="N282">
        <f>IF(K282="","",M282+K282/100000+ROW()/100000000)</f>
        <v/>
      </c>
      <c r="R282">
        <f>IF(A282=1,IFERROR(I282,0)+ROW()/100000000,-1E+99)</f>
        <v/>
      </c>
      <c r="S282">
        <f>IF(A282=1,IFERROR(Raw_data!$T282,""),"")</f>
        <v/>
      </c>
      <c r="T282">
        <f>IF(A282=1,IFERROR(Raw_data!$AA282,""),"")</f>
        <v/>
      </c>
      <c r="U282">
        <f>IF(A282=1,IFERROR(Raw_data!$U282,""),"")</f>
        <v/>
      </c>
      <c r="V282">
        <f>IF(A282=1,IFERROR(Raw_data!$AB282,""),"")</f>
        <v/>
      </c>
    </row>
    <row r="283">
      <c r="A283">
        <f>--(AND(OR(Dashboard!$B$4="All",Raw_data!$AL283=Dashboard!$B$4),OR(Dashboard!$B$5="All",Raw_data!$AM283=Dashboard!$B$5),OR(Dashboard!$B$6="All",Raw_data!$AN283=Dashboard!$B$6),OR(Dashboard!$B$7="All",Raw_data!$AO283=Dashboard!$B$7),OR(Dashboard!$B$8="All",Raw_data!$AP283=Dashboard!$B$8),OR(Dashboard!$B$9="All",Raw_data!$AQ283=Dashboard!$B$9),OR(Dashboard!$B$10="All",Raw_data!$AF283=Dashboard!$B$10),OR(Raw_data!$F283="",Raw_data!$F283&lt;=TODAY())))</f>
        <v/>
      </c>
      <c r="B283">
        <f>IFERROR(IF(Dashboard!$B$3="Weighted",Raw_data!$U283,Raw_data!$T283),"")</f>
        <v/>
      </c>
      <c r="C283">
        <f>IFERROR(IF(Dashboard!$B$3="Weighted",Raw_data!$AB283,Raw_data!$AA283),"")</f>
        <v/>
      </c>
      <c r="D283">
        <f>IF(OR(Raw_data!$J283="",Raw_data!$J283&lt;=0,Raw_data!$K283=""),"",IF(Raw_data!$K283&gt;TODAY(),0,DATEDIF(Raw_data!$K283,TODAY(),"M")))</f>
        <v/>
      </c>
      <c r="E283">
        <f>--(AND(Raw_data!$AF283="No",OR(Raw_data!$AG283&lt;&gt;"",Raw_data!$AJ283&gt;0,Raw_data!$AK283&lt;&gt;"")))</f>
        <v/>
      </c>
      <c r="F283">
        <f>--(OR(AND(ISNUMBER(B283),B283&lt;0.5,OR(D283&gt;=24,Raw_data!$I283&gt;0)),Raw_data!$AE283=TRUE))</f>
        <v/>
      </c>
      <c r="G283">
        <f>IF(Dashboard!$B$11="Department",Raw_data!$AL283,IF(Dashboard!$B$11="Team",Raw_data!$AM283,IF(Dashboard!$B$11="Unit",Raw_data!$AN283,IF(Dashboard!$B$11="Legal entity",Raw_data!$AO283,IF(Dashboard!$B$11="Location",Raw_data!$AP283,Raw_data!$AQ283)))))</f>
        <v/>
      </c>
      <c r="H283">
        <f>--(AND(ISNUMBER(B283),B283&lt;0.5))</f>
        <v/>
      </c>
      <c r="I283">
        <f>IFERROR(MAX(0,(0.5-B283)*100),0)+IF(D283&gt;=24,20,0)+IF(Raw_data!$I283&gt;0,20,0)+IF(Raw_data!$AE283=TRUE,10,0)</f>
        <v/>
      </c>
      <c r="J283">
        <f>IFERROR(CHOOSE(MATCH(Dashboard!$B$11,{"Department","Team","Unit","Legal entity","Location","Lead"},0),INDEX(Lists!$B$3:$B$20,ROW()-1),INDEX(Lists!$C$3:$C$146,ROW()-1),INDEX(Lists!$D$3:$D$67,ROW()-1),INDEX(Lists!$E$3:$E$5,ROW()-1),INDEX(Lists!$F$3:$F$12,ROW()-1),INDEX(Lists!$G$3:$G$126,ROW()-1)),"")</f>
        <v/>
      </c>
      <c r="K283">
        <f>IF(J283="","",SUMPRODUCT(($A$2:$A$636=1)*($G$2:$G$636=J283)))</f>
        <v/>
      </c>
      <c r="L283">
        <f>IF(J283="","",SUMPRODUCT(($A$2:$A$636=1)*($G$2:$G$636=J283)*(ISNUMBER($B$2:$B$636))*($B$2:$B$636&lt;0.5)))</f>
        <v/>
      </c>
      <c r="M283">
        <f>IFERROR(L283/K283,"")</f>
        <v/>
      </c>
      <c r="N283">
        <f>IF(K283="","",M283+K283/100000+ROW()/100000000)</f>
        <v/>
      </c>
      <c r="R283">
        <f>IF(A283=1,IFERROR(I283,0)+ROW()/100000000,-1E+99)</f>
        <v/>
      </c>
      <c r="S283">
        <f>IF(A283=1,IFERROR(Raw_data!$T283,""),"")</f>
        <v/>
      </c>
      <c r="T283">
        <f>IF(A283=1,IFERROR(Raw_data!$AA283,""),"")</f>
        <v/>
      </c>
      <c r="U283">
        <f>IF(A283=1,IFERROR(Raw_data!$U283,""),"")</f>
        <v/>
      </c>
      <c r="V283">
        <f>IF(A283=1,IFERROR(Raw_data!$AB283,""),"")</f>
        <v/>
      </c>
    </row>
    <row r="284">
      <c r="A284">
        <f>--(AND(OR(Dashboard!$B$4="All",Raw_data!$AL284=Dashboard!$B$4),OR(Dashboard!$B$5="All",Raw_data!$AM284=Dashboard!$B$5),OR(Dashboard!$B$6="All",Raw_data!$AN284=Dashboard!$B$6),OR(Dashboard!$B$7="All",Raw_data!$AO284=Dashboard!$B$7),OR(Dashboard!$B$8="All",Raw_data!$AP284=Dashboard!$B$8),OR(Dashboard!$B$9="All",Raw_data!$AQ284=Dashboard!$B$9),OR(Dashboard!$B$10="All",Raw_data!$AF284=Dashboard!$B$10),OR(Raw_data!$F284="",Raw_data!$F284&lt;=TODAY())))</f>
        <v/>
      </c>
      <c r="B284">
        <f>IFERROR(IF(Dashboard!$B$3="Weighted",Raw_data!$U284,Raw_data!$T284),"")</f>
        <v/>
      </c>
      <c r="C284">
        <f>IFERROR(IF(Dashboard!$B$3="Weighted",Raw_data!$AB284,Raw_data!$AA284),"")</f>
        <v/>
      </c>
      <c r="D284">
        <f>IF(OR(Raw_data!$J284="",Raw_data!$J284&lt;=0,Raw_data!$K284=""),"",IF(Raw_data!$K284&gt;TODAY(),0,DATEDIF(Raw_data!$K284,TODAY(),"M")))</f>
        <v/>
      </c>
      <c r="E284">
        <f>--(AND(Raw_data!$AF284="No",OR(Raw_data!$AG284&lt;&gt;"",Raw_data!$AJ284&gt;0,Raw_data!$AK284&lt;&gt;"")))</f>
        <v/>
      </c>
      <c r="F284">
        <f>--(OR(AND(ISNUMBER(B284),B284&lt;0.5,OR(D284&gt;=24,Raw_data!$I284&gt;0)),Raw_data!$AE284=TRUE))</f>
        <v/>
      </c>
      <c r="G284">
        <f>IF(Dashboard!$B$11="Department",Raw_data!$AL284,IF(Dashboard!$B$11="Team",Raw_data!$AM284,IF(Dashboard!$B$11="Unit",Raw_data!$AN284,IF(Dashboard!$B$11="Legal entity",Raw_data!$AO284,IF(Dashboard!$B$11="Location",Raw_data!$AP284,Raw_data!$AQ284)))))</f>
        <v/>
      </c>
      <c r="H284">
        <f>--(AND(ISNUMBER(B284),B284&lt;0.5))</f>
        <v/>
      </c>
      <c r="I284">
        <f>IFERROR(MAX(0,(0.5-B284)*100),0)+IF(D284&gt;=24,20,0)+IF(Raw_data!$I284&gt;0,20,0)+IF(Raw_data!$AE284=TRUE,10,0)</f>
        <v/>
      </c>
      <c r="J284">
        <f>IFERROR(CHOOSE(MATCH(Dashboard!$B$11,{"Department","Team","Unit","Legal entity","Location","Lead"},0),INDEX(Lists!$B$3:$B$20,ROW()-1),INDEX(Lists!$C$3:$C$146,ROW()-1),INDEX(Lists!$D$3:$D$67,ROW()-1),INDEX(Lists!$E$3:$E$5,ROW()-1),INDEX(Lists!$F$3:$F$12,ROW()-1),INDEX(Lists!$G$3:$G$126,ROW()-1)),"")</f>
        <v/>
      </c>
      <c r="K284">
        <f>IF(J284="","",SUMPRODUCT(($A$2:$A$636=1)*($G$2:$G$636=J284)))</f>
        <v/>
      </c>
      <c r="L284">
        <f>IF(J284="","",SUMPRODUCT(($A$2:$A$636=1)*($G$2:$G$636=J284)*(ISNUMBER($B$2:$B$636))*($B$2:$B$636&lt;0.5)))</f>
        <v/>
      </c>
      <c r="M284">
        <f>IFERROR(L284/K284,"")</f>
        <v/>
      </c>
      <c r="N284">
        <f>IF(K284="","",M284+K284/100000+ROW()/100000000)</f>
        <v/>
      </c>
      <c r="R284">
        <f>IF(A284=1,IFERROR(I284,0)+ROW()/100000000,-1E+99)</f>
        <v/>
      </c>
      <c r="S284">
        <f>IF(A284=1,IFERROR(Raw_data!$T284,""),"")</f>
        <v/>
      </c>
      <c r="T284">
        <f>IF(A284=1,IFERROR(Raw_data!$AA284,""),"")</f>
        <v/>
      </c>
      <c r="U284">
        <f>IF(A284=1,IFERROR(Raw_data!$U284,""),"")</f>
        <v/>
      </c>
      <c r="V284">
        <f>IF(A284=1,IFERROR(Raw_data!$AB284,""),"")</f>
        <v/>
      </c>
    </row>
    <row r="285">
      <c r="A285">
        <f>--(AND(OR(Dashboard!$B$4="All",Raw_data!$AL285=Dashboard!$B$4),OR(Dashboard!$B$5="All",Raw_data!$AM285=Dashboard!$B$5),OR(Dashboard!$B$6="All",Raw_data!$AN285=Dashboard!$B$6),OR(Dashboard!$B$7="All",Raw_data!$AO285=Dashboard!$B$7),OR(Dashboard!$B$8="All",Raw_data!$AP285=Dashboard!$B$8),OR(Dashboard!$B$9="All",Raw_data!$AQ285=Dashboard!$B$9),OR(Dashboard!$B$10="All",Raw_data!$AF285=Dashboard!$B$10),OR(Raw_data!$F285="",Raw_data!$F285&lt;=TODAY())))</f>
        <v/>
      </c>
      <c r="B285">
        <f>IFERROR(IF(Dashboard!$B$3="Weighted",Raw_data!$U285,Raw_data!$T285),"")</f>
        <v/>
      </c>
      <c r="C285">
        <f>IFERROR(IF(Dashboard!$B$3="Weighted",Raw_data!$AB285,Raw_data!$AA285),"")</f>
        <v/>
      </c>
      <c r="D285">
        <f>IF(OR(Raw_data!$J285="",Raw_data!$J285&lt;=0,Raw_data!$K285=""),"",IF(Raw_data!$K285&gt;TODAY(),0,DATEDIF(Raw_data!$K285,TODAY(),"M")))</f>
        <v/>
      </c>
      <c r="E285">
        <f>--(AND(Raw_data!$AF285="No",OR(Raw_data!$AG285&lt;&gt;"",Raw_data!$AJ285&gt;0,Raw_data!$AK285&lt;&gt;"")))</f>
        <v/>
      </c>
      <c r="F285">
        <f>--(OR(AND(ISNUMBER(B285),B285&lt;0.5,OR(D285&gt;=24,Raw_data!$I285&gt;0)),Raw_data!$AE285=TRUE))</f>
        <v/>
      </c>
      <c r="G285">
        <f>IF(Dashboard!$B$11="Department",Raw_data!$AL285,IF(Dashboard!$B$11="Team",Raw_data!$AM285,IF(Dashboard!$B$11="Unit",Raw_data!$AN285,IF(Dashboard!$B$11="Legal entity",Raw_data!$AO285,IF(Dashboard!$B$11="Location",Raw_data!$AP285,Raw_data!$AQ285)))))</f>
        <v/>
      </c>
      <c r="H285">
        <f>--(AND(ISNUMBER(B285),B285&lt;0.5))</f>
        <v/>
      </c>
      <c r="I285">
        <f>IFERROR(MAX(0,(0.5-B285)*100),0)+IF(D285&gt;=24,20,0)+IF(Raw_data!$I285&gt;0,20,0)+IF(Raw_data!$AE285=TRUE,10,0)</f>
        <v/>
      </c>
      <c r="J285">
        <f>IFERROR(CHOOSE(MATCH(Dashboard!$B$11,{"Department","Team","Unit","Legal entity","Location","Lead"},0),INDEX(Lists!$B$3:$B$20,ROW()-1),INDEX(Lists!$C$3:$C$146,ROW()-1),INDEX(Lists!$D$3:$D$67,ROW()-1),INDEX(Lists!$E$3:$E$5,ROW()-1),INDEX(Lists!$F$3:$F$12,ROW()-1),INDEX(Lists!$G$3:$G$126,ROW()-1)),"")</f>
        <v/>
      </c>
      <c r="K285">
        <f>IF(J285="","",SUMPRODUCT(($A$2:$A$636=1)*($G$2:$G$636=J285)))</f>
        <v/>
      </c>
      <c r="L285">
        <f>IF(J285="","",SUMPRODUCT(($A$2:$A$636=1)*($G$2:$G$636=J285)*(ISNUMBER($B$2:$B$636))*($B$2:$B$636&lt;0.5)))</f>
        <v/>
      </c>
      <c r="M285">
        <f>IFERROR(L285/K285,"")</f>
        <v/>
      </c>
      <c r="N285">
        <f>IF(K285="","",M285+K285/100000+ROW()/100000000)</f>
        <v/>
      </c>
      <c r="R285">
        <f>IF(A285=1,IFERROR(I285,0)+ROW()/100000000,-1E+99)</f>
        <v/>
      </c>
      <c r="S285">
        <f>IF(A285=1,IFERROR(Raw_data!$T285,""),"")</f>
        <v/>
      </c>
      <c r="T285">
        <f>IF(A285=1,IFERROR(Raw_data!$AA285,""),"")</f>
        <v/>
      </c>
      <c r="U285">
        <f>IF(A285=1,IFERROR(Raw_data!$U285,""),"")</f>
        <v/>
      </c>
      <c r="V285">
        <f>IF(A285=1,IFERROR(Raw_data!$AB285,""),"")</f>
        <v/>
      </c>
    </row>
    <row r="286">
      <c r="A286">
        <f>--(AND(OR(Dashboard!$B$4="All",Raw_data!$AL286=Dashboard!$B$4),OR(Dashboard!$B$5="All",Raw_data!$AM286=Dashboard!$B$5),OR(Dashboard!$B$6="All",Raw_data!$AN286=Dashboard!$B$6),OR(Dashboard!$B$7="All",Raw_data!$AO286=Dashboard!$B$7),OR(Dashboard!$B$8="All",Raw_data!$AP286=Dashboard!$B$8),OR(Dashboard!$B$9="All",Raw_data!$AQ286=Dashboard!$B$9),OR(Dashboard!$B$10="All",Raw_data!$AF286=Dashboard!$B$10),OR(Raw_data!$F286="",Raw_data!$F286&lt;=TODAY())))</f>
        <v/>
      </c>
      <c r="B286">
        <f>IFERROR(IF(Dashboard!$B$3="Weighted",Raw_data!$U286,Raw_data!$T286),"")</f>
        <v/>
      </c>
      <c r="C286">
        <f>IFERROR(IF(Dashboard!$B$3="Weighted",Raw_data!$AB286,Raw_data!$AA286),"")</f>
        <v/>
      </c>
      <c r="D286">
        <f>IF(OR(Raw_data!$J286="",Raw_data!$J286&lt;=0,Raw_data!$K286=""),"",IF(Raw_data!$K286&gt;TODAY(),0,DATEDIF(Raw_data!$K286,TODAY(),"M")))</f>
        <v/>
      </c>
      <c r="E286">
        <f>--(AND(Raw_data!$AF286="No",OR(Raw_data!$AG286&lt;&gt;"",Raw_data!$AJ286&gt;0,Raw_data!$AK286&lt;&gt;"")))</f>
        <v/>
      </c>
      <c r="F286">
        <f>--(OR(AND(ISNUMBER(B286),B286&lt;0.5,OR(D286&gt;=24,Raw_data!$I286&gt;0)),Raw_data!$AE286=TRUE))</f>
        <v/>
      </c>
      <c r="G286">
        <f>IF(Dashboard!$B$11="Department",Raw_data!$AL286,IF(Dashboard!$B$11="Team",Raw_data!$AM286,IF(Dashboard!$B$11="Unit",Raw_data!$AN286,IF(Dashboard!$B$11="Legal entity",Raw_data!$AO286,IF(Dashboard!$B$11="Location",Raw_data!$AP286,Raw_data!$AQ286)))))</f>
        <v/>
      </c>
      <c r="H286">
        <f>--(AND(ISNUMBER(B286),B286&lt;0.5))</f>
        <v/>
      </c>
      <c r="I286">
        <f>IFERROR(MAX(0,(0.5-B286)*100),0)+IF(D286&gt;=24,20,0)+IF(Raw_data!$I286&gt;0,20,0)+IF(Raw_data!$AE286=TRUE,10,0)</f>
        <v/>
      </c>
      <c r="J286">
        <f>IFERROR(CHOOSE(MATCH(Dashboard!$B$11,{"Department","Team","Unit","Legal entity","Location","Lead"},0),INDEX(Lists!$B$3:$B$20,ROW()-1),INDEX(Lists!$C$3:$C$146,ROW()-1),INDEX(Lists!$D$3:$D$67,ROW()-1),INDEX(Lists!$E$3:$E$5,ROW()-1),INDEX(Lists!$F$3:$F$12,ROW()-1),INDEX(Lists!$G$3:$G$126,ROW()-1)),"")</f>
        <v/>
      </c>
      <c r="K286">
        <f>IF(J286="","",SUMPRODUCT(($A$2:$A$636=1)*($G$2:$G$636=J286)))</f>
        <v/>
      </c>
      <c r="L286">
        <f>IF(J286="","",SUMPRODUCT(($A$2:$A$636=1)*($G$2:$G$636=J286)*(ISNUMBER($B$2:$B$636))*($B$2:$B$636&lt;0.5)))</f>
        <v/>
      </c>
      <c r="M286">
        <f>IFERROR(L286/K286,"")</f>
        <v/>
      </c>
      <c r="N286">
        <f>IF(K286="","",M286+K286/100000+ROW()/100000000)</f>
        <v/>
      </c>
      <c r="R286">
        <f>IF(A286=1,IFERROR(I286,0)+ROW()/100000000,-1E+99)</f>
        <v/>
      </c>
      <c r="S286">
        <f>IF(A286=1,IFERROR(Raw_data!$T286,""),"")</f>
        <v/>
      </c>
      <c r="T286">
        <f>IF(A286=1,IFERROR(Raw_data!$AA286,""),"")</f>
        <v/>
      </c>
      <c r="U286">
        <f>IF(A286=1,IFERROR(Raw_data!$U286,""),"")</f>
        <v/>
      </c>
      <c r="V286">
        <f>IF(A286=1,IFERROR(Raw_data!$AB286,""),"")</f>
        <v/>
      </c>
    </row>
    <row r="287">
      <c r="A287">
        <f>--(AND(OR(Dashboard!$B$4="All",Raw_data!$AL287=Dashboard!$B$4),OR(Dashboard!$B$5="All",Raw_data!$AM287=Dashboard!$B$5),OR(Dashboard!$B$6="All",Raw_data!$AN287=Dashboard!$B$6),OR(Dashboard!$B$7="All",Raw_data!$AO287=Dashboard!$B$7),OR(Dashboard!$B$8="All",Raw_data!$AP287=Dashboard!$B$8),OR(Dashboard!$B$9="All",Raw_data!$AQ287=Dashboard!$B$9),OR(Dashboard!$B$10="All",Raw_data!$AF287=Dashboard!$B$10),OR(Raw_data!$F287="",Raw_data!$F287&lt;=TODAY())))</f>
        <v/>
      </c>
      <c r="B287">
        <f>IFERROR(IF(Dashboard!$B$3="Weighted",Raw_data!$U287,Raw_data!$T287),"")</f>
        <v/>
      </c>
      <c r="C287">
        <f>IFERROR(IF(Dashboard!$B$3="Weighted",Raw_data!$AB287,Raw_data!$AA287),"")</f>
        <v/>
      </c>
      <c r="D287">
        <f>IF(OR(Raw_data!$J287="",Raw_data!$J287&lt;=0,Raw_data!$K287=""),"",IF(Raw_data!$K287&gt;TODAY(),0,DATEDIF(Raw_data!$K287,TODAY(),"M")))</f>
        <v/>
      </c>
      <c r="E287">
        <f>--(AND(Raw_data!$AF287="No",OR(Raw_data!$AG287&lt;&gt;"",Raw_data!$AJ287&gt;0,Raw_data!$AK287&lt;&gt;"")))</f>
        <v/>
      </c>
      <c r="F287">
        <f>--(OR(AND(ISNUMBER(B287),B287&lt;0.5,OR(D287&gt;=24,Raw_data!$I287&gt;0)),Raw_data!$AE287=TRUE))</f>
        <v/>
      </c>
      <c r="G287">
        <f>IF(Dashboard!$B$11="Department",Raw_data!$AL287,IF(Dashboard!$B$11="Team",Raw_data!$AM287,IF(Dashboard!$B$11="Unit",Raw_data!$AN287,IF(Dashboard!$B$11="Legal entity",Raw_data!$AO287,IF(Dashboard!$B$11="Location",Raw_data!$AP287,Raw_data!$AQ287)))))</f>
        <v/>
      </c>
      <c r="H287">
        <f>--(AND(ISNUMBER(B287),B287&lt;0.5))</f>
        <v/>
      </c>
      <c r="I287">
        <f>IFERROR(MAX(0,(0.5-B287)*100),0)+IF(D287&gt;=24,20,0)+IF(Raw_data!$I287&gt;0,20,0)+IF(Raw_data!$AE287=TRUE,10,0)</f>
        <v/>
      </c>
      <c r="J287">
        <f>IFERROR(CHOOSE(MATCH(Dashboard!$B$11,{"Department","Team","Unit","Legal entity","Location","Lead"},0),INDEX(Lists!$B$3:$B$20,ROW()-1),INDEX(Lists!$C$3:$C$146,ROW()-1),INDEX(Lists!$D$3:$D$67,ROW()-1),INDEX(Lists!$E$3:$E$5,ROW()-1),INDEX(Lists!$F$3:$F$12,ROW()-1),INDEX(Lists!$G$3:$G$126,ROW()-1)),"")</f>
        <v/>
      </c>
      <c r="K287">
        <f>IF(J287="","",SUMPRODUCT(($A$2:$A$636=1)*($G$2:$G$636=J287)))</f>
        <v/>
      </c>
      <c r="L287">
        <f>IF(J287="","",SUMPRODUCT(($A$2:$A$636=1)*($G$2:$G$636=J287)*(ISNUMBER($B$2:$B$636))*($B$2:$B$636&lt;0.5)))</f>
        <v/>
      </c>
      <c r="M287">
        <f>IFERROR(L287/K287,"")</f>
        <v/>
      </c>
      <c r="N287">
        <f>IF(K287="","",M287+K287/100000+ROW()/100000000)</f>
        <v/>
      </c>
      <c r="R287">
        <f>IF(A287=1,IFERROR(I287,0)+ROW()/100000000,-1E+99)</f>
        <v/>
      </c>
      <c r="S287">
        <f>IF(A287=1,IFERROR(Raw_data!$T287,""),"")</f>
        <v/>
      </c>
      <c r="T287">
        <f>IF(A287=1,IFERROR(Raw_data!$AA287,""),"")</f>
        <v/>
      </c>
      <c r="U287">
        <f>IF(A287=1,IFERROR(Raw_data!$U287,""),"")</f>
        <v/>
      </c>
      <c r="V287">
        <f>IF(A287=1,IFERROR(Raw_data!$AB287,""),"")</f>
        <v/>
      </c>
    </row>
    <row r="288">
      <c r="A288">
        <f>--(AND(OR(Dashboard!$B$4="All",Raw_data!$AL288=Dashboard!$B$4),OR(Dashboard!$B$5="All",Raw_data!$AM288=Dashboard!$B$5),OR(Dashboard!$B$6="All",Raw_data!$AN288=Dashboard!$B$6),OR(Dashboard!$B$7="All",Raw_data!$AO288=Dashboard!$B$7),OR(Dashboard!$B$8="All",Raw_data!$AP288=Dashboard!$B$8),OR(Dashboard!$B$9="All",Raw_data!$AQ288=Dashboard!$B$9),OR(Dashboard!$B$10="All",Raw_data!$AF288=Dashboard!$B$10),OR(Raw_data!$F288="",Raw_data!$F288&lt;=TODAY())))</f>
        <v/>
      </c>
      <c r="B288">
        <f>IFERROR(IF(Dashboard!$B$3="Weighted",Raw_data!$U288,Raw_data!$T288),"")</f>
        <v/>
      </c>
      <c r="C288">
        <f>IFERROR(IF(Dashboard!$B$3="Weighted",Raw_data!$AB288,Raw_data!$AA288),"")</f>
        <v/>
      </c>
      <c r="D288">
        <f>IF(OR(Raw_data!$J288="",Raw_data!$J288&lt;=0,Raw_data!$K288=""),"",IF(Raw_data!$K288&gt;TODAY(),0,DATEDIF(Raw_data!$K288,TODAY(),"M")))</f>
        <v/>
      </c>
      <c r="E288">
        <f>--(AND(Raw_data!$AF288="No",OR(Raw_data!$AG288&lt;&gt;"",Raw_data!$AJ288&gt;0,Raw_data!$AK288&lt;&gt;"")))</f>
        <v/>
      </c>
      <c r="F288">
        <f>--(OR(AND(ISNUMBER(B288),B288&lt;0.5,OR(D288&gt;=24,Raw_data!$I288&gt;0)),Raw_data!$AE288=TRUE))</f>
        <v/>
      </c>
      <c r="G288">
        <f>IF(Dashboard!$B$11="Department",Raw_data!$AL288,IF(Dashboard!$B$11="Team",Raw_data!$AM288,IF(Dashboard!$B$11="Unit",Raw_data!$AN288,IF(Dashboard!$B$11="Legal entity",Raw_data!$AO288,IF(Dashboard!$B$11="Location",Raw_data!$AP288,Raw_data!$AQ288)))))</f>
        <v/>
      </c>
      <c r="H288">
        <f>--(AND(ISNUMBER(B288),B288&lt;0.5))</f>
        <v/>
      </c>
      <c r="I288">
        <f>IFERROR(MAX(0,(0.5-B288)*100),0)+IF(D288&gt;=24,20,0)+IF(Raw_data!$I288&gt;0,20,0)+IF(Raw_data!$AE288=TRUE,10,0)</f>
        <v/>
      </c>
      <c r="J288">
        <f>IFERROR(CHOOSE(MATCH(Dashboard!$B$11,{"Department","Team","Unit","Legal entity","Location","Lead"},0),INDEX(Lists!$B$3:$B$20,ROW()-1),INDEX(Lists!$C$3:$C$146,ROW()-1),INDEX(Lists!$D$3:$D$67,ROW()-1),INDEX(Lists!$E$3:$E$5,ROW()-1),INDEX(Lists!$F$3:$F$12,ROW()-1),INDEX(Lists!$G$3:$G$126,ROW()-1)),"")</f>
        <v/>
      </c>
      <c r="K288">
        <f>IF(J288="","",SUMPRODUCT(($A$2:$A$636=1)*($G$2:$G$636=J288)))</f>
        <v/>
      </c>
      <c r="L288">
        <f>IF(J288="","",SUMPRODUCT(($A$2:$A$636=1)*($G$2:$G$636=J288)*(ISNUMBER($B$2:$B$636))*($B$2:$B$636&lt;0.5)))</f>
        <v/>
      </c>
      <c r="M288">
        <f>IFERROR(L288/K288,"")</f>
        <v/>
      </c>
      <c r="N288">
        <f>IF(K288="","",M288+K288/100000+ROW()/100000000)</f>
        <v/>
      </c>
      <c r="R288">
        <f>IF(A288=1,IFERROR(I288,0)+ROW()/100000000,-1E+99)</f>
        <v/>
      </c>
      <c r="S288">
        <f>IF(A288=1,IFERROR(Raw_data!$T288,""),"")</f>
        <v/>
      </c>
      <c r="T288">
        <f>IF(A288=1,IFERROR(Raw_data!$AA288,""),"")</f>
        <v/>
      </c>
      <c r="U288">
        <f>IF(A288=1,IFERROR(Raw_data!$U288,""),"")</f>
        <v/>
      </c>
      <c r="V288">
        <f>IF(A288=1,IFERROR(Raw_data!$AB288,""),"")</f>
        <v/>
      </c>
    </row>
    <row r="289">
      <c r="A289">
        <f>--(AND(OR(Dashboard!$B$4="All",Raw_data!$AL289=Dashboard!$B$4),OR(Dashboard!$B$5="All",Raw_data!$AM289=Dashboard!$B$5),OR(Dashboard!$B$6="All",Raw_data!$AN289=Dashboard!$B$6),OR(Dashboard!$B$7="All",Raw_data!$AO289=Dashboard!$B$7),OR(Dashboard!$B$8="All",Raw_data!$AP289=Dashboard!$B$8),OR(Dashboard!$B$9="All",Raw_data!$AQ289=Dashboard!$B$9),OR(Dashboard!$B$10="All",Raw_data!$AF289=Dashboard!$B$10),OR(Raw_data!$F289="",Raw_data!$F289&lt;=TODAY())))</f>
        <v/>
      </c>
      <c r="B289">
        <f>IFERROR(IF(Dashboard!$B$3="Weighted",Raw_data!$U289,Raw_data!$T289),"")</f>
        <v/>
      </c>
      <c r="C289">
        <f>IFERROR(IF(Dashboard!$B$3="Weighted",Raw_data!$AB289,Raw_data!$AA289),"")</f>
        <v/>
      </c>
      <c r="D289">
        <f>IF(OR(Raw_data!$J289="",Raw_data!$J289&lt;=0,Raw_data!$K289=""),"",IF(Raw_data!$K289&gt;TODAY(),0,DATEDIF(Raw_data!$K289,TODAY(),"M")))</f>
        <v/>
      </c>
      <c r="E289">
        <f>--(AND(Raw_data!$AF289="No",OR(Raw_data!$AG289&lt;&gt;"",Raw_data!$AJ289&gt;0,Raw_data!$AK289&lt;&gt;"")))</f>
        <v/>
      </c>
      <c r="F289">
        <f>--(OR(AND(ISNUMBER(B289),B289&lt;0.5,OR(D289&gt;=24,Raw_data!$I289&gt;0)),Raw_data!$AE289=TRUE))</f>
        <v/>
      </c>
      <c r="G289">
        <f>IF(Dashboard!$B$11="Department",Raw_data!$AL289,IF(Dashboard!$B$11="Team",Raw_data!$AM289,IF(Dashboard!$B$11="Unit",Raw_data!$AN289,IF(Dashboard!$B$11="Legal entity",Raw_data!$AO289,IF(Dashboard!$B$11="Location",Raw_data!$AP289,Raw_data!$AQ289)))))</f>
        <v/>
      </c>
      <c r="H289">
        <f>--(AND(ISNUMBER(B289),B289&lt;0.5))</f>
        <v/>
      </c>
      <c r="I289">
        <f>IFERROR(MAX(0,(0.5-B289)*100),0)+IF(D289&gt;=24,20,0)+IF(Raw_data!$I289&gt;0,20,0)+IF(Raw_data!$AE289=TRUE,10,0)</f>
        <v/>
      </c>
      <c r="J289">
        <f>IFERROR(CHOOSE(MATCH(Dashboard!$B$11,{"Department","Team","Unit","Legal entity","Location","Lead"},0),INDEX(Lists!$B$3:$B$20,ROW()-1),INDEX(Lists!$C$3:$C$146,ROW()-1),INDEX(Lists!$D$3:$D$67,ROW()-1),INDEX(Lists!$E$3:$E$5,ROW()-1),INDEX(Lists!$F$3:$F$12,ROW()-1),INDEX(Lists!$G$3:$G$126,ROW()-1)),"")</f>
        <v/>
      </c>
      <c r="K289">
        <f>IF(J289="","",SUMPRODUCT(($A$2:$A$636=1)*($G$2:$G$636=J289)))</f>
        <v/>
      </c>
      <c r="L289">
        <f>IF(J289="","",SUMPRODUCT(($A$2:$A$636=1)*($G$2:$G$636=J289)*(ISNUMBER($B$2:$B$636))*($B$2:$B$636&lt;0.5)))</f>
        <v/>
      </c>
      <c r="M289">
        <f>IFERROR(L289/K289,"")</f>
        <v/>
      </c>
      <c r="N289">
        <f>IF(K289="","",M289+K289/100000+ROW()/100000000)</f>
        <v/>
      </c>
      <c r="R289">
        <f>IF(A289=1,IFERROR(I289,0)+ROW()/100000000,-1E+99)</f>
        <v/>
      </c>
      <c r="S289">
        <f>IF(A289=1,IFERROR(Raw_data!$T289,""),"")</f>
        <v/>
      </c>
      <c r="T289">
        <f>IF(A289=1,IFERROR(Raw_data!$AA289,""),"")</f>
        <v/>
      </c>
      <c r="U289">
        <f>IF(A289=1,IFERROR(Raw_data!$U289,""),"")</f>
        <v/>
      </c>
      <c r="V289">
        <f>IF(A289=1,IFERROR(Raw_data!$AB289,""),"")</f>
        <v/>
      </c>
    </row>
    <row r="290">
      <c r="A290">
        <f>--(AND(OR(Dashboard!$B$4="All",Raw_data!$AL290=Dashboard!$B$4),OR(Dashboard!$B$5="All",Raw_data!$AM290=Dashboard!$B$5),OR(Dashboard!$B$6="All",Raw_data!$AN290=Dashboard!$B$6),OR(Dashboard!$B$7="All",Raw_data!$AO290=Dashboard!$B$7),OR(Dashboard!$B$8="All",Raw_data!$AP290=Dashboard!$B$8),OR(Dashboard!$B$9="All",Raw_data!$AQ290=Dashboard!$B$9),OR(Dashboard!$B$10="All",Raw_data!$AF290=Dashboard!$B$10),OR(Raw_data!$F290="",Raw_data!$F290&lt;=TODAY())))</f>
        <v/>
      </c>
      <c r="B290">
        <f>IFERROR(IF(Dashboard!$B$3="Weighted",Raw_data!$U290,Raw_data!$T290),"")</f>
        <v/>
      </c>
      <c r="C290">
        <f>IFERROR(IF(Dashboard!$B$3="Weighted",Raw_data!$AB290,Raw_data!$AA290),"")</f>
        <v/>
      </c>
      <c r="D290">
        <f>IF(OR(Raw_data!$J290="",Raw_data!$J290&lt;=0,Raw_data!$K290=""),"",IF(Raw_data!$K290&gt;TODAY(),0,DATEDIF(Raw_data!$K290,TODAY(),"M")))</f>
        <v/>
      </c>
      <c r="E290">
        <f>--(AND(Raw_data!$AF290="No",OR(Raw_data!$AG290&lt;&gt;"",Raw_data!$AJ290&gt;0,Raw_data!$AK290&lt;&gt;"")))</f>
        <v/>
      </c>
      <c r="F290">
        <f>--(OR(AND(ISNUMBER(B290),B290&lt;0.5,OR(D290&gt;=24,Raw_data!$I290&gt;0)),Raw_data!$AE290=TRUE))</f>
        <v/>
      </c>
      <c r="G290">
        <f>IF(Dashboard!$B$11="Department",Raw_data!$AL290,IF(Dashboard!$B$11="Team",Raw_data!$AM290,IF(Dashboard!$B$11="Unit",Raw_data!$AN290,IF(Dashboard!$B$11="Legal entity",Raw_data!$AO290,IF(Dashboard!$B$11="Location",Raw_data!$AP290,Raw_data!$AQ290)))))</f>
        <v/>
      </c>
      <c r="H290">
        <f>--(AND(ISNUMBER(B290),B290&lt;0.5))</f>
        <v/>
      </c>
      <c r="I290">
        <f>IFERROR(MAX(0,(0.5-B290)*100),0)+IF(D290&gt;=24,20,0)+IF(Raw_data!$I290&gt;0,20,0)+IF(Raw_data!$AE290=TRUE,10,0)</f>
        <v/>
      </c>
      <c r="J290">
        <f>IFERROR(CHOOSE(MATCH(Dashboard!$B$11,{"Department","Team","Unit","Legal entity","Location","Lead"},0),INDEX(Lists!$B$3:$B$20,ROW()-1),INDEX(Lists!$C$3:$C$146,ROW()-1),INDEX(Lists!$D$3:$D$67,ROW()-1),INDEX(Lists!$E$3:$E$5,ROW()-1),INDEX(Lists!$F$3:$F$12,ROW()-1),INDEX(Lists!$G$3:$G$126,ROW()-1)),"")</f>
        <v/>
      </c>
      <c r="K290">
        <f>IF(J290="","",SUMPRODUCT(($A$2:$A$636=1)*($G$2:$G$636=J290)))</f>
        <v/>
      </c>
      <c r="L290">
        <f>IF(J290="","",SUMPRODUCT(($A$2:$A$636=1)*($G$2:$G$636=J290)*(ISNUMBER($B$2:$B$636))*($B$2:$B$636&lt;0.5)))</f>
        <v/>
      </c>
      <c r="M290">
        <f>IFERROR(L290/K290,"")</f>
        <v/>
      </c>
      <c r="N290">
        <f>IF(K290="","",M290+K290/100000+ROW()/100000000)</f>
        <v/>
      </c>
      <c r="R290">
        <f>IF(A290=1,IFERROR(I290,0)+ROW()/100000000,-1E+99)</f>
        <v/>
      </c>
      <c r="S290">
        <f>IF(A290=1,IFERROR(Raw_data!$T290,""),"")</f>
        <v/>
      </c>
      <c r="T290">
        <f>IF(A290=1,IFERROR(Raw_data!$AA290,""),"")</f>
        <v/>
      </c>
      <c r="U290">
        <f>IF(A290=1,IFERROR(Raw_data!$U290,""),"")</f>
        <v/>
      </c>
      <c r="V290">
        <f>IF(A290=1,IFERROR(Raw_data!$AB290,""),"")</f>
        <v/>
      </c>
    </row>
    <row r="291">
      <c r="A291">
        <f>--(AND(OR(Dashboard!$B$4="All",Raw_data!$AL291=Dashboard!$B$4),OR(Dashboard!$B$5="All",Raw_data!$AM291=Dashboard!$B$5),OR(Dashboard!$B$6="All",Raw_data!$AN291=Dashboard!$B$6),OR(Dashboard!$B$7="All",Raw_data!$AO291=Dashboard!$B$7),OR(Dashboard!$B$8="All",Raw_data!$AP291=Dashboard!$B$8),OR(Dashboard!$B$9="All",Raw_data!$AQ291=Dashboard!$B$9),OR(Dashboard!$B$10="All",Raw_data!$AF291=Dashboard!$B$10),OR(Raw_data!$F291="",Raw_data!$F291&lt;=TODAY())))</f>
        <v/>
      </c>
      <c r="B291">
        <f>IFERROR(IF(Dashboard!$B$3="Weighted",Raw_data!$U291,Raw_data!$T291),"")</f>
        <v/>
      </c>
      <c r="C291">
        <f>IFERROR(IF(Dashboard!$B$3="Weighted",Raw_data!$AB291,Raw_data!$AA291),"")</f>
        <v/>
      </c>
      <c r="D291">
        <f>IF(OR(Raw_data!$J291="",Raw_data!$J291&lt;=0,Raw_data!$K291=""),"",IF(Raw_data!$K291&gt;TODAY(),0,DATEDIF(Raw_data!$K291,TODAY(),"M")))</f>
        <v/>
      </c>
      <c r="E291">
        <f>--(AND(Raw_data!$AF291="No",OR(Raw_data!$AG291&lt;&gt;"",Raw_data!$AJ291&gt;0,Raw_data!$AK291&lt;&gt;"")))</f>
        <v/>
      </c>
      <c r="F291">
        <f>--(OR(AND(ISNUMBER(B291),B291&lt;0.5,OR(D291&gt;=24,Raw_data!$I291&gt;0)),Raw_data!$AE291=TRUE))</f>
        <v/>
      </c>
      <c r="G291">
        <f>IF(Dashboard!$B$11="Department",Raw_data!$AL291,IF(Dashboard!$B$11="Team",Raw_data!$AM291,IF(Dashboard!$B$11="Unit",Raw_data!$AN291,IF(Dashboard!$B$11="Legal entity",Raw_data!$AO291,IF(Dashboard!$B$11="Location",Raw_data!$AP291,Raw_data!$AQ291)))))</f>
        <v/>
      </c>
      <c r="H291">
        <f>--(AND(ISNUMBER(B291),B291&lt;0.5))</f>
        <v/>
      </c>
      <c r="I291">
        <f>IFERROR(MAX(0,(0.5-B291)*100),0)+IF(D291&gt;=24,20,0)+IF(Raw_data!$I291&gt;0,20,0)+IF(Raw_data!$AE291=TRUE,10,0)</f>
        <v/>
      </c>
      <c r="J291">
        <f>IFERROR(CHOOSE(MATCH(Dashboard!$B$11,{"Department","Team","Unit","Legal entity","Location","Lead"},0),INDEX(Lists!$B$3:$B$20,ROW()-1),INDEX(Lists!$C$3:$C$146,ROW()-1),INDEX(Lists!$D$3:$D$67,ROW()-1),INDEX(Lists!$E$3:$E$5,ROW()-1),INDEX(Lists!$F$3:$F$12,ROW()-1),INDEX(Lists!$G$3:$G$126,ROW()-1)),"")</f>
        <v/>
      </c>
      <c r="K291">
        <f>IF(J291="","",SUMPRODUCT(($A$2:$A$636=1)*($G$2:$G$636=J291)))</f>
        <v/>
      </c>
      <c r="L291">
        <f>IF(J291="","",SUMPRODUCT(($A$2:$A$636=1)*($G$2:$G$636=J291)*(ISNUMBER($B$2:$B$636))*($B$2:$B$636&lt;0.5)))</f>
        <v/>
      </c>
      <c r="M291">
        <f>IFERROR(L291/K291,"")</f>
        <v/>
      </c>
      <c r="N291">
        <f>IF(K291="","",M291+K291/100000+ROW()/100000000)</f>
        <v/>
      </c>
      <c r="R291">
        <f>IF(A291=1,IFERROR(I291,0)+ROW()/100000000,-1E+99)</f>
        <v/>
      </c>
      <c r="S291">
        <f>IF(A291=1,IFERROR(Raw_data!$T291,""),"")</f>
        <v/>
      </c>
      <c r="T291">
        <f>IF(A291=1,IFERROR(Raw_data!$AA291,""),"")</f>
        <v/>
      </c>
      <c r="U291">
        <f>IF(A291=1,IFERROR(Raw_data!$U291,""),"")</f>
        <v/>
      </c>
      <c r="V291">
        <f>IF(A291=1,IFERROR(Raw_data!$AB291,""),"")</f>
        <v/>
      </c>
    </row>
    <row r="292">
      <c r="A292">
        <f>--(AND(OR(Dashboard!$B$4="All",Raw_data!$AL292=Dashboard!$B$4),OR(Dashboard!$B$5="All",Raw_data!$AM292=Dashboard!$B$5),OR(Dashboard!$B$6="All",Raw_data!$AN292=Dashboard!$B$6),OR(Dashboard!$B$7="All",Raw_data!$AO292=Dashboard!$B$7),OR(Dashboard!$B$8="All",Raw_data!$AP292=Dashboard!$B$8),OR(Dashboard!$B$9="All",Raw_data!$AQ292=Dashboard!$B$9),OR(Dashboard!$B$10="All",Raw_data!$AF292=Dashboard!$B$10),OR(Raw_data!$F292="",Raw_data!$F292&lt;=TODAY())))</f>
        <v/>
      </c>
      <c r="B292">
        <f>IFERROR(IF(Dashboard!$B$3="Weighted",Raw_data!$U292,Raw_data!$T292),"")</f>
        <v/>
      </c>
      <c r="C292">
        <f>IFERROR(IF(Dashboard!$B$3="Weighted",Raw_data!$AB292,Raw_data!$AA292),"")</f>
        <v/>
      </c>
      <c r="D292">
        <f>IF(OR(Raw_data!$J292="",Raw_data!$J292&lt;=0,Raw_data!$K292=""),"",IF(Raw_data!$K292&gt;TODAY(),0,DATEDIF(Raw_data!$K292,TODAY(),"M")))</f>
        <v/>
      </c>
      <c r="E292">
        <f>--(AND(Raw_data!$AF292="No",OR(Raw_data!$AG292&lt;&gt;"",Raw_data!$AJ292&gt;0,Raw_data!$AK292&lt;&gt;"")))</f>
        <v/>
      </c>
      <c r="F292">
        <f>--(OR(AND(ISNUMBER(B292),B292&lt;0.5,OR(D292&gt;=24,Raw_data!$I292&gt;0)),Raw_data!$AE292=TRUE))</f>
        <v/>
      </c>
      <c r="G292">
        <f>IF(Dashboard!$B$11="Department",Raw_data!$AL292,IF(Dashboard!$B$11="Team",Raw_data!$AM292,IF(Dashboard!$B$11="Unit",Raw_data!$AN292,IF(Dashboard!$B$11="Legal entity",Raw_data!$AO292,IF(Dashboard!$B$11="Location",Raw_data!$AP292,Raw_data!$AQ292)))))</f>
        <v/>
      </c>
      <c r="H292">
        <f>--(AND(ISNUMBER(B292),B292&lt;0.5))</f>
        <v/>
      </c>
      <c r="I292">
        <f>IFERROR(MAX(0,(0.5-B292)*100),0)+IF(D292&gt;=24,20,0)+IF(Raw_data!$I292&gt;0,20,0)+IF(Raw_data!$AE292=TRUE,10,0)</f>
        <v/>
      </c>
      <c r="J292">
        <f>IFERROR(CHOOSE(MATCH(Dashboard!$B$11,{"Department","Team","Unit","Legal entity","Location","Lead"},0),INDEX(Lists!$B$3:$B$20,ROW()-1),INDEX(Lists!$C$3:$C$146,ROW()-1),INDEX(Lists!$D$3:$D$67,ROW()-1),INDEX(Lists!$E$3:$E$5,ROW()-1),INDEX(Lists!$F$3:$F$12,ROW()-1),INDEX(Lists!$G$3:$G$126,ROW()-1)),"")</f>
        <v/>
      </c>
      <c r="K292">
        <f>IF(J292="","",SUMPRODUCT(($A$2:$A$636=1)*($G$2:$G$636=J292)))</f>
        <v/>
      </c>
      <c r="L292">
        <f>IF(J292="","",SUMPRODUCT(($A$2:$A$636=1)*($G$2:$G$636=J292)*(ISNUMBER($B$2:$B$636))*($B$2:$B$636&lt;0.5)))</f>
        <v/>
      </c>
      <c r="M292">
        <f>IFERROR(L292/K292,"")</f>
        <v/>
      </c>
      <c r="N292">
        <f>IF(K292="","",M292+K292/100000+ROW()/100000000)</f>
        <v/>
      </c>
      <c r="R292">
        <f>IF(A292=1,IFERROR(I292,0)+ROW()/100000000,-1E+99)</f>
        <v/>
      </c>
      <c r="S292">
        <f>IF(A292=1,IFERROR(Raw_data!$T292,""),"")</f>
        <v/>
      </c>
      <c r="T292">
        <f>IF(A292=1,IFERROR(Raw_data!$AA292,""),"")</f>
        <v/>
      </c>
      <c r="U292">
        <f>IF(A292=1,IFERROR(Raw_data!$U292,""),"")</f>
        <v/>
      </c>
      <c r="V292">
        <f>IF(A292=1,IFERROR(Raw_data!$AB292,""),"")</f>
        <v/>
      </c>
    </row>
    <row r="293">
      <c r="A293">
        <f>--(AND(OR(Dashboard!$B$4="All",Raw_data!$AL293=Dashboard!$B$4),OR(Dashboard!$B$5="All",Raw_data!$AM293=Dashboard!$B$5),OR(Dashboard!$B$6="All",Raw_data!$AN293=Dashboard!$B$6),OR(Dashboard!$B$7="All",Raw_data!$AO293=Dashboard!$B$7),OR(Dashboard!$B$8="All",Raw_data!$AP293=Dashboard!$B$8),OR(Dashboard!$B$9="All",Raw_data!$AQ293=Dashboard!$B$9),OR(Dashboard!$B$10="All",Raw_data!$AF293=Dashboard!$B$10),OR(Raw_data!$F293="",Raw_data!$F293&lt;=TODAY())))</f>
        <v/>
      </c>
      <c r="B293">
        <f>IFERROR(IF(Dashboard!$B$3="Weighted",Raw_data!$U293,Raw_data!$T293),"")</f>
        <v/>
      </c>
      <c r="C293">
        <f>IFERROR(IF(Dashboard!$B$3="Weighted",Raw_data!$AB293,Raw_data!$AA293),"")</f>
        <v/>
      </c>
      <c r="D293">
        <f>IF(OR(Raw_data!$J293="",Raw_data!$J293&lt;=0,Raw_data!$K293=""),"",IF(Raw_data!$K293&gt;TODAY(),0,DATEDIF(Raw_data!$K293,TODAY(),"M")))</f>
        <v/>
      </c>
      <c r="E293">
        <f>--(AND(Raw_data!$AF293="No",OR(Raw_data!$AG293&lt;&gt;"",Raw_data!$AJ293&gt;0,Raw_data!$AK293&lt;&gt;"")))</f>
        <v/>
      </c>
      <c r="F293">
        <f>--(OR(AND(ISNUMBER(B293),B293&lt;0.5,OR(D293&gt;=24,Raw_data!$I293&gt;0)),Raw_data!$AE293=TRUE))</f>
        <v/>
      </c>
      <c r="G293">
        <f>IF(Dashboard!$B$11="Department",Raw_data!$AL293,IF(Dashboard!$B$11="Team",Raw_data!$AM293,IF(Dashboard!$B$11="Unit",Raw_data!$AN293,IF(Dashboard!$B$11="Legal entity",Raw_data!$AO293,IF(Dashboard!$B$11="Location",Raw_data!$AP293,Raw_data!$AQ293)))))</f>
        <v/>
      </c>
      <c r="H293">
        <f>--(AND(ISNUMBER(B293),B293&lt;0.5))</f>
        <v/>
      </c>
      <c r="I293">
        <f>IFERROR(MAX(0,(0.5-B293)*100),0)+IF(D293&gt;=24,20,0)+IF(Raw_data!$I293&gt;0,20,0)+IF(Raw_data!$AE293=TRUE,10,0)</f>
        <v/>
      </c>
      <c r="J293">
        <f>IFERROR(CHOOSE(MATCH(Dashboard!$B$11,{"Department","Team","Unit","Legal entity","Location","Lead"},0),INDEX(Lists!$B$3:$B$20,ROW()-1),INDEX(Lists!$C$3:$C$146,ROW()-1),INDEX(Lists!$D$3:$D$67,ROW()-1),INDEX(Lists!$E$3:$E$5,ROW()-1),INDEX(Lists!$F$3:$F$12,ROW()-1),INDEX(Lists!$G$3:$G$126,ROW()-1)),"")</f>
        <v/>
      </c>
      <c r="K293">
        <f>IF(J293="","",SUMPRODUCT(($A$2:$A$636=1)*($G$2:$G$636=J293)))</f>
        <v/>
      </c>
      <c r="L293">
        <f>IF(J293="","",SUMPRODUCT(($A$2:$A$636=1)*($G$2:$G$636=J293)*(ISNUMBER($B$2:$B$636))*($B$2:$B$636&lt;0.5)))</f>
        <v/>
      </c>
      <c r="M293">
        <f>IFERROR(L293/K293,"")</f>
        <v/>
      </c>
      <c r="N293">
        <f>IF(K293="","",M293+K293/100000+ROW()/100000000)</f>
        <v/>
      </c>
      <c r="R293">
        <f>IF(A293=1,IFERROR(I293,0)+ROW()/100000000,-1E+99)</f>
        <v/>
      </c>
      <c r="S293">
        <f>IF(A293=1,IFERROR(Raw_data!$T293,""),"")</f>
        <v/>
      </c>
      <c r="T293">
        <f>IF(A293=1,IFERROR(Raw_data!$AA293,""),"")</f>
        <v/>
      </c>
      <c r="U293">
        <f>IF(A293=1,IFERROR(Raw_data!$U293,""),"")</f>
        <v/>
      </c>
      <c r="V293">
        <f>IF(A293=1,IFERROR(Raw_data!$AB293,""),"")</f>
        <v/>
      </c>
    </row>
    <row r="294">
      <c r="A294">
        <f>--(AND(OR(Dashboard!$B$4="All",Raw_data!$AL294=Dashboard!$B$4),OR(Dashboard!$B$5="All",Raw_data!$AM294=Dashboard!$B$5),OR(Dashboard!$B$6="All",Raw_data!$AN294=Dashboard!$B$6),OR(Dashboard!$B$7="All",Raw_data!$AO294=Dashboard!$B$7),OR(Dashboard!$B$8="All",Raw_data!$AP294=Dashboard!$B$8),OR(Dashboard!$B$9="All",Raw_data!$AQ294=Dashboard!$B$9),OR(Dashboard!$B$10="All",Raw_data!$AF294=Dashboard!$B$10),OR(Raw_data!$F294="",Raw_data!$F294&lt;=TODAY())))</f>
        <v/>
      </c>
      <c r="B294">
        <f>IFERROR(IF(Dashboard!$B$3="Weighted",Raw_data!$U294,Raw_data!$T294),"")</f>
        <v/>
      </c>
      <c r="C294">
        <f>IFERROR(IF(Dashboard!$B$3="Weighted",Raw_data!$AB294,Raw_data!$AA294),"")</f>
        <v/>
      </c>
      <c r="D294">
        <f>IF(OR(Raw_data!$J294="",Raw_data!$J294&lt;=0,Raw_data!$K294=""),"",IF(Raw_data!$K294&gt;TODAY(),0,DATEDIF(Raw_data!$K294,TODAY(),"M")))</f>
        <v/>
      </c>
      <c r="E294">
        <f>--(AND(Raw_data!$AF294="No",OR(Raw_data!$AG294&lt;&gt;"",Raw_data!$AJ294&gt;0,Raw_data!$AK294&lt;&gt;"")))</f>
        <v/>
      </c>
      <c r="F294">
        <f>--(OR(AND(ISNUMBER(B294),B294&lt;0.5,OR(D294&gt;=24,Raw_data!$I294&gt;0)),Raw_data!$AE294=TRUE))</f>
        <v/>
      </c>
      <c r="G294">
        <f>IF(Dashboard!$B$11="Department",Raw_data!$AL294,IF(Dashboard!$B$11="Team",Raw_data!$AM294,IF(Dashboard!$B$11="Unit",Raw_data!$AN294,IF(Dashboard!$B$11="Legal entity",Raw_data!$AO294,IF(Dashboard!$B$11="Location",Raw_data!$AP294,Raw_data!$AQ294)))))</f>
        <v/>
      </c>
      <c r="H294">
        <f>--(AND(ISNUMBER(B294),B294&lt;0.5))</f>
        <v/>
      </c>
      <c r="I294">
        <f>IFERROR(MAX(0,(0.5-B294)*100),0)+IF(D294&gt;=24,20,0)+IF(Raw_data!$I294&gt;0,20,0)+IF(Raw_data!$AE294=TRUE,10,0)</f>
        <v/>
      </c>
      <c r="J294">
        <f>IFERROR(CHOOSE(MATCH(Dashboard!$B$11,{"Department","Team","Unit","Legal entity","Location","Lead"},0),INDEX(Lists!$B$3:$B$20,ROW()-1),INDEX(Lists!$C$3:$C$146,ROW()-1),INDEX(Lists!$D$3:$D$67,ROW()-1),INDEX(Lists!$E$3:$E$5,ROW()-1),INDEX(Lists!$F$3:$F$12,ROW()-1),INDEX(Lists!$G$3:$G$126,ROW()-1)),"")</f>
        <v/>
      </c>
      <c r="K294">
        <f>IF(J294="","",SUMPRODUCT(($A$2:$A$636=1)*($G$2:$G$636=J294)))</f>
        <v/>
      </c>
      <c r="L294">
        <f>IF(J294="","",SUMPRODUCT(($A$2:$A$636=1)*($G$2:$G$636=J294)*(ISNUMBER($B$2:$B$636))*($B$2:$B$636&lt;0.5)))</f>
        <v/>
      </c>
      <c r="M294">
        <f>IFERROR(L294/K294,"")</f>
        <v/>
      </c>
      <c r="N294">
        <f>IF(K294="","",M294+K294/100000+ROW()/100000000)</f>
        <v/>
      </c>
      <c r="R294">
        <f>IF(A294=1,IFERROR(I294,0)+ROW()/100000000,-1E+99)</f>
        <v/>
      </c>
      <c r="S294">
        <f>IF(A294=1,IFERROR(Raw_data!$T294,""),"")</f>
        <v/>
      </c>
      <c r="T294">
        <f>IF(A294=1,IFERROR(Raw_data!$AA294,""),"")</f>
        <v/>
      </c>
      <c r="U294">
        <f>IF(A294=1,IFERROR(Raw_data!$U294,""),"")</f>
        <v/>
      </c>
      <c r="V294">
        <f>IF(A294=1,IFERROR(Raw_data!$AB294,""),"")</f>
        <v/>
      </c>
    </row>
    <row r="295">
      <c r="A295">
        <f>--(AND(OR(Dashboard!$B$4="All",Raw_data!$AL295=Dashboard!$B$4),OR(Dashboard!$B$5="All",Raw_data!$AM295=Dashboard!$B$5),OR(Dashboard!$B$6="All",Raw_data!$AN295=Dashboard!$B$6),OR(Dashboard!$B$7="All",Raw_data!$AO295=Dashboard!$B$7),OR(Dashboard!$B$8="All",Raw_data!$AP295=Dashboard!$B$8),OR(Dashboard!$B$9="All",Raw_data!$AQ295=Dashboard!$B$9),OR(Dashboard!$B$10="All",Raw_data!$AF295=Dashboard!$B$10),OR(Raw_data!$F295="",Raw_data!$F295&lt;=TODAY())))</f>
        <v/>
      </c>
      <c r="B295">
        <f>IFERROR(IF(Dashboard!$B$3="Weighted",Raw_data!$U295,Raw_data!$T295),"")</f>
        <v/>
      </c>
      <c r="C295">
        <f>IFERROR(IF(Dashboard!$B$3="Weighted",Raw_data!$AB295,Raw_data!$AA295),"")</f>
        <v/>
      </c>
      <c r="D295">
        <f>IF(OR(Raw_data!$J295="",Raw_data!$J295&lt;=0,Raw_data!$K295=""),"",IF(Raw_data!$K295&gt;TODAY(),0,DATEDIF(Raw_data!$K295,TODAY(),"M")))</f>
        <v/>
      </c>
      <c r="E295">
        <f>--(AND(Raw_data!$AF295="No",OR(Raw_data!$AG295&lt;&gt;"",Raw_data!$AJ295&gt;0,Raw_data!$AK295&lt;&gt;"")))</f>
        <v/>
      </c>
      <c r="F295">
        <f>--(OR(AND(ISNUMBER(B295),B295&lt;0.5,OR(D295&gt;=24,Raw_data!$I295&gt;0)),Raw_data!$AE295=TRUE))</f>
        <v/>
      </c>
      <c r="G295">
        <f>IF(Dashboard!$B$11="Department",Raw_data!$AL295,IF(Dashboard!$B$11="Team",Raw_data!$AM295,IF(Dashboard!$B$11="Unit",Raw_data!$AN295,IF(Dashboard!$B$11="Legal entity",Raw_data!$AO295,IF(Dashboard!$B$11="Location",Raw_data!$AP295,Raw_data!$AQ295)))))</f>
        <v/>
      </c>
      <c r="H295">
        <f>--(AND(ISNUMBER(B295),B295&lt;0.5))</f>
        <v/>
      </c>
      <c r="I295">
        <f>IFERROR(MAX(0,(0.5-B295)*100),0)+IF(D295&gt;=24,20,0)+IF(Raw_data!$I295&gt;0,20,0)+IF(Raw_data!$AE295=TRUE,10,0)</f>
        <v/>
      </c>
      <c r="J295">
        <f>IFERROR(CHOOSE(MATCH(Dashboard!$B$11,{"Department","Team","Unit","Legal entity","Location","Lead"},0),INDEX(Lists!$B$3:$B$20,ROW()-1),INDEX(Lists!$C$3:$C$146,ROW()-1),INDEX(Lists!$D$3:$D$67,ROW()-1),INDEX(Lists!$E$3:$E$5,ROW()-1),INDEX(Lists!$F$3:$F$12,ROW()-1),INDEX(Lists!$G$3:$G$126,ROW()-1)),"")</f>
        <v/>
      </c>
      <c r="K295">
        <f>IF(J295="","",SUMPRODUCT(($A$2:$A$636=1)*($G$2:$G$636=J295)))</f>
        <v/>
      </c>
      <c r="L295">
        <f>IF(J295="","",SUMPRODUCT(($A$2:$A$636=1)*($G$2:$G$636=J295)*(ISNUMBER($B$2:$B$636))*($B$2:$B$636&lt;0.5)))</f>
        <v/>
      </c>
      <c r="M295">
        <f>IFERROR(L295/K295,"")</f>
        <v/>
      </c>
      <c r="N295">
        <f>IF(K295="","",M295+K295/100000+ROW()/100000000)</f>
        <v/>
      </c>
      <c r="R295">
        <f>IF(A295=1,IFERROR(I295,0)+ROW()/100000000,-1E+99)</f>
        <v/>
      </c>
      <c r="S295">
        <f>IF(A295=1,IFERROR(Raw_data!$T295,""),"")</f>
        <v/>
      </c>
      <c r="T295">
        <f>IF(A295=1,IFERROR(Raw_data!$AA295,""),"")</f>
        <v/>
      </c>
      <c r="U295">
        <f>IF(A295=1,IFERROR(Raw_data!$U295,""),"")</f>
        <v/>
      </c>
      <c r="V295">
        <f>IF(A295=1,IFERROR(Raw_data!$AB295,""),"")</f>
        <v/>
      </c>
    </row>
    <row r="296">
      <c r="A296">
        <f>--(AND(OR(Dashboard!$B$4="All",Raw_data!$AL296=Dashboard!$B$4),OR(Dashboard!$B$5="All",Raw_data!$AM296=Dashboard!$B$5),OR(Dashboard!$B$6="All",Raw_data!$AN296=Dashboard!$B$6),OR(Dashboard!$B$7="All",Raw_data!$AO296=Dashboard!$B$7),OR(Dashboard!$B$8="All",Raw_data!$AP296=Dashboard!$B$8),OR(Dashboard!$B$9="All",Raw_data!$AQ296=Dashboard!$B$9),OR(Dashboard!$B$10="All",Raw_data!$AF296=Dashboard!$B$10),OR(Raw_data!$F296="",Raw_data!$F296&lt;=TODAY())))</f>
        <v/>
      </c>
      <c r="B296">
        <f>IFERROR(IF(Dashboard!$B$3="Weighted",Raw_data!$U296,Raw_data!$T296),"")</f>
        <v/>
      </c>
      <c r="C296">
        <f>IFERROR(IF(Dashboard!$B$3="Weighted",Raw_data!$AB296,Raw_data!$AA296),"")</f>
        <v/>
      </c>
      <c r="D296">
        <f>IF(OR(Raw_data!$J296="",Raw_data!$J296&lt;=0,Raw_data!$K296=""),"",IF(Raw_data!$K296&gt;TODAY(),0,DATEDIF(Raw_data!$K296,TODAY(),"M")))</f>
        <v/>
      </c>
      <c r="E296">
        <f>--(AND(Raw_data!$AF296="No",OR(Raw_data!$AG296&lt;&gt;"",Raw_data!$AJ296&gt;0,Raw_data!$AK296&lt;&gt;"")))</f>
        <v/>
      </c>
      <c r="F296">
        <f>--(OR(AND(ISNUMBER(B296),B296&lt;0.5,OR(D296&gt;=24,Raw_data!$I296&gt;0)),Raw_data!$AE296=TRUE))</f>
        <v/>
      </c>
      <c r="G296">
        <f>IF(Dashboard!$B$11="Department",Raw_data!$AL296,IF(Dashboard!$B$11="Team",Raw_data!$AM296,IF(Dashboard!$B$11="Unit",Raw_data!$AN296,IF(Dashboard!$B$11="Legal entity",Raw_data!$AO296,IF(Dashboard!$B$11="Location",Raw_data!$AP296,Raw_data!$AQ296)))))</f>
        <v/>
      </c>
      <c r="H296">
        <f>--(AND(ISNUMBER(B296),B296&lt;0.5))</f>
        <v/>
      </c>
      <c r="I296">
        <f>IFERROR(MAX(0,(0.5-B296)*100),0)+IF(D296&gt;=24,20,0)+IF(Raw_data!$I296&gt;0,20,0)+IF(Raw_data!$AE296=TRUE,10,0)</f>
        <v/>
      </c>
      <c r="J296">
        <f>IFERROR(CHOOSE(MATCH(Dashboard!$B$11,{"Department","Team","Unit","Legal entity","Location","Lead"},0),INDEX(Lists!$B$3:$B$20,ROW()-1),INDEX(Lists!$C$3:$C$146,ROW()-1),INDEX(Lists!$D$3:$D$67,ROW()-1),INDEX(Lists!$E$3:$E$5,ROW()-1),INDEX(Lists!$F$3:$F$12,ROW()-1),INDEX(Lists!$G$3:$G$126,ROW()-1)),"")</f>
        <v/>
      </c>
      <c r="K296">
        <f>IF(J296="","",SUMPRODUCT(($A$2:$A$636=1)*($G$2:$G$636=J296)))</f>
        <v/>
      </c>
      <c r="L296">
        <f>IF(J296="","",SUMPRODUCT(($A$2:$A$636=1)*($G$2:$G$636=J296)*(ISNUMBER($B$2:$B$636))*($B$2:$B$636&lt;0.5)))</f>
        <v/>
      </c>
      <c r="M296">
        <f>IFERROR(L296/K296,"")</f>
        <v/>
      </c>
      <c r="N296">
        <f>IF(K296="","",M296+K296/100000+ROW()/100000000)</f>
        <v/>
      </c>
      <c r="R296">
        <f>IF(A296=1,IFERROR(I296,0)+ROW()/100000000,-1E+99)</f>
        <v/>
      </c>
      <c r="S296">
        <f>IF(A296=1,IFERROR(Raw_data!$T296,""),"")</f>
        <v/>
      </c>
      <c r="T296">
        <f>IF(A296=1,IFERROR(Raw_data!$AA296,""),"")</f>
        <v/>
      </c>
      <c r="U296">
        <f>IF(A296=1,IFERROR(Raw_data!$U296,""),"")</f>
        <v/>
      </c>
      <c r="V296">
        <f>IF(A296=1,IFERROR(Raw_data!$AB296,""),"")</f>
        <v/>
      </c>
    </row>
    <row r="297">
      <c r="A297">
        <f>--(AND(OR(Dashboard!$B$4="All",Raw_data!$AL297=Dashboard!$B$4),OR(Dashboard!$B$5="All",Raw_data!$AM297=Dashboard!$B$5),OR(Dashboard!$B$6="All",Raw_data!$AN297=Dashboard!$B$6),OR(Dashboard!$B$7="All",Raw_data!$AO297=Dashboard!$B$7),OR(Dashboard!$B$8="All",Raw_data!$AP297=Dashboard!$B$8),OR(Dashboard!$B$9="All",Raw_data!$AQ297=Dashboard!$B$9),OR(Dashboard!$B$10="All",Raw_data!$AF297=Dashboard!$B$10),OR(Raw_data!$F297="",Raw_data!$F297&lt;=TODAY())))</f>
        <v/>
      </c>
      <c r="B297">
        <f>IFERROR(IF(Dashboard!$B$3="Weighted",Raw_data!$U297,Raw_data!$T297),"")</f>
        <v/>
      </c>
      <c r="C297">
        <f>IFERROR(IF(Dashboard!$B$3="Weighted",Raw_data!$AB297,Raw_data!$AA297),"")</f>
        <v/>
      </c>
      <c r="D297">
        <f>IF(OR(Raw_data!$J297="",Raw_data!$J297&lt;=0,Raw_data!$K297=""),"",IF(Raw_data!$K297&gt;TODAY(),0,DATEDIF(Raw_data!$K297,TODAY(),"M")))</f>
        <v/>
      </c>
      <c r="E297">
        <f>--(AND(Raw_data!$AF297="No",OR(Raw_data!$AG297&lt;&gt;"",Raw_data!$AJ297&gt;0,Raw_data!$AK297&lt;&gt;"")))</f>
        <v/>
      </c>
      <c r="F297">
        <f>--(OR(AND(ISNUMBER(B297),B297&lt;0.5,OR(D297&gt;=24,Raw_data!$I297&gt;0)),Raw_data!$AE297=TRUE))</f>
        <v/>
      </c>
      <c r="G297">
        <f>IF(Dashboard!$B$11="Department",Raw_data!$AL297,IF(Dashboard!$B$11="Team",Raw_data!$AM297,IF(Dashboard!$B$11="Unit",Raw_data!$AN297,IF(Dashboard!$B$11="Legal entity",Raw_data!$AO297,IF(Dashboard!$B$11="Location",Raw_data!$AP297,Raw_data!$AQ297)))))</f>
        <v/>
      </c>
      <c r="H297">
        <f>--(AND(ISNUMBER(B297),B297&lt;0.5))</f>
        <v/>
      </c>
      <c r="I297">
        <f>IFERROR(MAX(0,(0.5-B297)*100),0)+IF(D297&gt;=24,20,0)+IF(Raw_data!$I297&gt;0,20,0)+IF(Raw_data!$AE297=TRUE,10,0)</f>
        <v/>
      </c>
      <c r="J297">
        <f>IFERROR(CHOOSE(MATCH(Dashboard!$B$11,{"Department","Team","Unit","Legal entity","Location","Lead"},0),INDEX(Lists!$B$3:$B$20,ROW()-1),INDEX(Lists!$C$3:$C$146,ROW()-1),INDEX(Lists!$D$3:$D$67,ROW()-1),INDEX(Lists!$E$3:$E$5,ROW()-1),INDEX(Lists!$F$3:$F$12,ROW()-1),INDEX(Lists!$G$3:$G$126,ROW()-1)),"")</f>
        <v/>
      </c>
      <c r="K297">
        <f>IF(J297="","",SUMPRODUCT(($A$2:$A$636=1)*($G$2:$G$636=J297)))</f>
        <v/>
      </c>
      <c r="L297">
        <f>IF(J297="","",SUMPRODUCT(($A$2:$A$636=1)*($G$2:$G$636=J297)*(ISNUMBER($B$2:$B$636))*($B$2:$B$636&lt;0.5)))</f>
        <v/>
      </c>
      <c r="M297">
        <f>IFERROR(L297/K297,"")</f>
        <v/>
      </c>
      <c r="N297">
        <f>IF(K297="","",M297+K297/100000+ROW()/100000000)</f>
        <v/>
      </c>
      <c r="R297">
        <f>IF(A297=1,IFERROR(I297,0)+ROW()/100000000,-1E+99)</f>
        <v/>
      </c>
      <c r="S297">
        <f>IF(A297=1,IFERROR(Raw_data!$T297,""),"")</f>
        <v/>
      </c>
      <c r="T297">
        <f>IF(A297=1,IFERROR(Raw_data!$AA297,""),"")</f>
        <v/>
      </c>
      <c r="U297">
        <f>IF(A297=1,IFERROR(Raw_data!$U297,""),"")</f>
        <v/>
      </c>
      <c r="V297">
        <f>IF(A297=1,IFERROR(Raw_data!$AB297,""),"")</f>
        <v/>
      </c>
    </row>
    <row r="298">
      <c r="A298">
        <f>--(AND(OR(Dashboard!$B$4="All",Raw_data!$AL298=Dashboard!$B$4),OR(Dashboard!$B$5="All",Raw_data!$AM298=Dashboard!$B$5),OR(Dashboard!$B$6="All",Raw_data!$AN298=Dashboard!$B$6),OR(Dashboard!$B$7="All",Raw_data!$AO298=Dashboard!$B$7),OR(Dashboard!$B$8="All",Raw_data!$AP298=Dashboard!$B$8),OR(Dashboard!$B$9="All",Raw_data!$AQ298=Dashboard!$B$9),OR(Dashboard!$B$10="All",Raw_data!$AF298=Dashboard!$B$10),OR(Raw_data!$F298="",Raw_data!$F298&lt;=TODAY())))</f>
        <v/>
      </c>
      <c r="B298">
        <f>IFERROR(IF(Dashboard!$B$3="Weighted",Raw_data!$U298,Raw_data!$T298),"")</f>
        <v/>
      </c>
      <c r="C298">
        <f>IFERROR(IF(Dashboard!$B$3="Weighted",Raw_data!$AB298,Raw_data!$AA298),"")</f>
        <v/>
      </c>
      <c r="D298">
        <f>IF(OR(Raw_data!$J298="",Raw_data!$J298&lt;=0,Raw_data!$K298=""),"",IF(Raw_data!$K298&gt;TODAY(),0,DATEDIF(Raw_data!$K298,TODAY(),"M")))</f>
        <v/>
      </c>
      <c r="E298">
        <f>--(AND(Raw_data!$AF298="No",OR(Raw_data!$AG298&lt;&gt;"",Raw_data!$AJ298&gt;0,Raw_data!$AK298&lt;&gt;"")))</f>
        <v/>
      </c>
      <c r="F298">
        <f>--(OR(AND(ISNUMBER(B298),B298&lt;0.5,OR(D298&gt;=24,Raw_data!$I298&gt;0)),Raw_data!$AE298=TRUE))</f>
        <v/>
      </c>
      <c r="G298">
        <f>IF(Dashboard!$B$11="Department",Raw_data!$AL298,IF(Dashboard!$B$11="Team",Raw_data!$AM298,IF(Dashboard!$B$11="Unit",Raw_data!$AN298,IF(Dashboard!$B$11="Legal entity",Raw_data!$AO298,IF(Dashboard!$B$11="Location",Raw_data!$AP298,Raw_data!$AQ298)))))</f>
        <v/>
      </c>
      <c r="H298">
        <f>--(AND(ISNUMBER(B298),B298&lt;0.5))</f>
        <v/>
      </c>
      <c r="I298">
        <f>IFERROR(MAX(0,(0.5-B298)*100),0)+IF(D298&gt;=24,20,0)+IF(Raw_data!$I298&gt;0,20,0)+IF(Raw_data!$AE298=TRUE,10,0)</f>
        <v/>
      </c>
      <c r="J298">
        <f>IFERROR(CHOOSE(MATCH(Dashboard!$B$11,{"Department","Team","Unit","Legal entity","Location","Lead"},0),INDEX(Lists!$B$3:$B$20,ROW()-1),INDEX(Lists!$C$3:$C$146,ROW()-1),INDEX(Lists!$D$3:$D$67,ROW()-1),INDEX(Lists!$E$3:$E$5,ROW()-1),INDEX(Lists!$F$3:$F$12,ROW()-1),INDEX(Lists!$G$3:$G$126,ROW()-1)),"")</f>
        <v/>
      </c>
      <c r="K298">
        <f>IF(J298="","",SUMPRODUCT(($A$2:$A$636=1)*($G$2:$G$636=J298)))</f>
        <v/>
      </c>
      <c r="L298">
        <f>IF(J298="","",SUMPRODUCT(($A$2:$A$636=1)*($G$2:$G$636=J298)*(ISNUMBER($B$2:$B$636))*($B$2:$B$636&lt;0.5)))</f>
        <v/>
      </c>
      <c r="M298">
        <f>IFERROR(L298/K298,"")</f>
        <v/>
      </c>
      <c r="N298">
        <f>IF(K298="","",M298+K298/100000+ROW()/100000000)</f>
        <v/>
      </c>
      <c r="R298">
        <f>IF(A298=1,IFERROR(I298,0)+ROW()/100000000,-1E+99)</f>
        <v/>
      </c>
      <c r="S298">
        <f>IF(A298=1,IFERROR(Raw_data!$T298,""),"")</f>
        <v/>
      </c>
      <c r="T298">
        <f>IF(A298=1,IFERROR(Raw_data!$AA298,""),"")</f>
        <v/>
      </c>
      <c r="U298">
        <f>IF(A298=1,IFERROR(Raw_data!$U298,""),"")</f>
        <v/>
      </c>
      <c r="V298">
        <f>IF(A298=1,IFERROR(Raw_data!$AB298,""),"")</f>
        <v/>
      </c>
    </row>
    <row r="299">
      <c r="A299">
        <f>--(AND(OR(Dashboard!$B$4="All",Raw_data!$AL299=Dashboard!$B$4),OR(Dashboard!$B$5="All",Raw_data!$AM299=Dashboard!$B$5),OR(Dashboard!$B$6="All",Raw_data!$AN299=Dashboard!$B$6),OR(Dashboard!$B$7="All",Raw_data!$AO299=Dashboard!$B$7),OR(Dashboard!$B$8="All",Raw_data!$AP299=Dashboard!$B$8),OR(Dashboard!$B$9="All",Raw_data!$AQ299=Dashboard!$B$9),OR(Dashboard!$B$10="All",Raw_data!$AF299=Dashboard!$B$10),OR(Raw_data!$F299="",Raw_data!$F299&lt;=TODAY())))</f>
        <v/>
      </c>
      <c r="B299">
        <f>IFERROR(IF(Dashboard!$B$3="Weighted",Raw_data!$U299,Raw_data!$T299),"")</f>
        <v/>
      </c>
      <c r="C299">
        <f>IFERROR(IF(Dashboard!$B$3="Weighted",Raw_data!$AB299,Raw_data!$AA299),"")</f>
        <v/>
      </c>
      <c r="D299">
        <f>IF(OR(Raw_data!$J299="",Raw_data!$J299&lt;=0,Raw_data!$K299=""),"",IF(Raw_data!$K299&gt;TODAY(),0,DATEDIF(Raw_data!$K299,TODAY(),"M")))</f>
        <v/>
      </c>
      <c r="E299">
        <f>--(AND(Raw_data!$AF299="No",OR(Raw_data!$AG299&lt;&gt;"",Raw_data!$AJ299&gt;0,Raw_data!$AK299&lt;&gt;"")))</f>
        <v/>
      </c>
      <c r="F299">
        <f>--(OR(AND(ISNUMBER(B299),B299&lt;0.5,OR(D299&gt;=24,Raw_data!$I299&gt;0)),Raw_data!$AE299=TRUE))</f>
        <v/>
      </c>
      <c r="G299">
        <f>IF(Dashboard!$B$11="Department",Raw_data!$AL299,IF(Dashboard!$B$11="Team",Raw_data!$AM299,IF(Dashboard!$B$11="Unit",Raw_data!$AN299,IF(Dashboard!$B$11="Legal entity",Raw_data!$AO299,IF(Dashboard!$B$11="Location",Raw_data!$AP299,Raw_data!$AQ299)))))</f>
        <v/>
      </c>
      <c r="H299">
        <f>--(AND(ISNUMBER(B299),B299&lt;0.5))</f>
        <v/>
      </c>
      <c r="I299">
        <f>IFERROR(MAX(0,(0.5-B299)*100),0)+IF(D299&gt;=24,20,0)+IF(Raw_data!$I299&gt;0,20,0)+IF(Raw_data!$AE299=TRUE,10,0)</f>
        <v/>
      </c>
      <c r="J299">
        <f>IFERROR(CHOOSE(MATCH(Dashboard!$B$11,{"Department","Team","Unit","Legal entity","Location","Lead"},0),INDEX(Lists!$B$3:$B$20,ROW()-1),INDEX(Lists!$C$3:$C$146,ROW()-1),INDEX(Lists!$D$3:$D$67,ROW()-1),INDEX(Lists!$E$3:$E$5,ROW()-1),INDEX(Lists!$F$3:$F$12,ROW()-1),INDEX(Lists!$G$3:$G$126,ROW()-1)),"")</f>
        <v/>
      </c>
      <c r="K299">
        <f>IF(J299="","",SUMPRODUCT(($A$2:$A$636=1)*($G$2:$G$636=J299)))</f>
        <v/>
      </c>
      <c r="L299">
        <f>IF(J299="","",SUMPRODUCT(($A$2:$A$636=1)*($G$2:$G$636=J299)*(ISNUMBER($B$2:$B$636))*($B$2:$B$636&lt;0.5)))</f>
        <v/>
      </c>
      <c r="M299">
        <f>IFERROR(L299/K299,"")</f>
        <v/>
      </c>
      <c r="N299">
        <f>IF(K299="","",M299+K299/100000+ROW()/100000000)</f>
        <v/>
      </c>
      <c r="R299">
        <f>IF(A299=1,IFERROR(I299,0)+ROW()/100000000,-1E+99)</f>
        <v/>
      </c>
      <c r="S299">
        <f>IF(A299=1,IFERROR(Raw_data!$T299,""),"")</f>
        <v/>
      </c>
      <c r="T299">
        <f>IF(A299=1,IFERROR(Raw_data!$AA299,""),"")</f>
        <v/>
      </c>
      <c r="U299">
        <f>IF(A299=1,IFERROR(Raw_data!$U299,""),"")</f>
        <v/>
      </c>
      <c r="V299">
        <f>IF(A299=1,IFERROR(Raw_data!$AB299,""),"")</f>
        <v/>
      </c>
    </row>
    <row r="300">
      <c r="A300">
        <f>--(AND(OR(Dashboard!$B$4="All",Raw_data!$AL300=Dashboard!$B$4),OR(Dashboard!$B$5="All",Raw_data!$AM300=Dashboard!$B$5),OR(Dashboard!$B$6="All",Raw_data!$AN300=Dashboard!$B$6),OR(Dashboard!$B$7="All",Raw_data!$AO300=Dashboard!$B$7),OR(Dashboard!$B$8="All",Raw_data!$AP300=Dashboard!$B$8),OR(Dashboard!$B$9="All",Raw_data!$AQ300=Dashboard!$B$9),OR(Dashboard!$B$10="All",Raw_data!$AF300=Dashboard!$B$10),OR(Raw_data!$F300="",Raw_data!$F300&lt;=TODAY())))</f>
        <v/>
      </c>
      <c r="B300">
        <f>IFERROR(IF(Dashboard!$B$3="Weighted",Raw_data!$U300,Raw_data!$T300),"")</f>
        <v/>
      </c>
      <c r="C300">
        <f>IFERROR(IF(Dashboard!$B$3="Weighted",Raw_data!$AB300,Raw_data!$AA300),"")</f>
        <v/>
      </c>
      <c r="D300">
        <f>IF(OR(Raw_data!$J300="",Raw_data!$J300&lt;=0,Raw_data!$K300=""),"",IF(Raw_data!$K300&gt;TODAY(),0,DATEDIF(Raw_data!$K300,TODAY(),"M")))</f>
        <v/>
      </c>
      <c r="E300">
        <f>--(AND(Raw_data!$AF300="No",OR(Raw_data!$AG300&lt;&gt;"",Raw_data!$AJ300&gt;0,Raw_data!$AK300&lt;&gt;"")))</f>
        <v/>
      </c>
      <c r="F300">
        <f>--(OR(AND(ISNUMBER(B300),B300&lt;0.5,OR(D300&gt;=24,Raw_data!$I300&gt;0)),Raw_data!$AE300=TRUE))</f>
        <v/>
      </c>
      <c r="G300">
        <f>IF(Dashboard!$B$11="Department",Raw_data!$AL300,IF(Dashboard!$B$11="Team",Raw_data!$AM300,IF(Dashboard!$B$11="Unit",Raw_data!$AN300,IF(Dashboard!$B$11="Legal entity",Raw_data!$AO300,IF(Dashboard!$B$11="Location",Raw_data!$AP300,Raw_data!$AQ300)))))</f>
        <v/>
      </c>
      <c r="H300">
        <f>--(AND(ISNUMBER(B300),B300&lt;0.5))</f>
        <v/>
      </c>
      <c r="I300">
        <f>IFERROR(MAX(0,(0.5-B300)*100),0)+IF(D300&gt;=24,20,0)+IF(Raw_data!$I300&gt;0,20,0)+IF(Raw_data!$AE300=TRUE,10,0)</f>
        <v/>
      </c>
      <c r="J300">
        <f>IFERROR(CHOOSE(MATCH(Dashboard!$B$11,{"Department","Team","Unit","Legal entity","Location","Lead"},0),INDEX(Lists!$B$3:$B$20,ROW()-1),INDEX(Lists!$C$3:$C$146,ROW()-1),INDEX(Lists!$D$3:$D$67,ROW()-1),INDEX(Lists!$E$3:$E$5,ROW()-1),INDEX(Lists!$F$3:$F$12,ROW()-1),INDEX(Lists!$G$3:$G$126,ROW()-1)),"")</f>
        <v/>
      </c>
      <c r="K300">
        <f>IF(J300="","",SUMPRODUCT(($A$2:$A$636=1)*($G$2:$G$636=J300)))</f>
        <v/>
      </c>
      <c r="L300">
        <f>IF(J300="","",SUMPRODUCT(($A$2:$A$636=1)*($G$2:$G$636=J300)*(ISNUMBER($B$2:$B$636))*($B$2:$B$636&lt;0.5)))</f>
        <v/>
      </c>
      <c r="M300">
        <f>IFERROR(L300/K300,"")</f>
        <v/>
      </c>
      <c r="N300">
        <f>IF(K300="","",M300+K300/100000+ROW()/100000000)</f>
        <v/>
      </c>
      <c r="R300">
        <f>IF(A300=1,IFERROR(I300,0)+ROW()/100000000,-1E+99)</f>
        <v/>
      </c>
      <c r="S300">
        <f>IF(A300=1,IFERROR(Raw_data!$T300,""),"")</f>
        <v/>
      </c>
      <c r="T300">
        <f>IF(A300=1,IFERROR(Raw_data!$AA300,""),"")</f>
        <v/>
      </c>
      <c r="U300">
        <f>IF(A300=1,IFERROR(Raw_data!$U300,""),"")</f>
        <v/>
      </c>
      <c r="V300">
        <f>IF(A300=1,IFERROR(Raw_data!$AB300,""),"")</f>
        <v/>
      </c>
    </row>
    <row r="301">
      <c r="A301">
        <f>--(AND(OR(Dashboard!$B$4="All",Raw_data!$AL301=Dashboard!$B$4),OR(Dashboard!$B$5="All",Raw_data!$AM301=Dashboard!$B$5),OR(Dashboard!$B$6="All",Raw_data!$AN301=Dashboard!$B$6),OR(Dashboard!$B$7="All",Raw_data!$AO301=Dashboard!$B$7),OR(Dashboard!$B$8="All",Raw_data!$AP301=Dashboard!$B$8),OR(Dashboard!$B$9="All",Raw_data!$AQ301=Dashboard!$B$9),OR(Dashboard!$B$10="All",Raw_data!$AF301=Dashboard!$B$10),OR(Raw_data!$F301="",Raw_data!$F301&lt;=TODAY())))</f>
        <v/>
      </c>
      <c r="B301">
        <f>IFERROR(IF(Dashboard!$B$3="Weighted",Raw_data!$U301,Raw_data!$T301),"")</f>
        <v/>
      </c>
      <c r="C301">
        <f>IFERROR(IF(Dashboard!$B$3="Weighted",Raw_data!$AB301,Raw_data!$AA301),"")</f>
        <v/>
      </c>
      <c r="D301">
        <f>IF(OR(Raw_data!$J301="",Raw_data!$J301&lt;=0,Raw_data!$K301=""),"",IF(Raw_data!$K301&gt;TODAY(),0,DATEDIF(Raw_data!$K301,TODAY(),"M")))</f>
        <v/>
      </c>
      <c r="E301">
        <f>--(AND(Raw_data!$AF301="No",OR(Raw_data!$AG301&lt;&gt;"",Raw_data!$AJ301&gt;0,Raw_data!$AK301&lt;&gt;"")))</f>
        <v/>
      </c>
      <c r="F301">
        <f>--(OR(AND(ISNUMBER(B301),B301&lt;0.5,OR(D301&gt;=24,Raw_data!$I301&gt;0)),Raw_data!$AE301=TRUE))</f>
        <v/>
      </c>
      <c r="G301">
        <f>IF(Dashboard!$B$11="Department",Raw_data!$AL301,IF(Dashboard!$B$11="Team",Raw_data!$AM301,IF(Dashboard!$B$11="Unit",Raw_data!$AN301,IF(Dashboard!$B$11="Legal entity",Raw_data!$AO301,IF(Dashboard!$B$11="Location",Raw_data!$AP301,Raw_data!$AQ301)))))</f>
        <v/>
      </c>
      <c r="H301">
        <f>--(AND(ISNUMBER(B301),B301&lt;0.5))</f>
        <v/>
      </c>
      <c r="I301">
        <f>IFERROR(MAX(0,(0.5-B301)*100),0)+IF(D301&gt;=24,20,0)+IF(Raw_data!$I301&gt;0,20,0)+IF(Raw_data!$AE301=TRUE,10,0)</f>
        <v/>
      </c>
      <c r="J301">
        <f>IFERROR(CHOOSE(MATCH(Dashboard!$B$11,{"Department","Team","Unit","Legal entity","Location","Lead"},0),INDEX(Lists!$B$3:$B$20,ROW()-1),INDEX(Lists!$C$3:$C$146,ROW()-1),INDEX(Lists!$D$3:$D$67,ROW()-1),INDEX(Lists!$E$3:$E$5,ROW()-1),INDEX(Lists!$F$3:$F$12,ROW()-1),INDEX(Lists!$G$3:$G$126,ROW()-1)),"")</f>
        <v/>
      </c>
      <c r="K301">
        <f>IF(J301="","",SUMPRODUCT(($A$2:$A$636=1)*($G$2:$G$636=J301)))</f>
        <v/>
      </c>
      <c r="L301">
        <f>IF(J301="","",SUMPRODUCT(($A$2:$A$636=1)*($G$2:$G$636=J301)*(ISNUMBER($B$2:$B$636))*($B$2:$B$636&lt;0.5)))</f>
        <v/>
      </c>
      <c r="M301">
        <f>IFERROR(L301/K301,"")</f>
        <v/>
      </c>
      <c r="N301">
        <f>IF(K301="","",M301+K301/100000+ROW()/100000000)</f>
        <v/>
      </c>
      <c r="R301">
        <f>IF(A301=1,IFERROR(I301,0)+ROW()/100000000,-1E+99)</f>
        <v/>
      </c>
      <c r="S301">
        <f>IF(A301=1,IFERROR(Raw_data!$T301,""),"")</f>
        <v/>
      </c>
      <c r="T301">
        <f>IF(A301=1,IFERROR(Raw_data!$AA301,""),"")</f>
        <v/>
      </c>
      <c r="U301">
        <f>IF(A301=1,IFERROR(Raw_data!$U301,""),"")</f>
        <v/>
      </c>
      <c r="V301">
        <f>IF(A301=1,IFERROR(Raw_data!$AB301,""),"")</f>
        <v/>
      </c>
    </row>
    <row r="302">
      <c r="A302">
        <f>--(AND(OR(Dashboard!$B$4="All",Raw_data!$AL302=Dashboard!$B$4),OR(Dashboard!$B$5="All",Raw_data!$AM302=Dashboard!$B$5),OR(Dashboard!$B$6="All",Raw_data!$AN302=Dashboard!$B$6),OR(Dashboard!$B$7="All",Raw_data!$AO302=Dashboard!$B$7),OR(Dashboard!$B$8="All",Raw_data!$AP302=Dashboard!$B$8),OR(Dashboard!$B$9="All",Raw_data!$AQ302=Dashboard!$B$9),OR(Dashboard!$B$10="All",Raw_data!$AF302=Dashboard!$B$10),OR(Raw_data!$F302="",Raw_data!$F302&lt;=TODAY())))</f>
        <v/>
      </c>
      <c r="B302">
        <f>IFERROR(IF(Dashboard!$B$3="Weighted",Raw_data!$U302,Raw_data!$T302),"")</f>
        <v/>
      </c>
      <c r="C302">
        <f>IFERROR(IF(Dashboard!$B$3="Weighted",Raw_data!$AB302,Raw_data!$AA302),"")</f>
        <v/>
      </c>
      <c r="D302">
        <f>IF(OR(Raw_data!$J302="",Raw_data!$J302&lt;=0,Raw_data!$K302=""),"",IF(Raw_data!$K302&gt;TODAY(),0,DATEDIF(Raw_data!$K302,TODAY(),"M")))</f>
        <v/>
      </c>
      <c r="E302">
        <f>--(AND(Raw_data!$AF302="No",OR(Raw_data!$AG302&lt;&gt;"",Raw_data!$AJ302&gt;0,Raw_data!$AK302&lt;&gt;"")))</f>
        <v/>
      </c>
      <c r="F302">
        <f>--(OR(AND(ISNUMBER(B302),B302&lt;0.5,OR(D302&gt;=24,Raw_data!$I302&gt;0)),Raw_data!$AE302=TRUE))</f>
        <v/>
      </c>
      <c r="G302">
        <f>IF(Dashboard!$B$11="Department",Raw_data!$AL302,IF(Dashboard!$B$11="Team",Raw_data!$AM302,IF(Dashboard!$B$11="Unit",Raw_data!$AN302,IF(Dashboard!$B$11="Legal entity",Raw_data!$AO302,IF(Dashboard!$B$11="Location",Raw_data!$AP302,Raw_data!$AQ302)))))</f>
        <v/>
      </c>
      <c r="H302">
        <f>--(AND(ISNUMBER(B302),B302&lt;0.5))</f>
        <v/>
      </c>
      <c r="I302">
        <f>IFERROR(MAX(0,(0.5-B302)*100),0)+IF(D302&gt;=24,20,0)+IF(Raw_data!$I302&gt;0,20,0)+IF(Raw_data!$AE302=TRUE,10,0)</f>
        <v/>
      </c>
      <c r="J302">
        <f>IFERROR(CHOOSE(MATCH(Dashboard!$B$11,{"Department","Team","Unit","Legal entity","Location","Lead"},0),INDEX(Lists!$B$3:$B$20,ROW()-1),INDEX(Lists!$C$3:$C$146,ROW()-1),INDEX(Lists!$D$3:$D$67,ROW()-1),INDEX(Lists!$E$3:$E$5,ROW()-1),INDEX(Lists!$F$3:$F$12,ROW()-1),INDEX(Lists!$G$3:$G$126,ROW()-1)),"")</f>
        <v/>
      </c>
      <c r="K302">
        <f>IF(J302="","",SUMPRODUCT(($A$2:$A$636=1)*($G$2:$G$636=J302)))</f>
        <v/>
      </c>
      <c r="L302">
        <f>IF(J302="","",SUMPRODUCT(($A$2:$A$636=1)*($G$2:$G$636=J302)*(ISNUMBER($B$2:$B$636))*($B$2:$B$636&lt;0.5)))</f>
        <v/>
      </c>
      <c r="M302">
        <f>IFERROR(L302/K302,"")</f>
        <v/>
      </c>
      <c r="N302">
        <f>IF(K302="","",M302+K302/100000+ROW()/100000000)</f>
        <v/>
      </c>
      <c r="R302">
        <f>IF(A302=1,IFERROR(I302,0)+ROW()/100000000,-1E+99)</f>
        <v/>
      </c>
      <c r="S302">
        <f>IF(A302=1,IFERROR(Raw_data!$T302,""),"")</f>
        <v/>
      </c>
      <c r="T302">
        <f>IF(A302=1,IFERROR(Raw_data!$AA302,""),"")</f>
        <v/>
      </c>
      <c r="U302">
        <f>IF(A302=1,IFERROR(Raw_data!$U302,""),"")</f>
        <v/>
      </c>
      <c r="V302">
        <f>IF(A302=1,IFERROR(Raw_data!$AB302,""),"")</f>
        <v/>
      </c>
    </row>
    <row r="303">
      <c r="A303">
        <f>--(AND(OR(Dashboard!$B$4="All",Raw_data!$AL303=Dashboard!$B$4),OR(Dashboard!$B$5="All",Raw_data!$AM303=Dashboard!$B$5),OR(Dashboard!$B$6="All",Raw_data!$AN303=Dashboard!$B$6),OR(Dashboard!$B$7="All",Raw_data!$AO303=Dashboard!$B$7),OR(Dashboard!$B$8="All",Raw_data!$AP303=Dashboard!$B$8),OR(Dashboard!$B$9="All",Raw_data!$AQ303=Dashboard!$B$9),OR(Dashboard!$B$10="All",Raw_data!$AF303=Dashboard!$B$10),OR(Raw_data!$F303="",Raw_data!$F303&lt;=TODAY())))</f>
        <v/>
      </c>
      <c r="B303">
        <f>IFERROR(IF(Dashboard!$B$3="Weighted",Raw_data!$U303,Raw_data!$T303),"")</f>
        <v/>
      </c>
      <c r="C303">
        <f>IFERROR(IF(Dashboard!$B$3="Weighted",Raw_data!$AB303,Raw_data!$AA303),"")</f>
        <v/>
      </c>
      <c r="D303">
        <f>IF(OR(Raw_data!$J303="",Raw_data!$J303&lt;=0,Raw_data!$K303=""),"",IF(Raw_data!$K303&gt;TODAY(),0,DATEDIF(Raw_data!$K303,TODAY(),"M")))</f>
        <v/>
      </c>
      <c r="E303">
        <f>--(AND(Raw_data!$AF303="No",OR(Raw_data!$AG303&lt;&gt;"",Raw_data!$AJ303&gt;0,Raw_data!$AK303&lt;&gt;"")))</f>
        <v/>
      </c>
      <c r="F303">
        <f>--(OR(AND(ISNUMBER(B303),B303&lt;0.5,OR(D303&gt;=24,Raw_data!$I303&gt;0)),Raw_data!$AE303=TRUE))</f>
        <v/>
      </c>
      <c r="G303">
        <f>IF(Dashboard!$B$11="Department",Raw_data!$AL303,IF(Dashboard!$B$11="Team",Raw_data!$AM303,IF(Dashboard!$B$11="Unit",Raw_data!$AN303,IF(Dashboard!$B$11="Legal entity",Raw_data!$AO303,IF(Dashboard!$B$11="Location",Raw_data!$AP303,Raw_data!$AQ303)))))</f>
        <v/>
      </c>
      <c r="H303">
        <f>--(AND(ISNUMBER(B303),B303&lt;0.5))</f>
        <v/>
      </c>
      <c r="I303">
        <f>IFERROR(MAX(0,(0.5-B303)*100),0)+IF(D303&gt;=24,20,0)+IF(Raw_data!$I303&gt;0,20,0)+IF(Raw_data!$AE303=TRUE,10,0)</f>
        <v/>
      </c>
      <c r="J303">
        <f>IFERROR(CHOOSE(MATCH(Dashboard!$B$11,{"Department","Team","Unit","Legal entity","Location","Lead"},0),INDEX(Lists!$B$3:$B$20,ROW()-1),INDEX(Lists!$C$3:$C$146,ROW()-1),INDEX(Lists!$D$3:$D$67,ROW()-1),INDEX(Lists!$E$3:$E$5,ROW()-1),INDEX(Lists!$F$3:$F$12,ROW()-1),INDEX(Lists!$G$3:$G$126,ROW()-1)),"")</f>
        <v/>
      </c>
      <c r="K303">
        <f>IF(J303="","",SUMPRODUCT(($A$2:$A$636=1)*($G$2:$G$636=J303)))</f>
        <v/>
      </c>
      <c r="L303">
        <f>IF(J303="","",SUMPRODUCT(($A$2:$A$636=1)*($G$2:$G$636=J303)*(ISNUMBER($B$2:$B$636))*($B$2:$B$636&lt;0.5)))</f>
        <v/>
      </c>
      <c r="M303">
        <f>IFERROR(L303/K303,"")</f>
        <v/>
      </c>
      <c r="N303">
        <f>IF(K303="","",M303+K303/100000+ROW()/100000000)</f>
        <v/>
      </c>
      <c r="R303">
        <f>IF(A303=1,IFERROR(I303,0)+ROW()/100000000,-1E+99)</f>
        <v/>
      </c>
      <c r="S303">
        <f>IF(A303=1,IFERROR(Raw_data!$T303,""),"")</f>
        <v/>
      </c>
      <c r="T303">
        <f>IF(A303=1,IFERROR(Raw_data!$AA303,""),"")</f>
        <v/>
      </c>
      <c r="U303">
        <f>IF(A303=1,IFERROR(Raw_data!$U303,""),"")</f>
        <v/>
      </c>
      <c r="V303">
        <f>IF(A303=1,IFERROR(Raw_data!$AB303,""),"")</f>
        <v/>
      </c>
    </row>
    <row r="304">
      <c r="A304">
        <f>--(AND(OR(Dashboard!$B$4="All",Raw_data!$AL304=Dashboard!$B$4),OR(Dashboard!$B$5="All",Raw_data!$AM304=Dashboard!$B$5),OR(Dashboard!$B$6="All",Raw_data!$AN304=Dashboard!$B$6),OR(Dashboard!$B$7="All",Raw_data!$AO304=Dashboard!$B$7),OR(Dashboard!$B$8="All",Raw_data!$AP304=Dashboard!$B$8),OR(Dashboard!$B$9="All",Raw_data!$AQ304=Dashboard!$B$9),OR(Dashboard!$B$10="All",Raw_data!$AF304=Dashboard!$B$10),OR(Raw_data!$F304="",Raw_data!$F304&lt;=TODAY())))</f>
        <v/>
      </c>
      <c r="B304">
        <f>IFERROR(IF(Dashboard!$B$3="Weighted",Raw_data!$U304,Raw_data!$T304),"")</f>
        <v/>
      </c>
      <c r="C304">
        <f>IFERROR(IF(Dashboard!$B$3="Weighted",Raw_data!$AB304,Raw_data!$AA304),"")</f>
        <v/>
      </c>
      <c r="D304">
        <f>IF(OR(Raw_data!$J304="",Raw_data!$J304&lt;=0,Raw_data!$K304=""),"",IF(Raw_data!$K304&gt;TODAY(),0,DATEDIF(Raw_data!$K304,TODAY(),"M")))</f>
        <v/>
      </c>
      <c r="E304">
        <f>--(AND(Raw_data!$AF304="No",OR(Raw_data!$AG304&lt;&gt;"",Raw_data!$AJ304&gt;0,Raw_data!$AK304&lt;&gt;"")))</f>
        <v/>
      </c>
      <c r="F304">
        <f>--(OR(AND(ISNUMBER(B304),B304&lt;0.5,OR(D304&gt;=24,Raw_data!$I304&gt;0)),Raw_data!$AE304=TRUE))</f>
        <v/>
      </c>
      <c r="G304">
        <f>IF(Dashboard!$B$11="Department",Raw_data!$AL304,IF(Dashboard!$B$11="Team",Raw_data!$AM304,IF(Dashboard!$B$11="Unit",Raw_data!$AN304,IF(Dashboard!$B$11="Legal entity",Raw_data!$AO304,IF(Dashboard!$B$11="Location",Raw_data!$AP304,Raw_data!$AQ304)))))</f>
        <v/>
      </c>
      <c r="H304">
        <f>--(AND(ISNUMBER(B304),B304&lt;0.5))</f>
        <v/>
      </c>
      <c r="I304">
        <f>IFERROR(MAX(0,(0.5-B304)*100),0)+IF(D304&gt;=24,20,0)+IF(Raw_data!$I304&gt;0,20,0)+IF(Raw_data!$AE304=TRUE,10,0)</f>
        <v/>
      </c>
      <c r="J304">
        <f>IFERROR(CHOOSE(MATCH(Dashboard!$B$11,{"Department","Team","Unit","Legal entity","Location","Lead"},0),INDEX(Lists!$B$3:$B$20,ROW()-1),INDEX(Lists!$C$3:$C$146,ROW()-1),INDEX(Lists!$D$3:$D$67,ROW()-1),INDEX(Lists!$E$3:$E$5,ROW()-1),INDEX(Lists!$F$3:$F$12,ROW()-1),INDEX(Lists!$G$3:$G$126,ROW()-1)),"")</f>
        <v/>
      </c>
      <c r="K304">
        <f>IF(J304="","",SUMPRODUCT(($A$2:$A$636=1)*($G$2:$G$636=J304)))</f>
        <v/>
      </c>
      <c r="L304">
        <f>IF(J304="","",SUMPRODUCT(($A$2:$A$636=1)*($G$2:$G$636=J304)*(ISNUMBER($B$2:$B$636))*($B$2:$B$636&lt;0.5)))</f>
        <v/>
      </c>
      <c r="M304">
        <f>IFERROR(L304/K304,"")</f>
        <v/>
      </c>
      <c r="N304">
        <f>IF(K304="","",M304+K304/100000+ROW()/100000000)</f>
        <v/>
      </c>
      <c r="R304">
        <f>IF(A304=1,IFERROR(I304,0)+ROW()/100000000,-1E+99)</f>
        <v/>
      </c>
      <c r="S304">
        <f>IF(A304=1,IFERROR(Raw_data!$T304,""),"")</f>
        <v/>
      </c>
      <c r="T304">
        <f>IF(A304=1,IFERROR(Raw_data!$AA304,""),"")</f>
        <v/>
      </c>
      <c r="U304">
        <f>IF(A304=1,IFERROR(Raw_data!$U304,""),"")</f>
        <v/>
      </c>
      <c r="V304">
        <f>IF(A304=1,IFERROR(Raw_data!$AB304,""),"")</f>
        <v/>
      </c>
    </row>
    <row r="305">
      <c r="A305">
        <f>--(AND(OR(Dashboard!$B$4="All",Raw_data!$AL305=Dashboard!$B$4),OR(Dashboard!$B$5="All",Raw_data!$AM305=Dashboard!$B$5),OR(Dashboard!$B$6="All",Raw_data!$AN305=Dashboard!$B$6),OR(Dashboard!$B$7="All",Raw_data!$AO305=Dashboard!$B$7),OR(Dashboard!$B$8="All",Raw_data!$AP305=Dashboard!$B$8),OR(Dashboard!$B$9="All",Raw_data!$AQ305=Dashboard!$B$9),OR(Dashboard!$B$10="All",Raw_data!$AF305=Dashboard!$B$10),OR(Raw_data!$F305="",Raw_data!$F305&lt;=TODAY())))</f>
        <v/>
      </c>
      <c r="B305">
        <f>IFERROR(IF(Dashboard!$B$3="Weighted",Raw_data!$U305,Raw_data!$T305),"")</f>
        <v/>
      </c>
      <c r="C305">
        <f>IFERROR(IF(Dashboard!$B$3="Weighted",Raw_data!$AB305,Raw_data!$AA305),"")</f>
        <v/>
      </c>
      <c r="D305">
        <f>IF(OR(Raw_data!$J305="",Raw_data!$J305&lt;=0,Raw_data!$K305=""),"",IF(Raw_data!$K305&gt;TODAY(),0,DATEDIF(Raw_data!$K305,TODAY(),"M")))</f>
        <v/>
      </c>
      <c r="E305">
        <f>--(AND(Raw_data!$AF305="No",OR(Raw_data!$AG305&lt;&gt;"",Raw_data!$AJ305&gt;0,Raw_data!$AK305&lt;&gt;"")))</f>
        <v/>
      </c>
      <c r="F305">
        <f>--(OR(AND(ISNUMBER(B305),B305&lt;0.5,OR(D305&gt;=24,Raw_data!$I305&gt;0)),Raw_data!$AE305=TRUE))</f>
        <v/>
      </c>
      <c r="G305">
        <f>IF(Dashboard!$B$11="Department",Raw_data!$AL305,IF(Dashboard!$B$11="Team",Raw_data!$AM305,IF(Dashboard!$B$11="Unit",Raw_data!$AN305,IF(Dashboard!$B$11="Legal entity",Raw_data!$AO305,IF(Dashboard!$B$11="Location",Raw_data!$AP305,Raw_data!$AQ305)))))</f>
        <v/>
      </c>
      <c r="H305">
        <f>--(AND(ISNUMBER(B305),B305&lt;0.5))</f>
        <v/>
      </c>
      <c r="I305">
        <f>IFERROR(MAX(0,(0.5-B305)*100),0)+IF(D305&gt;=24,20,0)+IF(Raw_data!$I305&gt;0,20,0)+IF(Raw_data!$AE305=TRUE,10,0)</f>
        <v/>
      </c>
      <c r="J305">
        <f>IFERROR(CHOOSE(MATCH(Dashboard!$B$11,{"Department","Team","Unit","Legal entity","Location","Lead"},0),INDEX(Lists!$B$3:$B$20,ROW()-1),INDEX(Lists!$C$3:$C$146,ROW()-1),INDEX(Lists!$D$3:$D$67,ROW()-1),INDEX(Lists!$E$3:$E$5,ROW()-1),INDEX(Lists!$F$3:$F$12,ROW()-1),INDEX(Lists!$G$3:$G$126,ROW()-1)),"")</f>
        <v/>
      </c>
      <c r="K305">
        <f>IF(J305="","",SUMPRODUCT(($A$2:$A$636=1)*($G$2:$G$636=J305)))</f>
        <v/>
      </c>
      <c r="L305">
        <f>IF(J305="","",SUMPRODUCT(($A$2:$A$636=1)*($G$2:$G$636=J305)*(ISNUMBER($B$2:$B$636))*($B$2:$B$636&lt;0.5)))</f>
        <v/>
      </c>
      <c r="M305">
        <f>IFERROR(L305/K305,"")</f>
        <v/>
      </c>
      <c r="N305">
        <f>IF(K305="","",M305+K305/100000+ROW()/100000000)</f>
        <v/>
      </c>
      <c r="R305">
        <f>IF(A305=1,IFERROR(I305,0)+ROW()/100000000,-1E+99)</f>
        <v/>
      </c>
      <c r="S305">
        <f>IF(A305=1,IFERROR(Raw_data!$T305,""),"")</f>
        <v/>
      </c>
      <c r="T305">
        <f>IF(A305=1,IFERROR(Raw_data!$AA305,""),"")</f>
        <v/>
      </c>
      <c r="U305">
        <f>IF(A305=1,IFERROR(Raw_data!$U305,""),"")</f>
        <v/>
      </c>
      <c r="V305">
        <f>IF(A305=1,IFERROR(Raw_data!$AB305,""),"")</f>
        <v/>
      </c>
    </row>
    <row r="306">
      <c r="A306">
        <f>--(AND(OR(Dashboard!$B$4="All",Raw_data!$AL306=Dashboard!$B$4),OR(Dashboard!$B$5="All",Raw_data!$AM306=Dashboard!$B$5),OR(Dashboard!$B$6="All",Raw_data!$AN306=Dashboard!$B$6),OR(Dashboard!$B$7="All",Raw_data!$AO306=Dashboard!$B$7),OR(Dashboard!$B$8="All",Raw_data!$AP306=Dashboard!$B$8),OR(Dashboard!$B$9="All",Raw_data!$AQ306=Dashboard!$B$9),OR(Dashboard!$B$10="All",Raw_data!$AF306=Dashboard!$B$10),OR(Raw_data!$F306="",Raw_data!$F306&lt;=TODAY())))</f>
        <v/>
      </c>
      <c r="B306">
        <f>IFERROR(IF(Dashboard!$B$3="Weighted",Raw_data!$U306,Raw_data!$T306),"")</f>
        <v/>
      </c>
      <c r="C306">
        <f>IFERROR(IF(Dashboard!$B$3="Weighted",Raw_data!$AB306,Raw_data!$AA306),"")</f>
        <v/>
      </c>
      <c r="D306">
        <f>IF(OR(Raw_data!$J306="",Raw_data!$J306&lt;=0,Raw_data!$K306=""),"",IF(Raw_data!$K306&gt;TODAY(),0,DATEDIF(Raw_data!$K306,TODAY(),"M")))</f>
        <v/>
      </c>
      <c r="E306">
        <f>--(AND(Raw_data!$AF306="No",OR(Raw_data!$AG306&lt;&gt;"",Raw_data!$AJ306&gt;0,Raw_data!$AK306&lt;&gt;"")))</f>
        <v/>
      </c>
      <c r="F306">
        <f>--(OR(AND(ISNUMBER(B306),B306&lt;0.5,OR(D306&gt;=24,Raw_data!$I306&gt;0)),Raw_data!$AE306=TRUE))</f>
        <v/>
      </c>
      <c r="G306">
        <f>IF(Dashboard!$B$11="Department",Raw_data!$AL306,IF(Dashboard!$B$11="Team",Raw_data!$AM306,IF(Dashboard!$B$11="Unit",Raw_data!$AN306,IF(Dashboard!$B$11="Legal entity",Raw_data!$AO306,IF(Dashboard!$B$11="Location",Raw_data!$AP306,Raw_data!$AQ306)))))</f>
        <v/>
      </c>
      <c r="H306">
        <f>--(AND(ISNUMBER(B306),B306&lt;0.5))</f>
        <v/>
      </c>
      <c r="I306">
        <f>IFERROR(MAX(0,(0.5-B306)*100),0)+IF(D306&gt;=24,20,0)+IF(Raw_data!$I306&gt;0,20,0)+IF(Raw_data!$AE306=TRUE,10,0)</f>
        <v/>
      </c>
      <c r="J306">
        <f>IFERROR(CHOOSE(MATCH(Dashboard!$B$11,{"Department","Team","Unit","Legal entity","Location","Lead"},0),INDEX(Lists!$B$3:$B$20,ROW()-1),INDEX(Lists!$C$3:$C$146,ROW()-1),INDEX(Lists!$D$3:$D$67,ROW()-1),INDEX(Lists!$E$3:$E$5,ROW()-1),INDEX(Lists!$F$3:$F$12,ROW()-1),INDEX(Lists!$G$3:$G$126,ROW()-1)),"")</f>
        <v/>
      </c>
      <c r="K306">
        <f>IF(J306="","",SUMPRODUCT(($A$2:$A$636=1)*($G$2:$G$636=J306)))</f>
        <v/>
      </c>
      <c r="L306">
        <f>IF(J306="","",SUMPRODUCT(($A$2:$A$636=1)*($G$2:$G$636=J306)*(ISNUMBER($B$2:$B$636))*($B$2:$B$636&lt;0.5)))</f>
        <v/>
      </c>
      <c r="M306">
        <f>IFERROR(L306/K306,"")</f>
        <v/>
      </c>
      <c r="N306">
        <f>IF(K306="","",M306+K306/100000+ROW()/100000000)</f>
        <v/>
      </c>
      <c r="R306">
        <f>IF(A306=1,IFERROR(I306,0)+ROW()/100000000,-1E+99)</f>
        <v/>
      </c>
      <c r="S306">
        <f>IF(A306=1,IFERROR(Raw_data!$T306,""),"")</f>
        <v/>
      </c>
      <c r="T306">
        <f>IF(A306=1,IFERROR(Raw_data!$AA306,""),"")</f>
        <v/>
      </c>
      <c r="U306">
        <f>IF(A306=1,IFERROR(Raw_data!$U306,""),"")</f>
        <v/>
      </c>
      <c r="V306">
        <f>IF(A306=1,IFERROR(Raw_data!$AB306,""),"")</f>
        <v/>
      </c>
    </row>
    <row r="307">
      <c r="A307">
        <f>--(AND(OR(Dashboard!$B$4="All",Raw_data!$AL307=Dashboard!$B$4),OR(Dashboard!$B$5="All",Raw_data!$AM307=Dashboard!$B$5),OR(Dashboard!$B$6="All",Raw_data!$AN307=Dashboard!$B$6),OR(Dashboard!$B$7="All",Raw_data!$AO307=Dashboard!$B$7),OR(Dashboard!$B$8="All",Raw_data!$AP307=Dashboard!$B$8),OR(Dashboard!$B$9="All",Raw_data!$AQ307=Dashboard!$B$9),OR(Dashboard!$B$10="All",Raw_data!$AF307=Dashboard!$B$10),OR(Raw_data!$F307="",Raw_data!$F307&lt;=TODAY())))</f>
        <v/>
      </c>
      <c r="B307">
        <f>IFERROR(IF(Dashboard!$B$3="Weighted",Raw_data!$U307,Raw_data!$T307),"")</f>
        <v/>
      </c>
      <c r="C307">
        <f>IFERROR(IF(Dashboard!$B$3="Weighted",Raw_data!$AB307,Raw_data!$AA307),"")</f>
        <v/>
      </c>
      <c r="D307">
        <f>IF(OR(Raw_data!$J307="",Raw_data!$J307&lt;=0,Raw_data!$K307=""),"",IF(Raw_data!$K307&gt;TODAY(),0,DATEDIF(Raw_data!$K307,TODAY(),"M")))</f>
        <v/>
      </c>
      <c r="E307">
        <f>--(AND(Raw_data!$AF307="No",OR(Raw_data!$AG307&lt;&gt;"",Raw_data!$AJ307&gt;0,Raw_data!$AK307&lt;&gt;"")))</f>
        <v/>
      </c>
      <c r="F307">
        <f>--(OR(AND(ISNUMBER(B307),B307&lt;0.5,OR(D307&gt;=24,Raw_data!$I307&gt;0)),Raw_data!$AE307=TRUE))</f>
        <v/>
      </c>
      <c r="G307">
        <f>IF(Dashboard!$B$11="Department",Raw_data!$AL307,IF(Dashboard!$B$11="Team",Raw_data!$AM307,IF(Dashboard!$B$11="Unit",Raw_data!$AN307,IF(Dashboard!$B$11="Legal entity",Raw_data!$AO307,IF(Dashboard!$B$11="Location",Raw_data!$AP307,Raw_data!$AQ307)))))</f>
        <v/>
      </c>
      <c r="H307">
        <f>--(AND(ISNUMBER(B307),B307&lt;0.5))</f>
        <v/>
      </c>
      <c r="I307">
        <f>IFERROR(MAX(0,(0.5-B307)*100),0)+IF(D307&gt;=24,20,0)+IF(Raw_data!$I307&gt;0,20,0)+IF(Raw_data!$AE307=TRUE,10,0)</f>
        <v/>
      </c>
      <c r="J307">
        <f>IFERROR(CHOOSE(MATCH(Dashboard!$B$11,{"Department","Team","Unit","Legal entity","Location","Lead"},0),INDEX(Lists!$B$3:$B$20,ROW()-1),INDEX(Lists!$C$3:$C$146,ROW()-1),INDEX(Lists!$D$3:$D$67,ROW()-1),INDEX(Lists!$E$3:$E$5,ROW()-1),INDEX(Lists!$F$3:$F$12,ROW()-1),INDEX(Lists!$G$3:$G$126,ROW()-1)),"")</f>
        <v/>
      </c>
      <c r="K307">
        <f>IF(J307="","",SUMPRODUCT(($A$2:$A$636=1)*($G$2:$G$636=J307)))</f>
        <v/>
      </c>
      <c r="L307">
        <f>IF(J307="","",SUMPRODUCT(($A$2:$A$636=1)*($G$2:$G$636=J307)*(ISNUMBER($B$2:$B$636))*($B$2:$B$636&lt;0.5)))</f>
        <v/>
      </c>
      <c r="M307">
        <f>IFERROR(L307/K307,"")</f>
        <v/>
      </c>
      <c r="N307">
        <f>IF(K307="","",M307+K307/100000+ROW()/100000000)</f>
        <v/>
      </c>
      <c r="R307">
        <f>IF(A307=1,IFERROR(I307,0)+ROW()/100000000,-1E+99)</f>
        <v/>
      </c>
      <c r="S307">
        <f>IF(A307=1,IFERROR(Raw_data!$T307,""),"")</f>
        <v/>
      </c>
      <c r="T307">
        <f>IF(A307=1,IFERROR(Raw_data!$AA307,""),"")</f>
        <v/>
      </c>
      <c r="U307">
        <f>IF(A307=1,IFERROR(Raw_data!$U307,""),"")</f>
        <v/>
      </c>
      <c r="V307">
        <f>IF(A307=1,IFERROR(Raw_data!$AB307,""),"")</f>
        <v/>
      </c>
    </row>
    <row r="308">
      <c r="A308">
        <f>--(AND(OR(Dashboard!$B$4="All",Raw_data!$AL308=Dashboard!$B$4),OR(Dashboard!$B$5="All",Raw_data!$AM308=Dashboard!$B$5),OR(Dashboard!$B$6="All",Raw_data!$AN308=Dashboard!$B$6),OR(Dashboard!$B$7="All",Raw_data!$AO308=Dashboard!$B$7),OR(Dashboard!$B$8="All",Raw_data!$AP308=Dashboard!$B$8),OR(Dashboard!$B$9="All",Raw_data!$AQ308=Dashboard!$B$9),OR(Dashboard!$B$10="All",Raw_data!$AF308=Dashboard!$B$10),OR(Raw_data!$F308="",Raw_data!$F308&lt;=TODAY())))</f>
        <v/>
      </c>
      <c r="B308">
        <f>IFERROR(IF(Dashboard!$B$3="Weighted",Raw_data!$U308,Raw_data!$T308),"")</f>
        <v/>
      </c>
      <c r="C308">
        <f>IFERROR(IF(Dashboard!$B$3="Weighted",Raw_data!$AB308,Raw_data!$AA308),"")</f>
        <v/>
      </c>
      <c r="D308">
        <f>IF(OR(Raw_data!$J308="",Raw_data!$J308&lt;=0,Raw_data!$K308=""),"",IF(Raw_data!$K308&gt;TODAY(),0,DATEDIF(Raw_data!$K308,TODAY(),"M")))</f>
        <v/>
      </c>
      <c r="E308">
        <f>--(AND(Raw_data!$AF308="No",OR(Raw_data!$AG308&lt;&gt;"",Raw_data!$AJ308&gt;0,Raw_data!$AK308&lt;&gt;"")))</f>
        <v/>
      </c>
      <c r="F308">
        <f>--(OR(AND(ISNUMBER(B308),B308&lt;0.5,OR(D308&gt;=24,Raw_data!$I308&gt;0)),Raw_data!$AE308=TRUE))</f>
        <v/>
      </c>
      <c r="G308">
        <f>IF(Dashboard!$B$11="Department",Raw_data!$AL308,IF(Dashboard!$B$11="Team",Raw_data!$AM308,IF(Dashboard!$B$11="Unit",Raw_data!$AN308,IF(Dashboard!$B$11="Legal entity",Raw_data!$AO308,IF(Dashboard!$B$11="Location",Raw_data!$AP308,Raw_data!$AQ308)))))</f>
        <v/>
      </c>
      <c r="H308">
        <f>--(AND(ISNUMBER(B308),B308&lt;0.5))</f>
        <v/>
      </c>
      <c r="I308">
        <f>IFERROR(MAX(0,(0.5-B308)*100),0)+IF(D308&gt;=24,20,0)+IF(Raw_data!$I308&gt;0,20,0)+IF(Raw_data!$AE308=TRUE,10,0)</f>
        <v/>
      </c>
      <c r="J308">
        <f>IFERROR(CHOOSE(MATCH(Dashboard!$B$11,{"Department","Team","Unit","Legal entity","Location","Lead"},0),INDEX(Lists!$B$3:$B$20,ROW()-1),INDEX(Lists!$C$3:$C$146,ROW()-1),INDEX(Lists!$D$3:$D$67,ROW()-1),INDEX(Lists!$E$3:$E$5,ROW()-1),INDEX(Lists!$F$3:$F$12,ROW()-1),INDEX(Lists!$G$3:$G$126,ROW()-1)),"")</f>
        <v/>
      </c>
      <c r="K308">
        <f>IF(J308="","",SUMPRODUCT(($A$2:$A$636=1)*($G$2:$G$636=J308)))</f>
        <v/>
      </c>
      <c r="L308">
        <f>IF(J308="","",SUMPRODUCT(($A$2:$A$636=1)*($G$2:$G$636=J308)*(ISNUMBER($B$2:$B$636))*($B$2:$B$636&lt;0.5)))</f>
        <v/>
      </c>
      <c r="M308">
        <f>IFERROR(L308/K308,"")</f>
        <v/>
      </c>
      <c r="N308">
        <f>IF(K308="","",M308+K308/100000+ROW()/100000000)</f>
        <v/>
      </c>
      <c r="R308">
        <f>IF(A308=1,IFERROR(I308,0)+ROW()/100000000,-1E+99)</f>
        <v/>
      </c>
      <c r="S308">
        <f>IF(A308=1,IFERROR(Raw_data!$T308,""),"")</f>
        <v/>
      </c>
      <c r="T308">
        <f>IF(A308=1,IFERROR(Raw_data!$AA308,""),"")</f>
        <v/>
      </c>
      <c r="U308">
        <f>IF(A308=1,IFERROR(Raw_data!$U308,""),"")</f>
        <v/>
      </c>
      <c r="V308">
        <f>IF(A308=1,IFERROR(Raw_data!$AB308,""),"")</f>
        <v/>
      </c>
    </row>
    <row r="309">
      <c r="A309">
        <f>--(AND(OR(Dashboard!$B$4="All",Raw_data!$AL309=Dashboard!$B$4),OR(Dashboard!$B$5="All",Raw_data!$AM309=Dashboard!$B$5),OR(Dashboard!$B$6="All",Raw_data!$AN309=Dashboard!$B$6),OR(Dashboard!$B$7="All",Raw_data!$AO309=Dashboard!$B$7),OR(Dashboard!$B$8="All",Raw_data!$AP309=Dashboard!$B$8),OR(Dashboard!$B$9="All",Raw_data!$AQ309=Dashboard!$B$9),OR(Dashboard!$B$10="All",Raw_data!$AF309=Dashboard!$B$10),OR(Raw_data!$F309="",Raw_data!$F309&lt;=TODAY())))</f>
        <v/>
      </c>
      <c r="B309">
        <f>IFERROR(IF(Dashboard!$B$3="Weighted",Raw_data!$U309,Raw_data!$T309),"")</f>
        <v/>
      </c>
      <c r="C309">
        <f>IFERROR(IF(Dashboard!$B$3="Weighted",Raw_data!$AB309,Raw_data!$AA309),"")</f>
        <v/>
      </c>
      <c r="D309">
        <f>IF(OR(Raw_data!$J309="",Raw_data!$J309&lt;=0,Raw_data!$K309=""),"",IF(Raw_data!$K309&gt;TODAY(),0,DATEDIF(Raw_data!$K309,TODAY(),"M")))</f>
        <v/>
      </c>
      <c r="E309">
        <f>--(AND(Raw_data!$AF309="No",OR(Raw_data!$AG309&lt;&gt;"",Raw_data!$AJ309&gt;0,Raw_data!$AK309&lt;&gt;"")))</f>
        <v/>
      </c>
      <c r="F309">
        <f>--(OR(AND(ISNUMBER(B309),B309&lt;0.5,OR(D309&gt;=24,Raw_data!$I309&gt;0)),Raw_data!$AE309=TRUE))</f>
        <v/>
      </c>
      <c r="G309">
        <f>IF(Dashboard!$B$11="Department",Raw_data!$AL309,IF(Dashboard!$B$11="Team",Raw_data!$AM309,IF(Dashboard!$B$11="Unit",Raw_data!$AN309,IF(Dashboard!$B$11="Legal entity",Raw_data!$AO309,IF(Dashboard!$B$11="Location",Raw_data!$AP309,Raw_data!$AQ309)))))</f>
        <v/>
      </c>
      <c r="H309">
        <f>--(AND(ISNUMBER(B309),B309&lt;0.5))</f>
        <v/>
      </c>
      <c r="I309">
        <f>IFERROR(MAX(0,(0.5-B309)*100),0)+IF(D309&gt;=24,20,0)+IF(Raw_data!$I309&gt;0,20,0)+IF(Raw_data!$AE309=TRUE,10,0)</f>
        <v/>
      </c>
      <c r="J309">
        <f>IFERROR(CHOOSE(MATCH(Dashboard!$B$11,{"Department","Team","Unit","Legal entity","Location","Lead"},0),INDEX(Lists!$B$3:$B$20,ROW()-1),INDEX(Lists!$C$3:$C$146,ROW()-1),INDEX(Lists!$D$3:$D$67,ROW()-1),INDEX(Lists!$E$3:$E$5,ROW()-1),INDEX(Lists!$F$3:$F$12,ROW()-1),INDEX(Lists!$G$3:$G$126,ROW()-1)),"")</f>
        <v/>
      </c>
      <c r="K309">
        <f>IF(J309="","",SUMPRODUCT(($A$2:$A$636=1)*($G$2:$G$636=J309)))</f>
        <v/>
      </c>
      <c r="L309">
        <f>IF(J309="","",SUMPRODUCT(($A$2:$A$636=1)*($G$2:$G$636=J309)*(ISNUMBER($B$2:$B$636))*($B$2:$B$636&lt;0.5)))</f>
        <v/>
      </c>
      <c r="M309">
        <f>IFERROR(L309/K309,"")</f>
        <v/>
      </c>
      <c r="N309">
        <f>IF(K309="","",M309+K309/100000+ROW()/100000000)</f>
        <v/>
      </c>
      <c r="R309">
        <f>IF(A309=1,IFERROR(I309,0)+ROW()/100000000,-1E+99)</f>
        <v/>
      </c>
      <c r="S309">
        <f>IF(A309=1,IFERROR(Raw_data!$T309,""),"")</f>
        <v/>
      </c>
      <c r="T309">
        <f>IF(A309=1,IFERROR(Raw_data!$AA309,""),"")</f>
        <v/>
      </c>
      <c r="U309">
        <f>IF(A309=1,IFERROR(Raw_data!$U309,""),"")</f>
        <v/>
      </c>
      <c r="V309">
        <f>IF(A309=1,IFERROR(Raw_data!$AB309,""),"")</f>
        <v/>
      </c>
    </row>
    <row r="310">
      <c r="A310">
        <f>--(AND(OR(Dashboard!$B$4="All",Raw_data!$AL310=Dashboard!$B$4),OR(Dashboard!$B$5="All",Raw_data!$AM310=Dashboard!$B$5),OR(Dashboard!$B$6="All",Raw_data!$AN310=Dashboard!$B$6),OR(Dashboard!$B$7="All",Raw_data!$AO310=Dashboard!$B$7),OR(Dashboard!$B$8="All",Raw_data!$AP310=Dashboard!$B$8),OR(Dashboard!$B$9="All",Raw_data!$AQ310=Dashboard!$B$9),OR(Dashboard!$B$10="All",Raw_data!$AF310=Dashboard!$B$10),OR(Raw_data!$F310="",Raw_data!$F310&lt;=TODAY())))</f>
        <v/>
      </c>
      <c r="B310">
        <f>IFERROR(IF(Dashboard!$B$3="Weighted",Raw_data!$U310,Raw_data!$T310),"")</f>
        <v/>
      </c>
      <c r="C310">
        <f>IFERROR(IF(Dashboard!$B$3="Weighted",Raw_data!$AB310,Raw_data!$AA310),"")</f>
        <v/>
      </c>
      <c r="D310">
        <f>IF(OR(Raw_data!$J310="",Raw_data!$J310&lt;=0,Raw_data!$K310=""),"",IF(Raw_data!$K310&gt;TODAY(),0,DATEDIF(Raw_data!$K310,TODAY(),"M")))</f>
        <v/>
      </c>
      <c r="E310">
        <f>--(AND(Raw_data!$AF310="No",OR(Raw_data!$AG310&lt;&gt;"",Raw_data!$AJ310&gt;0,Raw_data!$AK310&lt;&gt;"")))</f>
        <v/>
      </c>
      <c r="F310">
        <f>--(OR(AND(ISNUMBER(B310),B310&lt;0.5,OR(D310&gt;=24,Raw_data!$I310&gt;0)),Raw_data!$AE310=TRUE))</f>
        <v/>
      </c>
      <c r="G310">
        <f>IF(Dashboard!$B$11="Department",Raw_data!$AL310,IF(Dashboard!$B$11="Team",Raw_data!$AM310,IF(Dashboard!$B$11="Unit",Raw_data!$AN310,IF(Dashboard!$B$11="Legal entity",Raw_data!$AO310,IF(Dashboard!$B$11="Location",Raw_data!$AP310,Raw_data!$AQ310)))))</f>
        <v/>
      </c>
      <c r="H310">
        <f>--(AND(ISNUMBER(B310),B310&lt;0.5))</f>
        <v/>
      </c>
      <c r="I310">
        <f>IFERROR(MAX(0,(0.5-B310)*100),0)+IF(D310&gt;=24,20,0)+IF(Raw_data!$I310&gt;0,20,0)+IF(Raw_data!$AE310=TRUE,10,0)</f>
        <v/>
      </c>
      <c r="J310">
        <f>IFERROR(CHOOSE(MATCH(Dashboard!$B$11,{"Department","Team","Unit","Legal entity","Location","Lead"},0),INDEX(Lists!$B$3:$B$20,ROW()-1),INDEX(Lists!$C$3:$C$146,ROW()-1),INDEX(Lists!$D$3:$D$67,ROW()-1),INDEX(Lists!$E$3:$E$5,ROW()-1),INDEX(Lists!$F$3:$F$12,ROW()-1),INDEX(Lists!$G$3:$G$126,ROW()-1)),"")</f>
        <v/>
      </c>
      <c r="K310">
        <f>IF(J310="","",SUMPRODUCT(($A$2:$A$636=1)*($G$2:$G$636=J310)))</f>
        <v/>
      </c>
      <c r="L310">
        <f>IF(J310="","",SUMPRODUCT(($A$2:$A$636=1)*($G$2:$G$636=J310)*(ISNUMBER($B$2:$B$636))*($B$2:$B$636&lt;0.5)))</f>
        <v/>
      </c>
      <c r="M310">
        <f>IFERROR(L310/K310,"")</f>
        <v/>
      </c>
      <c r="N310">
        <f>IF(K310="","",M310+K310/100000+ROW()/100000000)</f>
        <v/>
      </c>
      <c r="R310">
        <f>IF(A310=1,IFERROR(I310,0)+ROW()/100000000,-1E+99)</f>
        <v/>
      </c>
      <c r="S310">
        <f>IF(A310=1,IFERROR(Raw_data!$T310,""),"")</f>
        <v/>
      </c>
      <c r="T310">
        <f>IF(A310=1,IFERROR(Raw_data!$AA310,""),"")</f>
        <v/>
      </c>
      <c r="U310">
        <f>IF(A310=1,IFERROR(Raw_data!$U310,""),"")</f>
        <v/>
      </c>
      <c r="V310">
        <f>IF(A310=1,IFERROR(Raw_data!$AB310,""),"")</f>
        <v/>
      </c>
    </row>
    <row r="311">
      <c r="A311">
        <f>--(AND(OR(Dashboard!$B$4="All",Raw_data!$AL311=Dashboard!$B$4),OR(Dashboard!$B$5="All",Raw_data!$AM311=Dashboard!$B$5),OR(Dashboard!$B$6="All",Raw_data!$AN311=Dashboard!$B$6),OR(Dashboard!$B$7="All",Raw_data!$AO311=Dashboard!$B$7),OR(Dashboard!$B$8="All",Raw_data!$AP311=Dashboard!$B$8),OR(Dashboard!$B$9="All",Raw_data!$AQ311=Dashboard!$B$9),OR(Dashboard!$B$10="All",Raw_data!$AF311=Dashboard!$B$10),OR(Raw_data!$F311="",Raw_data!$F311&lt;=TODAY())))</f>
        <v/>
      </c>
      <c r="B311">
        <f>IFERROR(IF(Dashboard!$B$3="Weighted",Raw_data!$U311,Raw_data!$T311),"")</f>
        <v/>
      </c>
      <c r="C311">
        <f>IFERROR(IF(Dashboard!$B$3="Weighted",Raw_data!$AB311,Raw_data!$AA311),"")</f>
        <v/>
      </c>
      <c r="D311">
        <f>IF(OR(Raw_data!$J311="",Raw_data!$J311&lt;=0,Raw_data!$K311=""),"",IF(Raw_data!$K311&gt;TODAY(),0,DATEDIF(Raw_data!$K311,TODAY(),"M")))</f>
        <v/>
      </c>
      <c r="E311">
        <f>--(AND(Raw_data!$AF311="No",OR(Raw_data!$AG311&lt;&gt;"",Raw_data!$AJ311&gt;0,Raw_data!$AK311&lt;&gt;"")))</f>
        <v/>
      </c>
      <c r="F311">
        <f>--(OR(AND(ISNUMBER(B311),B311&lt;0.5,OR(D311&gt;=24,Raw_data!$I311&gt;0)),Raw_data!$AE311=TRUE))</f>
        <v/>
      </c>
      <c r="G311">
        <f>IF(Dashboard!$B$11="Department",Raw_data!$AL311,IF(Dashboard!$B$11="Team",Raw_data!$AM311,IF(Dashboard!$B$11="Unit",Raw_data!$AN311,IF(Dashboard!$B$11="Legal entity",Raw_data!$AO311,IF(Dashboard!$B$11="Location",Raw_data!$AP311,Raw_data!$AQ311)))))</f>
        <v/>
      </c>
      <c r="H311">
        <f>--(AND(ISNUMBER(B311),B311&lt;0.5))</f>
        <v/>
      </c>
      <c r="I311">
        <f>IFERROR(MAX(0,(0.5-B311)*100),0)+IF(D311&gt;=24,20,0)+IF(Raw_data!$I311&gt;0,20,0)+IF(Raw_data!$AE311=TRUE,10,0)</f>
        <v/>
      </c>
      <c r="J311">
        <f>IFERROR(CHOOSE(MATCH(Dashboard!$B$11,{"Department","Team","Unit","Legal entity","Location","Lead"},0),INDEX(Lists!$B$3:$B$20,ROW()-1),INDEX(Lists!$C$3:$C$146,ROW()-1),INDEX(Lists!$D$3:$D$67,ROW()-1),INDEX(Lists!$E$3:$E$5,ROW()-1),INDEX(Lists!$F$3:$F$12,ROW()-1),INDEX(Lists!$G$3:$G$126,ROW()-1)),"")</f>
        <v/>
      </c>
      <c r="K311">
        <f>IF(J311="","",SUMPRODUCT(($A$2:$A$636=1)*($G$2:$G$636=J311)))</f>
        <v/>
      </c>
      <c r="L311">
        <f>IF(J311="","",SUMPRODUCT(($A$2:$A$636=1)*($G$2:$G$636=J311)*(ISNUMBER($B$2:$B$636))*($B$2:$B$636&lt;0.5)))</f>
        <v/>
      </c>
      <c r="M311">
        <f>IFERROR(L311/K311,"")</f>
        <v/>
      </c>
      <c r="N311">
        <f>IF(K311="","",M311+K311/100000+ROW()/100000000)</f>
        <v/>
      </c>
      <c r="R311">
        <f>IF(A311=1,IFERROR(I311,0)+ROW()/100000000,-1E+99)</f>
        <v/>
      </c>
      <c r="S311">
        <f>IF(A311=1,IFERROR(Raw_data!$T311,""),"")</f>
        <v/>
      </c>
      <c r="T311">
        <f>IF(A311=1,IFERROR(Raw_data!$AA311,""),"")</f>
        <v/>
      </c>
      <c r="U311">
        <f>IF(A311=1,IFERROR(Raw_data!$U311,""),"")</f>
        <v/>
      </c>
      <c r="V311">
        <f>IF(A311=1,IFERROR(Raw_data!$AB311,""),"")</f>
        <v/>
      </c>
    </row>
    <row r="312">
      <c r="A312">
        <f>--(AND(OR(Dashboard!$B$4="All",Raw_data!$AL312=Dashboard!$B$4),OR(Dashboard!$B$5="All",Raw_data!$AM312=Dashboard!$B$5),OR(Dashboard!$B$6="All",Raw_data!$AN312=Dashboard!$B$6),OR(Dashboard!$B$7="All",Raw_data!$AO312=Dashboard!$B$7),OR(Dashboard!$B$8="All",Raw_data!$AP312=Dashboard!$B$8),OR(Dashboard!$B$9="All",Raw_data!$AQ312=Dashboard!$B$9),OR(Dashboard!$B$10="All",Raw_data!$AF312=Dashboard!$B$10),OR(Raw_data!$F312="",Raw_data!$F312&lt;=TODAY())))</f>
        <v/>
      </c>
      <c r="B312">
        <f>IFERROR(IF(Dashboard!$B$3="Weighted",Raw_data!$U312,Raw_data!$T312),"")</f>
        <v/>
      </c>
      <c r="C312">
        <f>IFERROR(IF(Dashboard!$B$3="Weighted",Raw_data!$AB312,Raw_data!$AA312),"")</f>
        <v/>
      </c>
      <c r="D312">
        <f>IF(OR(Raw_data!$J312="",Raw_data!$J312&lt;=0,Raw_data!$K312=""),"",IF(Raw_data!$K312&gt;TODAY(),0,DATEDIF(Raw_data!$K312,TODAY(),"M")))</f>
        <v/>
      </c>
      <c r="E312">
        <f>--(AND(Raw_data!$AF312="No",OR(Raw_data!$AG312&lt;&gt;"",Raw_data!$AJ312&gt;0,Raw_data!$AK312&lt;&gt;"")))</f>
        <v/>
      </c>
      <c r="F312">
        <f>--(OR(AND(ISNUMBER(B312),B312&lt;0.5,OR(D312&gt;=24,Raw_data!$I312&gt;0)),Raw_data!$AE312=TRUE))</f>
        <v/>
      </c>
      <c r="G312">
        <f>IF(Dashboard!$B$11="Department",Raw_data!$AL312,IF(Dashboard!$B$11="Team",Raw_data!$AM312,IF(Dashboard!$B$11="Unit",Raw_data!$AN312,IF(Dashboard!$B$11="Legal entity",Raw_data!$AO312,IF(Dashboard!$B$11="Location",Raw_data!$AP312,Raw_data!$AQ312)))))</f>
        <v/>
      </c>
      <c r="H312">
        <f>--(AND(ISNUMBER(B312),B312&lt;0.5))</f>
        <v/>
      </c>
      <c r="I312">
        <f>IFERROR(MAX(0,(0.5-B312)*100),0)+IF(D312&gt;=24,20,0)+IF(Raw_data!$I312&gt;0,20,0)+IF(Raw_data!$AE312=TRUE,10,0)</f>
        <v/>
      </c>
      <c r="J312">
        <f>IFERROR(CHOOSE(MATCH(Dashboard!$B$11,{"Department","Team","Unit","Legal entity","Location","Lead"},0),INDEX(Lists!$B$3:$B$20,ROW()-1),INDEX(Lists!$C$3:$C$146,ROW()-1),INDEX(Lists!$D$3:$D$67,ROW()-1),INDEX(Lists!$E$3:$E$5,ROW()-1),INDEX(Lists!$F$3:$F$12,ROW()-1),INDEX(Lists!$G$3:$G$126,ROW()-1)),"")</f>
        <v/>
      </c>
      <c r="K312">
        <f>IF(J312="","",SUMPRODUCT(($A$2:$A$636=1)*($G$2:$G$636=J312)))</f>
        <v/>
      </c>
      <c r="L312">
        <f>IF(J312="","",SUMPRODUCT(($A$2:$A$636=1)*($G$2:$G$636=J312)*(ISNUMBER($B$2:$B$636))*($B$2:$B$636&lt;0.5)))</f>
        <v/>
      </c>
      <c r="M312">
        <f>IFERROR(L312/K312,"")</f>
        <v/>
      </c>
      <c r="N312">
        <f>IF(K312="","",M312+K312/100000+ROW()/100000000)</f>
        <v/>
      </c>
      <c r="R312">
        <f>IF(A312=1,IFERROR(I312,0)+ROW()/100000000,-1E+99)</f>
        <v/>
      </c>
      <c r="S312">
        <f>IF(A312=1,IFERROR(Raw_data!$T312,""),"")</f>
        <v/>
      </c>
      <c r="T312">
        <f>IF(A312=1,IFERROR(Raw_data!$AA312,""),"")</f>
        <v/>
      </c>
      <c r="U312">
        <f>IF(A312=1,IFERROR(Raw_data!$U312,""),"")</f>
        <v/>
      </c>
      <c r="V312">
        <f>IF(A312=1,IFERROR(Raw_data!$AB312,""),"")</f>
        <v/>
      </c>
    </row>
    <row r="313">
      <c r="A313">
        <f>--(AND(OR(Dashboard!$B$4="All",Raw_data!$AL313=Dashboard!$B$4),OR(Dashboard!$B$5="All",Raw_data!$AM313=Dashboard!$B$5),OR(Dashboard!$B$6="All",Raw_data!$AN313=Dashboard!$B$6),OR(Dashboard!$B$7="All",Raw_data!$AO313=Dashboard!$B$7),OR(Dashboard!$B$8="All",Raw_data!$AP313=Dashboard!$B$8),OR(Dashboard!$B$9="All",Raw_data!$AQ313=Dashboard!$B$9),OR(Dashboard!$B$10="All",Raw_data!$AF313=Dashboard!$B$10),OR(Raw_data!$F313="",Raw_data!$F313&lt;=TODAY())))</f>
        <v/>
      </c>
      <c r="B313">
        <f>IFERROR(IF(Dashboard!$B$3="Weighted",Raw_data!$U313,Raw_data!$T313),"")</f>
        <v/>
      </c>
      <c r="C313">
        <f>IFERROR(IF(Dashboard!$B$3="Weighted",Raw_data!$AB313,Raw_data!$AA313),"")</f>
        <v/>
      </c>
      <c r="D313">
        <f>IF(OR(Raw_data!$J313="",Raw_data!$J313&lt;=0,Raw_data!$K313=""),"",IF(Raw_data!$K313&gt;TODAY(),0,DATEDIF(Raw_data!$K313,TODAY(),"M")))</f>
        <v/>
      </c>
      <c r="E313">
        <f>--(AND(Raw_data!$AF313="No",OR(Raw_data!$AG313&lt;&gt;"",Raw_data!$AJ313&gt;0,Raw_data!$AK313&lt;&gt;"")))</f>
        <v/>
      </c>
      <c r="F313">
        <f>--(OR(AND(ISNUMBER(B313),B313&lt;0.5,OR(D313&gt;=24,Raw_data!$I313&gt;0)),Raw_data!$AE313=TRUE))</f>
        <v/>
      </c>
      <c r="G313">
        <f>IF(Dashboard!$B$11="Department",Raw_data!$AL313,IF(Dashboard!$B$11="Team",Raw_data!$AM313,IF(Dashboard!$B$11="Unit",Raw_data!$AN313,IF(Dashboard!$B$11="Legal entity",Raw_data!$AO313,IF(Dashboard!$B$11="Location",Raw_data!$AP313,Raw_data!$AQ313)))))</f>
        <v/>
      </c>
      <c r="H313">
        <f>--(AND(ISNUMBER(B313),B313&lt;0.5))</f>
        <v/>
      </c>
      <c r="I313">
        <f>IFERROR(MAX(0,(0.5-B313)*100),0)+IF(D313&gt;=24,20,0)+IF(Raw_data!$I313&gt;0,20,0)+IF(Raw_data!$AE313=TRUE,10,0)</f>
        <v/>
      </c>
      <c r="J313">
        <f>IFERROR(CHOOSE(MATCH(Dashboard!$B$11,{"Department","Team","Unit","Legal entity","Location","Lead"},0),INDEX(Lists!$B$3:$B$20,ROW()-1),INDEX(Lists!$C$3:$C$146,ROW()-1),INDEX(Lists!$D$3:$D$67,ROW()-1),INDEX(Lists!$E$3:$E$5,ROW()-1),INDEX(Lists!$F$3:$F$12,ROW()-1),INDEX(Lists!$G$3:$G$126,ROW()-1)),"")</f>
        <v/>
      </c>
      <c r="K313">
        <f>IF(J313="","",SUMPRODUCT(($A$2:$A$636=1)*($G$2:$G$636=J313)))</f>
        <v/>
      </c>
      <c r="L313">
        <f>IF(J313="","",SUMPRODUCT(($A$2:$A$636=1)*($G$2:$G$636=J313)*(ISNUMBER($B$2:$B$636))*($B$2:$B$636&lt;0.5)))</f>
        <v/>
      </c>
      <c r="M313">
        <f>IFERROR(L313/K313,"")</f>
        <v/>
      </c>
      <c r="N313">
        <f>IF(K313="","",M313+K313/100000+ROW()/100000000)</f>
        <v/>
      </c>
      <c r="R313">
        <f>IF(A313=1,IFERROR(I313,0)+ROW()/100000000,-1E+99)</f>
        <v/>
      </c>
      <c r="S313">
        <f>IF(A313=1,IFERROR(Raw_data!$T313,""),"")</f>
        <v/>
      </c>
      <c r="T313">
        <f>IF(A313=1,IFERROR(Raw_data!$AA313,""),"")</f>
        <v/>
      </c>
      <c r="U313">
        <f>IF(A313=1,IFERROR(Raw_data!$U313,""),"")</f>
        <v/>
      </c>
      <c r="V313">
        <f>IF(A313=1,IFERROR(Raw_data!$AB313,""),"")</f>
        <v/>
      </c>
    </row>
    <row r="314">
      <c r="A314">
        <f>--(AND(OR(Dashboard!$B$4="All",Raw_data!$AL314=Dashboard!$B$4),OR(Dashboard!$B$5="All",Raw_data!$AM314=Dashboard!$B$5),OR(Dashboard!$B$6="All",Raw_data!$AN314=Dashboard!$B$6),OR(Dashboard!$B$7="All",Raw_data!$AO314=Dashboard!$B$7),OR(Dashboard!$B$8="All",Raw_data!$AP314=Dashboard!$B$8),OR(Dashboard!$B$9="All",Raw_data!$AQ314=Dashboard!$B$9),OR(Dashboard!$B$10="All",Raw_data!$AF314=Dashboard!$B$10),OR(Raw_data!$F314="",Raw_data!$F314&lt;=TODAY())))</f>
        <v/>
      </c>
      <c r="B314">
        <f>IFERROR(IF(Dashboard!$B$3="Weighted",Raw_data!$U314,Raw_data!$T314),"")</f>
        <v/>
      </c>
      <c r="C314">
        <f>IFERROR(IF(Dashboard!$B$3="Weighted",Raw_data!$AB314,Raw_data!$AA314),"")</f>
        <v/>
      </c>
      <c r="D314">
        <f>IF(OR(Raw_data!$J314="",Raw_data!$J314&lt;=0,Raw_data!$K314=""),"",IF(Raw_data!$K314&gt;TODAY(),0,DATEDIF(Raw_data!$K314,TODAY(),"M")))</f>
        <v/>
      </c>
      <c r="E314">
        <f>--(AND(Raw_data!$AF314="No",OR(Raw_data!$AG314&lt;&gt;"",Raw_data!$AJ314&gt;0,Raw_data!$AK314&lt;&gt;"")))</f>
        <v/>
      </c>
      <c r="F314">
        <f>--(OR(AND(ISNUMBER(B314),B314&lt;0.5,OR(D314&gt;=24,Raw_data!$I314&gt;0)),Raw_data!$AE314=TRUE))</f>
        <v/>
      </c>
      <c r="G314">
        <f>IF(Dashboard!$B$11="Department",Raw_data!$AL314,IF(Dashboard!$B$11="Team",Raw_data!$AM314,IF(Dashboard!$B$11="Unit",Raw_data!$AN314,IF(Dashboard!$B$11="Legal entity",Raw_data!$AO314,IF(Dashboard!$B$11="Location",Raw_data!$AP314,Raw_data!$AQ314)))))</f>
        <v/>
      </c>
      <c r="H314">
        <f>--(AND(ISNUMBER(B314),B314&lt;0.5))</f>
        <v/>
      </c>
      <c r="I314">
        <f>IFERROR(MAX(0,(0.5-B314)*100),0)+IF(D314&gt;=24,20,0)+IF(Raw_data!$I314&gt;0,20,0)+IF(Raw_data!$AE314=TRUE,10,0)</f>
        <v/>
      </c>
      <c r="J314">
        <f>IFERROR(CHOOSE(MATCH(Dashboard!$B$11,{"Department","Team","Unit","Legal entity","Location","Lead"},0),INDEX(Lists!$B$3:$B$20,ROW()-1),INDEX(Lists!$C$3:$C$146,ROW()-1),INDEX(Lists!$D$3:$D$67,ROW()-1),INDEX(Lists!$E$3:$E$5,ROW()-1),INDEX(Lists!$F$3:$F$12,ROW()-1),INDEX(Lists!$G$3:$G$126,ROW()-1)),"")</f>
        <v/>
      </c>
      <c r="K314">
        <f>IF(J314="","",SUMPRODUCT(($A$2:$A$636=1)*($G$2:$G$636=J314)))</f>
        <v/>
      </c>
      <c r="L314">
        <f>IF(J314="","",SUMPRODUCT(($A$2:$A$636=1)*($G$2:$G$636=J314)*(ISNUMBER($B$2:$B$636))*($B$2:$B$636&lt;0.5)))</f>
        <v/>
      </c>
      <c r="M314">
        <f>IFERROR(L314/K314,"")</f>
        <v/>
      </c>
      <c r="N314">
        <f>IF(K314="","",M314+K314/100000+ROW()/100000000)</f>
        <v/>
      </c>
      <c r="R314">
        <f>IF(A314=1,IFERROR(I314,0)+ROW()/100000000,-1E+99)</f>
        <v/>
      </c>
      <c r="S314">
        <f>IF(A314=1,IFERROR(Raw_data!$T314,""),"")</f>
        <v/>
      </c>
      <c r="T314">
        <f>IF(A314=1,IFERROR(Raw_data!$AA314,""),"")</f>
        <v/>
      </c>
      <c r="U314">
        <f>IF(A314=1,IFERROR(Raw_data!$U314,""),"")</f>
        <v/>
      </c>
      <c r="V314">
        <f>IF(A314=1,IFERROR(Raw_data!$AB314,""),"")</f>
        <v/>
      </c>
    </row>
    <row r="315">
      <c r="A315">
        <f>--(AND(OR(Dashboard!$B$4="All",Raw_data!$AL315=Dashboard!$B$4),OR(Dashboard!$B$5="All",Raw_data!$AM315=Dashboard!$B$5),OR(Dashboard!$B$6="All",Raw_data!$AN315=Dashboard!$B$6),OR(Dashboard!$B$7="All",Raw_data!$AO315=Dashboard!$B$7),OR(Dashboard!$B$8="All",Raw_data!$AP315=Dashboard!$B$8),OR(Dashboard!$B$9="All",Raw_data!$AQ315=Dashboard!$B$9),OR(Dashboard!$B$10="All",Raw_data!$AF315=Dashboard!$B$10),OR(Raw_data!$F315="",Raw_data!$F315&lt;=TODAY())))</f>
        <v/>
      </c>
      <c r="B315">
        <f>IFERROR(IF(Dashboard!$B$3="Weighted",Raw_data!$U315,Raw_data!$T315),"")</f>
        <v/>
      </c>
      <c r="C315">
        <f>IFERROR(IF(Dashboard!$B$3="Weighted",Raw_data!$AB315,Raw_data!$AA315),"")</f>
        <v/>
      </c>
      <c r="D315">
        <f>IF(OR(Raw_data!$J315="",Raw_data!$J315&lt;=0,Raw_data!$K315=""),"",IF(Raw_data!$K315&gt;TODAY(),0,DATEDIF(Raw_data!$K315,TODAY(),"M")))</f>
        <v/>
      </c>
      <c r="E315">
        <f>--(AND(Raw_data!$AF315="No",OR(Raw_data!$AG315&lt;&gt;"",Raw_data!$AJ315&gt;0,Raw_data!$AK315&lt;&gt;"")))</f>
        <v/>
      </c>
      <c r="F315">
        <f>--(OR(AND(ISNUMBER(B315),B315&lt;0.5,OR(D315&gt;=24,Raw_data!$I315&gt;0)),Raw_data!$AE315=TRUE))</f>
        <v/>
      </c>
      <c r="G315">
        <f>IF(Dashboard!$B$11="Department",Raw_data!$AL315,IF(Dashboard!$B$11="Team",Raw_data!$AM315,IF(Dashboard!$B$11="Unit",Raw_data!$AN315,IF(Dashboard!$B$11="Legal entity",Raw_data!$AO315,IF(Dashboard!$B$11="Location",Raw_data!$AP315,Raw_data!$AQ315)))))</f>
        <v/>
      </c>
      <c r="H315">
        <f>--(AND(ISNUMBER(B315),B315&lt;0.5))</f>
        <v/>
      </c>
      <c r="I315">
        <f>IFERROR(MAX(0,(0.5-B315)*100),0)+IF(D315&gt;=24,20,0)+IF(Raw_data!$I315&gt;0,20,0)+IF(Raw_data!$AE315=TRUE,10,0)</f>
        <v/>
      </c>
      <c r="J315">
        <f>IFERROR(CHOOSE(MATCH(Dashboard!$B$11,{"Department","Team","Unit","Legal entity","Location","Lead"},0),INDEX(Lists!$B$3:$B$20,ROW()-1),INDEX(Lists!$C$3:$C$146,ROW()-1),INDEX(Lists!$D$3:$D$67,ROW()-1),INDEX(Lists!$E$3:$E$5,ROW()-1),INDEX(Lists!$F$3:$F$12,ROW()-1),INDEX(Lists!$G$3:$G$126,ROW()-1)),"")</f>
        <v/>
      </c>
      <c r="K315">
        <f>IF(J315="","",SUMPRODUCT(($A$2:$A$636=1)*($G$2:$G$636=J315)))</f>
        <v/>
      </c>
      <c r="L315">
        <f>IF(J315="","",SUMPRODUCT(($A$2:$A$636=1)*($G$2:$G$636=J315)*(ISNUMBER($B$2:$B$636))*($B$2:$B$636&lt;0.5)))</f>
        <v/>
      </c>
      <c r="M315">
        <f>IFERROR(L315/K315,"")</f>
        <v/>
      </c>
      <c r="N315">
        <f>IF(K315="","",M315+K315/100000+ROW()/100000000)</f>
        <v/>
      </c>
      <c r="R315">
        <f>IF(A315=1,IFERROR(I315,0)+ROW()/100000000,-1E+99)</f>
        <v/>
      </c>
      <c r="S315">
        <f>IF(A315=1,IFERROR(Raw_data!$T315,""),"")</f>
        <v/>
      </c>
      <c r="T315">
        <f>IF(A315=1,IFERROR(Raw_data!$AA315,""),"")</f>
        <v/>
      </c>
      <c r="U315">
        <f>IF(A315=1,IFERROR(Raw_data!$U315,""),"")</f>
        <v/>
      </c>
      <c r="V315">
        <f>IF(A315=1,IFERROR(Raw_data!$AB315,""),"")</f>
        <v/>
      </c>
    </row>
    <row r="316">
      <c r="A316">
        <f>--(AND(OR(Dashboard!$B$4="All",Raw_data!$AL316=Dashboard!$B$4),OR(Dashboard!$B$5="All",Raw_data!$AM316=Dashboard!$B$5),OR(Dashboard!$B$6="All",Raw_data!$AN316=Dashboard!$B$6),OR(Dashboard!$B$7="All",Raw_data!$AO316=Dashboard!$B$7),OR(Dashboard!$B$8="All",Raw_data!$AP316=Dashboard!$B$8),OR(Dashboard!$B$9="All",Raw_data!$AQ316=Dashboard!$B$9),OR(Dashboard!$B$10="All",Raw_data!$AF316=Dashboard!$B$10),OR(Raw_data!$F316="",Raw_data!$F316&lt;=TODAY())))</f>
        <v/>
      </c>
      <c r="B316">
        <f>IFERROR(IF(Dashboard!$B$3="Weighted",Raw_data!$U316,Raw_data!$T316),"")</f>
        <v/>
      </c>
      <c r="C316">
        <f>IFERROR(IF(Dashboard!$B$3="Weighted",Raw_data!$AB316,Raw_data!$AA316),"")</f>
        <v/>
      </c>
      <c r="D316">
        <f>IF(OR(Raw_data!$J316="",Raw_data!$J316&lt;=0,Raw_data!$K316=""),"",IF(Raw_data!$K316&gt;TODAY(),0,DATEDIF(Raw_data!$K316,TODAY(),"M")))</f>
        <v/>
      </c>
      <c r="E316">
        <f>--(AND(Raw_data!$AF316="No",OR(Raw_data!$AG316&lt;&gt;"",Raw_data!$AJ316&gt;0,Raw_data!$AK316&lt;&gt;"")))</f>
        <v/>
      </c>
      <c r="F316">
        <f>--(OR(AND(ISNUMBER(B316),B316&lt;0.5,OR(D316&gt;=24,Raw_data!$I316&gt;0)),Raw_data!$AE316=TRUE))</f>
        <v/>
      </c>
      <c r="G316">
        <f>IF(Dashboard!$B$11="Department",Raw_data!$AL316,IF(Dashboard!$B$11="Team",Raw_data!$AM316,IF(Dashboard!$B$11="Unit",Raw_data!$AN316,IF(Dashboard!$B$11="Legal entity",Raw_data!$AO316,IF(Dashboard!$B$11="Location",Raw_data!$AP316,Raw_data!$AQ316)))))</f>
        <v/>
      </c>
      <c r="H316">
        <f>--(AND(ISNUMBER(B316),B316&lt;0.5))</f>
        <v/>
      </c>
      <c r="I316">
        <f>IFERROR(MAX(0,(0.5-B316)*100),0)+IF(D316&gt;=24,20,0)+IF(Raw_data!$I316&gt;0,20,0)+IF(Raw_data!$AE316=TRUE,10,0)</f>
        <v/>
      </c>
      <c r="J316">
        <f>IFERROR(CHOOSE(MATCH(Dashboard!$B$11,{"Department","Team","Unit","Legal entity","Location","Lead"},0),INDEX(Lists!$B$3:$B$20,ROW()-1),INDEX(Lists!$C$3:$C$146,ROW()-1),INDEX(Lists!$D$3:$D$67,ROW()-1),INDEX(Lists!$E$3:$E$5,ROW()-1),INDEX(Lists!$F$3:$F$12,ROW()-1),INDEX(Lists!$G$3:$G$126,ROW()-1)),"")</f>
        <v/>
      </c>
      <c r="K316">
        <f>IF(J316="","",SUMPRODUCT(($A$2:$A$636=1)*($G$2:$G$636=J316)))</f>
        <v/>
      </c>
      <c r="L316">
        <f>IF(J316="","",SUMPRODUCT(($A$2:$A$636=1)*($G$2:$G$636=J316)*(ISNUMBER($B$2:$B$636))*($B$2:$B$636&lt;0.5)))</f>
        <v/>
      </c>
      <c r="M316">
        <f>IFERROR(L316/K316,"")</f>
        <v/>
      </c>
      <c r="N316">
        <f>IF(K316="","",M316+K316/100000+ROW()/100000000)</f>
        <v/>
      </c>
      <c r="R316">
        <f>IF(A316=1,IFERROR(I316,0)+ROW()/100000000,-1E+99)</f>
        <v/>
      </c>
      <c r="S316">
        <f>IF(A316=1,IFERROR(Raw_data!$T316,""),"")</f>
        <v/>
      </c>
      <c r="T316">
        <f>IF(A316=1,IFERROR(Raw_data!$AA316,""),"")</f>
        <v/>
      </c>
      <c r="U316">
        <f>IF(A316=1,IFERROR(Raw_data!$U316,""),"")</f>
        <v/>
      </c>
      <c r="V316">
        <f>IF(A316=1,IFERROR(Raw_data!$AB316,""),"")</f>
        <v/>
      </c>
    </row>
    <row r="317">
      <c r="A317">
        <f>--(AND(OR(Dashboard!$B$4="All",Raw_data!$AL317=Dashboard!$B$4),OR(Dashboard!$B$5="All",Raw_data!$AM317=Dashboard!$B$5),OR(Dashboard!$B$6="All",Raw_data!$AN317=Dashboard!$B$6),OR(Dashboard!$B$7="All",Raw_data!$AO317=Dashboard!$B$7),OR(Dashboard!$B$8="All",Raw_data!$AP317=Dashboard!$B$8),OR(Dashboard!$B$9="All",Raw_data!$AQ317=Dashboard!$B$9),OR(Dashboard!$B$10="All",Raw_data!$AF317=Dashboard!$B$10),OR(Raw_data!$F317="",Raw_data!$F317&lt;=TODAY())))</f>
        <v/>
      </c>
      <c r="B317">
        <f>IFERROR(IF(Dashboard!$B$3="Weighted",Raw_data!$U317,Raw_data!$T317),"")</f>
        <v/>
      </c>
      <c r="C317">
        <f>IFERROR(IF(Dashboard!$B$3="Weighted",Raw_data!$AB317,Raw_data!$AA317),"")</f>
        <v/>
      </c>
      <c r="D317">
        <f>IF(OR(Raw_data!$J317="",Raw_data!$J317&lt;=0,Raw_data!$K317=""),"",IF(Raw_data!$K317&gt;TODAY(),0,DATEDIF(Raw_data!$K317,TODAY(),"M")))</f>
        <v/>
      </c>
      <c r="E317">
        <f>--(AND(Raw_data!$AF317="No",OR(Raw_data!$AG317&lt;&gt;"",Raw_data!$AJ317&gt;0,Raw_data!$AK317&lt;&gt;"")))</f>
        <v/>
      </c>
      <c r="F317">
        <f>--(OR(AND(ISNUMBER(B317),B317&lt;0.5,OR(D317&gt;=24,Raw_data!$I317&gt;0)),Raw_data!$AE317=TRUE))</f>
        <v/>
      </c>
      <c r="G317">
        <f>IF(Dashboard!$B$11="Department",Raw_data!$AL317,IF(Dashboard!$B$11="Team",Raw_data!$AM317,IF(Dashboard!$B$11="Unit",Raw_data!$AN317,IF(Dashboard!$B$11="Legal entity",Raw_data!$AO317,IF(Dashboard!$B$11="Location",Raw_data!$AP317,Raw_data!$AQ317)))))</f>
        <v/>
      </c>
      <c r="H317">
        <f>--(AND(ISNUMBER(B317),B317&lt;0.5))</f>
        <v/>
      </c>
      <c r="I317">
        <f>IFERROR(MAX(0,(0.5-B317)*100),0)+IF(D317&gt;=24,20,0)+IF(Raw_data!$I317&gt;0,20,0)+IF(Raw_data!$AE317=TRUE,10,0)</f>
        <v/>
      </c>
      <c r="J317">
        <f>IFERROR(CHOOSE(MATCH(Dashboard!$B$11,{"Department","Team","Unit","Legal entity","Location","Lead"},0),INDEX(Lists!$B$3:$B$20,ROW()-1),INDEX(Lists!$C$3:$C$146,ROW()-1),INDEX(Lists!$D$3:$D$67,ROW()-1),INDEX(Lists!$E$3:$E$5,ROW()-1),INDEX(Lists!$F$3:$F$12,ROW()-1),INDEX(Lists!$G$3:$G$126,ROW()-1)),"")</f>
        <v/>
      </c>
      <c r="K317">
        <f>IF(J317="","",SUMPRODUCT(($A$2:$A$636=1)*($G$2:$G$636=J317)))</f>
        <v/>
      </c>
      <c r="L317">
        <f>IF(J317="","",SUMPRODUCT(($A$2:$A$636=1)*($G$2:$G$636=J317)*(ISNUMBER($B$2:$B$636))*($B$2:$B$636&lt;0.5)))</f>
        <v/>
      </c>
      <c r="M317">
        <f>IFERROR(L317/K317,"")</f>
        <v/>
      </c>
      <c r="N317">
        <f>IF(K317="","",M317+K317/100000+ROW()/100000000)</f>
        <v/>
      </c>
      <c r="R317">
        <f>IF(A317=1,IFERROR(I317,0)+ROW()/100000000,-1E+99)</f>
        <v/>
      </c>
      <c r="S317">
        <f>IF(A317=1,IFERROR(Raw_data!$T317,""),"")</f>
        <v/>
      </c>
      <c r="T317">
        <f>IF(A317=1,IFERROR(Raw_data!$AA317,""),"")</f>
        <v/>
      </c>
      <c r="U317">
        <f>IF(A317=1,IFERROR(Raw_data!$U317,""),"")</f>
        <v/>
      </c>
      <c r="V317">
        <f>IF(A317=1,IFERROR(Raw_data!$AB317,""),"")</f>
        <v/>
      </c>
    </row>
    <row r="318">
      <c r="A318">
        <f>--(AND(OR(Dashboard!$B$4="All",Raw_data!$AL318=Dashboard!$B$4),OR(Dashboard!$B$5="All",Raw_data!$AM318=Dashboard!$B$5),OR(Dashboard!$B$6="All",Raw_data!$AN318=Dashboard!$B$6),OR(Dashboard!$B$7="All",Raw_data!$AO318=Dashboard!$B$7),OR(Dashboard!$B$8="All",Raw_data!$AP318=Dashboard!$B$8),OR(Dashboard!$B$9="All",Raw_data!$AQ318=Dashboard!$B$9),OR(Dashboard!$B$10="All",Raw_data!$AF318=Dashboard!$B$10),OR(Raw_data!$F318="",Raw_data!$F318&lt;=TODAY())))</f>
        <v/>
      </c>
      <c r="B318">
        <f>IFERROR(IF(Dashboard!$B$3="Weighted",Raw_data!$U318,Raw_data!$T318),"")</f>
        <v/>
      </c>
      <c r="C318">
        <f>IFERROR(IF(Dashboard!$B$3="Weighted",Raw_data!$AB318,Raw_data!$AA318),"")</f>
        <v/>
      </c>
      <c r="D318">
        <f>IF(OR(Raw_data!$J318="",Raw_data!$J318&lt;=0,Raw_data!$K318=""),"",IF(Raw_data!$K318&gt;TODAY(),0,DATEDIF(Raw_data!$K318,TODAY(),"M")))</f>
        <v/>
      </c>
      <c r="E318">
        <f>--(AND(Raw_data!$AF318="No",OR(Raw_data!$AG318&lt;&gt;"",Raw_data!$AJ318&gt;0,Raw_data!$AK318&lt;&gt;"")))</f>
        <v/>
      </c>
      <c r="F318">
        <f>--(OR(AND(ISNUMBER(B318),B318&lt;0.5,OR(D318&gt;=24,Raw_data!$I318&gt;0)),Raw_data!$AE318=TRUE))</f>
        <v/>
      </c>
      <c r="G318">
        <f>IF(Dashboard!$B$11="Department",Raw_data!$AL318,IF(Dashboard!$B$11="Team",Raw_data!$AM318,IF(Dashboard!$B$11="Unit",Raw_data!$AN318,IF(Dashboard!$B$11="Legal entity",Raw_data!$AO318,IF(Dashboard!$B$11="Location",Raw_data!$AP318,Raw_data!$AQ318)))))</f>
        <v/>
      </c>
      <c r="H318">
        <f>--(AND(ISNUMBER(B318),B318&lt;0.5))</f>
        <v/>
      </c>
      <c r="I318">
        <f>IFERROR(MAX(0,(0.5-B318)*100),0)+IF(D318&gt;=24,20,0)+IF(Raw_data!$I318&gt;0,20,0)+IF(Raw_data!$AE318=TRUE,10,0)</f>
        <v/>
      </c>
      <c r="J318">
        <f>IFERROR(CHOOSE(MATCH(Dashboard!$B$11,{"Department","Team","Unit","Legal entity","Location","Lead"},0),INDEX(Lists!$B$3:$B$20,ROW()-1),INDEX(Lists!$C$3:$C$146,ROW()-1),INDEX(Lists!$D$3:$D$67,ROW()-1),INDEX(Lists!$E$3:$E$5,ROW()-1),INDEX(Lists!$F$3:$F$12,ROW()-1),INDEX(Lists!$G$3:$G$126,ROW()-1)),"")</f>
        <v/>
      </c>
      <c r="K318">
        <f>IF(J318="","",SUMPRODUCT(($A$2:$A$636=1)*($G$2:$G$636=J318)))</f>
        <v/>
      </c>
      <c r="L318">
        <f>IF(J318="","",SUMPRODUCT(($A$2:$A$636=1)*($G$2:$G$636=J318)*(ISNUMBER($B$2:$B$636))*($B$2:$B$636&lt;0.5)))</f>
        <v/>
      </c>
      <c r="M318">
        <f>IFERROR(L318/K318,"")</f>
        <v/>
      </c>
      <c r="N318">
        <f>IF(K318="","",M318+K318/100000+ROW()/100000000)</f>
        <v/>
      </c>
      <c r="R318">
        <f>IF(A318=1,IFERROR(I318,0)+ROW()/100000000,-1E+99)</f>
        <v/>
      </c>
      <c r="S318">
        <f>IF(A318=1,IFERROR(Raw_data!$T318,""),"")</f>
        <v/>
      </c>
      <c r="T318">
        <f>IF(A318=1,IFERROR(Raw_data!$AA318,""),"")</f>
        <v/>
      </c>
      <c r="U318">
        <f>IF(A318=1,IFERROR(Raw_data!$U318,""),"")</f>
        <v/>
      </c>
      <c r="V318">
        <f>IF(A318=1,IFERROR(Raw_data!$AB318,""),"")</f>
        <v/>
      </c>
    </row>
    <row r="319">
      <c r="A319">
        <f>--(AND(OR(Dashboard!$B$4="All",Raw_data!$AL319=Dashboard!$B$4),OR(Dashboard!$B$5="All",Raw_data!$AM319=Dashboard!$B$5),OR(Dashboard!$B$6="All",Raw_data!$AN319=Dashboard!$B$6),OR(Dashboard!$B$7="All",Raw_data!$AO319=Dashboard!$B$7),OR(Dashboard!$B$8="All",Raw_data!$AP319=Dashboard!$B$8),OR(Dashboard!$B$9="All",Raw_data!$AQ319=Dashboard!$B$9),OR(Dashboard!$B$10="All",Raw_data!$AF319=Dashboard!$B$10),OR(Raw_data!$F319="",Raw_data!$F319&lt;=TODAY())))</f>
        <v/>
      </c>
      <c r="B319">
        <f>IFERROR(IF(Dashboard!$B$3="Weighted",Raw_data!$U319,Raw_data!$T319),"")</f>
        <v/>
      </c>
      <c r="C319">
        <f>IFERROR(IF(Dashboard!$B$3="Weighted",Raw_data!$AB319,Raw_data!$AA319),"")</f>
        <v/>
      </c>
      <c r="D319">
        <f>IF(OR(Raw_data!$J319="",Raw_data!$J319&lt;=0,Raw_data!$K319=""),"",IF(Raw_data!$K319&gt;TODAY(),0,DATEDIF(Raw_data!$K319,TODAY(),"M")))</f>
        <v/>
      </c>
      <c r="E319">
        <f>--(AND(Raw_data!$AF319="No",OR(Raw_data!$AG319&lt;&gt;"",Raw_data!$AJ319&gt;0,Raw_data!$AK319&lt;&gt;"")))</f>
        <v/>
      </c>
      <c r="F319">
        <f>--(OR(AND(ISNUMBER(B319),B319&lt;0.5,OR(D319&gt;=24,Raw_data!$I319&gt;0)),Raw_data!$AE319=TRUE))</f>
        <v/>
      </c>
      <c r="G319">
        <f>IF(Dashboard!$B$11="Department",Raw_data!$AL319,IF(Dashboard!$B$11="Team",Raw_data!$AM319,IF(Dashboard!$B$11="Unit",Raw_data!$AN319,IF(Dashboard!$B$11="Legal entity",Raw_data!$AO319,IF(Dashboard!$B$11="Location",Raw_data!$AP319,Raw_data!$AQ319)))))</f>
        <v/>
      </c>
      <c r="H319">
        <f>--(AND(ISNUMBER(B319),B319&lt;0.5))</f>
        <v/>
      </c>
      <c r="I319">
        <f>IFERROR(MAX(0,(0.5-B319)*100),0)+IF(D319&gt;=24,20,0)+IF(Raw_data!$I319&gt;0,20,0)+IF(Raw_data!$AE319=TRUE,10,0)</f>
        <v/>
      </c>
      <c r="J319">
        <f>IFERROR(CHOOSE(MATCH(Dashboard!$B$11,{"Department","Team","Unit","Legal entity","Location","Lead"},0),INDEX(Lists!$B$3:$B$20,ROW()-1),INDEX(Lists!$C$3:$C$146,ROW()-1),INDEX(Lists!$D$3:$D$67,ROW()-1),INDEX(Lists!$E$3:$E$5,ROW()-1),INDEX(Lists!$F$3:$F$12,ROW()-1),INDEX(Lists!$G$3:$G$126,ROW()-1)),"")</f>
        <v/>
      </c>
      <c r="K319">
        <f>IF(J319="","",SUMPRODUCT(($A$2:$A$636=1)*($G$2:$G$636=J319)))</f>
        <v/>
      </c>
      <c r="L319">
        <f>IF(J319="","",SUMPRODUCT(($A$2:$A$636=1)*($G$2:$G$636=J319)*(ISNUMBER($B$2:$B$636))*($B$2:$B$636&lt;0.5)))</f>
        <v/>
      </c>
      <c r="M319">
        <f>IFERROR(L319/K319,"")</f>
        <v/>
      </c>
      <c r="N319">
        <f>IF(K319="","",M319+K319/100000+ROW()/100000000)</f>
        <v/>
      </c>
      <c r="R319">
        <f>IF(A319=1,IFERROR(I319,0)+ROW()/100000000,-1E+99)</f>
        <v/>
      </c>
      <c r="S319">
        <f>IF(A319=1,IFERROR(Raw_data!$T319,""),"")</f>
        <v/>
      </c>
      <c r="T319">
        <f>IF(A319=1,IFERROR(Raw_data!$AA319,""),"")</f>
        <v/>
      </c>
      <c r="U319">
        <f>IF(A319=1,IFERROR(Raw_data!$U319,""),"")</f>
        <v/>
      </c>
      <c r="V319">
        <f>IF(A319=1,IFERROR(Raw_data!$AB319,""),"")</f>
        <v/>
      </c>
    </row>
    <row r="320">
      <c r="A320">
        <f>--(AND(OR(Dashboard!$B$4="All",Raw_data!$AL320=Dashboard!$B$4),OR(Dashboard!$B$5="All",Raw_data!$AM320=Dashboard!$B$5),OR(Dashboard!$B$6="All",Raw_data!$AN320=Dashboard!$B$6),OR(Dashboard!$B$7="All",Raw_data!$AO320=Dashboard!$B$7),OR(Dashboard!$B$8="All",Raw_data!$AP320=Dashboard!$B$8),OR(Dashboard!$B$9="All",Raw_data!$AQ320=Dashboard!$B$9),OR(Dashboard!$B$10="All",Raw_data!$AF320=Dashboard!$B$10),OR(Raw_data!$F320="",Raw_data!$F320&lt;=TODAY())))</f>
        <v/>
      </c>
      <c r="B320">
        <f>IFERROR(IF(Dashboard!$B$3="Weighted",Raw_data!$U320,Raw_data!$T320),"")</f>
        <v/>
      </c>
      <c r="C320">
        <f>IFERROR(IF(Dashboard!$B$3="Weighted",Raw_data!$AB320,Raw_data!$AA320),"")</f>
        <v/>
      </c>
      <c r="D320">
        <f>IF(OR(Raw_data!$J320="",Raw_data!$J320&lt;=0,Raw_data!$K320=""),"",IF(Raw_data!$K320&gt;TODAY(),0,DATEDIF(Raw_data!$K320,TODAY(),"M")))</f>
        <v/>
      </c>
      <c r="E320">
        <f>--(AND(Raw_data!$AF320="No",OR(Raw_data!$AG320&lt;&gt;"",Raw_data!$AJ320&gt;0,Raw_data!$AK320&lt;&gt;"")))</f>
        <v/>
      </c>
      <c r="F320">
        <f>--(OR(AND(ISNUMBER(B320),B320&lt;0.5,OR(D320&gt;=24,Raw_data!$I320&gt;0)),Raw_data!$AE320=TRUE))</f>
        <v/>
      </c>
      <c r="G320">
        <f>IF(Dashboard!$B$11="Department",Raw_data!$AL320,IF(Dashboard!$B$11="Team",Raw_data!$AM320,IF(Dashboard!$B$11="Unit",Raw_data!$AN320,IF(Dashboard!$B$11="Legal entity",Raw_data!$AO320,IF(Dashboard!$B$11="Location",Raw_data!$AP320,Raw_data!$AQ320)))))</f>
        <v/>
      </c>
      <c r="H320">
        <f>--(AND(ISNUMBER(B320),B320&lt;0.5))</f>
        <v/>
      </c>
      <c r="I320">
        <f>IFERROR(MAX(0,(0.5-B320)*100),0)+IF(D320&gt;=24,20,0)+IF(Raw_data!$I320&gt;0,20,0)+IF(Raw_data!$AE320=TRUE,10,0)</f>
        <v/>
      </c>
      <c r="J320">
        <f>IFERROR(CHOOSE(MATCH(Dashboard!$B$11,{"Department","Team","Unit","Legal entity","Location","Lead"},0),INDEX(Lists!$B$3:$B$20,ROW()-1),INDEX(Lists!$C$3:$C$146,ROW()-1),INDEX(Lists!$D$3:$D$67,ROW()-1),INDEX(Lists!$E$3:$E$5,ROW()-1),INDEX(Lists!$F$3:$F$12,ROW()-1),INDEX(Lists!$G$3:$G$126,ROW()-1)),"")</f>
        <v/>
      </c>
      <c r="K320">
        <f>IF(J320="","",SUMPRODUCT(($A$2:$A$636=1)*($G$2:$G$636=J320)))</f>
        <v/>
      </c>
      <c r="L320">
        <f>IF(J320="","",SUMPRODUCT(($A$2:$A$636=1)*($G$2:$G$636=J320)*(ISNUMBER($B$2:$B$636))*($B$2:$B$636&lt;0.5)))</f>
        <v/>
      </c>
      <c r="M320">
        <f>IFERROR(L320/K320,"")</f>
        <v/>
      </c>
      <c r="N320">
        <f>IF(K320="","",M320+K320/100000+ROW()/100000000)</f>
        <v/>
      </c>
      <c r="R320">
        <f>IF(A320=1,IFERROR(I320,0)+ROW()/100000000,-1E+99)</f>
        <v/>
      </c>
      <c r="S320">
        <f>IF(A320=1,IFERROR(Raw_data!$T320,""),"")</f>
        <v/>
      </c>
      <c r="T320">
        <f>IF(A320=1,IFERROR(Raw_data!$AA320,""),"")</f>
        <v/>
      </c>
      <c r="U320">
        <f>IF(A320=1,IFERROR(Raw_data!$U320,""),"")</f>
        <v/>
      </c>
      <c r="V320">
        <f>IF(A320=1,IFERROR(Raw_data!$AB320,""),"")</f>
        <v/>
      </c>
    </row>
    <row r="321">
      <c r="A321">
        <f>--(AND(OR(Dashboard!$B$4="All",Raw_data!$AL321=Dashboard!$B$4),OR(Dashboard!$B$5="All",Raw_data!$AM321=Dashboard!$B$5),OR(Dashboard!$B$6="All",Raw_data!$AN321=Dashboard!$B$6),OR(Dashboard!$B$7="All",Raw_data!$AO321=Dashboard!$B$7),OR(Dashboard!$B$8="All",Raw_data!$AP321=Dashboard!$B$8),OR(Dashboard!$B$9="All",Raw_data!$AQ321=Dashboard!$B$9),OR(Dashboard!$B$10="All",Raw_data!$AF321=Dashboard!$B$10),OR(Raw_data!$F321="",Raw_data!$F321&lt;=TODAY())))</f>
        <v/>
      </c>
      <c r="B321">
        <f>IFERROR(IF(Dashboard!$B$3="Weighted",Raw_data!$U321,Raw_data!$T321),"")</f>
        <v/>
      </c>
      <c r="C321">
        <f>IFERROR(IF(Dashboard!$B$3="Weighted",Raw_data!$AB321,Raw_data!$AA321),"")</f>
        <v/>
      </c>
      <c r="D321">
        <f>IF(OR(Raw_data!$J321="",Raw_data!$J321&lt;=0,Raw_data!$K321=""),"",IF(Raw_data!$K321&gt;TODAY(),0,DATEDIF(Raw_data!$K321,TODAY(),"M")))</f>
        <v/>
      </c>
      <c r="E321">
        <f>--(AND(Raw_data!$AF321="No",OR(Raw_data!$AG321&lt;&gt;"",Raw_data!$AJ321&gt;0,Raw_data!$AK321&lt;&gt;"")))</f>
        <v/>
      </c>
      <c r="F321">
        <f>--(OR(AND(ISNUMBER(B321),B321&lt;0.5,OR(D321&gt;=24,Raw_data!$I321&gt;0)),Raw_data!$AE321=TRUE))</f>
        <v/>
      </c>
      <c r="G321">
        <f>IF(Dashboard!$B$11="Department",Raw_data!$AL321,IF(Dashboard!$B$11="Team",Raw_data!$AM321,IF(Dashboard!$B$11="Unit",Raw_data!$AN321,IF(Dashboard!$B$11="Legal entity",Raw_data!$AO321,IF(Dashboard!$B$11="Location",Raw_data!$AP321,Raw_data!$AQ321)))))</f>
        <v/>
      </c>
      <c r="H321">
        <f>--(AND(ISNUMBER(B321),B321&lt;0.5))</f>
        <v/>
      </c>
      <c r="I321">
        <f>IFERROR(MAX(0,(0.5-B321)*100),0)+IF(D321&gt;=24,20,0)+IF(Raw_data!$I321&gt;0,20,0)+IF(Raw_data!$AE321=TRUE,10,0)</f>
        <v/>
      </c>
      <c r="J321">
        <f>IFERROR(CHOOSE(MATCH(Dashboard!$B$11,{"Department","Team","Unit","Legal entity","Location","Lead"},0),INDEX(Lists!$B$3:$B$20,ROW()-1),INDEX(Lists!$C$3:$C$146,ROW()-1),INDEX(Lists!$D$3:$D$67,ROW()-1),INDEX(Lists!$E$3:$E$5,ROW()-1),INDEX(Lists!$F$3:$F$12,ROW()-1),INDEX(Lists!$G$3:$G$126,ROW()-1)),"")</f>
        <v/>
      </c>
      <c r="K321">
        <f>IF(J321="","",SUMPRODUCT(($A$2:$A$636=1)*($G$2:$G$636=J321)))</f>
        <v/>
      </c>
      <c r="L321">
        <f>IF(J321="","",SUMPRODUCT(($A$2:$A$636=1)*($G$2:$G$636=J321)*(ISNUMBER($B$2:$B$636))*($B$2:$B$636&lt;0.5)))</f>
        <v/>
      </c>
      <c r="M321">
        <f>IFERROR(L321/K321,"")</f>
        <v/>
      </c>
      <c r="N321">
        <f>IF(K321="","",M321+K321/100000+ROW()/100000000)</f>
        <v/>
      </c>
      <c r="R321">
        <f>IF(A321=1,IFERROR(I321,0)+ROW()/100000000,-1E+99)</f>
        <v/>
      </c>
      <c r="S321">
        <f>IF(A321=1,IFERROR(Raw_data!$T321,""),"")</f>
        <v/>
      </c>
      <c r="T321">
        <f>IF(A321=1,IFERROR(Raw_data!$AA321,""),"")</f>
        <v/>
      </c>
      <c r="U321">
        <f>IF(A321=1,IFERROR(Raw_data!$U321,""),"")</f>
        <v/>
      </c>
      <c r="V321">
        <f>IF(A321=1,IFERROR(Raw_data!$AB321,""),"")</f>
        <v/>
      </c>
    </row>
    <row r="322">
      <c r="A322">
        <f>--(AND(OR(Dashboard!$B$4="All",Raw_data!$AL322=Dashboard!$B$4),OR(Dashboard!$B$5="All",Raw_data!$AM322=Dashboard!$B$5),OR(Dashboard!$B$6="All",Raw_data!$AN322=Dashboard!$B$6),OR(Dashboard!$B$7="All",Raw_data!$AO322=Dashboard!$B$7),OR(Dashboard!$B$8="All",Raw_data!$AP322=Dashboard!$B$8),OR(Dashboard!$B$9="All",Raw_data!$AQ322=Dashboard!$B$9),OR(Dashboard!$B$10="All",Raw_data!$AF322=Dashboard!$B$10),OR(Raw_data!$F322="",Raw_data!$F322&lt;=TODAY())))</f>
        <v/>
      </c>
      <c r="B322">
        <f>IFERROR(IF(Dashboard!$B$3="Weighted",Raw_data!$U322,Raw_data!$T322),"")</f>
        <v/>
      </c>
      <c r="C322">
        <f>IFERROR(IF(Dashboard!$B$3="Weighted",Raw_data!$AB322,Raw_data!$AA322),"")</f>
        <v/>
      </c>
      <c r="D322">
        <f>IF(OR(Raw_data!$J322="",Raw_data!$J322&lt;=0,Raw_data!$K322=""),"",IF(Raw_data!$K322&gt;TODAY(),0,DATEDIF(Raw_data!$K322,TODAY(),"M")))</f>
        <v/>
      </c>
      <c r="E322">
        <f>--(AND(Raw_data!$AF322="No",OR(Raw_data!$AG322&lt;&gt;"",Raw_data!$AJ322&gt;0,Raw_data!$AK322&lt;&gt;"")))</f>
        <v/>
      </c>
      <c r="F322">
        <f>--(OR(AND(ISNUMBER(B322),B322&lt;0.5,OR(D322&gt;=24,Raw_data!$I322&gt;0)),Raw_data!$AE322=TRUE))</f>
        <v/>
      </c>
      <c r="G322">
        <f>IF(Dashboard!$B$11="Department",Raw_data!$AL322,IF(Dashboard!$B$11="Team",Raw_data!$AM322,IF(Dashboard!$B$11="Unit",Raw_data!$AN322,IF(Dashboard!$B$11="Legal entity",Raw_data!$AO322,IF(Dashboard!$B$11="Location",Raw_data!$AP322,Raw_data!$AQ322)))))</f>
        <v/>
      </c>
      <c r="H322">
        <f>--(AND(ISNUMBER(B322),B322&lt;0.5))</f>
        <v/>
      </c>
      <c r="I322">
        <f>IFERROR(MAX(0,(0.5-B322)*100),0)+IF(D322&gt;=24,20,0)+IF(Raw_data!$I322&gt;0,20,0)+IF(Raw_data!$AE322=TRUE,10,0)</f>
        <v/>
      </c>
      <c r="J322">
        <f>IFERROR(CHOOSE(MATCH(Dashboard!$B$11,{"Department","Team","Unit","Legal entity","Location","Lead"},0),INDEX(Lists!$B$3:$B$20,ROW()-1),INDEX(Lists!$C$3:$C$146,ROW()-1),INDEX(Lists!$D$3:$D$67,ROW()-1),INDEX(Lists!$E$3:$E$5,ROW()-1),INDEX(Lists!$F$3:$F$12,ROW()-1),INDEX(Lists!$G$3:$G$126,ROW()-1)),"")</f>
        <v/>
      </c>
      <c r="K322">
        <f>IF(J322="","",SUMPRODUCT(($A$2:$A$636=1)*($G$2:$G$636=J322)))</f>
        <v/>
      </c>
      <c r="L322">
        <f>IF(J322="","",SUMPRODUCT(($A$2:$A$636=1)*($G$2:$G$636=J322)*(ISNUMBER($B$2:$B$636))*($B$2:$B$636&lt;0.5)))</f>
        <v/>
      </c>
      <c r="M322">
        <f>IFERROR(L322/K322,"")</f>
        <v/>
      </c>
      <c r="N322">
        <f>IF(K322="","",M322+K322/100000+ROW()/100000000)</f>
        <v/>
      </c>
      <c r="R322">
        <f>IF(A322=1,IFERROR(I322,0)+ROW()/100000000,-1E+99)</f>
        <v/>
      </c>
      <c r="S322">
        <f>IF(A322=1,IFERROR(Raw_data!$T322,""),"")</f>
        <v/>
      </c>
      <c r="T322">
        <f>IF(A322=1,IFERROR(Raw_data!$AA322,""),"")</f>
        <v/>
      </c>
      <c r="U322">
        <f>IF(A322=1,IFERROR(Raw_data!$U322,""),"")</f>
        <v/>
      </c>
      <c r="V322">
        <f>IF(A322=1,IFERROR(Raw_data!$AB322,""),"")</f>
        <v/>
      </c>
    </row>
    <row r="323">
      <c r="A323">
        <f>--(AND(OR(Dashboard!$B$4="All",Raw_data!$AL323=Dashboard!$B$4),OR(Dashboard!$B$5="All",Raw_data!$AM323=Dashboard!$B$5),OR(Dashboard!$B$6="All",Raw_data!$AN323=Dashboard!$B$6),OR(Dashboard!$B$7="All",Raw_data!$AO323=Dashboard!$B$7),OR(Dashboard!$B$8="All",Raw_data!$AP323=Dashboard!$B$8),OR(Dashboard!$B$9="All",Raw_data!$AQ323=Dashboard!$B$9),OR(Dashboard!$B$10="All",Raw_data!$AF323=Dashboard!$B$10),OR(Raw_data!$F323="",Raw_data!$F323&lt;=TODAY())))</f>
        <v/>
      </c>
      <c r="B323">
        <f>IFERROR(IF(Dashboard!$B$3="Weighted",Raw_data!$U323,Raw_data!$T323),"")</f>
        <v/>
      </c>
      <c r="C323">
        <f>IFERROR(IF(Dashboard!$B$3="Weighted",Raw_data!$AB323,Raw_data!$AA323),"")</f>
        <v/>
      </c>
      <c r="D323">
        <f>IF(OR(Raw_data!$J323="",Raw_data!$J323&lt;=0,Raw_data!$K323=""),"",IF(Raw_data!$K323&gt;TODAY(),0,DATEDIF(Raw_data!$K323,TODAY(),"M")))</f>
        <v/>
      </c>
      <c r="E323">
        <f>--(AND(Raw_data!$AF323="No",OR(Raw_data!$AG323&lt;&gt;"",Raw_data!$AJ323&gt;0,Raw_data!$AK323&lt;&gt;"")))</f>
        <v/>
      </c>
      <c r="F323">
        <f>--(OR(AND(ISNUMBER(B323),B323&lt;0.5,OR(D323&gt;=24,Raw_data!$I323&gt;0)),Raw_data!$AE323=TRUE))</f>
        <v/>
      </c>
      <c r="G323">
        <f>IF(Dashboard!$B$11="Department",Raw_data!$AL323,IF(Dashboard!$B$11="Team",Raw_data!$AM323,IF(Dashboard!$B$11="Unit",Raw_data!$AN323,IF(Dashboard!$B$11="Legal entity",Raw_data!$AO323,IF(Dashboard!$B$11="Location",Raw_data!$AP323,Raw_data!$AQ323)))))</f>
        <v/>
      </c>
      <c r="H323">
        <f>--(AND(ISNUMBER(B323),B323&lt;0.5))</f>
        <v/>
      </c>
      <c r="I323">
        <f>IFERROR(MAX(0,(0.5-B323)*100),0)+IF(D323&gt;=24,20,0)+IF(Raw_data!$I323&gt;0,20,0)+IF(Raw_data!$AE323=TRUE,10,0)</f>
        <v/>
      </c>
      <c r="J323">
        <f>IFERROR(CHOOSE(MATCH(Dashboard!$B$11,{"Department","Team","Unit","Legal entity","Location","Lead"},0),INDEX(Lists!$B$3:$B$20,ROW()-1),INDEX(Lists!$C$3:$C$146,ROW()-1),INDEX(Lists!$D$3:$D$67,ROW()-1),INDEX(Lists!$E$3:$E$5,ROW()-1),INDEX(Lists!$F$3:$F$12,ROW()-1),INDEX(Lists!$G$3:$G$126,ROW()-1)),"")</f>
        <v/>
      </c>
      <c r="K323">
        <f>IF(J323="","",SUMPRODUCT(($A$2:$A$636=1)*($G$2:$G$636=J323)))</f>
        <v/>
      </c>
      <c r="L323">
        <f>IF(J323="","",SUMPRODUCT(($A$2:$A$636=1)*($G$2:$G$636=J323)*(ISNUMBER($B$2:$B$636))*($B$2:$B$636&lt;0.5)))</f>
        <v/>
      </c>
      <c r="M323">
        <f>IFERROR(L323/K323,"")</f>
        <v/>
      </c>
      <c r="N323">
        <f>IF(K323="","",M323+K323/100000+ROW()/100000000)</f>
        <v/>
      </c>
      <c r="R323">
        <f>IF(A323=1,IFERROR(I323,0)+ROW()/100000000,-1E+99)</f>
        <v/>
      </c>
      <c r="S323">
        <f>IF(A323=1,IFERROR(Raw_data!$T323,""),"")</f>
        <v/>
      </c>
      <c r="T323">
        <f>IF(A323=1,IFERROR(Raw_data!$AA323,""),"")</f>
        <v/>
      </c>
      <c r="U323">
        <f>IF(A323=1,IFERROR(Raw_data!$U323,""),"")</f>
        <v/>
      </c>
      <c r="V323">
        <f>IF(A323=1,IFERROR(Raw_data!$AB323,""),"")</f>
        <v/>
      </c>
    </row>
    <row r="324">
      <c r="A324">
        <f>--(AND(OR(Dashboard!$B$4="All",Raw_data!$AL324=Dashboard!$B$4),OR(Dashboard!$B$5="All",Raw_data!$AM324=Dashboard!$B$5),OR(Dashboard!$B$6="All",Raw_data!$AN324=Dashboard!$B$6),OR(Dashboard!$B$7="All",Raw_data!$AO324=Dashboard!$B$7),OR(Dashboard!$B$8="All",Raw_data!$AP324=Dashboard!$B$8),OR(Dashboard!$B$9="All",Raw_data!$AQ324=Dashboard!$B$9),OR(Dashboard!$B$10="All",Raw_data!$AF324=Dashboard!$B$10),OR(Raw_data!$F324="",Raw_data!$F324&lt;=TODAY())))</f>
        <v/>
      </c>
      <c r="B324">
        <f>IFERROR(IF(Dashboard!$B$3="Weighted",Raw_data!$U324,Raw_data!$T324),"")</f>
        <v/>
      </c>
      <c r="C324">
        <f>IFERROR(IF(Dashboard!$B$3="Weighted",Raw_data!$AB324,Raw_data!$AA324),"")</f>
        <v/>
      </c>
      <c r="D324">
        <f>IF(OR(Raw_data!$J324="",Raw_data!$J324&lt;=0,Raw_data!$K324=""),"",IF(Raw_data!$K324&gt;TODAY(),0,DATEDIF(Raw_data!$K324,TODAY(),"M")))</f>
        <v/>
      </c>
      <c r="E324">
        <f>--(AND(Raw_data!$AF324="No",OR(Raw_data!$AG324&lt;&gt;"",Raw_data!$AJ324&gt;0,Raw_data!$AK324&lt;&gt;"")))</f>
        <v/>
      </c>
      <c r="F324">
        <f>--(OR(AND(ISNUMBER(B324),B324&lt;0.5,OR(D324&gt;=24,Raw_data!$I324&gt;0)),Raw_data!$AE324=TRUE))</f>
        <v/>
      </c>
      <c r="G324">
        <f>IF(Dashboard!$B$11="Department",Raw_data!$AL324,IF(Dashboard!$B$11="Team",Raw_data!$AM324,IF(Dashboard!$B$11="Unit",Raw_data!$AN324,IF(Dashboard!$B$11="Legal entity",Raw_data!$AO324,IF(Dashboard!$B$11="Location",Raw_data!$AP324,Raw_data!$AQ324)))))</f>
        <v/>
      </c>
      <c r="H324">
        <f>--(AND(ISNUMBER(B324),B324&lt;0.5))</f>
        <v/>
      </c>
      <c r="I324">
        <f>IFERROR(MAX(0,(0.5-B324)*100),0)+IF(D324&gt;=24,20,0)+IF(Raw_data!$I324&gt;0,20,0)+IF(Raw_data!$AE324=TRUE,10,0)</f>
        <v/>
      </c>
      <c r="J324">
        <f>IFERROR(CHOOSE(MATCH(Dashboard!$B$11,{"Department","Team","Unit","Legal entity","Location","Lead"},0),INDEX(Lists!$B$3:$B$20,ROW()-1),INDEX(Lists!$C$3:$C$146,ROW()-1),INDEX(Lists!$D$3:$D$67,ROW()-1),INDEX(Lists!$E$3:$E$5,ROW()-1),INDEX(Lists!$F$3:$F$12,ROW()-1),INDEX(Lists!$G$3:$G$126,ROW()-1)),"")</f>
        <v/>
      </c>
      <c r="K324">
        <f>IF(J324="","",SUMPRODUCT(($A$2:$A$636=1)*($G$2:$G$636=J324)))</f>
        <v/>
      </c>
      <c r="L324">
        <f>IF(J324="","",SUMPRODUCT(($A$2:$A$636=1)*($G$2:$G$636=J324)*(ISNUMBER($B$2:$B$636))*($B$2:$B$636&lt;0.5)))</f>
        <v/>
      </c>
      <c r="M324">
        <f>IFERROR(L324/K324,"")</f>
        <v/>
      </c>
      <c r="N324">
        <f>IF(K324="","",M324+K324/100000+ROW()/100000000)</f>
        <v/>
      </c>
      <c r="R324">
        <f>IF(A324=1,IFERROR(I324,0)+ROW()/100000000,-1E+99)</f>
        <v/>
      </c>
      <c r="S324">
        <f>IF(A324=1,IFERROR(Raw_data!$T324,""),"")</f>
        <v/>
      </c>
      <c r="T324">
        <f>IF(A324=1,IFERROR(Raw_data!$AA324,""),"")</f>
        <v/>
      </c>
      <c r="U324">
        <f>IF(A324=1,IFERROR(Raw_data!$U324,""),"")</f>
        <v/>
      </c>
      <c r="V324">
        <f>IF(A324=1,IFERROR(Raw_data!$AB324,""),"")</f>
        <v/>
      </c>
    </row>
    <row r="325">
      <c r="A325">
        <f>--(AND(OR(Dashboard!$B$4="All",Raw_data!$AL325=Dashboard!$B$4),OR(Dashboard!$B$5="All",Raw_data!$AM325=Dashboard!$B$5),OR(Dashboard!$B$6="All",Raw_data!$AN325=Dashboard!$B$6),OR(Dashboard!$B$7="All",Raw_data!$AO325=Dashboard!$B$7),OR(Dashboard!$B$8="All",Raw_data!$AP325=Dashboard!$B$8),OR(Dashboard!$B$9="All",Raw_data!$AQ325=Dashboard!$B$9),OR(Dashboard!$B$10="All",Raw_data!$AF325=Dashboard!$B$10),OR(Raw_data!$F325="",Raw_data!$F325&lt;=TODAY())))</f>
        <v/>
      </c>
      <c r="B325">
        <f>IFERROR(IF(Dashboard!$B$3="Weighted",Raw_data!$U325,Raw_data!$T325),"")</f>
        <v/>
      </c>
      <c r="C325">
        <f>IFERROR(IF(Dashboard!$B$3="Weighted",Raw_data!$AB325,Raw_data!$AA325),"")</f>
        <v/>
      </c>
      <c r="D325">
        <f>IF(OR(Raw_data!$J325="",Raw_data!$J325&lt;=0,Raw_data!$K325=""),"",IF(Raw_data!$K325&gt;TODAY(),0,DATEDIF(Raw_data!$K325,TODAY(),"M")))</f>
        <v/>
      </c>
      <c r="E325">
        <f>--(AND(Raw_data!$AF325="No",OR(Raw_data!$AG325&lt;&gt;"",Raw_data!$AJ325&gt;0,Raw_data!$AK325&lt;&gt;"")))</f>
        <v/>
      </c>
      <c r="F325">
        <f>--(OR(AND(ISNUMBER(B325),B325&lt;0.5,OR(D325&gt;=24,Raw_data!$I325&gt;0)),Raw_data!$AE325=TRUE))</f>
        <v/>
      </c>
      <c r="G325">
        <f>IF(Dashboard!$B$11="Department",Raw_data!$AL325,IF(Dashboard!$B$11="Team",Raw_data!$AM325,IF(Dashboard!$B$11="Unit",Raw_data!$AN325,IF(Dashboard!$B$11="Legal entity",Raw_data!$AO325,IF(Dashboard!$B$11="Location",Raw_data!$AP325,Raw_data!$AQ325)))))</f>
        <v/>
      </c>
      <c r="H325">
        <f>--(AND(ISNUMBER(B325),B325&lt;0.5))</f>
        <v/>
      </c>
      <c r="I325">
        <f>IFERROR(MAX(0,(0.5-B325)*100),0)+IF(D325&gt;=24,20,0)+IF(Raw_data!$I325&gt;0,20,0)+IF(Raw_data!$AE325=TRUE,10,0)</f>
        <v/>
      </c>
      <c r="J325">
        <f>IFERROR(CHOOSE(MATCH(Dashboard!$B$11,{"Department","Team","Unit","Legal entity","Location","Lead"},0),INDEX(Lists!$B$3:$B$20,ROW()-1),INDEX(Lists!$C$3:$C$146,ROW()-1),INDEX(Lists!$D$3:$D$67,ROW()-1),INDEX(Lists!$E$3:$E$5,ROW()-1),INDEX(Lists!$F$3:$F$12,ROW()-1),INDEX(Lists!$G$3:$G$126,ROW()-1)),"")</f>
        <v/>
      </c>
      <c r="K325">
        <f>IF(J325="","",SUMPRODUCT(($A$2:$A$636=1)*($G$2:$G$636=J325)))</f>
        <v/>
      </c>
      <c r="L325">
        <f>IF(J325="","",SUMPRODUCT(($A$2:$A$636=1)*($G$2:$G$636=J325)*(ISNUMBER($B$2:$B$636))*($B$2:$B$636&lt;0.5)))</f>
        <v/>
      </c>
      <c r="M325">
        <f>IFERROR(L325/K325,"")</f>
        <v/>
      </c>
      <c r="N325">
        <f>IF(K325="","",M325+K325/100000+ROW()/100000000)</f>
        <v/>
      </c>
      <c r="R325">
        <f>IF(A325=1,IFERROR(I325,0)+ROW()/100000000,-1E+99)</f>
        <v/>
      </c>
      <c r="S325">
        <f>IF(A325=1,IFERROR(Raw_data!$T325,""),"")</f>
        <v/>
      </c>
      <c r="T325">
        <f>IF(A325=1,IFERROR(Raw_data!$AA325,""),"")</f>
        <v/>
      </c>
      <c r="U325">
        <f>IF(A325=1,IFERROR(Raw_data!$U325,""),"")</f>
        <v/>
      </c>
      <c r="V325">
        <f>IF(A325=1,IFERROR(Raw_data!$AB325,""),"")</f>
        <v/>
      </c>
    </row>
    <row r="326">
      <c r="A326">
        <f>--(AND(OR(Dashboard!$B$4="All",Raw_data!$AL326=Dashboard!$B$4),OR(Dashboard!$B$5="All",Raw_data!$AM326=Dashboard!$B$5),OR(Dashboard!$B$6="All",Raw_data!$AN326=Dashboard!$B$6),OR(Dashboard!$B$7="All",Raw_data!$AO326=Dashboard!$B$7),OR(Dashboard!$B$8="All",Raw_data!$AP326=Dashboard!$B$8),OR(Dashboard!$B$9="All",Raw_data!$AQ326=Dashboard!$B$9),OR(Dashboard!$B$10="All",Raw_data!$AF326=Dashboard!$B$10),OR(Raw_data!$F326="",Raw_data!$F326&lt;=TODAY())))</f>
        <v/>
      </c>
      <c r="B326">
        <f>IFERROR(IF(Dashboard!$B$3="Weighted",Raw_data!$U326,Raw_data!$T326),"")</f>
        <v/>
      </c>
      <c r="C326">
        <f>IFERROR(IF(Dashboard!$B$3="Weighted",Raw_data!$AB326,Raw_data!$AA326),"")</f>
        <v/>
      </c>
      <c r="D326">
        <f>IF(OR(Raw_data!$J326="",Raw_data!$J326&lt;=0,Raw_data!$K326=""),"",IF(Raw_data!$K326&gt;TODAY(),0,DATEDIF(Raw_data!$K326,TODAY(),"M")))</f>
        <v/>
      </c>
      <c r="E326">
        <f>--(AND(Raw_data!$AF326="No",OR(Raw_data!$AG326&lt;&gt;"",Raw_data!$AJ326&gt;0,Raw_data!$AK326&lt;&gt;"")))</f>
        <v/>
      </c>
      <c r="F326">
        <f>--(OR(AND(ISNUMBER(B326),B326&lt;0.5,OR(D326&gt;=24,Raw_data!$I326&gt;0)),Raw_data!$AE326=TRUE))</f>
        <v/>
      </c>
      <c r="G326">
        <f>IF(Dashboard!$B$11="Department",Raw_data!$AL326,IF(Dashboard!$B$11="Team",Raw_data!$AM326,IF(Dashboard!$B$11="Unit",Raw_data!$AN326,IF(Dashboard!$B$11="Legal entity",Raw_data!$AO326,IF(Dashboard!$B$11="Location",Raw_data!$AP326,Raw_data!$AQ326)))))</f>
        <v/>
      </c>
      <c r="H326">
        <f>--(AND(ISNUMBER(B326),B326&lt;0.5))</f>
        <v/>
      </c>
      <c r="I326">
        <f>IFERROR(MAX(0,(0.5-B326)*100),0)+IF(D326&gt;=24,20,0)+IF(Raw_data!$I326&gt;0,20,0)+IF(Raw_data!$AE326=TRUE,10,0)</f>
        <v/>
      </c>
      <c r="J326">
        <f>IFERROR(CHOOSE(MATCH(Dashboard!$B$11,{"Department","Team","Unit","Legal entity","Location","Lead"},0),INDEX(Lists!$B$3:$B$20,ROW()-1),INDEX(Lists!$C$3:$C$146,ROW()-1),INDEX(Lists!$D$3:$D$67,ROW()-1),INDEX(Lists!$E$3:$E$5,ROW()-1),INDEX(Lists!$F$3:$F$12,ROW()-1),INDEX(Lists!$G$3:$G$126,ROW()-1)),"")</f>
        <v/>
      </c>
      <c r="K326">
        <f>IF(J326="","",SUMPRODUCT(($A$2:$A$636=1)*($G$2:$G$636=J326)))</f>
        <v/>
      </c>
      <c r="L326">
        <f>IF(J326="","",SUMPRODUCT(($A$2:$A$636=1)*($G$2:$G$636=J326)*(ISNUMBER($B$2:$B$636))*($B$2:$B$636&lt;0.5)))</f>
        <v/>
      </c>
      <c r="M326">
        <f>IFERROR(L326/K326,"")</f>
        <v/>
      </c>
      <c r="N326">
        <f>IF(K326="","",M326+K326/100000+ROW()/100000000)</f>
        <v/>
      </c>
      <c r="R326">
        <f>IF(A326=1,IFERROR(I326,0)+ROW()/100000000,-1E+99)</f>
        <v/>
      </c>
      <c r="S326">
        <f>IF(A326=1,IFERROR(Raw_data!$T326,""),"")</f>
        <v/>
      </c>
      <c r="T326">
        <f>IF(A326=1,IFERROR(Raw_data!$AA326,""),"")</f>
        <v/>
      </c>
      <c r="U326">
        <f>IF(A326=1,IFERROR(Raw_data!$U326,""),"")</f>
        <v/>
      </c>
      <c r="V326">
        <f>IF(A326=1,IFERROR(Raw_data!$AB326,""),"")</f>
        <v/>
      </c>
    </row>
    <row r="327">
      <c r="A327">
        <f>--(AND(OR(Dashboard!$B$4="All",Raw_data!$AL327=Dashboard!$B$4),OR(Dashboard!$B$5="All",Raw_data!$AM327=Dashboard!$B$5),OR(Dashboard!$B$6="All",Raw_data!$AN327=Dashboard!$B$6),OR(Dashboard!$B$7="All",Raw_data!$AO327=Dashboard!$B$7),OR(Dashboard!$B$8="All",Raw_data!$AP327=Dashboard!$B$8),OR(Dashboard!$B$9="All",Raw_data!$AQ327=Dashboard!$B$9),OR(Dashboard!$B$10="All",Raw_data!$AF327=Dashboard!$B$10),OR(Raw_data!$F327="",Raw_data!$F327&lt;=TODAY())))</f>
        <v/>
      </c>
      <c r="B327">
        <f>IFERROR(IF(Dashboard!$B$3="Weighted",Raw_data!$U327,Raw_data!$T327),"")</f>
        <v/>
      </c>
      <c r="C327">
        <f>IFERROR(IF(Dashboard!$B$3="Weighted",Raw_data!$AB327,Raw_data!$AA327),"")</f>
        <v/>
      </c>
      <c r="D327">
        <f>IF(OR(Raw_data!$J327="",Raw_data!$J327&lt;=0,Raw_data!$K327=""),"",IF(Raw_data!$K327&gt;TODAY(),0,DATEDIF(Raw_data!$K327,TODAY(),"M")))</f>
        <v/>
      </c>
      <c r="E327">
        <f>--(AND(Raw_data!$AF327="No",OR(Raw_data!$AG327&lt;&gt;"",Raw_data!$AJ327&gt;0,Raw_data!$AK327&lt;&gt;"")))</f>
        <v/>
      </c>
      <c r="F327">
        <f>--(OR(AND(ISNUMBER(B327),B327&lt;0.5,OR(D327&gt;=24,Raw_data!$I327&gt;0)),Raw_data!$AE327=TRUE))</f>
        <v/>
      </c>
      <c r="G327">
        <f>IF(Dashboard!$B$11="Department",Raw_data!$AL327,IF(Dashboard!$B$11="Team",Raw_data!$AM327,IF(Dashboard!$B$11="Unit",Raw_data!$AN327,IF(Dashboard!$B$11="Legal entity",Raw_data!$AO327,IF(Dashboard!$B$11="Location",Raw_data!$AP327,Raw_data!$AQ327)))))</f>
        <v/>
      </c>
      <c r="H327">
        <f>--(AND(ISNUMBER(B327),B327&lt;0.5))</f>
        <v/>
      </c>
      <c r="I327">
        <f>IFERROR(MAX(0,(0.5-B327)*100),0)+IF(D327&gt;=24,20,0)+IF(Raw_data!$I327&gt;0,20,0)+IF(Raw_data!$AE327=TRUE,10,0)</f>
        <v/>
      </c>
      <c r="J327">
        <f>IFERROR(CHOOSE(MATCH(Dashboard!$B$11,{"Department","Team","Unit","Legal entity","Location","Lead"},0),INDEX(Lists!$B$3:$B$20,ROW()-1),INDEX(Lists!$C$3:$C$146,ROW()-1),INDEX(Lists!$D$3:$D$67,ROW()-1),INDEX(Lists!$E$3:$E$5,ROW()-1),INDEX(Lists!$F$3:$F$12,ROW()-1),INDEX(Lists!$G$3:$G$126,ROW()-1)),"")</f>
        <v/>
      </c>
      <c r="K327">
        <f>IF(J327="","",SUMPRODUCT(($A$2:$A$636=1)*($G$2:$G$636=J327)))</f>
        <v/>
      </c>
      <c r="L327">
        <f>IF(J327="","",SUMPRODUCT(($A$2:$A$636=1)*($G$2:$G$636=J327)*(ISNUMBER($B$2:$B$636))*($B$2:$B$636&lt;0.5)))</f>
        <v/>
      </c>
      <c r="M327">
        <f>IFERROR(L327/K327,"")</f>
        <v/>
      </c>
      <c r="N327">
        <f>IF(K327="","",M327+K327/100000+ROW()/100000000)</f>
        <v/>
      </c>
      <c r="R327">
        <f>IF(A327=1,IFERROR(I327,0)+ROW()/100000000,-1E+99)</f>
        <v/>
      </c>
      <c r="S327">
        <f>IF(A327=1,IFERROR(Raw_data!$T327,""),"")</f>
        <v/>
      </c>
      <c r="T327">
        <f>IF(A327=1,IFERROR(Raw_data!$AA327,""),"")</f>
        <v/>
      </c>
      <c r="U327">
        <f>IF(A327=1,IFERROR(Raw_data!$U327,""),"")</f>
        <v/>
      </c>
      <c r="V327">
        <f>IF(A327=1,IFERROR(Raw_data!$AB327,""),"")</f>
        <v/>
      </c>
    </row>
    <row r="328">
      <c r="A328">
        <f>--(AND(OR(Dashboard!$B$4="All",Raw_data!$AL328=Dashboard!$B$4),OR(Dashboard!$B$5="All",Raw_data!$AM328=Dashboard!$B$5),OR(Dashboard!$B$6="All",Raw_data!$AN328=Dashboard!$B$6),OR(Dashboard!$B$7="All",Raw_data!$AO328=Dashboard!$B$7),OR(Dashboard!$B$8="All",Raw_data!$AP328=Dashboard!$B$8),OR(Dashboard!$B$9="All",Raw_data!$AQ328=Dashboard!$B$9),OR(Dashboard!$B$10="All",Raw_data!$AF328=Dashboard!$B$10),OR(Raw_data!$F328="",Raw_data!$F328&lt;=TODAY())))</f>
        <v/>
      </c>
      <c r="B328">
        <f>IFERROR(IF(Dashboard!$B$3="Weighted",Raw_data!$U328,Raw_data!$T328),"")</f>
        <v/>
      </c>
      <c r="C328">
        <f>IFERROR(IF(Dashboard!$B$3="Weighted",Raw_data!$AB328,Raw_data!$AA328),"")</f>
        <v/>
      </c>
      <c r="D328">
        <f>IF(OR(Raw_data!$J328="",Raw_data!$J328&lt;=0,Raw_data!$K328=""),"",IF(Raw_data!$K328&gt;TODAY(),0,DATEDIF(Raw_data!$K328,TODAY(),"M")))</f>
        <v/>
      </c>
      <c r="E328">
        <f>--(AND(Raw_data!$AF328="No",OR(Raw_data!$AG328&lt;&gt;"",Raw_data!$AJ328&gt;0,Raw_data!$AK328&lt;&gt;"")))</f>
        <v/>
      </c>
      <c r="F328">
        <f>--(OR(AND(ISNUMBER(B328),B328&lt;0.5,OR(D328&gt;=24,Raw_data!$I328&gt;0)),Raw_data!$AE328=TRUE))</f>
        <v/>
      </c>
      <c r="G328">
        <f>IF(Dashboard!$B$11="Department",Raw_data!$AL328,IF(Dashboard!$B$11="Team",Raw_data!$AM328,IF(Dashboard!$B$11="Unit",Raw_data!$AN328,IF(Dashboard!$B$11="Legal entity",Raw_data!$AO328,IF(Dashboard!$B$11="Location",Raw_data!$AP328,Raw_data!$AQ328)))))</f>
        <v/>
      </c>
      <c r="H328">
        <f>--(AND(ISNUMBER(B328),B328&lt;0.5))</f>
        <v/>
      </c>
      <c r="I328">
        <f>IFERROR(MAX(0,(0.5-B328)*100),0)+IF(D328&gt;=24,20,0)+IF(Raw_data!$I328&gt;0,20,0)+IF(Raw_data!$AE328=TRUE,10,0)</f>
        <v/>
      </c>
      <c r="J328">
        <f>IFERROR(CHOOSE(MATCH(Dashboard!$B$11,{"Department","Team","Unit","Legal entity","Location","Lead"},0),INDEX(Lists!$B$3:$B$20,ROW()-1),INDEX(Lists!$C$3:$C$146,ROW()-1),INDEX(Lists!$D$3:$D$67,ROW()-1),INDEX(Lists!$E$3:$E$5,ROW()-1),INDEX(Lists!$F$3:$F$12,ROW()-1),INDEX(Lists!$G$3:$G$126,ROW()-1)),"")</f>
        <v/>
      </c>
      <c r="K328">
        <f>IF(J328="","",SUMPRODUCT(($A$2:$A$636=1)*($G$2:$G$636=J328)))</f>
        <v/>
      </c>
      <c r="L328">
        <f>IF(J328="","",SUMPRODUCT(($A$2:$A$636=1)*($G$2:$G$636=J328)*(ISNUMBER($B$2:$B$636))*($B$2:$B$636&lt;0.5)))</f>
        <v/>
      </c>
      <c r="M328">
        <f>IFERROR(L328/K328,"")</f>
        <v/>
      </c>
      <c r="N328">
        <f>IF(K328="","",M328+K328/100000+ROW()/100000000)</f>
        <v/>
      </c>
      <c r="R328">
        <f>IF(A328=1,IFERROR(I328,0)+ROW()/100000000,-1E+99)</f>
        <v/>
      </c>
      <c r="S328">
        <f>IF(A328=1,IFERROR(Raw_data!$T328,""),"")</f>
        <v/>
      </c>
      <c r="T328">
        <f>IF(A328=1,IFERROR(Raw_data!$AA328,""),"")</f>
        <v/>
      </c>
      <c r="U328">
        <f>IF(A328=1,IFERROR(Raw_data!$U328,""),"")</f>
        <v/>
      </c>
      <c r="V328">
        <f>IF(A328=1,IFERROR(Raw_data!$AB328,""),"")</f>
        <v/>
      </c>
    </row>
    <row r="329">
      <c r="A329">
        <f>--(AND(OR(Dashboard!$B$4="All",Raw_data!$AL329=Dashboard!$B$4),OR(Dashboard!$B$5="All",Raw_data!$AM329=Dashboard!$B$5),OR(Dashboard!$B$6="All",Raw_data!$AN329=Dashboard!$B$6),OR(Dashboard!$B$7="All",Raw_data!$AO329=Dashboard!$B$7),OR(Dashboard!$B$8="All",Raw_data!$AP329=Dashboard!$B$8),OR(Dashboard!$B$9="All",Raw_data!$AQ329=Dashboard!$B$9),OR(Dashboard!$B$10="All",Raw_data!$AF329=Dashboard!$B$10),OR(Raw_data!$F329="",Raw_data!$F329&lt;=TODAY())))</f>
        <v/>
      </c>
      <c r="B329">
        <f>IFERROR(IF(Dashboard!$B$3="Weighted",Raw_data!$U329,Raw_data!$T329),"")</f>
        <v/>
      </c>
      <c r="C329">
        <f>IFERROR(IF(Dashboard!$B$3="Weighted",Raw_data!$AB329,Raw_data!$AA329),"")</f>
        <v/>
      </c>
      <c r="D329">
        <f>IF(OR(Raw_data!$J329="",Raw_data!$J329&lt;=0,Raw_data!$K329=""),"",IF(Raw_data!$K329&gt;TODAY(),0,DATEDIF(Raw_data!$K329,TODAY(),"M")))</f>
        <v/>
      </c>
      <c r="E329">
        <f>--(AND(Raw_data!$AF329="No",OR(Raw_data!$AG329&lt;&gt;"",Raw_data!$AJ329&gt;0,Raw_data!$AK329&lt;&gt;"")))</f>
        <v/>
      </c>
      <c r="F329">
        <f>--(OR(AND(ISNUMBER(B329),B329&lt;0.5,OR(D329&gt;=24,Raw_data!$I329&gt;0)),Raw_data!$AE329=TRUE))</f>
        <v/>
      </c>
      <c r="G329">
        <f>IF(Dashboard!$B$11="Department",Raw_data!$AL329,IF(Dashboard!$B$11="Team",Raw_data!$AM329,IF(Dashboard!$B$11="Unit",Raw_data!$AN329,IF(Dashboard!$B$11="Legal entity",Raw_data!$AO329,IF(Dashboard!$B$11="Location",Raw_data!$AP329,Raw_data!$AQ329)))))</f>
        <v/>
      </c>
      <c r="H329">
        <f>--(AND(ISNUMBER(B329),B329&lt;0.5))</f>
        <v/>
      </c>
      <c r="I329">
        <f>IFERROR(MAX(0,(0.5-B329)*100),0)+IF(D329&gt;=24,20,0)+IF(Raw_data!$I329&gt;0,20,0)+IF(Raw_data!$AE329=TRUE,10,0)</f>
        <v/>
      </c>
      <c r="J329">
        <f>IFERROR(CHOOSE(MATCH(Dashboard!$B$11,{"Department","Team","Unit","Legal entity","Location","Lead"},0),INDEX(Lists!$B$3:$B$20,ROW()-1),INDEX(Lists!$C$3:$C$146,ROW()-1),INDEX(Lists!$D$3:$D$67,ROW()-1),INDEX(Lists!$E$3:$E$5,ROW()-1),INDEX(Lists!$F$3:$F$12,ROW()-1),INDEX(Lists!$G$3:$G$126,ROW()-1)),"")</f>
        <v/>
      </c>
      <c r="K329">
        <f>IF(J329="","",SUMPRODUCT(($A$2:$A$636=1)*($G$2:$G$636=J329)))</f>
        <v/>
      </c>
      <c r="L329">
        <f>IF(J329="","",SUMPRODUCT(($A$2:$A$636=1)*($G$2:$G$636=J329)*(ISNUMBER($B$2:$B$636))*($B$2:$B$636&lt;0.5)))</f>
        <v/>
      </c>
      <c r="M329">
        <f>IFERROR(L329/K329,"")</f>
        <v/>
      </c>
      <c r="N329">
        <f>IF(K329="","",M329+K329/100000+ROW()/100000000)</f>
        <v/>
      </c>
      <c r="R329">
        <f>IF(A329=1,IFERROR(I329,0)+ROW()/100000000,-1E+99)</f>
        <v/>
      </c>
      <c r="S329">
        <f>IF(A329=1,IFERROR(Raw_data!$T329,""),"")</f>
        <v/>
      </c>
      <c r="T329">
        <f>IF(A329=1,IFERROR(Raw_data!$AA329,""),"")</f>
        <v/>
      </c>
      <c r="U329">
        <f>IF(A329=1,IFERROR(Raw_data!$U329,""),"")</f>
        <v/>
      </c>
      <c r="V329">
        <f>IF(A329=1,IFERROR(Raw_data!$AB329,""),"")</f>
        <v/>
      </c>
    </row>
    <row r="330">
      <c r="A330">
        <f>--(AND(OR(Dashboard!$B$4="All",Raw_data!$AL330=Dashboard!$B$4),OR(Dashboard!$B$5="All",Raw_data!$AM330=Dashboard!$B$5),OR(Dashboard!$B$6="All",Raw_data!$AN330=Dashboard!$B$6),OR(Dashboard!$B$7="All",Raw_data!$AO330=Dashboard!$B$7),OR(Dashboard!$B$8="All",Raw_data!$AP330=Dashboard!$B$8),OR(Dashboard!$B$9="All",Raw_data!$AQ330=Dashboard!$B$9),OR(Dashboard!$B$10="All",Raw_data!$AF330=Dashboard!$B$10),OR(Raw_data!$F330="",Raw_data!$F330&lt;=TODAY())))</f>
        <v/>
      </c>
      <c r="B330">
        <f>IFERROR(IF(Dashboard!$B$3="Weighted",Raw_data!$U330,Raw_data!$T330),"")</f>
        <v/>
      </c>
      <c r="C330">
        <f>IFERROR(IF(Dashboard!$B$3="Weighted",Raw_data!$AB330,Raw_data!$AA330),"")</f>
        <v/>
      </c>
      <c r="D330">
        <f>IF(OR(Raw_data!$J330="",Raw_data!$J330&lt;=0,Raw_data!$K330=""),"",IF(Raw_data!$K330&gt;TODAY(),0,DATEDIF(Raw_data!$K330,TODAY(),"M")))</f>
        <v/>
      </c>
      <c r="E330">
        <f>--(AND(Raw_data!$AF330="No",OR(Raw_data!$AG330&lt;&gt;"",Raw_data!$AJ330&gt;0,Raw_data!$AK330&lt;&gt;"")))</f>
        <v/>
      </c>
      <c r="F330">
        <f>--(OR(AND(ISNUMBER(B330),B330&lt;0.5,OR(D330&gt;=24,Raw_data!$I330&gt;0)),Raw_data!$AE330=TRUE))</f>
        <v/>
      </c>
      <c r="G330">
        <f>IF(Dashboard!$B$11="Department",Raw_data!$AL330,IF(Dashboard!$B$11="Team",Raw_data!$AM330,IF(Dashboard!$B$11="Unit",Raw_data!$AN330,IF(Dashboard!$B$11="Legal entity",Raw_data!$AO330,IF(Dashboard!$B$11="Location",Raw_data!$AP330,Raw_data!$AQ330)))))</f>
        <v/>
      </c>
      <c r="H330">
        <f>--(AND(ISNUMBER(B330),B330&lt;0.5))</f>
        <v/>
      </c>
      <c r="I330">
        <f>IFERROR(MAX(0,(0.5-B330)*100),0)+IF(D330&gt;=24,20,0)+IF(Raw_data!$I330&gt;0,20,0)+IF(Raw_data!$AE330=TRUE,10,0)</f>
        <v/>
      </c>
      <c r="J330">
        <f>IFERROR(CHOOSE(MATCH(Dashboard!$B$11,{"Department","Team","Unit","Legal entity","Location","Lead"},0),INDEX(Lists!$B$3:$B$20,ROW()-1),INDEX(Lists!$C$3:$C$146,ROW()-1),INDEX(Lists!$D$3:$D$67,ROW()-1),INDEX(Lists!$E$3:$E$5,ROW()-1),INDEX(Lists!$F$3:$F$12,ROW()-1),INDEX(Lists!$G$3:$G$126,ROW()-1)),"")</f>
        <v/>
      </c>
      <c r="K330">
        <f>IF(J330="","",SUMPRODUCT(($A$2:$A$636=1)*($G$2:$G$636=J330)))</f>
        <v/>
      </c>
      <c r="L330">
        <f>IF(J330="","",SUMPRODUCT(($A$2:$A$636=1)*($G$2:$G$636=J330)*(ISNUMBER($B$2:$B$636))*($B$2:$B$636&lt;0.5)))</f>
        <v/>
      </c>
      <c r="M330">
        <f>IFERROR(L330/K330,"")</f>
        <v/>
      </c>
      <c r="N330">
        <f>IF(K330="","",M330+K330/100000+ROW()/100000000)</f>
        <v/>
      </c>
      <c r="R330">
        <f>IF(A330=1,IFERROR(I330,0)+ROW()/100000000,-1E+99)</f>
        <v/>
      </c>
      <c r="S330">
        <f>IF(A330=1,IFERROR(Raw_data!$T330,""),"")</f>
        <v/>
      </c>
      <c r="T330">
        <f>IF(A330=1,IFERROR(Raw_data!$AA330,""),"")</f>
        <v/>
      </c>
      <c r="U330">
        <f>IF(A330=1,IFERROR(Raw_data!$U330,""),"")</f>
        <v/>
      </c>
      <c r="V330">
        <f>IF(A330=1,IFERROR(Raw_data!$AB330,""),"")</f>
        <v/>
      </c>
    </row>
    <row r="331">
      <c r="A331">
        <f>--(AND(OR(Dashboard!$B$4="All",Raw_data!$AL331=Dashboard!$B$4),OR(Dashboard!$B$5="All",Raw_data!$AM331=Dashboard!$B$5),OR(Dashboard!$B$6="All",Raw_data!$AN331=Dashboard!$B$6),OR(Dashboard!$B$7="All",Raw_data!$AO331=Dashboard!$B$7),OR(Dashboard!$B$8="All",Raw_data!$AP331=Dashboard!$B$8),OR(Dashboard!$B$9="All",Raw_data!$AQ331=Dashboard!$B$9),OR(Dashboard!$B$10="All",Raw_data!$AF331=Dashboard!$B$10),OR(Raw_data!$F331="",Raw_data!$F331&lt;=TODAY())))</f>
        <v/>
      </c>
      <c r="B331">
        <f>IFERROR(IF(Dashboard!$B$3="Weighted",Raw_data!$U331,Raw_data!$T331),"")</f>
        <v/>
      </c>
      <c r="C331">
        <f>IFERROR(IF(Dashboard!$B$3="Weighted",Raw_data!$AB331,Raw_data!$AA331),"")</f>
        <v/>
      </c>
      <c r="D331">
        <f>IF(OR(Raw_data!$J331="",Raw_data!$J331&lt;=0,Raw_data!$K331=""),"",IF(Raw_data!$K331&gt;TODAY(),0,DATEDIF(Raw_data!$K331,TODAY(),"M")))</f>
        <v/>
      </c>
      <c r="E331">
        <f>--(AND(Raw_data!$AF331="No",OR(Raw_data!$AG331&lt;&gt;"",Raw_data!$AJ331&gt;0,Raw_data!$AK331&lt;&gt;"")))</f>
        <v/>
      </c>
      <c r="F331">
        <f>--(OR(AND(ISNUMBER(B331),B331&lt;0.5,OR(D331&gt;=24,Raw_data!$I331&gt;0)),Raw_data!$AE331=TRUE))</f>
        <v/>
      </c>
      <c r="G331">
        <f>IF(Dashboard!$B$11="Department",Raw_data!$AL331,IF(Dashboard!$B$11="Team",Raw_data!$AM331,IF(Dashboard!$B$11="Unit",Raw_data!$AN331,IF(Dashboard!$B$11="Legal entity",Raw_data!$AO331,IF(Dashboard!$B$11="Location",Raw_data!$AP331,Raw_data!$AQ331)))))</f>
        <v/>
      </c>
      <c r="H331">
        <f>--(AND(ISNUMBER(B331),B331&lt;0.5))</f>
        <v/>
      </c>
      <c r="I331">
        <f>IFERROR(MAX(0,(0.5-B331)*100),0)+IF(D331&gt;=24,20,0)+IF(Raw_data!$I331&gt;0,20,0)+IF(Raw_data!$AE331=TRUE,10,0)</f>
        <v/>
      </c>
      <c r="J331">
        <f>IFERROR(CHOOSE(MATCH(Dashboard!$B$11,{"Department","Team","Unit","Legal entity","Location","Lead"},0),INDEX(Lists!$B$3:$B$20,ROW()-1),INDEX(Lists!$C$3:$C$146,ROW()-1),INDEX(Lists!$D$3:$D$67,ROW()-1),INDEX(Lists!$E$3:$E$5,ROW()-1),INDEX(Lists!$F$3:$F$12,ROW()-1),INDEX(Lists!$G$3:$G$126,ROW()-1)),"")</f>
        <v/>
      </c>
      <c r="K331">
        <f>IF(J331="","",SUMPRODUCT(($A$2:$A$636=1)*($G$2:$G$636=J331)))</f>
        <v/>
      </c>
      <c r="L331">
        <f>IF(J331="","",SUMPRODUCT(($A$2:$A$636=1)*($G$2:$G$636=J331)*(ISNUMBER($B$2:$B$636))*($B$2:$B$636&lt;0.5)))</f>
        <v/>
      </c>
      <c r="M331">
        <f>IFERROR(L331/K331,"")</f>
        <v/>
      </c>
      <c r="N331">
        <f>IF(K331="","",M331+K331/100000+ROW()/100000000)</f>
        <v/>
      </c>
      <c r="R331">
        <f>IF(A331=1,IFERROR(I331,0)+ROW()/100000000,-1E+99)</f>
        <v/>
      </c>
      <c r="S331">
        <f>IF(A331=1,IFERROR(Raw_data!$T331,""),"")</f>
        <v/>
      </c>
      <c r="T331">
        <f>IF(A331=1,IFERROR(Raw_data!$AA331,""),"")</f>
        <v/>
      </c>
      <c r="U331">
        <f>IF(A331=1,IFERROR(Raw_data!$U331,""),"")</f>
        <v/>
      </c>
      <c r="V331">
        <f>IF(A331=1,IFERROR(Raw_data!$AB331,""),"")</f>
        <v/>
      </c>
    </row>
    <row r="332">
      <c r="A332">
        <f>--(AND(OR(Dashboard!$B$4="All",Raw_data!$AL332=Dashboard!$B$4),OR(Dashboard!$B$5="All",Raw_data!$AM332=Dashboard!$B$5),OR(Dashboard!$B$6="All",Raw_data!$AN332=Dashboard!$B$6),OR(Dashboard!$B$7="All",Raw_data!$AO332=Dashboard!$B$7),OR(Dashboard!$B$8="All",Raw_data!$AP332=Dashboard!$B$8),OR(Dashboard!$B$9="All",Raw_data!$AQ332=Dashboard!$B$9),OR(Dashboard!$B$10="All",Raw_data!$AF332=Dashboard!$B$10),OR(Raw_data!$F332="",Raw_data!$F332&lt;=TODAY())))</f>
        <v/>
      </c>
      <c r="B332">
        <f>IFERROR(IF(Dashboard!$B$3="Weighted",Raw_data!$U332,Raw_data!$T332),"")</f>
        <v/>
      </c>
      <c r="C332">
        <f>IFERROR(IF(Dashboard!$B$3="Weighted",Raw_data!$AB332,Raw_data!$AA332),"")</f>
        <v/>
      </c>
      <c r="D332">
        <f>IF(OR(Raw_data!$J332="",Raw_data!$J332&lt;=0,Raw_data!$K332=""),"",IF(Raw_data!$K332&gt;TODAY(),0,DATEDIF(Raw_data!$K332,TODAY(),"M")))</f>
        <v/>
      </c>
      <c r="E332">
        <f>--(AND(Raw_data!$AF332="No",OR(Raw_data!$AG332&lt;&gt;"",Raw_data!$AJ332&gt;0,Raw_data!$AK332&lt;&gt;"")))</f>
        <v/>
      </c>
      <c r="F332">
        <f>--(OR(AND(ISNUMBER(B332),B332&lt;0.5,OR(D332&gt;=24,Raw_data!$I332&gt;0)),Raw_data!$AE332=TRUE))</f>
        <v/>
      </c>
      <c r="G332">
        <f>IF(Dashboard!$B$11="Department",Raw_data!$AL332,IF(Dashboard!$B$11="Team",Raw_data!$AM332,IF(Dashboard!$B$11="Unit",Raw_data!$AN332,IF(Dashboard!$B$11="Legal entity",Raw_data!$AO332,IF(Dashboard!$B$11="Location",Raw_data!$AP332,Raw_data!$AQ332)))))</f>
        <v/>
      </c>
      <c r="H332">
        <f>--(AND(ISNUMBER(B332),B332&lt;0.5))</f>
        <v/>
      </c>
      <c r="I332">
        <f>IFERROR(MAX(0,(0.5-B332)*100),0)+IF(D332&gt;=24,20,0)+IF(Raw_data!$I332&gt;0,20,0)+IF(Raw_data!$AE332=TRUE,10,0)</f>
        <v/>
      </c>
      <c r="J332">
        <f>IFERROR(CHOOSE(MATCH(Dashboard!$B$11,{"Department","Team","Unit","Legal entity","Location","Lead"},0),INDEX(Lists!$B$3:$B$20,ROW()-1),INDEX(Lists!$C$3:$C$146,ROW()-1),INDEX(Lists!$D$3:$D$67,ROW()-1),INDEX(Lists!$E$3:$E$5,ROW()-1),INDEX(Lists!$F$3:$F$12,ROW()-1),INDEX(Lists!$G$3:$G$126,ROW()-1)),"")</f>
        <v/>
      </c>
      <c r="K332">
        <f>IF(J332="","",SUMPRODUCT(($A$2:$A$636=1)*($G$2:$G$636=J332)))</f>
        <v/>
      </c>
      <c r="L332">
        <f>IF(J332="","",SUMPRODUCT(($A$2:$A$636=1)*($G$2:$G$636=J332)*(ISNUMBER($B$2:$B$636))*($B$2:$B$636&lt;0.5)))</f>
        <v/>
      </c>
      <c r="M332">
        <f>IFERROR(L332/K332,"")</f>
        <v/>
      </c>
      <c r="N332">
        <f>IF(K332="","",M332+K332/100000+ROW()/100000000)</f>
        <v/>
      </c>
      <c r="R332">
        <f>IF(A332=1,IFERROR(I332,0)+ROW()/100000000,-1E+99)</f>
        <v/>
      </c>
      <c r="S332">
        <f>IF(A332=1,IFERROR(Raw_data!$T332,""),"")</f>
        <v/>
      </c>
      <c r="T332">
        <f>IF(A332=1,IFERROR(Raw_data!$AA332,""),"")</f>
        <v/>
      </c>
      <c r="U332">
        <f>IF(A332=1,IFERROR(Raw_data!$U332,""),"")</f>
        <v/>
      </c>
      <c r="V332">
        <f>IF(A332=1,IFERROR(Raw_data!$AB332,""),"")</f>
        <v/>
      </c>
    </row>
    <row r="333">
      <c r="A333">
        <f>--(AND(OR(Dashboard!$B$4="All",Raw_data!$AL333=Dashboard!$B$4),OR(Dashboard!$B$5="All",Raw_data!$AM333=Dashboard!$B$5),OR(Dashboard!$B$6="All",Raw_data!$AN333=Dashboard!$B$6),OR(Dashboard!$B$7="All",Raw_data!$AO333=Dashboard!$B$7),OR(Dashboard!$B$8="All",Raw_data!$AP333=Dashboard!$B$8),OR(Dashboard!$B$9="All",Raw_data!$AQ333=Dashboard!$B$9),OR(Dashboard!$B$10="All",Raw_data!$AF333=Dashboard!$B$10),OR(Raw_data!$F333="",Raw_data!$F333&lt;=TODAY())))</f>
        <v/>
      </c>
      <c r="B333">
        <f>IFERROR(IF(Dashboard!$B$3="Weighted",Raw_data!$U333,Raw_data!$T333),"")</f>
        <v/>
      </c>
      <c r="C333">
        <f>IFERROR(IF(Dashboard!$B$3="Weighted",Raw_data!$AB333,Raw_data!$AA333),"")</f>
        <v/>
      </c>
      <c r="D333">
        <f>IF(OR(Raw_data!$J333="",Raw_data!$J333&lt;=0,Raw_data!$K333=""),"",IF(Raw_data!$K333&gt;TODAY(),0,DATEDIF(Raw_data!$K333,TODAY(),"M")))</f>
        <v/>
      </c>
      <c r="E333">
        <f>--(AND(Raw_data!$AF333="No",OR(Raw_data!$AG333&lt;&gt;"",Raw_data!$AJ333&gt;0,Raw_data!$AK333&lt;&gt;"")))</f>
        <v/>
      </c>
      <c r="F333">
        <f>--(OR(AND(ISNUMBER(B333),B333&lt;0.5,OR(D333&gt;=24,Raw_data!$I333&gt;0)),Raw_data!$AE333=TRUE))</f>
        <v/>
      </c>
      <c r="G333">
        <f>IF(Dashboard!$B$11="Department",Raw_data!$AL333,IF(Dashboard!$B$11="Team",Raw_data!$AM333,IF(Dashboard!$B$11="Unit",Raw_data!$AN333,IF(Dashboard!$B$11="Legal entity",Raw_data!$AO333,IF(Dashboard!$B$11="Location",Raw_data!$AP333,Raw_data!$AQ333)))))</f>
        <v/>
      </c>
      <c r="H333">
        <f>--(AND(ISNUMBER(B333),B333&lt;0.5))</f>
        <v/>
      </c>
      <c r="I333">
        <f>IFERROR(MAX(0,(0.5-B333)*100),0)+IF(D333&gt;=24,20,0)+IF(Raw_data!$I333&gt;0,20,0)+IF(Raw_data!$AE333=TRUE,10,0)</f>
        <v/>
      </c>
      <c r="J333">
        <f>IFERROR(CHOOSE(MATCH(Dashboard!$B$11,{"Department","Team","Unit","Legal entity","Location","Lead"},0),INDEX(Lists!$B$3:$B$20,ROW()-1),INDEX(Lists!$C$3:$C$146,ROW()-1),INDEX(Lists!$D$3:$D$67,ROW()-1),INDEX(Lists!$E$3:$E$5,ROW()-1),INDEX(Lists!$F$3:$F$12,ROW()-1),INDEX(Lists!$G$3:$G$126,ROW()-1)),"")</f>
        <v/>
      </c>
      <c r="K333">
        <f>IF(J333="","",SUMPRODUCT(($A$2:$A$636=1)*($G$2:$G$636=J333)))</f>
        <v/>
      </c>
      <c r="L333">
        <f>IF(J333="","",SUMPRODUCT(($A$2:$A$636=1)*($G$2:$G$636=J333)*(ISNUMBER($B$2:$B$636))*($B$2:$B$636&lt;0.5)))</f>
        <v/>
      </c>
      <c r="M333">
        <f>IFERROR(L333/K333,"")</f>
        <v/>
      </c>
      <c r="N333">
        <f>IF(K333="","",M333+K333/100000+ROW()/100000000)</f>
        <v/>
      </c>
      <c r="R333">
        <f>IF(A333=1,IFERROR(I333,0)+ROW()/100000000,-1E+99)</f>
        <v/>
      </c>
      <c r="S333">
        <f>IF(A333=1,IFERROR(Raw_data!$T333,""),"")</f>
        <v/>
      </c>
      <c r="T333">
        <f>IF(A333=1,IFERROR(Raw_data!$AA333,""),"")</f>
        <v/>
      </c>
      <c r="U333">
        <f>IF(A333=1,IFERROR(Raw_data!$U333,""),"")</f>
        <v/>
      </c>
      <c r="V333">
        <f>IF(A333=1,IFERROR(Raw_data!$AB333,""),"")</f>
        <v/>
      </c>
    </row>
    <row r="334">
      <c r="A334">
        <f>--(AND(OR(Dashboard!$B$4="All",Raw_data!$AL334=Dashboard!$B$4),OR(Dashboard!$B$5="All",Raw_data!$AM334=Dashboard!$B$5),OR(Dashboard!$B$6="All",Raw_data!$AN334=Dashboard!$B$6),OR(Dashboard!$B$7="All",Raw_data!$AO334=Dashboard!$B$7),OR(Dashboard!$B$8="All",Raw_data!$AP334=Dashboard!$B$8),OR(Dashboard!$B$9="All",Raw_data!$AQ334=Dashboard!$B$9),OR(Dashboard!$B$10="All",Raw_data!$AF334=Dashboard!$B$10),OR(Raw_data!$F334="",Raw_data!$F334&lt;=TODAY())))</f>
        <v/>
      </c>
      <c r="B334">
        <f>IFERROR(IF(Dashboard!$B$3="Weighted",Raw_data!$U334,Raw_data!$T334),"")</f>
        <v/>
      </c>
      <c r="C334">
        <f>IFERROR(IF(Dashboard!$B$3="Weighted",Raw_data!$AB334,Raw_data!$AA334),"")</f>
        <v/>
      </c>
      <c r="D334">
        <f>IF(OR(Raw_data!$J334="",Raw_data!$J334&lt;=0,Raw_data!$K334=""),"",IF(Raw_data!$K334&gt;TODAY(),0,DATEDIF(Raw_data!$K334,TODAY(),"M")))</f>
        <v/>
      </c>
      <c r="E334">
        <f>--(AND(Raw_data!$AF334="No",OR(Raw_data!$AG334&lt;&gt;"",Raw_data!$AJ334&gt;0,Raw_data!$AK334&lt;&gt;"")))</f>
        <v/>
      </c>
      <c r="F334">
        <f>--(OR(AND(ISNUMBER(B334),B334&lt;0.5,OR(D334&gt;=24,Raw_data!$I334&gt;0)),Raw_data!$AE334=TRUE))</f>
        <v/>
      </c>
      <c r="G334">
        <f>IF(Dashboard!$B$11="Department",Raw_data!$AL334,IF(Dashboard!$B$11="Team",Raw_data!$AM334,IF(Dashboard!$B$11="Unit",Raw_data!$AN334,IF(Dashboard!$B$11="Legal entity",Raw_data!$AO334,IF(Dashboard!$B$11="Location",Raw_data!$AP334,Raw_data!$AQ334)))))</f>
        <v/>
      </c>
      <c r="H334">
        <f>--(AND(ISNUMBER(B334),B334&lt;0.5))</f>
        <v/>
      </c>
      <c r="I334">
        <f>IFERROR(MAX(0,(0.5-B334)*100),0)+IF(D334&gt;=24,20,0)+IF(Raw_data!$I334&gt;0,20,0)+IF(Raw_data!$AE334=TRUE,10,0)</f>
        <v/>
      </c>
      <c r="J334">
        <f>IFERROR(CHOOSE(MATCH(Dashboard!$B$11,{"Department","Team","Unit","Legal entity","Location","Lead"},0),INDEX(Lists!$B$3:$B$20,ROW()-1),INDEX(Lists!$C$3:$C$146,ROW()-1),INDEX(Lists!$D$3:$D$67,ROW()-1),INDEX(Lists!$E$3:$E$5,ROW()-1),INDEX(Lists!$F$3:$F$12,ROW()-1),INDEX(Lists!$G$3:$G$126,ROW()-1)),"")</f>
        <v/>
      </c>
      <c r="K334">
        <f>IF(J334="","",SUMPRODUCT(($A$2:$A$636=1)*($G$2:$G$636=J334)))</f>
        <v/>
      </c>
      <c r="L334">
        <f>IF(J334="","",SUMPRODUCT(($A$2:$A$636=1)*($G$2:$G$636=J334)*(ISNUMBER($B$2:$B$636))*($B$2:$B$636&lt;0.5)))</f>
        <v/>
      </c>
      <c r="M334">
        <f>IFERROR(L334/K334,"")</f>
        <v/>
      </c>
      <c r="N334">
        <f>IF(K334="","",M334+K334/100000+ROW()/100000000)</f>
        <v/>
      </c>
      <c r="R334">
        <f>IF(A334=1,IFERROR(I334,0)+ROW()/100000000,-1E+99)</f>
        <v/>
      </c>
      <c r="S334">
        <f>IF(A334=1,IFERROR(Raw_data!$T334,""),"")</f>
        <v/>
      </c>
      <c r="T334">
        <f>IF(A334=1,IFERROR(Raw_data!$AA334,""),"")</f>
        <v/>
      </c>
      <c r="U334">
        <f>IF(A334=1,IFERROR(Raw_data!$U334,""),"")</f>
        <v/>
      </c>
      <c r="V334">
        <f>IF(A334=1,IFERROR(Raw_data!$AB334,""),"")</f>
        <v/>
      </c>
    </row>
    <row r="335">
      <c r="A335">
        <f>--(AND(OR(Dashboard!$B$4="All",Raw_data!$AL335=Dashboard!$B$4),OR(Dashboard!$B$5="All",Raw_data!$AM335=Dashboard!$B$5),OR(Dashboard!$B$6="All",Raw_data!$AN335=Dashboard!$B$6),OR(Dashboard!$B$7="All",Raw_data!$AO335=Dashboard!$B$7),OR(Dashboard!$B$8="All",Raw_data!$AP335=Dashboard!$B$8),OR(Dashboard!$B$9="All",Raw_data!$AQ335=Dashboard!$B$9),OR(Dashboard!$B$10="All",Raw_data!$AF335=Dashboard!$B$10),OR(Raw_data!$F335="",Raw_data!$F335&lt;=TODAY())))</f>
        <v/>
      </c>
      <c r="B335">
        <f>IFERROR(IF(Dashboard!$B$3="Weighted",Raw_data!$U335,Raw_data!$T335),"")</f>
        <v/>
      </c>
      <c r="C335">
        <f>IFERROR(IF(Dashboard!$B$3="Weighted",Raw_data!$AB335,Raw_data!$AA335),"")</f>
        <v/>
      </c>
      <c r="D335">
        <f>IF(OR(Raw_data!$J335="",Raw_data!$J335&lt;=0,Raw_data!$K335=""),"",IF(Raw_data!$K335&gt;TODAY(),0,DATEDIF(Raw_data!$K335,TODAY(),"M")))</f>
        <v/>
      </c>
      <c r="E335">
        <f>--(AND(Raw_data!$AF335="No",OR(Raw_data!$AG335&lt;&gt;"",Raw_data!$AJ335&gt;0,Raw_data!$AK335&lt;&gt;"")))</f>
        <v/>
      </c>
      <c r="F335">
        <f>--(OR(AND(ISNUMBER(B335),B335&lt;0.5,OR(D335&gt;=24,Raw_data!$I335&gt;0)),Raw_data!$AE335=TRUE))</f>
        <v/>
      </c>
      <c r="G335">
        <f>IF(Dashboard!$B$11="Department",Raw_data!$AL335,IF(Dashboard!$B$11="Team",Raw_data!$AM335,IF(Dashboard!$B$11="Unit",Raw_data!$AN335,IF(Dashboard!$B$11="Legal entity",Raw_data!$AO335,IF(Dashboard!$B$11="Location",Raw_data!$AP335,Raw_data!$AQ335)))))</f>
        <v/>
      </c>
      <c r="H335">
        <f>--(AND(ISNUMBER(B335),B335&lt;0.5))</f>
        <v/>
      </c>
      <c r="I335">
        <f>IFERROR(MAX(0,(0.5-B335)*100),0)+IF(D335&gt;=24,20,0)+IF(Raw_data!$I335&gt;0,20,0)+IF(Raw_data!$AE335=TRUE,10,0)</f>
        <v/>
      </c>
      <c r="J335">
        <f>IFERROR(CHOOSE(MATCH(Dashboard!$B$11,{"Department","Team","Unit","Legal entity","Location","Lead"},0),INDEX(Lists!$B$3:$B$20,ROW()-1),INDEX(Lists!$C$3:$C$146,ROW()-1),INDEX(Lists!$D$3:$D$67,ROW()-1),INDEX(Lists!$E$3:$E$5,ROW()-1),INDEX(Lists!$F$3:$F$12,ROW()-1),INDEX(Lists!$G$3:$G$126,ROW()-1)),"")</f>
        <v/>
      </c>
      <c r="K335">
        <f>IF(J335="","",SUMPRODUCT(($A$2:$A$636=1)*($G$2:$G$636=J335)))</f>
        <v/>
      </c>
      <c r="L335">
        <f>IF(J335="","",SUMPRODUCT(($A$2:$A$636=1)*($G$2:$G$636=J335)*(ISNUMBER($B$2:$B$636))*($B$2:$B$636&lt;0.5)))</f>
        <v/>
      </c>
      <c r="M335">
        <f>IFERROR(L335/K335,"")</f>
        <v/>
      </c>
      <c r="N335">
        <f>IF(K335="","",M335+K335/100000+ROW()/100000000)</f>
        <v/>
      </c>
      <c r="R335">
        <f>IF(A335=1,IFERROR(I335,0)+ROW()/100000000,-1E+99)</f>
        <v/>
      </c>
      <c r="S335">
        <f>IF(A335=1,IFERROR(Raw_data!$T335,""),"")</f>
        <v/>
      </c>
      <c r="T335">
        <f>IF(A335=1,IFERROR(Raw_data!$AA335,""),"")</f>
        <v/>
      </c>
      <c r="U335">
        <f>IF(A335=1,IFERROR(Raw_data!$U335,""),"")</f>
        <v/>
      </c>
      <c r="V335">
        <f>IF(A335=1,IFERROR(Raw_data!$AB335,""),"")</f>
        <v/>
      </c>
    </row>
    <row r="336">
      <c r="A336">
        <f>--(AND(OR(Dashboard!$B$4="All",Raw_data!$AL336=Dashboard!$B$4),OR(Dashboard!$B$5="All",Raw_data!$AM336=Dashboard!$B$5),OR(Dashboard!$B$6="All",Raw_data!$AN336=Dashboard!$B$6),OR(Dashboard!$B$7="All",Raw_data!$AO336=Dashboard!$B$7),OR(Dashboard!$B$8="All",Raw_data!$AP336=Dashboard!$B$8),OR(Dashboard!$B$9="All",Raw_data!$AQ336=Dashboard!$B$9),OR(Dashboard!$B$10="All",Raw_data!$AF336=Dashboard!$B$10),OR(Raw_data!$F336="",Raw_data!$F336&lt;=TODAY())))</f>
        <v/>
      </c>
      <c r="B336">
        <f>IFERROR(IF(Dashboard!$B$3="Weighted",Raw_data!$U336,Raw_data!$T336),"")</f>
        <v/>
      </c>
      <c r="C336">
        <f>IFERROR(IF(Dashboard!$B$3="Weighted",Raw_data!$AB336,Raw_data!$AA336),"")</f>
        <v/>
      </c>
      <c r="D336">
        <f>IF(OR(Raw_data!$J336="",Raw_data!$J336&lt;=0,Raw_data!$K336=""),"",IF(Raw_data!$K336&gt;TODAY(),0,DATEDIF(Raw_data!$K336,TODAY(),"M")))</f>
        <v/>
      </c>
      <c r="E336">
        <f>--(AND(Raw_data!$AF336="No",OR(Raw_data!$AG336&lt;&gt;"",Raw_data!$AJ336&gt;0,Raw_data!$AK336&lt;&gt;"")))</f>
        <v/>
      </c>
      <c r="F336">
        <f>--(OR(AND(ISNUMBER(B336),B336&lt;0.5,OR(D336&gt;=24,Raw_data!$I336&gt;0)),Raw_data!$AE336=TRUE))</f>
        <v/>
      </c>
      <c r="G336">
        <f>IF(Dashboard!$B$11="Department",Raw_data!$AL336,IF(Dashboard!$B$11="Team",Raw_data!$AM336,IF(Dashboard!$B$11="Unit",Raw_data!$AN336,IF(Dashboard!$B$11="Legal entity",Raw_data!$AO336,IF(Dashboard!$B$11="Location",Raw_data!$AP336,Raw_data!$AQ336)))))</f>
        <v/>
      </c>
      <c r="H336">
        <f>--(AND(ISNUMBER(B336),B336&lt;0.5))</f>
        <v/>
      </c>
      <c r="I336">
        <f>IFERROR(MAX(0,(0.5-B336)*100),0)+IF(D336&gt;=24,20,0)+IF(Raw_data!$I336&gt;0,20,0)+IF(Raw_data!$AE336=TRUE,10,0)</f>
        <v/>
      </c>
      <c r="J336">
        <f>IFERROR(CHOOSE(MATCH(Dashboard!$B$11,{"Department","Team","Unit","Legal entity","Location","Lead"},0),INDEX(Lists!$B$3:$B$20,ROW()-1),INDEX(Lists!$C$3:$C$146,ROW()-1),INDEX(Lists!$D$3:$D$67,ROW()-1),INDEX(Lists!$E$3:$E$5,ROW()-1),INDEX(Lists!$F$3:$F$12,ROW()-1),INDEX(Lists!$G$3:$G$126,ROW()-1)),"")</f>
        <v/>
      </c>
      <c r="K336">
        <f>IF(J336="","",SUMPRODUCT(($A$2:$A$636=1)*($G$2:$G$636=J336)))</f>
        <v/>
      </c>
      <c r="L336">
        <f>IF(J336="","",SUMPRODUCT(($A$2:$A$636=1)*($G$2:$G$636=J336)*(ISNUMBER($B$2:$B$636))*($B$2:$B$636&lt;0.5)))</f>
        <v/>
      </c>
      <c r="M336">
        <f>IFERROR(L336/K336,"")</f>
        <v/>
      </c>
      <c r="N336">
        <f>IF(K336="","",M336+K336/100000+ROW()/100000000)</f>
        <v/>
      </c>
      <c r="R336">
        <f>IF(A336=1,IFERROR(I336,0)+ROW()/100000000,-1E+99)</f>
        <v/>
      </c>
      <c r="S336">
        <f>IF(A336=1,IFERROR(Raw_data!$T336,""),"")</f>
        <v/>
      </c>
      <c r="T336">
        <f>IF(A336=1,IFERROR(Raw_data!$AA336,""),"")</f>
        <v/>
      </c>
      <c r="U336">
        <f>IF(A336=1,IFERROR(Raw_data!$U336,""),"")</f>
        <v/>
      </c>
      <c r="V336">
        <f>IF(A336=1,IFERROR(Raw_data!$AB336,""),"")</f>
        <v/>
      </c>
    </row>
    <row r="337">
      <c r="A337">
        <f>--(AND(OR(Dashboard!$B$4="All",Raw_data!$AL337=Dashboard!$B$4),OR(Dashboard!$B$5="All",Raw_data!$AM337=Dashboard!$B$5),OR(Dashboard!$B$6="All",Raw_data!$AN337=Dashboard!$B$6),OR(Dashboard!$B$7="All",Raw_data!$AO337=Dashboard!$B$7),OR(Dashboard!$B$8="All",Raw_data!$AP337=Dashboard!$B$8),OR(Dashboard!$B$9="All",Raw_data!$AQ337=Dashboard!$B$9),OR(Dashboard!$B$10="All",Raw_data!$AF337=Dashboard!$B$10),OR(Raw_data!$F337="",Raw_data!$F337&lt;=TODAY())))</f>
        <v/>
      </c>
      <c r="B337">
        <f>IFERROR(IF(Dashboard!$B$3="Weighted",Raw_data!$U337,Raw_data!$T337),"")</f>
        <v/>
      </c>
      <c r="C337">
        <f>IFERROR(IF(Dashboard!$B$3="Weighted",Raw_data!$AB337,Raw_data!$AA337),"")</f>
        <v/>
      </c>
      <c r="D337">
        <f>IF(OR(Raw_data!$J337="",Raw_data!$J337&lt;=0,Raw_data!$K337=""),"",IF(Raw_data!$K337&gt;TODAY(),0,DATEDIF(Raw_data!$K337,TODAY(),"M")))</f>
        <v/>
      </c>
      <c r="E337">
        <f>--(AND(Raw_data!$AF337="No",OR(Raw_data!$AG337&lt;&gt;"",Raw_data!$AJ337&gt;0,Raw_data!$AK337&lt;&gt;"")))</f>
        <v/>
      </c>
      <c r="F337">
        <f>--(OR(AND(ISNUMBER(B337),B337&lt;0.5,OR(D337&gt;=24,Raw_data!$I337&gt;0)),Raw_data!$AE337=TRUE))</f>
        <v/>
      </c>
      <c r="G337">
        <f>IF(Dashboard!$B$11="Department",Raw_data!$AL337,IF(Dashboard!$B$11="Team",Raw_data!$AM337,IF(Dashboard!$B$11="Unit",Raw_data!$AN337,IF(Dashboard!$B$11="Legal entity",Raw_data!$AO337,IF(Dashboard!$B$11="Location",Raw_data!$AP337,Raw_data!$AQ337)))))</f>
        <v/>
      </c>
      <c r="H337">
        <f>--(AND(ISNUMBER(B337),B337&lt;0.5))</f>
        <v/>
      </c>
      <c r="I337">
        <f>IFERROR(MAX(0,(0.5-B337)*100),0)+IF(D337&gt;=24,20,0)+IF(Raw_data!$I337&gt;0,20,0)+IF(Raw_data!$AE337=TRUE,10,0)</f>
        <v/>
      </c>
      <c r="J337">
        <f>IFERROR(CHOOSE(MATCH(Dashboard!$B$11,{"Department","Team","Unit","Legal entity","Location","Lead"},0),INDEX(Lists!$B$3:$B$20,ROW()-1),INDEX(Lists!$C$3:$C$146,ROW()-1),INDEX(Lists!$D$3:$D$67,ROW()-1),INDEX(Lists!$E$3:$E$5,ROW()-1),INDEX(Lists!$F$3:$F$12,ROW()-1),INDEX(Lists!$G$3:$G$126,ROW()-1)),"")</f>
        <v/>
      </c>
      <c r="K337">
        <f>IF(J337="","",SUMPRODUCT(($A$2:$A$636=1)*($G$2:$G$636=J337)))</f>
        <v/>
      </c>
      <c r="L337">
        <f>IF(J337="","",SUMPRODUCT(($A$2:$A$636=1)*($G$2:$G$636=J337)*(ISNUMBER($B$2:$B$636))*($B$2:$B$636&lt;0.5)))</f>
        <v/>
      </c>
      <c r="M337">
        <f>IFERROR(L337/K337,"")</f>
        <v/>
      </c>
      <c r="N337">
        <f>IF(K337="","",M337+K337/100000+ROW()/100000000)</f>
        <v/>
      </c>
      <c r="R337">
        <f>IF(A337=1,IFERROR(I337,0)+ROW()/100000000,-1E+99)</f>
        <v/>
      </c>
      <c r="S337">
        <f>IF(A337=1,IFERROR(Raw_data!$T337,""),"")</f>
        <v/>
      </c>
      <c r="T337">
        <f>IF(A337=1,IFERROR(Raw_data!$AA337,""),"")</f>
        <v/>
      </c>
      <c r="U337">
        <f>IF(A337=1,IFERROR(Raw_data!$U337,""),"")</f>
        <v/>
      </c>
      <c r="V337">
        <f>IF(A337=1,IFERROR(Raw_data!$AB337,""),"")</f>
        <v/>
      </c>
    </row>
    <row r="338">
      <c r="A338">
        <f>--(AND(OR(Dashboard!$B$4="All",Raw_data!$AL338=Dashboard!$B$4),OR(Dashboard!$B$5="All",Raw_data!$AM338=Dashboard!$B$5),OR(Dashboard!$B$6="All",Raw_data!$AN338=Dashboard!$B$6),OR(Dashboard!$B$7="All",Raw_data!$AO338=Dashboard!$B$7),OR(Dashboard!$B$8="All",Raw_data!$AP338=Dashboard!$B$8),OR(Dashboard!$B$9="All",Raw_data!$AQ338=Dashboard!$B$9),OR(Dashboard!$B$10="All",Raw_data!$AF338=Dashboard!$B$10),OR(Raw_data!$F338="",Raw_data!$F338&lt;=TODAY())))</f>
        <v/>
      </c>
      <c r="B338">
        <f>IFERROR(IF(Dashboard!$B$3="Weighted",Raw_data!$U338,Raw_data!$T338),"")</f>
        <v/>
      </c>
      <c r="C338">
        <f>IFERROR(IF(Dashboard!$B$3="Weighted",Raw_data!$AB338,Raw_data!$AA338),"")</f>
        <v/>
      </c>
      <c r="D338">
        <f>IF(OR(Raw_data!$J338="",Raw_data!$J338&lt;=0,Raw_data!$K338=""),"",IF(Raw_data!$K338&gt;TODAY(),0,DATEDIF(Raw_data!$K338,TODAY(),"M")))</f>
        <v/>
      </c>
      <c r="E338">
        <f>--(AND(Raw_data!$AF338="No",OR(Raw_data!$AG338&lt;&gt;"",Raw_data!$AJ338&gt;0,Raw_data!$AK338&lt;&gt;"")))</f>
        <v/>
      </c>
      <c r="F338">
        <f>--(OR(AND(ISNUMBER(B338),B338&lt;0.5,OR(D338&gt;=24,Raw_data!$I338&gt;0)),Raw_data!$AE338=TRUE))</f>
        <v/>
      </c>
      <c r="G338">
        <f>IF(Dashboard!$B$11="Department",Raw_data!$AL338,IF(Dashboard!$B$11="Team",Raw_data!$AM338,IF(Dashboard!$B$11="Unit",Raw_data!$AN338,IF(Dashboard!$B$11="Legal entity",Raw_data!$AO338,IF(Dashboard!$B$11="Location",Raw_data!$AP338,Raw_data!$AQ338)))))</f>
        <v/>
      </c>
      <c r="H338">
        <f>--(AND(ISNUMBER(B338),B338&lt;0.5))</f>
        <v/>
      </c>
      <c r="I338">
        <f>IFERROR(MAX(0,(0.5-B338)*100),0)+IF(D338&gt;=24,20,0)+IF(Raw_data!$I338&gt;0,20,0)+IF(Raw_data!$AE338=TRUE,10,0)</f>
        <v/>
      </c>
      <c r="J338">
        <f>IFERROR(CHOOSE(MATCH(Dashboard!$B$11,{"Department","Team","Unit","Legal entity","Location","Lead"},0),INDEX(Lists!$B$3:$B$20,ROW()-1),INDEX(Lists!$C$3:$C$146,ROW()-1),INDEX(Lists!$D$3:$D$67,ROW()-1),INDEX(Lists!$E$3:$E$5,ROW()-1),INDEX(Lists!$F$3:$F$12,ROW()-1),INDEX(Lists!$G$3:$G$126,ROW()-1)),"")</f>
        <v/>
      </c>
      <c r="K338">
        <f>IF(J338="","",SUMPRODUCT(($A$2:$A$636=1)*($G$2:$G$636=J338)))</f>
        <v/>
      </c>
      <c r="L338">
        <f>IF(J338="","",SUMPRODUCT(($A$2:$A$636=1)*($G$2:$G$636=J338)*(ISNUMBER($B$2:$B$636))*($B$2:$B$636&lt;0.5)))</f>
        <v/>
      </c>
      <c r="M338">
        <f>IFERROR(L338/K338,"")</f>
        <v/>
      </c>
      <c r="N338">
        <f>IF(K338="","",M338+K338/100000+ROW()/100000000)</f>
        <v/>
      </c>
      <c r="R338">
        <f>IF(A338=1,IFERROR(I338,0)+ROW()/100000000,-1E+99)</f>
        <v/>
      </c>
      <c r="S338">
        <f>IF(A338=1,IFERROR(Raw_data!$T338,""),"")</f>
        <v/>
      </c>
      <c r="T338">
        <f>IF(A338=1,IFERROR(Raw_data!$AA338,""),"")</f>
        <v/>
      </c>
      <c r="U338">
        <f>IF(A338=1,IFERROR(Raw_data!$U338,""),"")</f>
        <v/>
      </c>
      <c r="V338">
        <f>IF(A338=1,IFERROR(Raw_data!$AB338,""),"")</f>
        <v/>
      </c>
    </row>
    <row r="339">
      <c r="A339">
        <f>--(AND(OR(Dashboard!$B$4="All",Raw_data!$AL339=Dashboard!$B$4),OR(Dashboard!$B$5="All",Raw_data!$AM339=Dashboard!$B$5),OR(Dashboard!$B$6="All",Raw_data!$AN339=Dashboard!$B$6),OR(Dashboard!$B$7="All",Raw_data!$AO339=Dashboard!$B$7),OR(Dashboard!$B$8="All",Raw_data!$AP339=Dashboard!$B$8),OR(Dashboard!$B$9="All",Raw_data!$AQ339=Dashboard!$B$9),OR(Dashboard!$B$10="All",Raw_data!$AF339=Dashboard!$B$10),OR(Raw_data!$F339="",Raw_data!$F339&lt;=TODAY())))</f>
        <v/>
      </c>
      <c r="B339">
        <f>IFERROR(IF(Dashboard!$B$3="Weighted",Raw_data!$U339,Raw_data!$T339),"")</f>
        <v/>
      </c>
      <c r="C339">
        <f>IFERROR(IF(Dashboard!$B$3="Weighted",Raw_data!$AB339,Raw_data!$AA339),"")</f>
        <v/>
      </c>
      <c r="D339">
        <f>IF(OR(Raw_data!$J339="",Raw_data!$J339&lt;=0,Raw_data!$K339=""),"",IF(Raw_data!$K339&gt;TODAY(),0,DATEDIF(Raw_data!$K339,TODAY(),"M")))</f>
        <v/>
      </c>
      <c r="E339">
        <f>--(AND(Raw_data!$AF339="No",OR(Raw_data!$AG339&lt;&gt;"",Raw_data!$AJ339&gt;0,Raw_data!$AK339&lt;&gt;"")))</f>
        <v/>
      </c>
      <c r="F339">
        <f>--(OR(AND(ISNUMBER(B339),B339&lt;0.5,OR(D339&gt;=24,Raw_data!$I339&gt;0)),Raw_data!$AE339=TRUE))</f>
        <v/>
      </c>
      <c r="G339">
        <f>IF(Dashboard!$B$11="Department",Raw_data!$AL339,IF(Dashboard!$B$11="Team",Raw_data!$AM339,IF(Dashboard!$B$11="Unit",Raw_data!$AN339,IF(Dashboard!$B$11="Legal entity",Raw_data!$AO339,IF(Dashboard!$B$11="Location",Raw_data!$AP339,Raw_data!$AQ339)))))</f>
        <v/>
      </c>
      <c r="H339">
        <f>--(AND(ISNUMBER(B339),B339&lt;0.5))</f>
        <v/>
      </c>
      <c r="I339">
        <f>IFERROR(MAX(0,(0.5-B339)*100),0)+IF(D339&gt;=24,20,0)+IF(Raw_data!$I339&gt;0,20,0)+IF(Raw_data!$AE339=TRUE,10,0)</f>
        <v/>
      </c>
      <c r="J339">
        <f>IFERROR(CHOOSE(MATCH(Dashboard!$B$11,{"Department","Team","Unit","Legal entity","Location","Lead"},0),INDEX(Lists!$B$3:$B$20,ROW()-1),INDEX(Lists!$C$3:$C$146,ROW()-1),INDEX(Lists!$D$3:$D$67,ROW()-1),INDEX(Lists!$E$3:$E$5,ROW()-1),INDEX(Lists!$F$3:$F$12,ROW()-1),INDEX(Lists!$G$3:$G$126,ROW()-1)),"")</f>
        <v/>
      </c>
      <c r="K339">
        <f>IF(J339="","",SUMPRODUCT(($A$2:$A$636=1)*($G$2:$G$636=J339)))</f>
        <v/>
      </c>
      <c r="L339">
        <f>IF(J339="","",SUMPRODUCT(($A$2:$A$636=1)*($G$2:$G$636=J339)*(ISNUMBER($B$2:$B$636))*($B$2:$B$636&lt;0.5)))</f>
        <v/>
      </c>
      <c r="M339">
        <f>IFERROR(L339/K339,"")</f>
        <v/>
      </c>
      <c r="N339">
        <f>IF(K339="","",M339+K339/100000+ROW()/100000000)</f>
        <v/>
      </c>
      <c r="R339">
        <f>IF(A339=1,IFERROR(I339,0)+ROW()/100000000,-1E+99)</f>
        <v/>
      </c>
      <c r="S339">
        <f>IF(A339=1,IFERROR(Raw_data!$T339,""),"")</f>
        <v/>
      </c>
      <c r="T339">
        <f>IF(A339=1,IFERROR(Raw_data!$AA339,""),"")</f>
        <v/>
      </c>
      <c r="U339">
        <f>IF(A339=1,IFERROR(Raw_data!$U339,""),"")</f>
        <v/>
      </c>
      <c r="V339">
        <f>IF(A339=1,IFERROR(Raw_data!$AB339,""),"")</f>
        <v/>
      </c>
    </row>
    <row r="340">
      <c r="A340">
        <f>--(AND(OR(Dashboard!$B$4="All",Raw_data!$AL340=Dashboard!$B$4),OR(Dashboard!$B$5="All",Raw_data!$AM340=Dashboard!$B$5),OR(Dashboard!$B$6="All",Raw_data!$AN340=Dashboard!$B$6),OR(Dashboard!$B$7="All",Raw_data!$AO340=Dashboard!$B$7),OR(Dashboard!$B$8="All",Raw_data!$AP340=Dashboard!$B$8),OR(Dashboard!$B$9="All",Raw_data!$AQ340=Dashboard!$B$9),OR(Dashboard!$B$10="All",Raw_data!$AF340=Dashboard!$B$10),OR(Raw_data!$F340="",Raw_data!$F340&lt;=TODAY())))</f>
        <v/>
      </c>
      <c r="B340">
        <f>IFERROR(IF(Dashboard!$B$3="Weighted",Raw_data!$U340,Raw_data!$T340),"")</f>
        <v/>
      </c>
      <c r="C340">
        <f>IFERROR(IF(Dashboard!$B$3="Weighted",Raw_data!$AB340,Raw_data!$AA340),"")</f>
        <v/>
      </c>
      <c r="D340">
        <f>IF(OR(Raw_data!$J340="",Raw_data!$J340&lt;=0,Raw_data!$K340=""),"",IF(Raw_data!$K340&gt;TODAY(),0,DATEDIF(Raw_data!$K340,TODAY(),"M")))</f>
        <v/>
      </c>
      <c r="E340">
        <f>--(AND(Raw_data!$AF340="No",OR(Raw_data!$AG340&lt;&gt;"",Raw_data!$AJ340&gt;0,Raw_data!$AK340&lt;&gt;"")))</f>
        <v/>
      </c>
      <c r="F340">
        <f>--(OR(AND(ISNUMBER(B340),B340&lt;0.5,OR(D340&gt;=24,Raw_data!$I340&gt;0)),Raw_data!$AE340=TRUE))</f>
        <v/>
      </c>
      <c r="G340">
        <f>IF(Dashboard!$B$11="Department",Raw_data!$AL340,IF(Dashboard!$B$11="Team",Raw_data!$AM340,IF(Dashboard!$B$11="Unit",Raw_data!$AN340,IF(Dashboard!$B$11="Legal entity",Raw_data!$AO340,IF(Dashboard!$B$11="Location",Raw_data!$AP340,Raw_data!$AQ340)))))</f>
        <v/>
      </c>
      <c r="H340">
        <f>--(AND(ISNUMBER(B340),B340&lt;0.5))</f>
        <v/>
      </c>
      <c r="I340">
        <f>IFERROR(MAX(0,(0.5-B340)*100),0)+IF(D340&gt;=24,20,0)+IF(Raw_data!$I340&gt;0,20,0)+IF(Raw_data!$AE340=TRUE,10,0)</f>
        <v/>
      </c>
      <c r="J340">
        <f>IFERROR(CHOOSE(MATCH(Dashboard!$B$11,{"Department","Team","Unit","Legal entity","Location","Lead"},0),INDEX(Lists!$B$3:$B$20,ROW()-1),INDEX(Lists!$C$3:$C$146,ROW()-1),INDEX(Lists!$D$3:$D$67,ROW()-1),INDEX(Lists!$E$3:$E$5,ROW()-1),INDEX(Lists!$F$3:$F$12,ROW()-1),INDEX(Lists!$G$3:$G$126,ROW()-1)),"")</f>
        <v/>
      </c>
      <c r="K340">
        <f>IF(J340="","",SUMPRODUCT(($A$2:$A$636=1)*($G$2:$G$636=J340)))</f>
        <v/>
      </c>
      <c r="L340">
        <f>IF(J340="","",SUMPRODUCT(($A$2:$A$636=1)*($G$2:$G$636=J340)*(ISNUMBER($B$2:$B$636))*($B$2:$B$636&lt;0.5)))</f>
        <v/>
      </c>
      <c r="M340">
        <f>IFERROR(L340/K340,"")</f>
        <v/>
      </c>
      <c r="N340">
        <f>IF(K340="","",M340+K340/100000+ROW()/100000000)</f>
        <v/>
      </c>
      <c r="R340">
        <f>IF(A340=1,IFERROR(I340,0)+ROW()/100000000,-1E+99)</f>
        <v/>
      </c>
      <c r="S340">
        <f>IF(A340=1,IFERROR(Raw_data!$T340,""),"")</f>
        <v/>
      </c>
      <c r="T340">
        <f>IF(A340=1,IFERROR(Raw_data!$AA340,""),"")</f>
        <v/>
      </c>
      <c r="U340">
        <f>IF(A340=1,IFERROR(Raw_data!$U340,""),"")</f>
        <v/>
      </c>
      <c r="V340">
        <f>IF(A340=1,IFERROR(Raw_data!$AB340,""),"")</f>
        <v/>
      </c>
    </row>
    <row r="341">
      <c r="A341">
        <f>--(AND(OR(Dashboard!$B$4="All",Raw_data!$AL341=Dashboard!$B$4),OR(Dashboard!$B$5="All",Raw_data!$AM341=Dashboard!$B$5),OR(Dashboard!$B$6="All",Raw_data!$AN341=Dashboard!$B$6),OR(Dashboard!$B$7="All",Raw_data!$AO341=Dashboard!$B$7),OR(Dashboard!$B$8="All",Raw_data!$AP341=Dashboard!$B$8),OR(Dashboard!$B$9="All",Raw_data!$AQ341=Dashboard!$B$9),OR(Dashboard!$B$10="All",Raw_data!$AF341=Dashboard!$B$10),OR(Raw_data!$F341="",Raw_data!$F341&lt;=TODAY())))</f>
        <v/>
      </c>
      <c r="B341">
        <f>IFERROR(IF(Dashboard!$B$3="Weighted",Raw_data!$U341,Raw_data!$T341),"")</f>
        <v/>
      </c>
      <c r="C341">
        <f>IFERROR(IF(Dashboard!$B$3="Weighted",Raw_data!$AB341,Raw_data!$AA341),"")</f>
        <v/>
      </c>
      <c r="D341">
        <f>IF(OR(Raw_data!$J341="",Raw_data!$J341&lt;=0,Raw_data!$K341=""),"",IF(Raw_data!$K341&gt;TODAY(),0,DATEDIF(Raw_data!$K341,TODAY(),"M")))</f>
        <v/>
      </c>
      <c r="E341">
        <f>--(AND(Raw_data!$AF341="No",OR(Raw_data!$AG341&lt;&gt;"",Raw_data!$AJ341&gt;0,Raw_data!$AK341&lt;&gt;"")))</f>
        <v/>
      </c>
      <c r="F341">
        <f>--(OR(AND(ISNUMBER(B341),B341&lt;0.5,OR(D341&gt;=24,Raw_data!$I341&gt;0)),Raw_data!$AE341=TRUE))</f>
        <v/>
      </c>
      <c r="G341">
        <f>IF(Dashboard!$B$11="Department",Raw_data!$AL341,IF(Dashboard!$B$11="Team",Raw_data!$AM341,IF(Dashboard!$B$11="Unit",Raw_data!$AN341,IF(Dashboard!$B$11="Legal entity",Raw_data!$AO341,IF(Dashboard!$B$11="Location",Raw_data!$AP341,Raw_data!$AQ341)))))</f>
        <v/>
      </c>
      <c r="H341">
        <f>--(AND(ISNUMBER(B341),B341&lt;0.5))</f>
        <v/>
      </c>
      <c r="I341">
        <f>IFERROR(MAX(0,(0.5-B341)*100),0)+IF(D341&gt;=24,20,0)+IF(Raw_data!$I341&gt;0,20,0)+IF(Raw_data!$AE341=TRUE,10,0)</f>
        <v/>
      </c>
      <c r="J341">
        <f>IFERROR(CHOOSE(MATCH(Dashboard!$B$11,{"Department","Team","Unit","Legal entity","Location","Lead"},0),INDEX(Lists!$B$3:$B$20,ROW()-1),INDEX(Lists!$C$3:$C$146,ROW()-1),INDEX(Lists!$D$3:$D$67,ROW()-1),INDEX(Lists!$E$3:$E$5,ROW()-1),INDEX(Lists!$F$3:$F$12,ROW()-1),INDEX(Lists!$G$3:$G$126,ROW()-1)),"")</f>
        <v/>
      </c>
      <c r="K341">
        <f>IF(J341="","",SUMPRODUCT(($A$2:$A$636=1)*($G$2:$G$636=J341)))</f>
        <v/>
      </c>
      <c r="L341">
        <f>IF(J341="","",SUMPRODUCT(($A$2:$A$636=1)*($G$2:$G$636=J341)*(ISNUMBER($B$2:$B$636))*($B$2:$B$636&lt;0.5)))</f>
        <v/>
      </c>
      <c r="M341">
        <f>IFERROR(L341/K341,"")</f>
        <v/>
      </c>
      <c r="N341">
        <f>IF(K341="","",M341+K341/100000+ROW()/100000000)</f>
        <v/>
      </c>
      <c r="R341">
        <f>IF(A341=1,IFERROR(I341,0)+ROW()/100000000,-1E+99)</f>
        <v/>
      </c>
      <c r="S341">
        <f>IF(A341=1,IFERROR(Raw_data!$T341,""),"")</f>
        <v/>
      </c>
      <c r="T341">
        <f>IF(A341=1,IFERROR(Raw_data!$AA341,""),"")</f>
        <v/>
      </c>
      <c r="U341">
        <f>IF(A341=1,IFERROR(Raw_data!$U341,""),"")</f>
        <v/>
      </c>
      <c r="V341">
        <f>IF(A341=1,IFERROR(Raw_data!$AB341,""),"")</f>
        <v/>
      </c>
    </row>
    <row r="342">
      <c r="A342">
        <f>--(AND(OR(Dashboard!$B$4="All",Raw_data!$AL342=Dashboard!$B$4),OR(Dashboard!$B$5="All",Raw_data!$AM342=Dashboard!$B$5),OR(Dashboard!$B$6="All",Raw_data!$AN342=Dashboard!$B$6),OR(Dashboard!$B$7="All",Raw_data!$AO342=Dashboard!$B$7),OR(Dashboard!$B$8="All",Raw_data!$AP342=Dashboard!$B$8),OR(Dashboard!$B$9="All",Raw_data!$AQ342=Dashboard!$B$9),OR(Dashboard!$B$10="All",Raw_data!$AF342=Dashboard!$B$10),OR(Raw_data!$F342="",Raw_data!$F342&lt;=TODAY())))</f>
        <v/>
      </c>
      <c r="B342">
        <f>IFERROR(IF(Dashboard!$B$3="Weighted",Raw_data!$U342,Raw_data!$T342),"")</f>
        <v/>
      </c>
      <c r="C342">
        <f>IFERROR(IF(Dashboard!$B$3="Weighted",Raw_data!$AB342,Raw_data!$AA342),"")</f>
        <v/>
      </c>
      <c r="D342">
        <f>IF(OR(Raw_data!$J342="",Raw_data!$J342&lt;=0,Raw_data!$K342=""),"",IF(Raw_data!$K342&gt;TODAY(),0,DATEDIF(Raw_data!$K342,TODAY(),"M")))</f>
        <v/>
      </c>
      <c r="E342">
        <f>--(AND(Raw_data!$AF342="No",OR(Raw_data!$AG342&lt;&gt;"",Raw_data!$AJ342&gt;0,Raw_data!$AK342&lt;&gt;"")))</f>
        <v/>
      </c>
      <c r="F342">
        <f>--(OR(AND(ISNUMBER(B342),B342&lt;0.5,OR(D342&gt;=24,Raw_data!$I342&gt;0)),Raw_data!$AE342=TRUE))</f>
        <v/>
      </c>
      <c r="G342">
        <f>IF(Dashboard!$B$11="Department",Raw_data!$AL342,IF(Dashboard!$B$11="Team",Raw_data!$AM342,IF(Dashboard!$B$11="Unit",Raw_data!$AN342,IF(Dashboard!$B$11="Legal entity",Raw_data!$AO342,IF(Dashboard!$B$11="Location",Raw_data!$AP342,Raw_data!$AQ342)))))</f>
        <v/>
      </c>
      <c r="H342">
        <f>--(AND(ISNUMBER(B342),B342&lt;0.5))</f>
        <v/>
      </c>
      <c r="I342">
        <f>IFERROR(MAX(0,(0.5-B342)*100),0)+IF(D342&gt;=24,20,0)+IF(Raw_data!$I342&gt;0,20,0)+IF(Raw_data!$AE342=TRUE,10,0)</f>
        <v/>
      </c>
      <c r="J342">
        <f>IFERROR(CHOOSE(MATCH(Dashboard!$B$11,{"Department","Team","Unit","Legal entity","Location","Lead"},0),INDEX(Lists!$B$3:$B$20,ROW()-1),INDEX(Lists!$C$3:$C$146,ROW()-1),INDEX(Lists!$D$3:$D$67,ROW()-1),INDEX(Lists!$E$3:$E$5,ROW()-1),INDEX(Lists!$F$3:$F$12,ROW()-1),INDEX(Lists!$G$3:$G$126,ROW()-1)),"")</f>
        <v/>
      </c>
      <c r="K342">
        <f>IF(J342="","",SUMPRODUCT(($A$2:$A$636=1)*($G$2:$G$636=J342)))</f>
        <v/>
      </c>
      <c r="L342">
        <f>IF(J342="","",SUMPRODUCT(($A$2:$A$636=1)*($G$2:$G$636=J342)*(ISNUMBER($B$2:$B$636))*($B$2:$B$636&lt;0.5)))</f>
        <v/>
      </c>
      <c r="M342">
        <f>IFERROR(L342/K342,"")</f>
        <v/>
      </c>
      <c r="N342">
        <f>IF(K342="","",M342+K342/100000+ROW()/100000000)</f>
        <v/>
      </c>
      <c r="R342">
        <f>IF(A342=1,IFERROR(I342,0)+ROW()/100000000,-1E+99)</f>
        <v/>
      </c>
      <c r="S342">
        <f>IF(A342=1,IFERROR(Raw_data!$T342,""),"")</f>
        <v/>
      </c>
      <c r="T342">
        <f>IF(A342=1,IFERROR(Raw_data!$AA342,""),"")</f>
        <v/>
      </c>
      <c r="U342">
        <f>IF(A342=1,IFERROR(Raw_data!$U342,""),"")</f>
        <v/>
      </c>
      <c r="V342">
        <f>IF(A342=1,IFERROR(Raw_data!$AB342,""),"")</f>
        <v/>
      </c>
    </row>
    <row r="343">
      <c r="A343">
        <f>--(AND(OR(Dashboard!$B$4="All",Raw_data!$AL343=Dashboard!$B$4),OR(Dashboard!$B$5="All",Raw_data!$AM343=Dashboard!$B$5),OR(Dashboard!$B$6="All",Raw_data!$AN343=Dashboard!$B$6),OR(Dashboard!$B$7="All",Raw_data!$AO343=Dashboard!$B$7),OR(Dashboard!$B$8="All",Raw_data!$AP343=Dashboard!$B$8),OR(Dashboard!$B$9="All",Raw_data!$AQ343=Dashboard!$B$9),OR(Dashboard!$B$10="All",Raw_data!$AF343=Dashboard!$B$10),OR(Raw_data!$F343="",Raw_data!$F343&lt;=TODAY())))</f>
        <v/>
      </c>
      <c r="B343">
        <f>IFERROR(IF(Dashboard!$B$3="Weighted",Raw_data!$U343,Raw_data!$T343),"")</f>
        <v/>
      </c>
      <c r="C343">
        <f>IFERROR(IF(Dashboard!$B$3="Weighted",Raw_data!$AB343,Raw_data!$AA343),"")</f>
        <v/>
      </c>
      <c r="D343">
        <f>IF(OR(Raw_data!$J343="",Raw_data!$J343&lt;=0,Raw_data!$K343=""),"",IF(Raw_data!$K343&gt;TODAY(),0,DATEDIF(Raw_data!$K343,TODAY(),"M")))</f>
        <v/>
      </c>
      <c r="E343">
        <f>--(AND(Raw_data!$AF343="No",OR(Raw_data!$AG343&lt;&gt;"",Raw_data!$AJ343&gt;0,Raw_data!$AK343&lt;&gt;"")))</f>
        <v/>
      </c>
      <c r="F343">
        <f>--(OR(AND(ISNUMBER(B343),B343&lt;0.5,OR(D343&gt;=24,Raw_data!$I343&gt;0)),Raw_data!$AE343=TRUE))</f>
        <v/>
      </c>
      <c r="G343">
        <f>IF(Dashboard!$B$11="Department",Raw_data!$AL343,IF(Dashboard!$B$11="Team",Raw_data!$AM343,IF(Dashboard!$B$11="Unit",Raw_data!$AN343,IF(Dashboard!$B$11="Legal entity",Raw_data!$AO343,IF(Dashboard!$B$11="Location",Raw_data!$AP343,Raw_data!$AQ343)))))</f>
        <v/>
      </c>
      <c r="H343">
        <f>--(AND(ISNUMBER(B343),B343&lt;0.5))</f>
        <v/>
      </c>
      <c r="I343">
        <f>IFERROR(MAX(0,(0.5-B343)*100),0)+IF(D343&gt;=24,20,0)+IF(Raw_data!$I343&gt;0,20,0)+IF(Raw_data!$AE343=TRUE,10,0)</f>
        <v/>
      </c>
      <c r="J343">
        <f>IFERROR(CHOOSE(MATCH(Dashboard!$B$11,{"Department","Team","Unit","Legal entity","Location","Lead"},0),INDEX(Lists!$B$3:$B$20,ROW()-1),INDEX(Lists!$C$3:$C$146,ROW()-1),INDEX(Lists!$D$3:$D$67,ROW()-1),INDEX(Lists!$E$3:$E$5,ROW()-1),INDEX(Lists!$F$3:$F$12,ROW()-1),INDEX(Lists!$G$3:$G$126,ROW()-1)),"")</f>
        <v/>
      </c>
      <c r="K343">
        <f>IF(J343="","",SUMPRODUCT(($A$2:$A$636=1)*($G$2:$G$636=J343)))</f>
        <v/>
      </c>
      <c r="L343">
        <f>IF(J343="","",SUMPRODUCT(($A$2:$A$636=1)*($G$2:$G$636=J343)*(ISNUMBER($B$2:$B$636))*($B$2:$B$636&lt;0.5)))</f>
        <v/>
      </c>
      <c r="M343">
        <f>IFERROR(L343/K343,"")</f>
        <v/>
      </c>
      <c r="N343">
        <f>IF(K343="","",M343+K343/100000+ROW()/100000000)</f>
        <v/>
      </c>
      <c r="R343">
        <f>IF(A343=1,IFERROR(I343,0)+ROW()/100000000,-1E+99)</f>
        <v/>
      </c>
      <c r="S343">
        <f>IF(A343=1,IFERROR(Raw_data!$T343,""),"")</f>
        <v/>
      </c>
      <c r="T343">
        <f>IF(A343=1,IFERROR(Raw_data!$AA343,""),"")</f>
        <v/>
      </c>
      <c r="U343">
        <f>IF(A343=1,IFERROR(Raw_data!$U343,""),"")</f>
        <v/>
      </c>
      <c r="V343">
        <f>IF(A343=1,IFERROR(Raw_data!$AB343,""),"")</f>
        <v/>
      </c>
    </row>
    <row r="344">
      <c r="A344">
        <f>--(AND(OR(Dashboard!$B$4="All",Raw_data!$AL344=Dashboard!$B$4),OR(Dashboard!$B$5="All",Raw_data!$AM344=Dashboard!$B$5),OR(Dashboard!$B$6="All",Raw_data!$AN344=Dashboard!$B$6),OR(Dashboard!$B$7="All",Raw_data!$AO344=Dashboard!$B$7),OR(Dashboard!$B$8="All",Raw_data!$AP344=Dashboard!$B$8),OR(Dashboard!$B$9="All",Raw_data!$AQ344=Dashboard!$B$9),OR(Dashboard!$B$10="All",Raw_data!$AF344=Dashboard!$B$10),OR(Raw_data!$F344="",Raw_data!$F344&lt;=TODAY())))</f>
        <v/>
      </c>
      <c r="B344">
        <f>IFERROR(IF(Dashboard!$B$3="Weighted",Raw_data!$U344,Raw_data!$T344),"")</f>
        <v/>
      </c>
      <c r="C344">
        <f>IFERROR(IF(Dashboard!$B$3="Weighted",Raw_data!$AB344,Raw_data!$AA344),"")</f>
        <v/>
      </c>
      <c r="D344">
        <f>IF(OR(Raw_data!$J344="",Raw_data!$J344&lt;=0,Raw_data!$K344=""),"",IF(Raw_data!$K344&gt;TODAY(),0,DATEDIF(Raw_data!$K344,TODAY(),"M")))</f>
        <v/>
      </c>
      <c r="E344">
        <f>--(AND(Raw_data!$AF344="No",OR(Raw_data!$AG344&lt;&gt;"",Raw_data!$AJ344&gt;0,Raw_data!$AK344&lt;&gt;"")))</f>
        <v/>
      </c>
      <c r="F344">
        <f>--(OR(AND(ISNUMBER(B344),B344&lt;0.5,OR(D344&gt;=24,Raw_data!$I344&gt;0)),Raw_data!$AE344=TRUE))</f>
        <v/>
      </c>
      <c r="G344">
        <f>IF(Dashboard!$B$11="Department",Raw_data!$AL344,IF(Dashboard!$B$11="Team",Raw_data!$AM344,IF(Dashboard!$B$11="Unit",Raw_data!$AN344,IF(Dashboard!$B$11="Legal entity",Raw_data!$AO344,IF(Dashboard!$B$11="Location",Raw_data!$AP344,Raw_data!$AQ344)))))</f>
        <v/>
      </c>
      <c r="H344">
        <f>--(AND(ISNUMBER(B344),B344&lt;0.5))</f>
        <v/>
      </c>
      <c r="I344">
        <f>IFERROR(MAX(0,(0.5-B344)*100),0)+IF(D344&gt;=24,20,0)+IF(Raw_data!$I344&gt;0,20,0)+IF(Raw_data!$AE344=TRUE,10,0)</f>
        <v/>
      </c>
      <c r="J344">
        <f>IFERROR(CHOOSE(MATCH(Dashboard!$B$11,{"Department","Team","Unit","Legal entity","Location","Lead"},0),INDEX(Lists!$B$3:$B$20,ROW()-1),INDEX(Lists!$C$3:$C$146,ROW()-1),INDEX(Lists!$D$3:$D$67,ROW()-1),INDEX(Lists!$E$3:$E$5,ROW()-1),INDEX(Lists!$F$3:$F$12,ROW()-1),INDEX(Lists!$G$3:$G$126,ROW()-1)),"")</f>
        <v/>
      </c>
      <c r="K344">
        <f>IF(J344="","",SUMPRODUCT(($A$2:$A$636=1)*($G$2:$G$636=J344)))</f>
        <v/>
      </c>
      <c r="L344">
        <f>IF(J344="","",SUMPRODUCT(($A$2:$A$636=1)*($G$2:$G$636=J344)*(ISNUMBER($B$2:$B$636))*($B$2:$B$636&lt;0.5)))</f>
        <v/>
      </c>
      <c r="M344">
        <f>IFERROR(L344/K344,"")</f>
        <v/>
      </c>
      <c r="N344">
        <f>IF(K344="","",M344+K344/100000+ROW()/100000000)</f>
        <v/>
      </c>
      <c r="R344">
        <f>IF(A344=1,IFERROR(I344,0)+ROW()/100000000,-1E+99)</f>
        <v/>
      </c>
      <c r="S344">
        <f>IF(A344=1,IFERROR(Raw_data!$T344,""),"")</f>
        <v/>
      </c>
      <c r="T344">
        <f>IF(A344=1,IFERROR(Raw_data!$AA344,""),"")</f>
        <v/>
      </c>
      <c r="U344">
        <f>IF(A344=1,IFERROR(Raw_data!$U344,""),"")</f>
        <v/>
      </c>
      <c r="V344">
        <f>IF(A344=1,IFERROR(Raw_data!$AB344,""),"")</f>
        <v/>
      </c>
    </row>
    <row r="345">
      <c r="A345">
        <f>--(AND(OR(Dashboard!$B$4="All",Raw_data!$AL345=Dashboard!$B$4),OR(Dashboard!$B$5="All",Raw_data!$AM345=Dashboard!$B$5),OR(Dashboard!$B$6="All",Raw_data!$AN345=Dashboard!$B$6),OR(Dashboard!$B$7="All",Raw_data!$AO345=Dashboard!$B$7),OR(Dashboard!$B$8="All",Raw_data!$AP345=Dashboard!$B$8),OR(Dashboard!$B$9="All",Raw_data!$AQ345=Dashboard!$B$9),OR(Dashboard!$B$10="All",Raw_data!$AF345=Dashboard!$B$10),OR(Raw_data!$F345="",Raw_data!$F345&lt;=TODAY())))</f>
        <v/>
      </c>
      <c r="B345">
        <f>IFERROR(IF(Dashboard!$B$3="Weighted",Raw_data!$U345,Raw_data!$T345),"")</f>
        <v/>
      </c>
      <c r="C345">
        <f>IFERROR(IF(Dashboard!$B$3="Weighted",Raw_data!$AB345,Raw_data!$AA345),"")</f>
        <v/>
      </c>
      <c r="D345">
        <f>IF(OR(Raw_data!$J345="",Raw_data!$J345&lt;=0,Raw_data!$K345=""),"",IF(Raw_data!$K345&gt;TODAY(),0,DATEDIF(Raw_data!$K345,TODAY(),"M")))</f>
        <v/>
      </c>
      <c r="E345">
        <f>--(AND(Raw_data!$AF345="No",OR(Raw_data!$AG345&lt;&gt;"",Raw_data!$AJ345&gt;0,Raw_data!$AK345&lt;&gt;"")))</f>
        <v/>
      </c>
      <c r="F345">
        <f>--(OR(AND(ISNUMBER(B345),B345&lt;0.5,OR(D345&gt;=24,Raw_data!$I345&gt;0)),Raw_data!$AE345=TRUE))</f>
        <v/>
      </c>
      <c r="G345">
        <f>IF(Dashboard!$B$11="Department",Raw_data!$AL345,IF(Dashboard!$B$11="Team",Raw_data!$AM345,IF(Dashboard!$B$11="Unit",Raw_data!$AN345,IF(Dashboard!$B$11="Legal entity",Raw_data!$AO345,IF(Dashboard!$B$11="Location",Raw_data!$AP345,Raw_data!$AQ345)))))</f>
        <v/>
      </c>
      <c r="H345">
        <f>--(AND(ISNUMBER(B345),B345&lt;0.5))</f>
        <v/>
      </c>
      <c r="I345">
        <f>IFERROR(MAX(0,(0.5-B345)*100),0)+IF(D345&gt;=24,20,0)+IF(Raw_data!$I345&gt;0,20,0)+IF(Raw_data!$AE345=TRUE,10,0)</f>
        <v/>
      </c>
      <c r="J345">
        <f>IFERROR(CHOOSE(MATCH(Dashboard!$B$11,{"Department","Team","Unit","Legal entity","Location","Lead"},0),INDEX(Lists!$B$3:$B$20,ROW()-1),INDEX(Lists!$C$3:$C$146,ROW()-1),INDEX(Lists!$D$3:$D$67,ROW()-1),INDEX(Lists!$E$3:$E$5,ROW()-1),INDEX(Lists!$F$3:$F$12,ROW()-1),INDEX(Lists!$G$3:$G$126,ROW()-1)),"")</f>
        <v/>
      </c>
      <c r="K345">
        <f>IF(J345="","",SUMPRODUCT(($A$2:$A$636=1)*($G$2:$G$636=J345)))</f>
        <v/>
      </c>
      <c r="L345">
        <f>IF(J345="","",SUMPRODUCT(($A$2:$A$636=1)*($G$2:$G$636=J345)*(ISNUMBER($B$2:$B$636))*($B$2:$B$636&lt;0.5)))</f>
        <v/>
      </c>
      <c r="M345">
        <f>IFERROR(L345/K345,"")</f>
        <v/>
      </c>
      <c r="N345">
        <f>IF(K345="","",M345+K345/100000+ROW()/100000000)</f>
        <v/>
      </c>
      <c r="R345">
        <f>IF(A345=1,IFERROR(I345,0)+ROW()/100000000,-1E+99)</f>
        <v/>
      </c>
      <c r="S345">
        <f>IF(A345=1,IFERROR(Raw_data!$T345,""),"")</f>
        <v/>
      </c>
      <c r="T345">
        <f>IF(A345=1,IFERROR(Raw_data!$AA345,""),"")</f>
        <v/>
      </c>
      <c r="U345">
        <f>IF(A345=1,IFERROR(Raw_data!$U345,""),"")</f>
        <v/>
      </c>
      <c r="V345">
        <f>IF(A345=1,IFERROR(Raw_data!$AB345,""),"")</f>
        <v/>
      </c>
    </row>
    <row r="346">
      <c r="A346">
        <f>--(AND(OR(Dashboard!$B$4="All",Raw_data!$AL346=Dashboard!$B$4),OR(Dashboard!$B$5="All",Raw_data!$AM346=Dashboard!$B$5),OR(Dashboard!$B$6="All",Raw_data!$AN346=Dashboard!$B$6),OR(Dashboard!$B$7="All",Raw_data!$AO346=Dashboard!$B$7),OR(Dashboard!$B$8="All",Raw_data!$AP346=Dashboard!$B$8),OR(Dashboard!$B$9="All",Raw_data!$AQ346=Dashboard!$B$9),OR(Dashboard!$B$10="All",Raw_data!$AF346=Dashboard!$B$10),OR(Raw_data!$F346="",Raw_data!$F346&lt;=TODAY())))</f>
        <v/>
      </c>
      <c r="B346">
        <f>IFERROR(IF(Dashboard!$B$3="Weighted",Raw_data!$U346,Raw_data!$T346),"")</f>
        <v/>
      </c>
      <c r="C346">
        <f>IFERROR(IF(Dashboard!$B$3="Weighted",Raw_data!$AB346,Raw_data!$AA346),"")</f>
        <v/>
      </c>
      <c r="D346">
        <f>IF(OR(Raw_data!$J346="",Raw_data!$J346&lt;=0,Raw_data!$K346=""),"",IF(Raw_data!$K346&gt;TODAY(),0,DATEDIF(Raw_data!$K346,TODAY(),"M")))</f>
        <v/>
      </c>
      <c r="E346">
        <f>--(AND(Raw_data!$AF346="No",OR(Raw_data!$AG346&lt;&gt;"",Raw_data!$AJ346&gt;0,Raw_data!$AK346&lt;&gt;"")))</f>
        <v/>
      </c>
      <c r="F346">
        <f>--(OR(AND(ISNUMBER(B346),B346&lt;0.5,OR(D346&gt;=24,Raw_data!$I346&gt;0)),Raw_data!$AE346=TRUE))</f>
        <v/>
      </c>
      <c r="G346">
        <f>IF(Dashboard!$B$11="Department",Raw_data!$AL346,IF(Dashboard!$B$11="Team",Raw_data!$AM346,IF(Dashboard!$B$11="Unit",Raw_data!$AN346,IF(Dashboard!$B$11="Legal entity",Raw_data!$AO346,IF(Dashboard!$B$11="Location",Raw_data!$AP346,Raw_data!$AQ346)))))</f>
        <v/>
      </c>
      <c r="H346">
        <f>--(AND(ISNUMBER(B346),B346&lt;0.5))</f>
        <v/>
      </c>
      <c r="I346">
        <f>IFERROR(MAX(0,(0.5-B346)*100),0)+IF(D346&gt;=24,20,0)+IF(Raw_data!$I346&gt;0,20,0)+IF(Raw_data!$AE346=TRUE,10,0)</f>
        <v/>
      </c>
      <c r="J346">
        <f>IFERROR(CHOOSE(MATCH(Dashboard!$B$11,{"Department","Team","Unit","Legal entity","Location","Lead"},0),INDEX(Lists!$B$3:$B$20,ROW()-1),INDEX(Lists!$C$3:$C$146,ROW()-1),INDEX(Lists!$D$3:$D$67,ROW()-1),INDEX(Lists!$E$3:$E$5,ROW()-1),INDEX(Lists!$F$3:$F$12,ROW()-1),INDEX(Lists!$G$3:$G$126,ROW()-1)),"")</f>
        <v/>
      </c>
      <c r="K346">
        <f>IF(J346="","",SUMPRODUCT(($A$2:$A$636=1)*($G$2:$G$636=J346)))</f>
        <v/>
      </c>
      <c r="L346">
        <f>IF(J346="","",SUMPRODUCT(($A$2:$A$636=1)*($G$2:$G$636=J346)*(ISNUMBER($B$2:$B$636))*($B$2:$B$636&lt;0.5)))</f>
        <v/>
      </c>
      <c r="M346">
        <f>IFERROR(L346/K346,"")</f>
        <v/>
      </c>
      <c r="N346">
        <f>IF(K346="","",M346+K346/100000+ROW()/100000000)</f>
        <v/>
      </c>
      <c r="R346">
        <f>IF(A346=1,IFERROR(I346,0)+ROW()/100000000,-1E+99)</f>
        <v/>
      </c>
      <c r="S346">
        <f>IF(A346=1,IFERROR(Raw_data!$T346,""),"")</f>
        <v/>
      </c>
      <c r="T346">
        <f>IF(A346=1,IFERROR(Raw_data!$AA346,""),"")</f>
        <v/>
      </c>
      <c r="U346">
        <f>IF(A346=1,IFERROR(Raw_data!$U346,""),"")</f>
        <v/>
      </c>
      <c r="V346">
        <f>IF(A346=1,IFERROR(Raw_data!$AB346,""),"")</f>
        <v/>
      </c>
    </row>
    <row r="347">
      <c r="A347">
        <f>--(AND(OR(Dashboard!$B$4="All",Raw_data!$AL347=Dashboard!$B$4),OR(Dashboard!$B$5="All",Raw_data!$AM347=Dashboard!$B$5),OR(Dashboard!$B$6="All",Raw_data!$AN347=Dashboard!$B$6),OR(Dashboard!$B$7="All",Raw_data!$AO347=Dashboard!$B$7),OR(Dashboard!$B$8="All",Raw_data!$AP347=Dashboard!$B$8),OR(Dashboard!$B$9="All",Raw_data!$AQ347=Dashboard!$B$9),OR(Dashboard!$B$10="All",Raw_data!$AF347=Dashboard!$B$10),OR(Raw_data!$F347="",Raw_data!$F347&lt;=TODAY())))</f>
        <v/>
      </c>
      <c r="B347">
        <f>IFERROR(IF(Dashboard!$B$3="Weighted",Raw_data!$U347,Raw_data!$T347),"")</f>
        <v/>
      </c>
      <c r="C347">
        <f>IFERROR(IF(Dashboard!$B$3="Weighted",Raw_data!$AB347,Raw_data!$AA347),"")</f>
        <v/>
      </c>
      <c r="D347">
        <f>IF(OR(Raw_data!$J347="",Raw_data!$J347&lt;=0,Raw_data!$K347=""),"",IF(Raw_data!$K347&gt;TODAY(),0,DATEDIF(Raw_data!$K347,TODAY(),"M")))</f>
        <v/>
      </c>
      <c r="E347">
        <f>--(AND(Raw_data!$AF347="No",OR(Raw_data!$AG347&lt;&gt;"",Raw_data!$AJ347&gt;0,Raw_data!$AK347&lt;&gt;"")))</f>
        <v/>
      </c>
      <c r="F347">
        <f>--(OR(AND(ISNUMBER(B347),B347&lt;0.5,OR(D347&gt;=24,Raw_data!$I347&gt;0)),Raw_data!$AE347=TRUE))</f>
        <v/>
      </c>
      <c r="G347">
        <f>IF(Dashboard!$B$11="Department",Raw_data!$AL347,IF(Dashboard!$B$11="Team",Raw_data!$AM347,IF(Dashboard!$B$11="Unit",Raw_data!$AN347,IF(Dashboard!$B$11="Legal entity",Raw_data!$AO347,IF(Dashboard!$B$11="Location",Raw_data!$AP347,Raw_data!$AQ347)))))</f>
        <v/>
      </c>
      <c r="H347">
        <f>--(AND(ISNUMBER(B347),B347&lt;0.5))</f>
        <v/>
      </c>
      <c r="I347">
        <f>IFERROR(MAX(0,(0.5-B347)*100),0)+IF(D347&gt;=24,20,0)+IF(Raw_data!$I347&gt;0,20,0)+IF(Raw_data!$AE347=TRUE,10,0)</f>
        <v/>
      </c>
      <c r="J347">
        <f>IFERROR(CHOOSE(MATCH(Dashboard!$B$11,{"Department","Team","Unit","Legal entity","Location","Lead"},0),INDEX(Lists!$B$3:$B$20,ROW()-1),INDEX(Lists!$C$3:$C$146,ROW()-1),INDEX(Lists!$D$3:$D$67,ROW()-1),INDEX(Lists!$E$3:$E$5,ROW()-1),INDEX(Lists!$F$3:$F$12,ROW()-1),INDEX(Lists!$G$3:$G$126,ROW()-1)),"")</f>
        <v/>
      </c>
      <c r="K347">
        <f>IF(J347="","",SUMPRODUCT(($A$2:$A$636=1)*($G$2:$G$636=J347)))</f>
        <v/>
      </c>
      <c r="L347">
        <f>IF(J347="","",SUMPRODUCT(($A$2:$A$636=1)*($G$2:$G$636=J347)*(ISNUMBER($B$2:$B$636))*($B$2:$B$636&lt;0.5)))</f>
        <v/>
      </c>
      <c r="M347">
        <f>IFERROR(L347/K347,"")</f>
        <v/>
      </c>
      <c r="N347">
        <f>IF(K347="","",M347+K347/100000+ROW()/100000000)</f>
        <v/>
      </c>
      <c r="R347">
        <f>IF(A347=1,IFERROR(I347,0)+ROW()/100000000,-1E+99)</f>
        <v/>
      </c>
      <c r="S347">
        <f>IF(A347=1,IFERROR(Raw_data!$T347,""),"")</f>
        <v/>
      </c>
      <c r="T347">
        <f>IF(A347=1,IFERROR(Raw_data!$AA347,""),"")</f>
        <v/>
      </c>
      <c r="U347">
        <f>IF(A347=1,IFERROR(Raw_data!$U347,""),"")</f>
        <v/>
      </c>
      <c r="V347">
        <f>IF(A347=1,IFERROR(Raw_data!$AB347,""),"")</f>
        <v/>
      </c>
    </row>
    <row r="348">
      <c r="A348">
        <f>--(AND(OR(Dashboard!$B$4="All",Raw_data!$AL348=Dashboard!$B$4),OR(Dashboard!$B$5="All",Raw_data!$AM348=Dashboard!$B$5),OR(Dashboard!$B$6="All",Raw_data!$AN348=Dashboard!$B$6),OR(Dashboard!$B$7="All",Raw_data!$AO348=Dashboard!$B$7),OR(Dashboard!$B$8="All",Raw_data!$AP348=Dashboard!$B$8),OR(Dashboard!$B$9="All",Raw_data!$AQ348=Dashboard!$B$9),OR(Dashboard!$B$10="All",Raw_data!$AF348=Dashboard!$B$10),OR(Raw_data!$F348="",Raw_data!$F348&lt;=TODAY())))</f>
        <v/>
      </c>
      <c r="B348">
        <f>IFERROR(IF(Dashboard!$B$3="Weighted",Raw_data!$U348,Raw_data!$T348),"")</f>
        <v/>
      </c>
      <c r="C348">
        <f>IFERROR(IF(Dashboard!$B$3="Weighted",Raw_data!$AB348,Raw_data!$AA348),"")</f>
        <v/>
      </c>
      <c r="D348">
        <f>IF(OR(Raw_data!$J348="",Raw_data!$J348&lt;=0,Raw_data!$K348=""),"",IF(Raw_data!$K348&gt;TODAY(),0,DATEDIF(Raw_data!$K348,TODAY(),"M")))</f>
        <v/>
      </c>
      <c r="E348">
        <f>--(AND(Raw_data!$AF348="No",OR(Raw_data!$AG348&lt;&gt;"",Raw_data!$AJ348&gt;0,Raw_data!$AK348&lt;&gt;"")))</f>
        <v/>
      </c>
      <c r="F348">
        <f>--(OR(AND(ISNUMBER(B348),B348&lt;0.5,OR(D348&gt;=24,Raw_data!$I348&gt;0)),Raw_data!$AE348=TRUE))</f>
        <v/>
      </c>
      <c r="G348">
        <f>IF(Dashboard!$B$11="Department",Raw_data!$AL348,IF(Dashboard!$B$11="Team",Raw_data!$AM348,IF(Dashboard!$B$11="Unit",Raw_data!$AN348,IF(Dashboard!$B$11="Legal entity",Raw_data!$AO348,IF(Dashboard!$B$11="Location",Raw_data!$AP348,Raw_data!$AQ348)))))</f>
        <v/>
      </c>
      <c r="H348">
        <f>--(AND(ISNUMBER(B348),B348&lt;0.5))</f>
        <v/>
      </c>
      <c r="I348">
        <f>IFERROR(MAX(0,(0.5-B348)*100),0)+IF(D348&gt;=24,20,0)+IF(Raw_data!$I348&gt;0,20,0)+IF(Raw_data!$AE348=TRUE,10,0)</f>
        <v/>
      </c>
      <c r="J348">
        <f>IFERROR(CHOOSE(MATCH(Dashboard!$B$11,{"Department","Team","Unit","Legal entity","Location","Lead"},0),INDEX(Lists!$B$3:$B$20,ROW()-1),INDEX(Lists!$C$3:$C$146,ROW()-1),INDEX(Lists!$D$3:$D$67,ROW()-1),INDEX(Lists!$E$3:$E$5,ROW()-1),INDEX(Lists!$F$3:$F$12,ROW()-1),INDEX(Lists!$G$3:$G$126,ROW()-1)),"")</f>
        <v/>
      </c>
      <c r="K348">
        <f>IF(J348="","",SUMPRODUCT(($A$2:$A$636=1)*($G$2:$G$636=J348)))</f>
        <v/>
      </c>
      <c r="L348">
        <f>IF(J348="","",SUMPRODUCT(($A$2:$A$636=1)*($G$2:$G$636=J348)*(ISNUMBER($B$2:$B$636))*($B$2:$B$636&lt;0.5)))</f>
        <v/>
      </c>
      <c r="M348">
        <f>IFERROR(L348/K348,"")</f>
        <v/>
      </c>
      <c r="N348">
        <f>IF(K348="","",M348+K348/100000+ROW()/100000000)</f>
        <v/>
      </c>
      <c r="R348">
        <f>IF(A348=1,IFERROR(I348,0)+ROW()/100000000,-1E+99)</f>
        <v/>
      </c>
      <c r="S348">
        <f>IF(A348=1,IFERROR(Raw_data!$T348,""),"")</f>
        <v/>
      </c>
      <c r="T348">
        <f>IF(A348=1,IFERROR(Raw_data!$AA348,""),"")</f>
        <v/>
      </c>
      <c r="U348">
        <f>IF(A348=1,IFERROR(Raw_data!$U348,""),"")</f>
        <v/>
      </c>
      <c r="V348">
        <f>IF(A348=1,IFERROR(Raw_data!$AB348,""),"")</f>
        <v/>
      </c>
    </row>
    <row r="349">
      <c r="A349">
        <f>--(AND(OR(Dashboard!$B$4="All",Raw_data!$AL349=Dashboard!$B$4),OR(Dashboard!$B$5="All",Raw_data!$AM349=Dashboard!$B$5),OR(Dashboard!$B$6="All",Raw_data!$AN349=Dashboard!$B$6),OR(Dashboard!$B$7="All",Raw_data!$AO349=Dashboard!$B$7),OR(Dashboard!$B$8="All",Raw_data!$AP349=Dashboard!$B$8),OR(Dashboard!$B$9="All",Raw_data!$AQ349=Dashboard!$B$9),OR(Dashboard!$B$10="All",Raw_data!$AF349=Dashboard!$B$10),OR(Raw_data!$F349="",Raw_data!$F349&lt;=TODAY())))</f>
        <v/>
      </c>
      <c r="B349">
        <f>IFERROR(IF(Dashboard!$B$3="Weighted",Raw_data!$U349,Raw_data!$T349),"")</f>
        <v/>
      </c>
      <c r="C349">
        <f>IFERROR(IF(Dashboard!$B$3="Weighted",Raw_data!$AB349,Raw_data!$AA349),"")</f>
        <v/>
      </c>
      <c r="D349">
        <f>IF(OR(Raw_data!$J349="",Raw_data!$J349&lt;=0,Raw_data!$K349=""),"",IF(Raw_data!$K349&gt;TODAY(),0,DATEDIF(Raw_data!$K349,TODAY(),"M")))</f>
        <v/>
      </c>
      <c r="E349">
        <f>--(AND(Raw_data!$AF349="No",OR(Raw_data!$AG349&lt;&gt;"",Raw_data!$AJ349&gt;0,Raw_data!$AK349&lt;&gt;"")))</f>
        <v/>
      </c>
      <c r="F349">
        <f>--(OR(AND(ISNUMBER(B349),B349&lt;0.5,OR(D349&gt;=24,Raw_data!$I349&gt;0)),Raw_data!$AE349=TRUE))</f>
        <v/>
      </c>
      <c r="G349">
        <f>IF(Dashboard!$B$11="Department",Raw_data!$AL349,IF(Dashboard!$B$11="Team",Raw_data!$AM349,IF(Dashboard!$B$11="Unit",Raw_data!$AN349,IF(Dashboard!$B$11="Legal entity",Raw_data!$AO349,IF(Dashboard!$B$11="Location",Raw_data!$AP349,Raw_data!$AQ349)))))</f>
        <v/>
      </c>
      <c r="H349">
        <f>--(AND(ISNUMBER(B349),B349&lt;0.5))</f>
        <v/>
      </c>
      <c r="I349">
        <f>IFERROR(MAX(0,(0.5-B349)*100),0)+IF(D349&gt;=24,20,0)+IF(Raw_data!$I349&gt;0,20,0)+IF(Raw_data!$AE349=TRUE,10,0)</f>
        <v/>
      </c>
      <c r="J349">
        <f>IFERROR(CHOOSE(MATCH(Dashboard!$B$11,{"Department","Team","Unit","Legal entity","Location","Lead"},0),INDEX(Lists!$B$3:$B$20,ROW()-1),INDEX(Lists!$C$3:$C$146,ROW()-1),INDEX(Lists!$D$3:$D$67,ROW()-1),INDEX(Lists!$E$3:$E$5,ROW()-1),INDEX(Lists!$F$3:$F$12,ROW()-1),INDEX(Lists!$G$3:$G$126,ROW()-1)),"")</f>
        <v/>
      </c>
      <c r="K349">
        <f>IF(J349="","",SUMPRODUCT(($A$2:$A$636=1)*($G$2:$G$636=J349)))</f>
        <v/>
      </c>
      <c r="L349">
        <f>IF(J349="","",SUMPRODUCT(($A$2:$A$636=1)*($G$2:$G$636=J349)*(ISNUMBER($B$2:$B$636))*($B$2:$B$636&lt;0.5)))</f>
        <v/>
      </c>
      <c r="M349">
        <f>IFERROR(L349/K349,"")</f>
        <v/>
      </c>
      <c r="N349">
        <f>IF(K349="","",M349+K349/100000+ROW()/100000000)</f>
        <v/>
      </c>
      <c r="R349">
        <f>IF(A349=1,IFERROR(I349,0)+ROW()/100000000,-1E+99)</f>
        <v/>
      </c>
      <c r="S349">
        <f>IF(A349=1,IFERROR(Raw_data!$T349,""),"")</f>
        <v/>
      </c>
      <c r="T349">
        <f>IF(A349=1,IFERROR(Raw_data!$AA349,""),"")</f>
        <v/>
      </c>
      <c r="U349">
        <f>IF(A349=1,IFERROR(Raw_data!$U349,""),"")</f>
        <v/>
      </c>
      <c r="V349">
        <f>IF(A349=1,IFERROR(Raw_data!$AB349,""),"")</f>
        <v/>
      </c>
    </row>
    <row r="350">
      <c r="A350">
        <f>--(AND(OR(Dashboard!$B$4="All",Raw_data!$AL350=Dashboard!$B$4),OR(Dashboard!$B$5="All",Raw_data!$AM350=Dashboard!$B$5),OR(Dashboard!$B$6="All",Raw_data!$AN350=Dashboard!$B$6),OR(Dashboard!$B$7="All",Raw_data!$AO350=Dashboard!$B$7),OR(Dashboard!$B$8="All",Raw_data!$AP350=Dashboard!$B$8),OR(Dashboard!$B$9="All",Raw_data!$AQ350=Dashboard!$B$9),OR(Dashboard!$B$10="All",Raw_data!$AF350=Dashboard!$B$10),OR(Raw_data!$F350="",Raw_data!$F350&lt;=TODAY())))</f>
        <v/>
      </c>
      <c r="B350">
        <f>IFERROR(IF(Dashboard!$B$3="Weighted",Raw_data!$U350,Raw_data!$T350),"")</f>
        <v/>
      </c>
      <c r="C350">
        <f>IFERROR(IF(Dashboard!$B$3="Weighted",Raw_data!$AB350,Raw_data!$AA350),"")</f>
        <v/>
      </c>
      <c r="D350">
        <f>IF(OR(Raw_data!$J350="",Raw_data!$J350&lt;=0,Raw_data!$K350=""),"",IF(Raw_data!$K350&gt;TODAY(),0,DATEDIF(Raw_data!$K350,TODAY(),"M")))</f>
        <v/>
      </c>
      <c r="E350">
        <f>--(AND(Raw_data!$AF350="No",OR(Raw_data!$AG350&lt;&gt;"",Raw_data!$AJ350&gt;0,Raw_data!$AK350&lt;&gt;"")))</f>
        <v/>
      </c>
      <c r="F350">
        <f>--(OR(AND(ISNUMBER(B350),B350&lt;0.5,OR(D350&gt;=24,Raw_data!$I350&gt;0)),Raw_data!$AE350=TRUE))</f>
        <v/>
      </c>
      <c r="G350">
        <f>IF(Dashboard!$B$11="Department",Raw_data!$AL350,IF(Dashboard!$B$11="Team",Raw_data!$AM350,IF(Dashboard!$B$11="Unit",Raw_data!$AN350,IF(Dashboard!$B$11="Legal entity",Raw_data!$AO350,IF(Dashboard!$B$11="Location",Raw_data!$AP350,Raw_data!$AQ350)))))</f>
        <v/>
      </c>
      <c r="H350">
        <f>--(AND(ISNUMBER(B350),B350&lt;0.5))</f>
        <v/>
      </c>
      <c r="I350">
        <f>IFERROR(MAX(0,(0.5-B350)*100),0)+IF(D350&gt;=24,20,0)+IF(Raw_data!$I350&gt;0,20,0)+IF(Raw_data!$AE350=TRUE,10,0)</f>
        <v/>
      </c>
      <c r="J350">
        <f>IFERROR(CHOOSE(MATCH(Dashboard!$B$11,{"Department","Team","Unit","Legal entity","Location","Lead"},0),INDEX(Lists!$B$3:$B$20,ROW()-1),INDEX(Lists!$C$3:$C$146,ROW()-1),INDEX(Lists!$D$3:$D$67,ROW()-1),INDEX(Lists!$E$3:$E$5,ROW()-1),INDEX(Lists!$F$3:$F$12,ROW()-1),INDEX(Lists!$G$3:$G$126,ROW()-1)),"")</f>
        <v/>
      </c>
      <c r="K350">
        <f>IF(J350="","",SUMPRODUCT(($A$2:$A$636=1)*($G$2:$G$636=J350)))</f>
        <v/>
      </c>
      <c r="L350">
        <f>IF(J350="","",SUMPRODUCT(($A$2:$A$636=1)*($G$2:$G$636=J350)*(ISNUMBER($B$2:$B$636))*($B$2:$B$636&lt;0.5)))</f>
        <v/>
      </c>
      <c r="M350">
        <f>IFERROR(L350/K350,"")</f>
        <v/>
      </c>
      <c r="N350">
        <f>IF(K350="","",M350+K350/100000+ROW()/100000000)</f>
        <v/>
      </c>
      <c r="R350">
        <f>IF(A350=1,IFERROR(I350,0)+ROW()/100000000,-1E+99)</f>
        <v/>
      </c>
      <c r="S350">
        <f>IF(A350=1,IFERROR(Raw_data!$T350,""),"")</f>
        <v/>
      </c>
      <c r="T350">
        <f>IF(A350=1,IFERROR(Raw_data!$AA350,""),"")</f>
        <v/>
      </c>
      <c r="U350">
        <f>IF(A350=1,IFERROR(Raw_data!$U350,""),"")</f>
        <v/>
      </c>
      <c r="V350">
        <f>IF(A350=1,IFERROR(Raw_data!$AB350,""),"")</f>
        <v/>
      </c>
    </row>
    <row r="351">
      <c r="A351">
        <f>--(AND(OR(Dashboard!$B$4="All",Raw_data!$AL351=Dashboard!$B$4),OR(Dashboard!$B$5="All",Raw_data!$AM351=Dashboard!$B$5),OR(Dashboard!$B$6="All",Raw_data!$AN351=Dashboard!$B$6),OR(Dashboard!$B$7="All",Raw_data!$AO351=Dashboard!$B$7),OR(Dashboard!$B$8="All",Raw_data!$AP351=Dashboard!$B$8),OR(Dashboard!$B$9="All",Raw_data!$AQ351=Dashboard!$B$9),OR(Dashboard!$B$10="All",Raw_data!$AF351=Dashboard!$B$10),OR(Raw_data!$F351="",Raw_data!$F351&lt;=TODAY())))</f>
        <v/>
      </c>
      <c r="B351">
        <f>IFERROR(IF(Dashboard!$B$3="Weighted",Raw_data!$U351,Raw_data!$T351),"")</f>
        <v/>
      </c>
      <c r="C351">
        <f>IFERROR(IF(Dashboard!$B$3="Weighted",Raw_data!$AB351,Raw_data!$AA351),"")</f>
        <v/>
      </c>
      <c r="D351">
        <f>IF(OR(Raw_data!$J351="",Raw_data!$J351&lt;=0,Raw_data!$K351=""),"",IF(Raw_data!$K351&gt;TODAY(),0,DATEDIF(Raw_data!$K351,TODAY(),"M")))</f>
        <v/>
      </c>
      <c r="E351">
        <f>--(AND(Raw_data!$AF351="No",OR(Raw_data!$AG351&lt;&gt;"",Raw_data!$AJ351&gt;0,Raw_data!$AK351&lt;&gt;"")))</f>
        <v/>
      </c>
      <c r="F351">
        <f>--(OR(AND(ISNUMBER(B351),B351&lt;0.5,OR(D351&gt;=24,Raw_data!$I351&gt;0)),Raw_data!$AE351=TRUE))</f>
        <v/>
      </c>
      <c r="G351">
        <f>IF(Dashboard!$B$11="Department",Raw_data!$AL351,IF(Dashboard!$B$11="Team",Raw_data!$AM351,IF(Dashboard!$B$11="Unit",Raw_data!$AN351,IF(Dashboard!$B$11="Legal entity",Raw_data!$AO351,IF(Dashboard!$B$11="Location",Raw_data!$AP351,Raw_data!$AQ351)))))</f>
        <v/>
      </c>
      <c r="H351">
        <f>--(AND(ISNUMBER(B351),B351&lt;0.5))</f>
        <v/>
      </c>
      <c r="I351">
        <f>IFERROR(MAX(0,(0.5-B351)*100),0)+IF(D351&gt;=24,20,0)+IF(Raw_data!$I351&gt;0,20,0)+IF(Raw_data!$AE351=TRUE,10,0)</f>
        <v/>
      </c>
      <c r="J351">
        <f>IFERROR(CHOOSE(MATCH(Dashboard!$B$11,{"Department","Team","Unit","Legal entity","Location","Lead"},0),INDEX(Lists!$B$3:$B$20,ROW()-1),INDEX(Lists!$C$3:$C$146,ROW()-1),INDEX(Lists!$D$3:$D$67,ROW()-1),INDEX(Lists!$E$3:$E$5,ROW()-1),INDEX(Lists!$F$3:$F$12,ROW()-1),INDEX(Lists!$G$3:$G$126,ROW()-1)),"")</f>
        <v/>
      </c>
      <c r="K351">
        <f>IF(J351="","",SUMPRODUCT(($A$2:$A$636=1)*($G$2:$G$636=J351)))</f>
        <v/>
      </c>
      <c r="L351">
        <f>IF(J351="","",SUMPRODUCT(($A$2:$A$636=1)*($G$2:$G$636=J351)*(ISNUMBER($B$2:$B$636))*($B$2:$B$636&lt;0.5)))</f>
        <v/>
      </c>
      <c r="M351">
        <f>IFERROR(L351/K351,"")</f>
        <v/>
      </c>
      <c r="N351">
        <f>IF(K351="","",M351+K351/100000+ROW()/100000000)</f>
        <v/>
      </c>
      <c r="R351">
        <f>IF(A351=1,IFERROR(I351,0)+ROW()/100000000,-1E+99)</f>
        <v/>
      </c>
      <c r="S351">
        <f>IF(A351=1,IFERROR(Raw_data!$T351,""),"")</f>
        <v/>
      </c>
      <c r="T351">
        <f>IF(A351=1,IFERROR(Raw_data!$AA351,""),"")</f>
        <v/>
      </c>
      <c r="U351">
        <f>IF(A351=1,IFERROR(Raw_data!$U351,""),"")</f>
        <v/>
      </c>
      <c r="V351">
        <f>IF(A351=1,IFERROR(Raw_data!$AB351,""),"")</f>
        <v/>
      </c>
    </row>
    <row r="352">
      <c r="A352">
        <f>--(AND(OR(Dashboard!$B$4="All",Raw_data!$AL352=Dashboard!$B$4),OR(Dashboard!$B$5="All",Raw_data!$AM352=Dashboard!$B$5),OR(Dashboard!$B$6="All",Raw_data!$AN352=Dashboard!$B$6),OR(Dashboard!$B$7="All",Raw_data!$AO352=Dashboard!$B$7),OR(Dashboard!$B$8="All",Raw_data!$AP352=Dashboard!$B$8),OR(Dashboard!$B$9="All",Raw_data!$AQ352=Dashboard!$B$9),OR(Dashboard!$B$10="All",Raw_data!$AF352=Dashboard!$B$10),OR(Raw_data!$F352="",Raw_data!$F352&lt;=TODAY())))</f>
        <v/>
      </c>
      <c r="B352">
        <f>IFERROR(IF(Dashboard!$B$3="Weighted",Raw_data!$U352,Raw_data!$T352),"")</f>
        <v/>
      </c>
      <c r="C352">
        <f>IFERROR(IF(Dashboard!$B$3="Weighted",Raw_data!$AB352,Raw_data!$AA352),"")</f>
        <v/>
      </c>
      <c r="D352">
        <f>IF(OR(Raw_data!$J352="",Raw_data!$J352&lt;=0,Raw_data!$K352=""),"",IF(Raw_data!$K352&gt;TODAY(),0,DATEDIF(Raw_data!$K352,TODAY(),"M")))</f>
        <v/>
      </c>
      <c r="E352">
        <f>--(AND(Raw_data!$AF352="No",OR(Raw_data!$AG352&lt;&gt;"",Raw_data!$AJ352&gt;0,Raw_data!$AK352&lt;&gt;"")))</f>
        <v/>
      </c>
      <c r="F352">
        <f>--(OR(AND(ISNUMBER(B352),B352&lt;0.5,OR(D352&gt;=24,Raw_data!$I352&gt;0)),Raw_data!$AE352=TRUE))</f>
        <v/>
      </c>
      <c r="G352">
        <f>IF(Dashboard!$B$11="Department",Raw_data!$AL352,IF(Dashboard!$B$11="Team",Raw_data!$AM352,IF(Dashboard!$B$11="Unit",Raw_data!$AN352,IF(Dashboard!$B$11="Legal entity",Raw_data!$AO352,IF(Dashboard!$B$11="Location",Raw_data!$AP352,Raw_data!$AQ352)))))</f>
        <v/>
      </c>
      <c r="H352">
        <f>--(AND(ISNUMBER(B352),B352&lt;0.5))</f>
        <v/>
      </c>
      <c r="I352">
        <f>IFERROR(MAX(0,(0.5-B352)*100),0)+IF(D352&gt;=24,20,0)+IF(Raw_data!$I352&gt;0,20,0)+IF(Raw_data!$AE352=TRUE,10,0)</f>
        <v/>
      </c>
      <c r="J352">
        <f>IFERROR(CHOOSE(MATCH(Dashboard!$B$11,{"Department","Team","Unit","Legal entity","Location","Lead"},0),INDEX(Lists!$B$3:$B$20,ROW()-1),INDEX(Lists!$C$3:$C$146,ROW()-1),INDEX(Lists!$D$3:$D$67,ROW()-1),INDEX(Lists!$E$3:$E$5,ROW()-1),INDEX(Lists!$F$3:$F$12,ROW()-1),INDEX(Lists!$G$3:$G$126,ROW()-1)),"")</f>
        <v/>
      </c>
      <c r="K352">
        <f>IF(J352="","",SUMPRODUCT(($A$2:$A$636=1)*($G$2:$G$636=J352)))</f>
        <v/>
      </c>
      <c r="L352">
        <f>IF(J352="","",SUMPRODUCT(($A$2:$A$636=1)*($G$2:$G$636=J352)*(ISNUMBER($B$2:$B$636))*($B$2:$B$636&lt;0.5)))</f>
        <v/>
      </c>
      <c r="M352">
        <f>IFERROR(L352/K352,"")</f>
        <v/>
      </c>
      <c r="N352">
        <f>IF(K352="","",M352+K352/100000+ROW()/100000000)</f>
        <v/>
      </c>
      <c r="R352">
        <f>IF(A352=1,IFERROR(I352,0)+ROW()/100000000,-1E+99)</f>
        <v/>
      </c>
      <c r="S352">
        <f>IF(A352=1,IFERROR(Raw_data!$T352,""),"")</f>
        <v/>
      </c>
      <c r="T352">
        <f>IF(A352=1,IFERROR(Raw_data!$AA352,""),"")</f>
        <v/>
      </c>
      <c r="U352">
        <f>IF(A352=1,IFERROR(Raw_data!$U352,""),"")</f>
        <v/>
      </c>
      <c r="V352">
        <f>IF(A352=1,IFERROR(Raw_data!$AB352,""),"")</f>
        <v/>
      </c>
    </row>
    <row r="353">
      <c r="A353">
        <f>--(AND(OR(Dashboard!$B$4="All",Raw_data!$AL353=Dashboard!$B$4),OR(Dashboard!$B$5="All",Raw_data!$AM353=Dashboard!$B$5),OR(Dashboard!$B$6="All",Raw_data!$AN353=Dashboard!$B$6),OR(Dashboard!$B$7="All",Raw_data!$AO353=Dashboard!$B$7),OR(Dashboard!$B$8="All",Raw_data!$AP353=Dashboard!$B$8),OR(Dashboard!$B$9="All",Raw_data!$AQ353=Dashboard!$B$9),OR(Dashboard!$B$10="All",Raw_data!$AF353=Dashboard!$B$10),OR(Raw_data!$F353="",Raw_data!$F353&lt;=TODAY())))</f>
        <v/>
      </c>
      <c r="B353">
        <f>IFERROR(IF(Dashboard!$B$3="Weighted",Raw_data!$U353,Raw_data!$T353),"")</f>
        <v/>
      </c>
      <c r="C353">
        <f>IFERROR(IF(Dashboard!$B$3="Weighted",Raw_data!$AB353,Raw_data!$AA353),"")</f>
        <v/>
      </c>
      <c r="D353">
        <f>IF(OR(Raw_data!$J353="",Raw_data!$J353&lt;=0,Raw_data!$K353=""),"",IF(Raw_data!$K353&gt;TODAY(),0,DATEDIF(Raw_data!$K353,TODAY(),"M")))</f>
        <v/>
      </c>
      <c r="E353">
        <f>--(AND(Raw_data!$AF353="No",OR(Raw_data!$AG353&lt;&gt;"",Raw_data!$AJ353&gt;0,Raw_data!$AK353&lt;&gt;"")))</f>
        <v/>
      </c>
      <c r="F353">
        <f>--(OR(AND(ISNUMBER(B353),B353&lt;0.5,OR(D353&gt;=24,Raw_data!$I353&gt;0)),Raw_data!$AE353=TRUE))</f>
        <v/>
      </c>
      <c r="G353">
        <f>IF(Dashboard!$B$11="Department",Raw_data!$AL353,IF(Dashboard!$B$11="Team",Raw_data!$AM353,IF(Dashboard!$B$11="Unit",Raw_data!$AN353,IF(Dashboard!$B$11="Legal entity",Raw_data!$AO353,IF(Dashboard!$B$11="Location",Raw_data!$AP353,Raw_data!$AQ353)))))</f>
        <v/>
      </c>
      <c r="H353">
        <f>--(AND(ISNUMBER(B353),B353&lt;0.5))</f>
        <v/>
      </c>
      <c r="I353">
        <f>IFERROR(MAX(0,(0.5-B353)*100),0)+IF(D353&gt;=24,20,0)+IF(Raw_data!$I353&gt;0,20,0)+IF(Raw_data!$AE353=TRUE,10,0)</f>
        <v/>
      </c>
      <c r="J353">
        <f>IFERROR(CHOOSE(MATCH(Dashboard!$B$11,{"Department","Team","Unit","Legal entity","Location","Lead"},0),INDEX(Lists!$B$3:$B$20,ROW()-1),INDEX(Lists!$C$3:$C$146,ROW()-1),INDEX(Lists!$D$3:$D$67,ROW()-1),INDEX(Lists!$E$3:$E$5,ROW()-1),INDEX(Lists!$F$3:$F$12,ROW()-1),INDEX(Lists!$G$3:$G$126,ROW()-1)),"")</f>
        <v/>
      </c>
      <c r="K353">
        <f>IF(J353="","",SUMPRODUCT(($A$2:$A$636=1)*($G$2:$G$636=J353)))</f>
        <v/>
      </c>
      <c r="L353">
        <f>IF(J353="","",SUMPRODUCT(($A$2:$A$636=1)*($G$2:$G$636=J353)*(ISNUMBER($B$2:$B$636))*($B$2:$B$636&lt;0.5)))</f>
        <v/>
      </c>
      <c r="M353">
        <f>IFERROR(L353/K353,"")</f>
        <v/>
      </c>
      <c r="N353">
        <f>IF(K353="","",M353+K353/100000+ROW()/100000000)</f>
        <v/>
      </c>
      <c r="R353">
        <f>IF(A353=1,IFERROR(I353,0)+ROW()/100000000,-1E+99)</f>
        <v/>
      </c>
      <c r="S353">
        <f>IF(A353=1,IFERROR(Raw_data!$T353,""),"")</f>
        <v/>
      </c>
      <c r="T353">
        <f>IF(A353=1,IFERROR(Raw_data!$AA353,""),"")</f>
        <v/>
      </c>
      <c r="U353">
        <f>IF(A353=1,IFERROR(Raw_data!$U353,""),"")</f>
        <v/>
      </c>
      <c r="V353">
        <f>IF(A353=1,IFERROR(Raw_data!$AB353,""),"")</f>
        <v/>
      </c>
    </row>
    <row r="354">
      <c r="A354">
        <f>--(AND(OR(Dashboard!$B$4="All",Raw_data!$AL354=Dashboard!$B$4),OR(Dashboard!$B$5="All",Raw_data!$AM354=Dashboard!$B$5),OR(Dashboard!$B$6="All",Raw_data!$AN354=Dashboard!$B$6),OR(Dashboard!$B$7="All",Raw_data!$AO354=Dashboard!$B$7),OR(Dashboard!$B$8="All",Raw_data!$AP354=Dashboard!$B$8),OR(Dashboard!$B$9="All",Raw_data!$AQ354=Dashboard!$B$9),OR(Dashboard!$B$10="All",Raw_data!$AF354=Dashboard!$B$10),OR(Raw_data!$F354="",Raw_data!$F354&lt;=TODAY())))</f>
        <v/>
      </c>
      <c r="B354">
        <f>IFERROR(IF(Dashboard!$B$3="Weighted",Raw_data!$U354,Raw_data!$T354),"")</f>
        <v/>
      </c>
      <c r="C354">
        <f>IFERROR(IF(Dashboard!$B$3="Weighted",Raw_data!$AB354,Raw_data!$AA354),"")</f>
        <v/>
      </c>
      <c r="D354">
        <f>IF(OR(Raw_data!$J354="",Raw_data!$J354&lt;=0,Raw_data!$K354=""),"",IF(Raw_data!$K354&gt;TODAY(),0,DATEDIF(Raw_data!$K354,TODAY(),"M")))</f>
        <v/>
      </c>
      <c r="E354">
        <f>--(AND(Raw_data!$AF354="No",OR(Raw_data!$AG354&lt;&gt;"",Raw_data!$AJ354&gt;0,Raw_data!$AK354&lt;&gt;"")))</f>
        <v/>
      </c>
      <c r="F354">
        <f>--(OR(AND(ISNUMBER(B354),B354&lt;0.5,OR(D354&gt;=24,Raw_data!$I354&gt;0)),Raw_data!$AE354=TRUE))</f>
        <v/>
      </c>
      <c r="G354">
        <f>IF(Dashboard!$B$11="Department",Raw_data!$AL354,IF(Dashboard!$B$11="Team",Raw_data!$AM354,IF(Dashboard!$B$11="Unit",Raw_data!$AN354,IF(Dashboard!$B$11="Legal entity",Raw_data!$AO354,IF(Dashboard!$B$11="Location",Raw_data!$AP354,Raw_data!$AQ354)))))</f>
        <v/>
      </c>
      <c r="H354">
        <f>--(AND(ISNUMBER(B354),B354&lt;0.5))</f>
        <v/>
      </c>
      <c r="I354">
        <f>IFERROR(MAX(0,(0.5-B354)*100),0)+IF(D354&gt;=24,20,0)+IF(Raw_data!$I354&gt;0,20,0)+IF(Raw_data!$AE354=TRUE,10,0)</f>
        <v/>
      </c>
      <c r="J354">
        <f>IFERROR(CHOOSE(MATCH(Dashboard!$B$11,{"Department","Team","Unit","Legal entity","Location","Lead"},0),INDEX(Lists!$B$3:$B$20,ROW()-1),INDEX(Lists!$C$3:$C$146,ROW()-1),INDEX(Lists!$D$3:$D$67,ROW()-1),INDEX(Lists!$E$3:$E$5,ROW()-1),INDEX(Lists!$F$3:$F$12,ROW()-1),INDEX(Lists!$G$3:$G$126,ROW()-1)),"")</f>
        <v/>
      </c>
      <c r="K354">
        <f>IF(J354="","",SUMPRODUCT(($A$2:$A$636=1)*($G$2:$G$636=J354)))</f>
        <v/>
      </c>
      <c r="L354">
        <f>IF(J354="","",SUMPRODUCT(($A$2:$A$636=1)*($G$2:$G$636=J354)*(ISNUMBER($B$2:$B$636))*($B$2:$B$636&lt;0.5)))</f>
        <v/>
      </c>
      <c r="M354">
        <f>IFERROR(L354/K354,"")</f>
        <v/>
      </c>
      <c r="N354">
        <f>IF(K354="","",M354+K354/100000+ROW()/100000000)</f>
        <v/>
      </c>
      <c r="R354">
        <f>IF(A354=1,IFERROR(I354,0)+ROW()/100000000,-1E+99)</f>
        <v/>
      </c>
      <c r="S354">
        <f>IF(A354=1,IFERROR(Raw_data!$T354,""),"")</f>
        <v/>
      </c>
      <c r="T354">
        <f>IF(A354=1,IFERROR(Raw_data!$AA354,""),"")</f>
        <v/>
      </c>
      <c r="U354">
        <f>IF(A354=1,IFERROR(Raw_data!$U354,""),"")</f>
        <v/>
      </c>
      <c r="V354">
        <f>IF(A354=1,IFERROR(Raw_data!$AB354,""),"")</f>
        <v/>
      </c>
    </row>
    <row r="355">
      <c r="A355">
        <f>--(AND(OR(Dashboard!$B$4="All",Raw_data!$AL355=Dashboard!$B$4),OR(Dashboard!$B$5="All",Raw_data!$AM355=Dashboard!$B$5),OR(Dashboard!$B$6="All",Raw_data!$AN355=Dashboard!$B$6),OR(Dashboard!$B$7="All",Raw_data!$AO355=Dashboard!$B$7),OR(Dashboard!$B$8="All",Raw_data!$AP355=Dashboard!$B$8),OR(Dashboard!$B$9="All",Raw_data!$AQ355=Dashboard!$B$9),OR(Dashboard!$B$10="All",Raw_data!$AF355=Dashboard!$B$10),OR(Raw_data!$F355="",Raw_data!$F355&lt;=TODAY())))</f>
        <v/>
      </c>
      <c r="B355">
        <f>IFERROR(IF(Dashboard!$B$3="Weighted",Raw_data!$U355,Raw_data!$T355),"")</f>
        <v/>
      </c>
      <c r="C355">
        <f>IFERROR(IF(Dashboard!$B$3="Weighted",Raw_data!$AB355,Raw_data!$AA355),"")</f>
        <v/>
      </c>
      <c r="D355">
        <f>IF(OR(Raw_data!$J355="",Raw_data!$J355&lt;=0,Raw_data!$K355=""),"",IF(Raw_data!$K355&gt;TODAY(),0,DATEDIF(Raw_data!$K355,TODAY(),"M")))</f>
        <v/>
      </c>
      <c r="E355">
        <f>--(AND(Raw_data!$AF355="No",OR(Raw_data!$AG355&lt;&gt;"",Raw_data!$AJ355&gt;0,Raw_data!$AK355&lt;&gt;"")))</f>
        <v/>
      </c>
      <c r="F355">
        <f>--(OR(AND(ISNUMBER(B355),B355&lt;0.5,OR(D355&gt;=24,Raw_data!$I355&gt;0)),Raw_data!$AE355=TRUE))</f>
        <v/>
      </c>
      <c r="G355">
        <f>IF(Dashboard!$B$11="Department",Raw_data!$AL355,IF(Dashboard!$B$11="Team",Raw_data!$AM355,IF(Dashboard!$B$11="Unit",Raw_data!$AN355,IF(Dashboard!$B$11="Legal entity",Raw_data!$AO355,IF(Dashboard!$B$11="Location",Raw_data!$AP355,Raw_data!$AQ355)))))</f>
        <v/>
      </c>
      <c r="H355">
        <f>--(AND(ISNUMBER(B355),B355&lt;0.5))</f>
        <v/>
      </c>
      <c r="I355">
        <f>IFERROR(MAX(0,(0.5-B355)*100),0)+IF(D355&gt;=24,20,0)+IF(Raw_data!$I355&gt;0,20,0)+IF(Raw_data!$AE355=TRUE,10,0)</f>
        <v/>
      </c>
      <c r="J355">
        <f>IFERROR(CHOOSE(MATCH(Dashboard!$B$11,{"Department","Team","Unit","Legal entity","Location","Lead"},0),INDEX(Lists!$B$3:$B$20,ROW()-1),INDEX(Lists!$C$3:$C$146,ROW()-1),INDEX(Lists!$D$3:$D$67,ROW()-1),INDEX(Lists!$E$3:$E$5,ROW()-1),INDEX(Lists!$F$3:$F$12,ROW()-1),INDEX(Lists!$G$3:$G$126,ROW()-1)),"")</f>
        <v/>
      </c>
      <c r="K355">
        <f>IF(J355="","",SUMPRODUCT(($A$2:$A$636=1)*($G$2:$G$636=J355)))</f>
        <v/>
      </c>
      <c r="L355">
        <f>IF(J355="","",SUMPRODUCT(($A$2:$A$636=1)*($G$2:$G$636=J355)*(ISNUMBER($B$2:$B$636))*($B$2:$B$636&lt;0.5)))</f>
        <v/>
      </c>
      <c r="M355">
        <f>IFERROR(L355/K355,"")</f>
        <v/>
      </c>
      <c r="N355">
        <f>IF(K355="","",M355+K355/100000+ROW()/100000000)</f>
        <v/>
      </c>
      <c r="R355">
        <f>IF(A355=1,IFERROR(I355,0)+ROW()/100000000,-1E+99)</f>
        <v/>
      </c>
      <c r="S355">
        <f>IF(A355=1,IFERROR(Raw_data!$T355,""),"")</f>
        <v/>
      </c>
      <c r="T355">
        <f>IF(A355=1,IFERROR(Raw_data!$AA355,""),"")</f>
        <v/>
      </c>
      <c r="U355">
        <f>IF(A355=1,IFERROR(Raw_data!$U355,""),"")</f>
        <v/>
      </c>
      <c r="V355">
        <f>IF(A355=1,IFERROR(Raw_data!$AB355,""),"")</f>
        <v/>
      </c>
    </row>
    <row r="356">
      <c r="A356">
        <f>--(AND(OR(Dashboard!$B$4="All",Raw_data!$AL356=Dashboard!$B$4),OR(Dashboard!$B$5="All",Raw_data!$AM356=Dashboard!$B$5),OR(Dashboard!$B$6="All",Raw_data!$AN356=Dashboard!$B$6),OR(Dashboard!$B$7="All",Raw_data!$AO356=Dashboard!$B$7),OR(Dashboard!$B$8="All",Raw_data!$AP356=Dashboard!$B$8),OR(Dashboard!$B$9="All",Raw_data!$AQ356=Dashboard!$B$9),OR(Dashboard!$B$10="All",Raw_data!$AF356=Dashboard!$B$10),OR(Raw_data!$F356="",Raw_data!$F356&lt;=TODAY())))</f>
        <v/>
      </c>
      <c r="B356">
        <f>IFERROR(IF(Dashboard!$B$3="Weighted",Raw_data!$U356,Raw_data!$T356),"")</f>
        <v/>
      </c>
      <c r="C356">
        <f>IFERROR(IF(Dashboard!$B$3="Weighted",Raw_data!$AB356,Raw_data!$AA356),"")</f>
        <v/>
      </c>
      <c r="D356">
        <f>IF(OR(Raw_data!$J356="",Raw_data!$J356&lt;=0,Raw_data!$K356=""),"",IF(Raw_data!$K356&gt;TODAY(),0,DATEDIF(Raw_data!$K356,TODAY(),"M")))</f>
        <v/>
      </c>
      <c r="E356">
        <f>--(AND(Raw_data!$AF356="No",OR(Raw_data!$AG356&lt;&gt;"",Raw_data!$AJ356&gt;0,Raw_data!$AK356&lt;&gt;"")))</f>
        <v/>
      </c>
      <c r="F356">
        <f>--(OR(AND(ISNUMBER(B356),B356&lt;0.5,OR(D356&gt;=24,Raw_data!$I356&gt;0)),Raw_data!$AE356=TRUE))</f>
        <v/>
      </c>
      <c r="G356">
        <f>IF(Dashboard!$B$11="Department",Raw_data!$AL356,IF(Dashboard!$B$11="Team",Raw_data!$AM356,IF(Dashboard!$B$11="Unit",Raw_data!$AN356,IF(Dashboard!$B$11="Legal entity",Raw_data!$AO356,IF(Dashboard!$B$11="Location",Raw_data!$AP356,Raw_data!$AQ356)))))</f>
        <v/>
      </c>
      <c r="H356">
        <f>--(AND(ISNUMBER(B356),B356&lt;0.5))</f>
        <v/>
      </c>
      <c r="I356">
        <f>IFERROR(MAX(0,(0.5-B356)*100),0)+IF(D356&gt;=24,20,0)+IF(Raw_data!$I356&gt;0,20,0)+IF(Raw_data!$AE356=TRUE,10,0)</f>
        <v/>
      </c>
      <c r="J356">
        <f>IFERROR(CHOOSE(MATCH(Dashboard!$B$11,{"Department","Team","Unit","Legal entity","Location","Lead"},0),INDEX(Lists!$B$3:$B$20,ROW()-1),INDEX(Lists!$C$3:$C$146,ROW()-1),INDEX(Lists!$D$3:$D$67,ROW()-1),INDEX(Lists!$E$3:$E$5,ROW()-1),INDEX(Lists!$F$3:$F$12,ROW()-1),INDEX(Lists!$G$3:$G$126,ROW()-1)),"")</f>
        <v/>
      </c>
      <c r="K356">
        <f>IF(J356="","",SUMPRODUCT(($A$2:$A$636=1)*($G$2:$G$636=J356)))</f>
        <v/>
      </c>
      <c r="L356">
        <f>IF(J356="","",SUMPRODUCT(($A$2:$A$636=1)*($G$2:$G$636=J356)*(ISNUMBER($B$2:$B$636))*($B$2:$B$636&lt;0.5)))</f>
        <v/>
      </c>
      <c r="M356">
        <f>IFERROR(L356/K356,"")</f>
        <v/>
      </c>
      <c r="N356">
        <f>IF(K356="","",M356+K356/100000+ROW()/100000000)</f>
        <v/>
      </c>
      <c r="R356">
        <f>IF(A356=1,IFERROR(I356,0)+ROW()/100000000,-1E+99)</f>
        <v/>
      </c>
      <c r="S356">
        <f>IF(A356=1,IFERROR(Raw_data!$T356,""),"")</f>
        <v/>
      </c>
      <c r="T356">
        <f>IF(A356=1,IFERROR(Raw_data!$AA356,""),"")</f>
        <v/>
      </c>
      <c r="U356">
        <f>IF(A356=1,IFERROR(Raw_data!$U356,""),"")</f>
        <v/>
      </c>
      <c r="V356">
        <f>IF(A356=1,IFERROR(Raw_data!$AB356,""),"")</f>
        <v/>
      </c>
    </row>
    <row r="357">
      <c r="A357">
        <f>--(AND(OR(Dashboard!$B$4="All",Raw_data!$AL357=Dashboard!$B$4),OR(Dashboard!$B$5="All",Raw_data!$AM357=Dashboard!$B$5),OR(Dashboard!$B$6="All",Raw_data!$AN357=Dashboard!$B$6),OR(Dashboard!$B$7="All",Raw_data!$AO357=Dashboard!$B$7),OR(Dashboard!$B$8="All",Raw_data!$AP357=Dashboard!$B$8),OR(Dashboard!$B$9="All",Raw_data!$AQ357=Dashboard!$B$9),OR(Dashboard!$B$10="All",Raw_data!$AF357=Dashboard!$B$10),OR(Raw_data!$F357="",Raw_data!$F357&lt;=TODAY())))</f>
        <v/>
      </c>
      <c r="B357">
        <f>IFERROR(IF(Dashboard!$B$3="Weighted",Raw_data!$U357,Raw_data!$T357),"")</f>
        <v/>
      </c>
      <c r="C357">
        <f>IFERROR(IF(Dashboard!$B$3="Weighted",Raw_data!$AB357,Raw_data!$AA357),"")</f>
        <v/>
      </c>
      <c r="D357">
        <f>IF(OR(Raw_data!$J357="",Raw_data!$J357&lt;=0,Raw_data!$K357=""),"",IF(Raw_data!$K357&gt;TODAY(),0,DATEDIF(Raw_data!$K357,TODAY(),"M")))</f>
        <v/>
      </c>
      <c r="E357">
        <f>--(AND(Raw_data!$AF357="No",OR(Raw_data!$AG357&lt;&gt;"",Raw_data!$AJ357&gt;0,Raw_data!$AK357&lt;&gt;"")))</f>
        <v/>
      </c>
      <c r="F357">
        <f>--(OR(AND(ISNUMBER(B357),B357&lt;0.5,OR(D357&gt;=24,Raw_data!$I357&gt;0)),Raw_data!$AE357=TRUE))</f>
        <v/>
      </c>
      <c r="G357">
        <f>IF(Dashboard!$B$11="Department",Raw_data!$AL357,IF(Dashboard!$B$11="Team",Raw_data!$AM357,IF(Dashboard!$B$11="Unit",Raw_data!$AN357,IF(Dashboard!$B$11="Legal entity",Raw_data!$AO357,IF(Dashboard!$B$11="Location",Raw_data!$AP357,Raw_data!$AQ357)))))</f>
        <v/>
      </c>
      <c r="H357">
        <f>--(AND(ISNUMBER(B357),B357&lt;0.5))</f>
        <v/>
      </c>
      <c r="I357">
        <f>IFERROR(MAX(0,(0.5-B357)*100),0)+IF(D357&gt;=24,20,0)+IF(Raw_data!$I357&gt;0,20,0)+IF(Raw_data!$AE357=TRUE,10,0)</f>
        <v/>
      </c>
      <c r="J357">
        <f>IFERROR(CHOOSE(MATCH(Dashboard!$B$11,{"Department","Team","Unit","Legal entity","Location","Lead"},0),INDEX(Lists!$B$3:$B$20,ROW()-1),INDEX(Lists!$C$3:$C$146,ROW()-1),INDEX(Lists!$D$3:$D$67,ROW()-1),INDEX(Lists!$E$3:$E$5,ROW()-1),INDEX(Lists!$F$3:$F$12,ROW()-1),INDEX(Lists!$G$3:$G$126,ROW()-1)),"")</f>
        <v/>
      </c>
      <c r="K357">
        <f>IF(J357="","",SUMPRODUCT(($A$2:$A$636=1)*($G$2:$G$636=J357)))</f>
        <v/>
      </c>
      <c r="L357">
        <f>IF(J357="","",SUMPRODUCT(($A$2:$A$636=1)*($G$2:$G$636=J357)*(ISNUMBER($B$2:$B$636))*($B$2:$B$636&lt;0.5)))</f>
        <v/>
      </c>
      <c r="M357">
        <f>IFERROR(L357/K357,"")</f>
        <v/>
      </c>
      <c r="N357">
        <f>IF(K357="","",M357+K357/100000+ROW()/100000000)</f>
        <v/>
      </c>
      <c r="R357">
        <f>IF(A357=1,IFERROR(I357,0)+ROW()/100000000,-1E+99)</f>
        <v/>
      </c>
      <c r="S357">
        <f>IF(A357=1,IFERROR(Raw_data!$T357,""),"")</f>
        <v/>
      </c>
      <c r="T357">
        <f>IF(A357=1,IFERROR(Raw_data!$AA357,""),"")</f>
        <v/>
      </c>
      <c r="U357">
        <f>IF(A357=1,IFERROR(Raw_data!$U357,""),"")</f>
        <v/>
      </c>
      <c r="V357">
        <f>IF(A357=1,IFERROR(Raw_data!$AB357,""),"")</f>
        <v/>
      </c>
    </row>
    <row r="358">
      <c r="A358">
        <f>--(AND(OR(Dashboard!$B$4="All",Raw_data!$AL358=Dashboard!$B$4),OR(Dashboard!$B$5="All",Raw_data!$AM358=Dashboard!$B$5),OR(Dashboard!$B$6="All",Raw_data!$AN358=Dashboard!$B$6),OR(Dashboard!$B$7="All",Raw_data!$AO358=Dashboard!$B$7),OR(Dashboard!$B$8="All",Raw_data!$AP358=Dashboard!$B$8),OR(Dashboard!$B$9="All",Raw_data!$AQ358=Dashboard!$B$9),OR(Dashboard!$B$10="All",Raw_data!$AF358=Dashboard!$B$10),OR(Raw_data!$F358="",Raw_data!$F358&lt;=TODAY())))</f>
        <v/>
      </c>
      <c r="B358">
        <f>IFERROR(IF(Dashboard!$B$3="Weighted",Raw_data!$U358,Raw_data!$T358),"")</f>
        <v/>
      </c>
      <c r="C358">
        <f>IFERROR(IF(Dashboard!$B$3="Weighted",Raw_data!$AB358,Raw_data!$AA358),"")</f>
        <v/>
      </c>
      <c r="D358">
        <f>IF(OR(Raw_data!$J358="",Raw_data!$J358&lt;=0,Raw_data!$K358=""),"",IF(Raw_data!$K358&gt;TODAY(),0,DATEDIF(Raw_data!$K358,TODAY(),"M")))</f>
        <v/>
      </c>
      <c r="E358">
        <f>--(AND(Raw_data!$AF358="No",OR(Raw_data!$AG358&lt;&gt;"",Raw_data!$AJ358&gt;0,Raw_data!$AK358&lt;&gt;"")))</f>
        <v/>
      </c>
      <c r="F358">
        <f>--(OR(AND(ISNUMBER(B358),B358&lt;0.5,OR(D358&gt;=24,Raw_data!$I358&gt;0)),Raw_data!$AE358=TRUE))</f>
        <v/>
      </c>
      <c r="G358">
        <f>IF(Dashboard!$B$11="Department",Raw_data!$AL358,IF(Dashboard!$B$11="Team",Raw_data!$AM358,IF(Dashboard!$B$11="Unit",Raw_data!$AN358,IF(Dashboard!$B$11="Legal entity",Raw_data!$AO358,IF(Dashboard!$B$11="Location",Raw_data!$AP358,Raw_data!$AQ358)))))</f>
        <v/>
      </c>
      <c r="H358">
        <f>--(AND(ISNUMBER(B358),B358&lt;0.5))</f>
        <v/>
      </c>
      <c r="I358">
        <f>IFERROR(MAX(0,(0.5-B358)*100),0)+IF(D358&gt;=24,20,0)+IF(Raw_data!$I358&gt;0,20,0)+IF(Raw_data!$AE358=TRUE,10,0)</f>
        <v/>
      </c>
      <c r="J358">
        <f>IFERROR(CHOOSE(MATCH(Dashboard!$B$11,{"Department","Team","Unit","Legal entity","Location","Lead"},0),INDEX(Lists!$B$3:$B$20,ROW()-1),INDEX(Lists!$C$3:$C$146,ROW()-1),INDEX(Lists!$D$3:$D$67,ROW()-1),INDEX(Lists!$E$3:$E$5,ROW()-1),INDEX(Lists!$F$3:$F$12,ROW()-1),INDEX(Lists!$G$3:$G$126,ROW()-1)),"")</f>
        <v/>
      </c>
      <c r="K358">
        <f>IF(J358="","",SUMPRODUCT(($A$2:$A$636=1)*($G$2:$G$636=J358)))</f>
        <v/>
      </c>
      <c r="L358">
        <f>IF(J358="","",SUMPRODUCT(($A$2:$A$636=1)*($G$2:$G$636=J358)*(ISNUMBER($B$2:$B$636))*($B$2:$B$636&lt;0.5)))</f>
        <v/>
      </c>
      <c r="M358">
        <f>IFERROR(L358/K358,"")</f>
        <v/>
      </c>
      <c r="N358">
        <f>IF(K358="","",M358+K358/100000+ROW()/100000000)</f>
        <v/>
      </c>
      <c r="R358">
        <f>IF(A358=1,IFERROR(I358,0)+ROW()/100000000,-1E+99)</f>
        <v/>
      </c>
      <c r="S358">
        <f>IF(A358=1,IFERROR(Raw_data!$T358,""),"")</f>
        <v/>
      </c>
      <c r="T358">
        <f>IF(A358=1,IFERROR(Raw_data!$AA358,""),"")</f>
        <v/>
      </c>
      <c r="U358">
        <f>IF(A358=1,IFERROR(Raw_data!$U358,""),"")</f>
        <v/>
      </c>
      <c r="V358">
        <f>IF(A358=1,IFERROR(Raw_data!$AB358,""),"")</f>
        <v/>
      </c>
    </row>
    <row r="359">
      <c r="A359">
        <f>--(AND(OR(Dashboard!$B$4="All",Raw_data!$AL359=Dashboard!$B$4),OR(Dashboard!$B$5="All",Raw_data!$AM359=Dashboard!$B$5),OR(Dashboard!$B$6="All",Raw_data!$AN359=Dashboard!$B$6),OR(Dashboard!$B$7="All",Raw_data!$AO359=Dashboard!$B$7),OR(Dashboard!$B$8="All",Raw_data!$AP359=Dashboard!$B$8),OR(Dashboard!$B$9="All",Raw_data!$AQ359=Dashboard!$B$9),OR(Dashboard!$B$10="All",Raw_data!$AF359=Dashboard!$B$10),OR(Raw_data!$F359="",Raw_data!$F359&lt;=TODAY())))</f>
        <v/>
      </c>
      <c r="B359">
        <f>IFERROR(IF(Dashboard!$B$3="Weighted",Raw_data!$U359,Raw_data!$T359),"")</f>
        <v/>
      </c>
      <c r="C359">
        <f>IFERROR(IF(Dashboard!$B$3="Weighted",Raw_data!$AB359,Raw_data!$AA359),"")</f>
        <v/>
      </c>
      <c r="D359">
        <f>IF(OR(Raw_data!$J359="",Raw_data!$J359&lt;=0,Raw_data!$K359=""),"",IF(Raw_data!$K359&gt;TODAY(),0,DATEDIF(Raw_data!$K359,TODAY(),"M")))</f>
        <v/>
      </c>
      <c r="E359">
        <f>--(AND(Raw_data!$AF359="No",OR(Raw_data!$AG359&lt;&gt;"",Raw_data!$AJ359&gt;0,Raw_data!$AK359&lt;&gt;"")))</f>
        <v/>
      </c>
      <c r="F359">
        <f>--(OR(AND(ISNUMBER(B359),B359&lt;0.5,OR(D359&gt;=24,Raw_data!$I359&gt;0)),Raw_data!$AE359=TRUE))</f>
        <v/>
      </c>
      <c r="G359">
        <f>IF(Dashboard!$B$11="Department",Raw_data!$AL359,IF(Dashboard!$B$11="Team",Raw_data!$AM359,IF(Dashboard!$B$11="Unit",Raw_data!$AN359,IF(Dashboard!$B$11="Legal entity",Raw_data!$AO359,IF(Dashboard!$B$11="Location",Raw_data!$AP359,Raw_data!$AQ359)))))</f>
        <v/>
      </c>
      <c r="H359">
        <f>--(AND(ISNUMBER(B359),B359&lt;0.5))</f>
        <v/>
      </c>
      <c r="I359">
        <f>IFERROR(MAX(0,(0.5-B359)*100),0)+IF(D359&gt;=24,20,0)+IF(Raw_data!$I359&gt;0,20,0)+IF(Raw_data!$AE359=TRUE,10,0)</f>
        <v/>
      </c>
      <c r="J359">
        <f>IFERROR(CHOOSE(MATCH(Dashboard!$B$11,{"Department","Team","Unit","Legal entity","Location","Lead"},0),INDEX(Lists!$B$3:$B$20,ROW()-1),INDEX(Lists!$C$3:$C$146,ROW()-1),INDEX(Lists!$D$3:$D$67,ROW()-1),INDEX(Lists!$E$3:$E$5,ROW()-1),INDEX(Lists!$F$3:$F$12,ROW()-1),INDEX(Lists!$G$3:$G$126,ROW()-1)),"")</f>
        <v/>
      </c>
      <c r="K359">
        <f>IF(J359="","",SUMPRODUCT(($A$2:$A$636=1)*($G$2:$G$636=J359)))</f>
        <v/>
      </c>
      <c r="L359">
        <f>IF(J359="","",SUMPRODUCT(($A$2:$A$636=1)*($G$2:$G$636=J359)*(ISNUMBER($B$2:$B$636))*($B$2:$B$636&lt;0.5)))</f>
        <v/>
      </c>
      <c r="M359">
        <f>IFERROR(L359/K359,"")</f>
        <v/>
      </c>
      <c r="N359">
        <f>IF(K359="","",M359+K359/100000+ROW()/100000000)</f>
        <v/>
      </c>
      <c r="R359">
        <f>IF(A359=1,IFERROR(I359,0)+ROW()/100000000,-1E+99)</f>
        <v/>
      </c>
      <c r="S359">
        <f>IF(A359=1,IFERROR(Raw_data!$T359,""),"")</f>
        <v/>
      </c>
      <c r="T359">
        <f>IF(A359=1,IFERROR(Raw_data!$AA359,""),"")</f>
        <v/>
      </c>
      <c r="U359">
        <f>IF(A359=1,IFERROR(Raw_data!$U359,""),"")</f>
        <v/>
      </c>
      <c r="V359">
        <f>IF(A359=1,IFERROR(Raw_data!$AB359,""),"")</f>
        <v/>
      </c>
    </row>
    <row r="360">
      <c r="A360">
        <f>--(AND(OR(Dashboard!$B$4="All",Raw_data!$AL360=Dashboard!$B$4),OR(Dashboard!$B$5="All",Raw_data!$AM360=Dashboard!$B$5),OR(Dashboard!$B$6="All",Raw_data!$AN360=Dashboard!$B$6),OR(Dashboard!$B$7="All",Raw_data!$AO360=Dashboard!$B$7),OR(Dashboard!$B$8="All",Raw_data!$AP360=Dashboard!$B$8),OR(Dashboard!$B$9="All",Raw_data!$AQ360=Dashboard!$B$9),OR(Dashboard!$B$10="All",Raw_data!$AF360=Dashboard!$B$10),OR(Raw_data!$F360="",Raw_data!$F360&lt;=TODAY())))</f>
        <v/>
      </c>
      <c r="B360">
        <f>IFERROR(IF(Dashboard!$B$3="Weighted",Raw_data!$U360,Raw_data!$T360),"")</f>
        <v/>
      </c>
      <c r="C360">
        <f>IFERROR(IF(Dashboard!$B$3="Weighted",Raw_data!$AB360,Raw_data!$AA360),"")</f>
        <v/>
      </c>
      <c r="D360">
        <f>IF(OR(Raw_data!$J360="",Raw_data!$J360&lt;=0,Raw_data!$K360=""),"",IF(Raw_data!$K360&gt;TODAY(),0,DATEDIF(Raw_data!$K360,TODAY(),"M")))</f>
        <v/>
      </c>
      <c r="E360">
        <f>--(AND(Raw_data!$AF360="No",OR(Raw_data!$AG360&lt;&gt;"",Raw_data!$AJ360&gt;0,Raw_data!$AK360&lt;&gt;"")))</f>
        <v/>
      </c>
      <c r="F360">
        <f>--(OR(AND(ISNUMBER(B360),B360&lt;0.5,OR(D360&gt;=24,Raw_data!$I360&gt;0)),Raw_data!$AE360=TRUE))</f>
        <v/>
      </c>
      <c r="G360">
        <f>IF(Dashboard!$B$11="Department",Raw_data!$AL360,IF(Dashboard!$B$11="Team",Raw_data!$AM360,IF(Dashboard!$B$11="Unit",Raw_data!$AN360,IF(Dashboard!$B$11="Legal entity",Raw_data!$AO360,IF(Dashboard!$B$11="Location",Raw_data!$AP360,Raw_data!$AQ360)))))</f>
        <v/>
      </c>
      <c r="H360">
        <f>--(AND(ISNUMBER(B360),B360&lt;0.5))</f>
        <v/>
      </c>
      <c r="I360">
        <f>IFERROR(MAX(0,(0.5-B360)*100),0)+IF(D360&gt;=24,20,0)+IF(Raw_data!$I360&gt;0,20,0)+IF(Raw_data!$AE360=TRUE,10,0)</f>
        <v/>
      </c>
      <c r="J360">
        <f>IFERROR(CHOOSE(MATCH(Dashboard!$B$11,{"Department","Team","Unit","Legal entity","Location","Lead"},0),INDEX(Lists!$B$3:$B$20,ROW()-1),INDEX(Lists!$C$3:$C$146,ROW()-1),INDEX(Lists!$D$3:$D$67,ROW()-1),INDEX(Lists!$E$3:$E$5,ROW()-1),INDEX(Lists!$F$3:$F$12,ROW()-1),INDEX(Lists!$G$3:$G$126,ROW()-1)),"")</f>
        <v/>
      </c>
      <c r="K360">
        <f>IF(J360="","",SUMPRODUCT(($A$2:$A$636=1)*($G$2:$G$636=J360)))</f>
        <v/>
      </c>
      <c r="L360">
        <f>IF(J360="","",SUMPRODUCT(($A$2:$A$636=1)*($G$2:$G$636=J360)*(ISNUMBER($B$2:$B$636))*($B$2:$B$636&lt;0.5)))</f>
        <v/>
      </c>
      <c r="M360">
        <f>IFERROR(L360/K360,"")</f>
        <v/>
      </c>
      <c r="N360">
        <f>IF(K360="","",M360+K360/100000+ROW()/100000000)</f>
        <v/>
      </c>
      <c r="R360">
        <f>IF(A360=1,IFERROR(I360,0)+ROW()/100000000,-1E+99)</f>
        <v/>
      </c>
      <c r="S360">
        <f>IF(A360=1,IFERROR(Raw_data!$T360,""),"")</f>
        <v/>
      </c>
      <c r="T360">
        <f>IF(A360=1,IFERROR(Raw_data!$AA360,""),"")</f>
        <v/>
      </c>
      <c r="U360">
        <f>IF(A360=1,IFERROR(Raw_data!$U360,""),"")</f>
        <v/>
      </c>
      <c r="V360">
        <f>IF(A360=1,IFERROR(Raw_data!$AB360,""),"")</f>
        <v/>
      </c>
    </row>
    <row r="361">
      <c r="A361">
        <f>--(AND(OR(Dashboard!$B$4="All",Raw_data!$AL361=Dashboard!$B$4),OR(Dashboard!$B$5="All",Raw_data!$AM361=Dashboard!$B$5),OR(Dashboard!$B$6="All",Raw_data!$AN361=Dashboard!$B$6),OR(Dashboard!$B$7="All",Raw_data!$AO361=Dashboard!$B$7),OR(Dashboard!$B$8="All",Raw_data!$AP361=Dashboard!$B$8),OR(Dashboard!$B$9="All",Raw_data!$AQ361=Dashboard!$B$9),OR(Dashboard!$B$10="All",Raw_data!$AF361=Dashboard!$B$10),OR(Raw_data!$F361="",Raw_data!$F361&lt;=TODAY())))</f>
        <v/>
      </c>
      <c r="B361">
        <f>IFERROR(IF(Dashboard!$B$3="Weighted",Raw_data!$U361,Raw_data!$T361),"")</f>
        <v/>
      </c>
      <c r="C361">
        <f>IFERROR(IF(Dashboard!$B$3="Weighted",Raw_data!$AB361,Raw_data!$AA361),"")</f>
        <v/>
      </c>
      <c r="D361">
        <f>IF(OR(Raw_data!$J361="",Raw_data!$J361&lt;=0,Raw_data!$K361=""),"",IF(Raw_data!$K361&gt;TODAY(),0,DATEDIF(Raw_data!$K361,TODAY(),"M")))</f>
        <v/>
      </c>
      <c r="E361">
        <f>--(AND(Raw_data!$AF361="No",OR(Raw_data!$AG361&lt;&gt;"",Raw_data!$AJ361&gt;0,Raw_data!$AK361&lt;&gt;"")))</f>
        <v/>
      </c>
      <c r="F361">
        <f>--(OR(AND(ISNUMBER(B361),B361&lt;0.5,OR(D361&gt;=24,Raw_data!$I361&gt;0)),Raw_data!$AE361=TRUE))</f>
        <v/>
      </c>
      <c r="G361">
        <f>IF(Dashboard!$B$11="Department",Raw_data!$AL361,IF(Dashboard!$B$11="Team",Raw_data!$AM361,IF(Dashboard!$B$11="Unit",Raw_data!$AN361,IF(Dashboard!$B$11="Legal entity",Raw_data!$AO361,IF(Dashboard!$B$11="Location",Raw_data!$AP361,Raw_data!$AQ361)))))</f>
        <v/>
      </c>
      <c r="H361">
        <f>--(AND(ISNUMBER(B361),B361&lt;0.5))</f>
        <v/>
      </c>
      <c r="I361">
        <f>IFERROR(MAX(0,(0.5-B361)*100),0)+IF(D361&gt;=24,20,0)+IF(Raw_data!$I361&gt;0,20,0)+IF(Raw_data!$AE361=TRUE,10,0)</f>
        <v/>
      </c>
      <c r="J361">
        <f>IFERROR(CHOOSE(MATCH(Dashboard!$B$11,{"Department","Team","Unit","Legal entity","Location","Lead"},0),INDEX(Lists!$B$3:$B$20,ROW()-1),INDEX(Lists!$C$3:$C$146,ROW()-1),INDEX(Lists!$D$3:$D$67,ROW()-1),INDEX(Lists!$E$3:$E$5,ROW()-1),INDEX(Lists!$F$3:$F$12,ROW()-1),INDEX(Lists!$G$3:$G$126,ROW()-1)),"")</f>
        <v/>
      </c>
      <c r="K361">
        <f>IF(J361="","",SUMPRODUCT(($A$2:$A$636=1)*($G$2:$G$636=J361)))</f>
        <v/>
      </c>
      <c r="L361">
        <f>IF(J361="","",SUMPRODUCT(($A$2:$A$636=1)*($G$2:$G$636=J361)*(ISNUMBER($B$2:$B$636))*($B$2:$B$636&lt;0.5)))</f>
        <v/>
      </c>
      <c r="M361">
        <f>IFERROR(L361/K361,"")</f>
        <v/>
      </c>
      <c r="N361">
        <f>IF(K361="","",M361+K361/100000+ROW()/100000000)</f>
        <v/>
      </c>
      <c r="R361">
        <f>IF(A361=1,IFERROR(I361,0)+ROW()/100000000,-1E+99)</f>
        <v/>
      </c>
      <c r="S361">
        <f>IF(A361=1,IFERROR(Raw_data!$T361,""),"")</f>
        <v/>
      </c>
      <c r="T361">
        <f>IF(A361=1,IFERROR(Raw_data!$AA361,""),"")</f>
        <v/>
      </c>
      <c r="U361">
        <f>IF(A361=1,IFERROR(Raw_data!$U361,""),"")</f>
        <v/>
      </c>
      <c r="V361">
        <f>IF(A361=1,IFERROR(Raw_data!$AB361,""),"")</f>
        <v/>
      </c>
    </row>
    <row r="362">
      <c r="A362">
        <f>--(AND(OR(Dashboard!$B$4="All",Raw_data!$AL362=Dashboard!$B$4),OR(Dashboard!$B$5="All",Raw_data!$AM362=Dashboard!$B$5),OR(Dashboard!$B$6="All",Raw_data!$AN362=Dashboard!$B$6),OR(Dashboard!$B$7="All",Raw_data!$AO362=Dashboard!$B$7),OR(Dashboard!$B$8="All",Raw_data!$AP362=Dashboard!$B$8),OR(Dashboard!$B$9="All",Raw_data!$AQ362=Dashboard!$B$9),OR(Dashboard!$B$10="All",Raw_data!$AF362=Dashboard!$B$10),OR(Raw_data!$F362="",Raw_data!$F362&lt;=TODAY())))</f>
        <v/>
      </c>
      <c r="B362">
        <f>IFERROR(IF(Dashboard!$B$3="Weighted",Raw_data!$U362,Raw_data!$T362),"")</f>
        <v/>
      </c>
      <c r="C362">
        <f>IFERROR(IF(Dashboard!$B$3="Weighted",Raw_data!$AB362,Raw_data!$AA362),"")</f>
        <v/>
      </c>
      <c r="D362">
        <f>IF(OR(Raw_data!$J362="",Raw_data!$J362&lt;=0,Raw_data!$K362=""),"",IF(Raw_data!$K362&gt;TODAY(),0,DATEDIF(Raw_data!$K362,TODAY(),"M")))</f>
        <v/>
      </c>
      <c r="E362">
        <f>--(AND(Raw_data!$AF362="No",OR(Raw_data!$AG362&lt;&gt;"",Raw_data!$AJ362&gt;0,Raw_data!$AK362&lt;&gt;"")))</f>
        <v/>
      </c>
      <c r="F362">
        <f>--(OR(AND(ISNUMBER(B362),B362&lt;0.5,OR(D362&gt;=24,Raw_data!$I362&gt;0)),Raw_data!$AE362=TRUE))</f>
        <v/>
      </c>
      <c r="G362">
        <f>IF(Dashboard!$B$11="Department",Raw_data!$AL362,IF(Dashboard!$B$11="Team",Raw_data!$AM362,IF(Dashboard!$B$11="Unit",Raw_data!$AN362,IF(Dashboard!$B$11="Legal entity",Raw_data!$AO362,IF(Dashboard!$B$11="Location",Raw_data!$AP362,Raw_data!$AQ362)))))</f>
        <v/>
      </c>
      <c r="H362">
        <f>--(AND(ISNUMBER(B362),B362&lt;0.5))</f>
        <v/>
      </c>
      <c r="I362">
        <f>IFERROR(MAX(0,(0.5-B362)*100),0)+IF(D362&gt;=24,20,0)+IF(Raw_data!$I362&gt;0,20,0)+IF(Raw_data!$AE362=TRUE,10,0)</f>
        <v/>
      </c>
      <c r="J362">
        <f>IFERROR(CHOOSE(MATCH(Dashboard!$B$11,{"Department","Team","Unit","Legal entity","Location","Lead"},0),INDEX(Lists!$B$3:$B$20,ROW()-1),INDEX(Lists!$C$3:$C$146,ROW()-1),INDEX(Lists!$D$3:$D$67,ROW()-1),INDEX(Lists!$E$3:$E$5,ROW()-1),INDEX(Lists!$F$3:$F$12,ROW()-1),INDEX(Lists!$G$3:$G$126,ROW()-1)),"")</f>
        <v/>
      </c>
      <c r="K362">
        <f>IF(J362="","",SUMPRODUCT(($A$2:$A$636=1)*($G$2:$G$636=J362)))</f>
        <v/>
      </c>
      <c r="L362">
        <f>IF(J362="","",SUMPRODUCT(($A$2:$A$636=1)*($G$2:$G$636=J362)*(ISNUMBER($B$2:$B$636))*($B$2:$B$636&lt;0.5)))</f>
        <v/>
      </c>
      <c r="M362">
        <f>IFERROR(L362/K362,"")</f>
        <v/>
      </c>
      <c r="N362">
        <f>IF(K362="","",M362+K362/100000+ROW()/100000000)</f>
        <v/>
      </c>
      <c r="R362">
        <f>IF(A362=1,IFERROR(I362,0)+ROW()/100000000,-1E+99)</f>
        <v/>
      </c>
      <c r="S362">
        <f>IF(A362=1,IFERROR(Raw_data!$T362,""),"")</f>
        <v/>
      </c>
      <c r="T362">
        <f>IF(A362=1,IFERROR(Raw_data!$AA362,""),"")</f>
        <v/>
      </c>
      <c r="U362">
        <f>IF(A362=1,IFERROR(Raw_data!$U362,""),"")</f>
        <v/>
      </c>
      <c r="V362">
        <f>IF(A362=1,IFERROR(Raw_data!$AB362,""),"")</f>
        <v/>
      </c>
    </row>
    <row r="363">
      <c r="A363">
        <f>--(AND(OR(Dashboard!$B$4="All",Raw_data!$AL363=Dashboard!$B$4),OR(Dashboard!$B$5="All",Raw_data!$AM363=Dashboard!$B$5),OR(Dashboard!$B$6="All",Raw_data!$AN363=Dashboard!$B$6),OR(Dashboard!$B$7="All",Raw_data!$AO363=Dashboard!$B$7),OR(Dashboard!$B$8="All",Raw_data!$AP363=Dashboard!$B$8),OR(Dashboard!$B$9="All",Raw_data!$AQ363=Dashboard!$B$9),OR(Dashboard!$B$10="All",Raw_data!$AF363=Dashboard!$B$10),OR(Raw_data!$F363="",Raw_data!$F363&lt;=TODAY())))</f>
        <v/>
      </c>
      <c r="B363">
        <f>IFERROR(IF(Dashboard!$B$3="Weighted",Raw_data!$U363,Raw_data!$T363),"")</f>
        <v/>
      </c>
      <c r="C363">
        <f>IFERROR(IF(Dashboard!$B$3="Weighted",Raw_data!$AB363,Raw_data!$AA363),"")</f>
        <v/>
      </c>
      <c r="D363">
        <f>IF(OR(Raw_data!$J363="",Raw_data!$J363&lt;=0,Raw_data!$K363=""),"",IF(Raw_data!$K363&gt;TODAY(),0,DATEDIF(Raw_data!$K363,TODAY(),"M")))</f>
        <v/>
      </c>
      <c r="E363">
        <f>--(AND(Raw_data!$AF363="No",OR(Raw_data!$AG363&lt;&gt;"",Raw_data!$AJ363&gt;0,Raw_data!$AK363&lt;&gt;"")))</f>
        <v/>
      </c>
      <c r="F363">
        <f>--(OR(AND(ISNUMBER(B363),B363&lt;0.5,OR(D363&gt;=24,Raw_data!$I363&gt;0)),Raw_data!$AE363=TRUE))</f>
        <v/>
      </c>
      <c r="G363">
        <f>IF(Dashboard!$B$11="Department",Raw_data!$AL363,IF(Dashboard!$B$11="Team",Raw_data!$AM363,IF(Dashboard!$B$11="Unit",Raw_data!$AN363,IF(Dashboard!$B$11="Legal entity",Raw_data!$AO363,IF(Dashboard!$B$11="Location",Raw_data!$AP363,Raw_data!$AQ363)))))</f>
        <v/>
      </c>
      <c r="H363">
        <f>--(AND(ISNUMBER(B363),B363&lt;0.5))</f>
        <v/>
      </c>
      <c r="I363">
        <f>IFERROR(MAX(0,(0.5-B363)*100),0)+IF(D363&gt;=24,20,0)+IF(Raw_data!$I363&gt;0,20,0)+IF(Raw_data!$AE363=TRUE,10,0)</f>
        <v/>
      </c>
      <c r="J363">
        <f>IFERROR(CHOOSE(MATCH(Dashboard!$B$11,{"Department","Team","Unit","Legal entity","Location","Lead"},0),INDEX(Lists!$B$3:$B$20,ROW()-1),INDEX(Lists!$C$3:$C$146,ROW()-1),INDEX(Lists!$D$3:$D$67,ROW()-1),INDEX(Lists!$E$3:$E$5,ROW()-1),INDEX(Lists!$F$3:$F$12,ROW()-1),INDEX(Lists!$G$3:$G$126,ROW()-1)),"")</f>
        <v/>
      </c>
      <c r="K363">
        <f>IF(J363="","",SUMPRODUCT(($A$2:$A$636=1)*($G$2:$G$636=J363)))</f>
        <v/>
      </c>
      <c r="L363">
        <f>IF(J363="","",SUMPRODUCT(($A$2:$A$636=1)*($G$2:$G$636=J363)*(ISNUMBER($B$2:$B$636))*($B$2:$B$636&lt;0.5)))</f>
        <v/>
      </c>
      <c r="M363">
        <f>IFERROR(L363/K363,"")</f>
        <v/>
      </c>
      <c r="N363">
        <f>IF(K363="","",M363+K363/100000+ROW()/100000000)</f>
        <v/>
      </c>
      <c r="R363">
        <f>IF(A363=1,IFERROR(I363,0)+ROW()/100000000,-1E+99)</f>
        <v/>
      </c>
      <c r="S363">
        <f>IF(A363=1,IFERROR(Raw_data!$T363,""),"")</f>
        <v/>
      </c>
      <c r="T363">
        <f>IF(A363=1,IFERROR(Raw_data!$AA363,""),"")</f>
        <v/>
      </c>
      <c r="U363">
        <f>IF(A363=1,IFERROR(Raw_data!$U363,""),"")</f>
        <v/>
      </c>
      <c r="V363">
        <f>IF(A363=1,IFERROR(Raw_data!$AB363,""),"")</f>
        <v/>
      </c>
    </row>
    <row r="364">
      <c r="A364">
        <f>--(AND(OR(Dashboard!$B$4="All",Raw_data!$AL364=Dashboard!$B$4),OR(Dashboard!$B$5="All",Raw_data!$AM364=Dashboard!$B$5),OR(Dashboard!$B$6="All",Raw_data!$AN364=Dashboard!$B$6),OR(Dashboard!$B$7="All",Raw_data!$AO364=Dashboard!$B$7),OR(Dashboard!$B$8="All",Raw_data!$AP364=Dashboard!$B$8),OR(Dashboard!$B$9="All",Raw_data!$AQ364=Dashboard!$B$9),OR(Dashboard!$B$10="All",Raw_data!$AF364=Dashboard!$B$10),OR(Raw_data!$F364="",Raw_data!$F364&lt;=TODAY())))</f>
        <v/>
      </c>
      <c r="B364">
        <f>IFERROR(IF(Dashboard!$B$3="Weighted",Raw_data!$U364,Raw_data!$T364),"")</f>
        <v/>
      </c>
      <c r="C364">
        <f>IFERROR(IF(Dashboard!$B$3="Weighted",Raw_data!$AB364,Raw_data!$AA364),"")</f>
        <v/>
      </c>
      <c r="D364">
        <f>IF(OR(Raw_data!$J364="",Raw_data!$J364&lt;=0,Raw_data!$K364=""),"",IF(Raw_data!$K364&gt;TODAY(),0,DATEDIF(Raw_data!$K364,TODAY(),"M")))</f>
        <v/>
      </c>
      <c r="E364">
        <f>--(AND(Raw_data!$AF364="No",OR(Raw_data!$AG364&lt;&gt;"",Raw_data!$AJ364&gt;0,Raw_data!$AK364&lt;&gt;"")))</f>
        <v/>
      </c>
      <c r="F364">
        <f>--(OR(AND(ISNUMBER(B364),B364&lt;0.5,OR(D364&gt;=24,Raw_data!$I364&gt;0)),Raw_data!$AE364=TRUE))</f>
        <v/>
      </c>
      <c r="G364">
        <f>IF(Dashboard!$B$11="Department",Raw_data!$AL364,IF(Dashboard!$B$11="Team",Raw_data!$AM364,IF(Dashboard!$B$11="Unit",Raw_data!$AN364,IF(Dashboard!$B$11="Legal entity",Raw_data!$AO364,IF(Dashboard!$B$11="Location",Raw_data!$AP364,Raw_data!$AQ364)))))</f>
        <v/>
      </c>
      <c r="H364">
        <f>--(AND(ISNUMBER(B364),B364&lt;0.5))</f>
        <v/>
      </c>
      <c r="I364">
        <f>IFERROR(MAX(0,(0.5-B364)*100),0)+IF(D364&gt;=24,20,0)+IF(Raw_data!$I364&gt;0,20,0)+IF(Raw_data!$AE364=TRUE,10,0)</f>
        <v/>
      </c>
      <c r="J364">
        <f>IFERROR(CHOOSE(MATCH(Dashboard!$B$11,{"Department","Team","Unit","Legal entity","Location","Lead"},0),INDEX(Lists!$B$3:$B$20,ROW()-1),INDEX(Lists!$C$3:$C$146,ROW()-1),INDEX(Lists!$D$3:$D$67,ROW()-1),INDEX(Lists!$E$3:$E$5,ROW()-1),INDEX(Lists!$F$3:$F$12,ROW()-1),INDEX(Lists!$G$3:$G$126,ROW()-1)),"")</f>
        <v/>
      </c>
      <c r="K364">
        <f>IF(J364="","",SUMPRODUCT(($A$2:$A$636=1)*($G$2:$G$636=J364)))</f>
        <v/>
      </c>
      <c r="L364">
        <f>IF(J364="","",SUMPRODUCT(($A$2:$A$636=1)*($G$2:$G$636=J364)*(ISNUMBER($B$2:$B$636))*($B$2:$B$636&lt;0.5)))</f>
        <v/>
      </c>
      <c r="M364">
        <f>IFERROR(L364/K364,"")</f>
        <v/>
      </c>
      <c r="N364">
        <f>IF(K364="","",M364+K364/100000+ROW()/100000000)</f>
        <v/>
      </c>
      <c r="R364">
        <f>IF(A364=1,IFERROR(I364,0)+ROW()/100000000,-1E+99)</f>
        <v/>
      </c>
      <c r="S364">
        <f>IF(A364=1,IFERROR(Raw_data!$T364,""),"")</f>
        <v/>
      </c>
      <c r="T364">
        <f>IF(A364=1,IFERROR(Raw_data!$AA364,""),"")</f>
        <v/>
      </c>
      <c r="U364">
        <f>IF(A364=1,IFERROR(Raw_data!$U364,""),"")</f>
        <v/>
      </c>
      <c r="V364">
        <f>IF(A364=1,IFERROR(Raw_data!$AB364,""),"")</f>
        <v/>
      </c>
    </row>
    <row r="365">
      <c r="A365">
        <f>--(AND(OR(Dashboard!$B$4="All",Raw_data!$AL365=Dashboard!$B$4),OR(Dashboard!$B$5="All",Raw_data!$AM365=Dashboard!$B$5),OR(Dashboard!$B$6="All",Raw_data!$AN365=Dashboard!$B$6),OR(Dashboard!$B$7="All",Raw_data!$AO365=Dashboard!$B$7),OR(Dashboard!$B$8="All",Raw_data!$AP365=Dashboard!$B$8),OR(Dashboard!$B$9="All",Raw_data!$AQ365=Dashboard!$B$9),OR(Dashboard!$B$10="All",Raw_data!$AF365=Dashboard!$B$10),OR(Raw_data!$F365="",Raw_data!$F365&lt;=TODAY())))</f>
        <v/>
      </c>
      <c r="B365">
        <f>IFERROR(IF(Dashboard!$B$3="Weighted",Raw_data!$U365,Raw_data!$T365),"")</f>
        <v/>
      </c>
      <c r="C365">
        <f>IFERROR(IF(Dashboard!$B$3="Weighted",Raw_data!$AB365,Raw_data!$AA365),"")</f>
        <v/>
      </c>
      <c r="D365">
        <f>IF(OR(Raw_data!$J365="",Raw_data!$J365&lt;=0,Raw_data!$K365=""),"",IF(Raw_data!$K365&gt;TODAY(),0,DATEDIF(Raw_data!$K365,TODAY(),"M")))</f>
        <v/>
      </c>
      <c r="E365">
        <f>--(AND(Raw_data!$AF365="No",OR(Raw_data!$AG365&lt;&gt;"",Raw_data!$AJ365&gt;0,Raw_data!$AK365&lt;&gt;"")))</f>
        <v/>
      </c>
      <c r="F365">
        <f>--(OR(AND(ISNUMBER(B365),B365&lt;0.5,OR(D365&gt;=24,Raw_data!$I365&gt;0)),Raw_data!$AE365=TRUE))</f>
        <v/>
      </c>
      <c r="G365">
        <f>IF(Dashboard!$B$11="Department",Raw_data!$AL365,IF(Dashboard!$B$11="Team",Raw_data!$AM365,IF(Dashboard!$B$11="Unit",Raw_data!$AN365,IF(Dashboard!$B$11="Legal entity",Raw_data!$AO365,IF(Dashboard!$B$11="Location",Raw_data!$AP365,Raw_data!$AQ365)))))</f>
        <v/>
      </c>
      <c r="H365">
        <f>--(AND(ISNUMBER(B365),B365&lt;0.5))</f>
        <v/>
      </c>
      <c r="I365">
        <f>IFERROR(MAX(0,(0.5-B365)*100),0)+IF(D365&gt;=24,20,0)+IF(Raw_data!$I365&gt;0,20,0)+IF(Raw_data!$AE365=TRUE,10,0)</f>
        <v/>
      </c>
      <c r="J365">
        <f>IFERROR(CHOOSE(MATCH(Dashboard!$B$11,{"Department","Team","Unit","Legal entity","Location","Lead"},0),INDEX(Lists!$B$3:$B$20,ROW()-1),INDEX(Lists!$C$3:$C$146,ROW()-1),INDEX(Lists!$D$3:$D$67,ROW()-1),INDEX(Lists!$E$3:$E$5,ROW()-1),INDEX(Lists!$F$3:$F$12,ROW()-1),INDEX(Lists!$G$3:$G$126,ROW()-1)),"")</f>
        <v/>
      </c>
      <c r="K365">
        <f>IF(J365="","",SUMPRODUCT(($A$2:$A$636=1)*($G$2:$G$636=J365)))</f>
        <v/>
      </c>
      <c r="L365">
        <f>IF(J365="","",SUMPRODUCT(($A$2:$A$636=1)*($G$2:$G$636=J365)*(ISNUMBER($B$2:$B$636))*($B$2:$B$636&lt;0.5)))</f>
        <v/>
      </c>
      <c r="M365">
        <f>IFERROR(L365/K365,"")</f>
        <v/>
      </c>
      <c r="N365">
        <f>IF(K365="","",M365+K365/100000+ROW()/100000000)</f>
        <v/>
      </c>
      <c r="R365">
        <f>IF(A365=1,IFERROR(I365,0)+ROW()/100000000,-1E+99)</f>
        <v/>
      </c>
      <c r="S365">
        <f>IF(A365=1,IFERROR(Raw_data!$T365,""),"")</f>
        <v/>
      </c>
      <c r="T365">
        <f>IF(A365=1,IFERROR(Raw_data!$AA365,""),"")</f>
        <v/>
      </c>
      <c r="U365">
        <f>IF(A365=1,IFERROR(Raw_data!$U365,""),"")</f>
        <v/>
      </c>
      <c r="V365">
        <f>IF(A365=1,IFERROR(Raw_data!$AB365,""),"")</f>
        <v/>
      </c>
    </row>
    <row r="366">
      <c r="A366">
        <f>--(AND(OR(Dashboard!$B$4="All",Raw_data!$AL366=Dashboard!$B$4),OR(Dashboard!$B$5="All",Raw_data!$AM366=Dashboard!$B$5),OR(Dashboard!$B$6="All",Raw_data!$AN366=Dashboard!$B$6),OR(Dashboard!$B$7="All",Raw_data!$AO366=Dashboard!$B$7),OR(Dashboard!$B$8="All",Raw_data!$AP366=Dashboard!$B$8),OR(Dashboard!$B$9="All",Raw_data!$AQ366=Dashboard!$B$9),OR(Dashboard!$B$10="All",Raw_data!$AF366=Dashboard!$B$10),OR(Raw_data!$F366="",Raw_data!$F366&lt;=TODAY())))</f>
        <v/>
      </c>
      <c r="B366">
        <f>IFERROR(IF(Dashboard!$B$3="Weighted",Raw_data!$U366,Raw_data!$T366),"")</f>
        <v/>
      </c>
      <c r="C366">
        <f>IFERROR(IF(Dashboard!$B$3="Weighted",Raw_data!$AB366,Raw_data!$AA366),"")</f>
        <v/>
      </c>
      <c r="D366">
        <f>IF(OR(Raw_data!$J366="",Raw_data!$J366&lt;=0,Raw_data!$K366=""),"",IF(Raw_data!$K366&gt;TODAY(),0,DATEDIF(Raw_data!$K366,TODAY(),"M")))</f>
        <v/>
      </c>
      <c r="E366">
        <f>--(AND(Raw_data!$AF366="No",OR(Raw_data!$AG366&lt;&gt;"",Raw_data!$AJ366&gt;0,Raw_data!$AK366&lt;&gt;"")))</f>
        <v/>
      </c>
      <c r="F366">
        <f>--(OR(AND(ISNUMBER(B366),B366&lt;0.5,OR(D366&gt;=24,Raw_data!$I366&gt;0)),Raw_data!$AE366=TRUE))</f>
        <v/>
      </c>
      <c r="G366">
        <f>IF(Dashboard!$B$11="Department",Raw_data!$AL366,IF(Dashboard!$B$11="Team",Raw_data!$AM366,IF(Dashboard!$B$11="Unit",Raw_data!$AN366,IF(Dashboard!$B$11="Legal entity",Raw_data!$AO366,IF(Dashboard!$B$11="Location",Raw_data!$AP366,Raw_data!$AQ366)))))</f>
        <v/>
      </c>
      <c r="H366">
        <f>--(AND(ISNUMBER(B366),B366&lt;0.5))</f>
        <v/>
      </c>
      <c r="I366">
        <f>IFERROR(MAX(0,(0.5-B366)*100),0)+IF(D366&gt;=24,20,0)+IF(Raw_data!$I366&gt;0,20,0)+IF(Raw_data!$AE366=TRUE,10,0)</f>
        <v/>
      </c>
      <c r="J366">
        <f>IFERROR(CHOOSE(MATCH(Dashboard!$B$11,{"Department","Team","Unit","Legal entity","Location","Lead"},0),INDEX(Lists!$B$3:$B$20,ROW()-1),INDEX(Lists!$C$3:$C$146,ROW()-1),INDEX(Lists!$D$3:$D$67,ROW()-1),INDEX(Lists!$E$3:$E$5,ROW()-1),INDEX(Lists!$F$3:$F$12,ROW()-1),INDEX(Lists!$G$3:$G$126,ROW()-1)),"")</f>
        <v/>
      </c>
      <c r="K366">
        <f>IF(J366="","",SUMPRODUCT(($A$2:$A$636=1)*($G$2:$G$636=J366)))</f>
        <v/>
      </c>
      <c r="L366">
        <f>IF(J366="","",SUMPRODUCT(($A$2:$A$636=1)*($G$2:$G$636=J366)*(ISNUMBER($B$2:$B$636))*($B$2:$B$636&lt;0.5)))</f>
        <v/>
      </c>
      <c r="M366">
        <f>IFERROR(L366/K366,"")</f>
        <v/>
      </c>
      <c r="N366">
        <f>IF(K366="","",M366+K366/100000+ROW()/100000000)</f>
        <v/>
      </c>
      <c r="R366">
        <f>IF(A366=1,IFERROR(I366,0)+ROW()/100000000,-1E+99)</f>
        <v/>
      </c>
      <c r="S366">
        <f>IF(A366=1,IFERROR(Raw_data!$T366,""),"")</f>
        <v/>
      </c>
      <c r="T366">
        <f>IF(A366=1,IFERROR(Raw_data!$AA366,""),"")</f>
        <v/>
      </c>
      <c r="U366">
        <f>IF(A366=1,IFERROR(Raw_data!$U366,""),"")</f>
        <v/>
      </c>
      <c r="V366">
        <f>IF(A366=1,IFERROR(Raw_data!$AB366,""),"")</f>
        <v/>
      </c>
    </row>
    <row r="367">
      <c r="A367">
        <f>--(AND(OR(Dashboard!$B$4="All",Raw_data!$AL367=Dashboard!$B$4),OR(Dashboard!$B$5="All",Raw_data!$AM367=Dashboard!$B$5),OR(Dashboard!$B$6="All",Raw_data!$AN367=Dashboard!$B$6),OR(Dashboard!$B$7="All",Raw_data!$AO367=Dashboard!$B$7),OR(Dashboard!$B$8="All",Raw_data!$AP367=Dashboard!$B$8),OR(Dashboard!$B$9="All",Raw_data!$AQ367=Dashboard!$B$9),OR(Dashboard!$B$10="All",Raw_data!$AF367=Dashboard!$B$10),OR(Raw_data!$F367="",Raw_data!$F367&lt;=TODAY())))</f>
        <v/>
      </c>
      <c r="B367">
        <f>IFERROR(IF(Dashboard!$B$3="Weighted",Raw_data!$U367,Raw_data!$T367),"")</f>
        <v/>
      </c>
      <c r="C367">
        <f>IFERROR(IF(Dashboard!$B$3="Weighted",Raw_data!$AB367,Raw_data!$AA367),"")</f>
        <v/>
      </c>
      <c r="D367">
        <f>IF(OR(Raw_data!$J367="",Raw_data!$J367&lt;=0,Raw_data!$K367=""),"",IF(Raw_data!$K367&gt;TODAY(),0,DATEDIF(Raw_data!$K367,TODAY(),"M")))</f>
        <v/>
      </c>
      <c r="E367">
        <f>--(AND(Raw_data!$AF367="No",OR(Raw_data!$AG367&lt;&gt;"",Raw_data!$AJ367&gt;0,Raw_data!$AK367&lt;&gt;"")))</f>
        <v/>
      </c>
      <c r="F367">
        <f>--(OR(AND(ISNUMBER(B367),B367&lt;0.5,OR(D367&gt;=24,Raw_data!$I367&gt;0)),Raw_data!$AE367=TRUE))</f>
        <v/>
      </c>
      <c r="G367">
        <f>IF(Dashboard!$B$11="Department",Raw_data!$AL367,IF(Dashboard!$B$11="Team",Raw_data!$AM367,IF(Dashboard!$B$11="Unit",Raw_data!$AN367,IF(Dashboard!$B$11="Legal entity",Raw_data!$AO367,IF(Dashboard!$B$11="Location",Raw_data!$AP367,Raw_data!$AQ367)))))</f>
        <v/>
      </c>
      <c r="H367">
        <f>--(AND(ISNUMBER(B367),B367&lt;0.5))</f>
        <v/>
      </c>
      <c r="I367">
        <f>IFERROR(MAX(0,(0.5-B367)*100),0)+IF(D367&gt;=24,20,0)+IF(Raw_data!$I367&gt;0,20,0)+IF(Raw_data!$AE367=TRUE,10,0)</f>
        <v/>
      </c>
      <c r="J367">
        <f>IFERROR(CHOOSE(MATCH(Dashboard!$B$11,{"Department","Team","Unit","Legal entity","Location","Lead"},0),INDEX(Lists!$B$3:$B$20,ROW()-1),INDEX(Lists!$C$3:$C$146,ROW()-1),INDEX(Lists!$D$3:$D$67,ROW()-1),INDEX(Lists!$E$3:$E$5,ROW()-1),INDEX(Lists!$F$3:$F$12,ROW()-1),INDEX(Lists!$G$3:$G$126,ROW()-1)),"")</f>
        <v/>
      </c>
      <c r="K367">
        <f>IF(J367="","",SUMPRODUCT(($A$2:$A$636=1)*($G$2:$G$636=J367)))</f>
        <v/>
      </c>
      <c r="L367">
        <f>IF(J367="","",SUMPRODUCT(($A$2:$A$636=1)*($G$2:$G$636=J367)*(ISNUMBER($B$2:$B$636))*($B$2:$B$636&lt;0.5)))</f>
        <v/>
      </c>
      <c r="M367">
        <f>IFERROR(L367/K367,"")</f>
        <v/>
      </c>
      <c r="N367">
        <f>IF(K367="","",M367+K367/100000+ROW()/100000000)</f>
        <v/>
      </c>
      <c r="R367">
        <f>IF(A367=1,IFERROR(I367,0)+ROW()/100000000,-1E+99)</f>
        <v/>
      </c>
      <c r="S367">
        <f>IF(A367=1,IFERROR(Raw_data!$T367,""),"")</f>
        <v/>
      </c>
      <c r="T367">
        <f>IF(A367=1,IFERROR(Raw_data!$AA367,""),"")</f>
        <v/>
      </c>
      <c r="U367">
        <f>IF(A367=1,IFERROR(Raw_data!$U367,""),"")</f>
        <v/>
      </c>
      <c r="V367">
        <f>IF(A367=1,IFERROR(Raw_data!$AB367,""),"")</f>
        <v/>
      </c>
    </row>
    <row r="368">
      <c r="A368">
        <f>--(AND(OR(Dashboard!$B$4="All",Raw_data!$AL368=Dashboard!$B$4),OR(Dashboard!$B$5="All",Raw_data!$AM368=Dashboard!$B$5),OR(Dashboard!$B$6="All",Raw_data!$AN368=Dashboard!$B$6),OR(Dashboard!$B$7="All",Raw_data!$AO368=Dashboard!$B$7),OR(Dashboard!$B$8="All",Raw_data!$AP368=Dashboard!$B$8),OR(Dashboard!$B$9="All",Raw_data!$AQ368=Dashboard!$B$9),OR(Dashboard!$B$10="All",Raw_data!$AF368=Dashboard!$B$10),OR(Raw_data!$F368="",Raw_data!$F368&lt;=TODAY())))</f>
        <v/>
      </c>
      <c r="B368">
        <f>IFERROR(IF(Dashboard!$B$3="Weighted",Raw_data!$U368,Raw_data!$T368),"")</f>
        <v/>
      </c>
      <c r="C368">
        <f>IFERROR(IF(Dashboard!$B$3="Weighted",Raw_data!$AB368,Raw_data!$AA368),"")</f>
        <v/>
      </c>
      <c r="D368">
        <f>IF(OR(Raw_data!$J368="",Raw_data!$J368&lt;=0,Raw_data!$K368=""),"",IF(Raw_data!$K368&gt;TODAY(),0,DATEDIF(Raw_data!$K368,TODAY(),"M")))</f>
        <v/>
      </c>
      <c r="E368">
        <f>--(AND(Raw_data!$AF368="No",OR(Raw_data!$AG368&lt;&gt;"",Raw_data!$AJ368&gt;0,Raw_data!$AK368&lt;&gt;"")))</f>
        <v/>
      </c>
      <c r="F368">
        <f>--(OR(AND(ISNUMBER(B368),B368&lt;0.5,OR(D368&gt;=24,Raw_data!$I368&gt;0)),Raw_data!$AE368=TRUE))</f>
        <v/>
      </c>
      <c r="G368">
        <f>IF(Dashboard!$B$11="Department",Raw_data!$AL368,IF(Dashboard!$B$11="Team",Raw_data!$AM368,IF(Dashboard!$B$11="Unit",Raw_data!$AN368,IF(Dashboard!$B$11="Legal entity",Raw_data!$AO368,IF(Dashboard!$B$11="Location",Raw_data!$AP368,Raw_data!$AQ368)))))</f>
        <v/>
      </c>
      <c r="H368">
        <f>--(AND(ISNUMBER(B368),B368&lt;0.5))</f>
        <v/>
      </c>
      <c r="I368">
        <f>IFERROR(MAX(0,(0.5-B368)*100),0)+IF(D368&gt;=24,20,0)+IF(Raw_data!$I368&gt;0,20,0)+IF(Raw_data!$AE368=TRUE,10,0)</f>
        <v/>
      </c>
      <c r="J368">
        <f>IFERROR(CHOOSE(MATCH(Dashboard!$B$11,{"Department","Team","Unit","Legal entity","Location","Lead"},0),INDEX(Lists!$B$3:$B$20,ROW()-1),INDEX(Lists!$C$3:$C$146,ROW()-1),INDEX(Lists!$D$3:$D$67,ROW()-1),INDEX(Lists!$E$3:$E$5,ROW()-1),INDEX(Lists!$F$3:$F$12,ROW()-1),INDEX(Lists!$G$3:$G$126,ROW()-1)),"")</f>
        <v/>
      </c>
      <c r="K368">
        <f>IF(J368="","",SUMPRODUCT(($A$2:$A$636=1)*($G$2:$G$636=J368)))</f>
        <v/>
      </c>
      <c r="L368">
        <f>IF(J368="","",SUMPRODUCT(($A$2:$A$636=1)*($G$2:$G$636=J368)*(ISNUMBER($B$2:$B$636))*($B$2:$B$636&lt;0.5)))</f>
        <v/>
      </c>
      <c r="M368">
        <f>IFERROR(L368/K368,"")</f>
        <v/>
      </c>
      <c r="N368">
        <f>IF(K368="","",M368+K368/100000+ROW()/100000000)</f>
        <v/>
      </c>
      <c r="R368">
        <f>IF(A368=1,IFERROR(I368,0)+ROW()/100000000,-1E+99)</f>
        <v/>
      </c>
      <c r="S368">
        <f>IF(A368=1,IFERROR(Raw_data!$T368,""),"")</f>
        <v/>
      </c>
      <c r="T368">
        <f>IF(A368=1,IFERROR(Raw_data!$AA368,""),"")</f>
        <v/>
      </c>
      <c r="U368">
        <f>IF(A368=1,IFERROR(Raw_data!$U368,""),"")</f>
        <v/>
      </c>
      <c r="V368">
        <f>IF(A368=1,IFERROR(Raw_data!$AB368,""),"")</f>
        <v/>
      </c>
    </row>
    <row r="369">
      <c r="A369">
        <f>--(AND(OR(Dashboard!$B$4="All",Raw_data!$AL369=Dashboard!$B$4),OR(Dashboard!$B$5="All",Raw_data!$AM369=Dashboard!$B$5),OR(Dashboard!$B$6="All",Raw_data!$AN369=Dashboard!$B$6),OR(Dashboard!$B$7="All",Raw_data!$AO369=Dashboard!$B$7),OR(Dashboard!$B$8="All",Raw_data!$AP369=Dashboard!$B$8),OR(Dashboard!$B$9="All",Raw_data!$AQ369=Dashboard!$B$9),OR(Dashboard!$B$10="All",Raw_data!$AF369=Dashboard!$B$10),OR(Raw_data!$F369="",Raw_data!$F369&lt;=TODAY())))</f>
        <v/>
      </c>
      <c r="B369">
        <f>IFERROR(IF(Dashboard!$B$3="Weighted",Raw_data!$U369,Raw_data!$T369),"")</f>
        <v/>
      </c>
      <c r="C369">
        <f>IFERROR(IF(Dashboard!$B$3="Weighted",Raw_data!$AB369,Raw_data!$AA369),"")</f>
        <v/>
      </c>
      <c r="D369">
        <f>IF(OR(Raw_data!$J369="",Raw_data!$J369&lt;=0,Raw_data!$K369=""),"",IF(Raw_data!$K369&gt;TODAY(),0,DATEDIF(Raw_data!$K369,TODAY(),"M")))</f>
        <v/>
      </c>
      <c r="E369">
        <f>--(AND(Raw_data!$AF369="No",OR(Raw_data!$AG369&lt;&gt;"",Raw_data!$AJ369&gt;0,Raw_data!$AK369&lt;&gt;"")))</f>
        <v/>
      </c>
      <c r="F369">
        <f>--(OR(AND(ISNUMBER(B369),B369&lt;0.5,OR(D369&gt;=24,Raw_data!$I369&gt;0)),Raw_data!$AE369=TRUE))</f>
        <v/>
      </c>
      <c r="G369">
        <f>IF(Dashboard!$B$11="Department",Raw_data!$AL369,IF(Dashboard!$B$11="Team",Raw_data!$AM369,IF(Dashboard!$B$11="Unit",Raw_data!$AN369,IF(Dashboard!$B$11="Legal entity",Raw_data!$AO369,IF(Dashboard!$B$11="Location",Raw_data!$AP369,Raw_data!$AQ369)))))</f>
        <v/>
      </c>
      <c r="H369">
        <f>--(AND(ISNUMBER(B369),B369&lt;0.5))</f>
        <v/>
      </c>
      <c r="I369">
        <f>IFERROR(MAX(0,(0.5-B369)*100),0)+IF(D369&gt;=24,20,0)+IF(Raw_data!$I369&gt;0,20,0)+IF(Raw_data!$AE369=TRUE,10,0)</f>
        <v/>
      </c>
      <c r="J369">
        <f>IFERROR(CHOOSE(MATCH(Dashboard!$B$11,{"Department","Team","Unit","Legal entity","Location","Lead"},0),INDEX(Lists!$B$3:$B$20,ROW()-1),INDEX(Lists!$C$3:$C$146,ROW()-1),INDEX(Lists!$D$3:$D$67,ROW()-1),INDEX(Lists!$E$3:$E$5,ROW()-1),INDEX(Lists!$F$3:$F$12,ROW()-1),INDEX(Lists!$G$3:$G$126,ROW()-1)),"")</f>
        <v/>
      </c>
      <c r="K369">
        <f>IF(J369="","",SUMPRODUCT(($A$2:$A$636=1)*($G$2:$G$636=J369)))</f>
        <v/>
      </c>
      <c r="L369">
        <f>IF(J369="","",SUMPRODUCT(($A$2:$A$636=1)*($G$2:$G$636=J369)*(ISNUMBER($B$2:$B$636))*($B$2:$B$636&lt;0.5)))</f>
        <v/>
      </c>
      <c r="M369">
        <f>IFERROR(L369/K369,"")</f>
        <v/>
      </c>
      <c r="N369">
        <f>IF(K369="","",M369+K369/100000+ROW()/100000000)</f>
        <v/>
      </c>
      <c r="R369">
        <f>IF(A369=1,IFERROR(I369,0)+ROW()/100000000,-1E+99)</f>
        <v/>
      </c>
      <c r="S369">
        <f>IF(A369=1,IFERROR(Raw_data!$T369,""),"")</f>
        <v/>
      </c>
      <c r="T369">
        <f>IF(A369=1,IFERROR(Raw_data!$AA369,""),"")</f>
        <v/>
      </c>
      <c r="U369">
        <f>IF(A369=1,IFERROR(Raw_data!$U369,""),"")</f>
        <v/>
      </c>
      <c r="V369">
        <f>IF(A369=1,IFERROR(Raw_data!$AB369,""),"")</f>
        <v/>
      </c>
    </row>
    <row r="370">
      <c r="A370">
        <f>--(AND(OR(Dashboard!$B$4="All",Raw_data!$AL370=Dashboard!$B$4),OR(Dashboard!$B$5="All",Raw_data!$AM370=Dashboard!$B$5),OR(Dashboard!$B$6="All",Raw_data!$AN370=Dashboard!$B$6),OR(Dashboard!$B$7="All",Raw_data!$AO370=Dashboard!$B$7),OR(Dashboard!$B$8="All",Raw_data!$AP370=Dashboard!$B$8),OR(Dashboard!$B$9="All",Raw_data!$AQ370=Dashboard!$B$9),OR(Dashboard!$B$10="All",Raw_data!$AF370=Dashboard!$B$10),OR(Raw_data!$F370="",Raw_data!$F370&lt;=TODAY())))</f>
        <v/>
      </c>
      <c r="B370">
        <f>IFERROR(IF(Dashboard!$B$3="Weighted",Raw_data!$U370,Raw_data!$T370),"")</f>
        <v/>
      </c>
      <c r="C370">
        <f>IFERROR(IF(Dashboard!$B$3="Weighted",Raw_data!$AB370,Raw_data!$AA370),"")</f>
        <v/>
      </c>
      <c r="D370">
        <f>IF(OR(Raw_data!$J370="",Raw_data!$J370&lt;=0,Raw_data!$K370=""),"",IF(Raw_data!$K370&gt;TODAY(),0,DATEDIF(Raw_data!$K370,TODAY(),"M")))</f>
        <v/>
      </c>
      <c r="E370">
        <f>--(AND(Raw_data!$AF370="No",OR(Raw_data!$AG370&lt;&gt;"",Raw_data!$AJ370&gt;0,Raw_data!$AK370&lt;&gt;"")))</f>
        <v/>
      </c>
      <c r="F370">
        <f>--(OR(AND(ISNUMBER(B370),B370&lt;0.5,OR(D370&gt;=24,Raw_data!$I370&gt;0)),Raw_data!$AE370=TRUE))</f>
        <v/>
      </c>
      <c r="G370">
        <f>IF(Dashboard!$B$11="Department",Raw_data!$AL370,IF(Dashboard!$B$11="Team",Raw_data!$AM370,IF(Dashboard!$B$11="Unit",Raw_data!$AN370,IF(Dashboard!$B$11="Legal entity",Raw_data!$AO370,IF(Dashboard!$B$11="Location",Raw_data!$AP370,Raw_data!$AQ370)))))</f>
        <v/>
      </c>
      <c r="H370">
        <f>--(AND(ISNUMBER(B370),B370&lt;0.5))</f>
        <v/>
      </c>
      <c r="I370">
        <f>IFERROR(MAX(0,(0.5-B370)*100),0)+IF(D370&gt;=24,20,0)+IF(Raw_data!$I370&gt;0,20,0)+IF(Raw_data!$AE370=TRUE,10,0)</f>
        <v/>
      </c>
      <c r="J370">
        <f>IFERROR(CHOOSE(MATCH(Dashboard!$B$11,{"Department","Team","Unit","Legal entity","Location","Lead"},0),INDEX(Lists!$B$3:$B$20,ROW()-1),INDEX(Lists!$C$3:$C$146,ROW()-1),INDEX(Lists!$D$3:$D$67,ROW()-1),INDEX(Lists!$E$3:$E$5,ROW()-1),INDEX(Lists!$F$3:$F$12,ROW()-1),INDEX(Lists!$G$3:$G$126,ROW()-1)),"")</f>
        <v/>
      </c>
      <c r="K370">
        <f>IF(J370="","",SUMPRODUCT(($A$2:$A$636=1)*($G$2:$G$636=J370)))</f>
        <v/>
      </c>
      <c r="L370">
        <f>IF(J370="","",SUMPRODUCT(($A$2:$A$636=1)*($G$2:$G$636=J370)*(ISNUMBER($B$2:$B$636))*($B$2:$B$636&lt;0.5)))</f>
        <v/>
      </c>
      <c r="M370">
        <f>IFERROR(L370/K370,"")</f>
        <v/>
      </c>
      <c r="N370">
        <f>IF(K370="","",M370+K370/100000+ROW()/100000000)</f>
        <v/>
      </c>
      <c r="R370">
        <f>IF(A370=1,IFERROR(I370,0)+ROW()/100000000,-1E+99)</f>
        <v/>
      </c>
      <c r="S370">
        <f>IF(A370=1,IFERROR(Raw_data!$T370,""),"")</f>
        <v/>
      </c>
      <c r="T370">
        <f>IF(A370=1,IFERROR(Raw_data!$AA370,""),"")</f>
        <v/>
      </c>
      <c r="U370">
        <f>IF(A370=1,IFERROR(Raw_data!$U370,""),"")</f>
        <v/>
      </c>
      <c r="V370">
        <f>IF(A370=1,IFERROR(Raw_data!$AB370,""),"")</f>
        <v/>
      </c>
    </row>
    <row r="371">
      <c r="A371">
        <f>--(AND(OR(Dashboard!$B$4="All",Raw_data!$AL371=Dashboard!$B$4),OR(Dashboard!$B$5="All",Raw_data!$AM371=Dashboard!$B$5),OR(Dashboard!$B$6="All",Raw_data!$AN371=Dashboard!$B$6),OR(Dashboard!$B$7="All",Raw_data!$AO371=Dashboard!$B$7),OR(Dashboard!$B$8="All",Raw_data!$AP371=Dashboard!$B$8),OR(Dashboard!$B$9="All",Raw_data!$AQ371=Dashboard!$B$9),OR(Dashboard!$B$10="All",Raw_data!$AF371=Dashboard!$B$10),OR(Raw_data!$F371="",Raw_data!$F371&lt;=TODAY())))</f>
        <v/>
      </c>
      <c r="B371">
        <f>IFERROR(IF(Dashboard!$B$3="Weighted",Raw_data!$U371,Raw_data!$T371),"")</f>
        <v/>
      </c>
      <c r="C371">
        <f>IFERROR(IF(Dashboard!$B$3="Weighted",Raw_data!$AB371,Raw_data!$AA371),"")</f>
        <v/>
      </c>
      <c r="D371">
        <f>IF(OR(Raw_data!$J371="",Raw_data!$J371&lt;=0,Raw_data!$K371=""),"",IF(Raw_data!$K371&gt;TODAY(),0,DATEDIF(Raw_data!$K371,TODAY(),"M")))</f>
        <v/>
      </c>
      <c r="E371">
        <f>--(AND(Raw_data!$AF371="No",OR(Raw_data!$AG371&lt;&gt;"",Raw_data!$AJ371&gt;0,Raw_data!$AK371&lt;&gt;"")))</f>
        <v/>
      </c>
      <c r="F371">
        <f>--(OR(AND(ISNUMBER(B371),B371&lt;0.5,OR(D371&gt;=24,Raw_data!$I371&gt;0)),Raw_data!$AE371=TRUE))</f>
        <v/>
      </c>
      <c r="G371">
        <f>IF(Dashboard!$B$11="Department",Raw_data!$AL371,IF(Dashboard!$B$11="Team",Raw_data!$AM371,IF(Dashboard!$B$11="Unit",Raw_data!$AN371,IF(Dashboard!$B$11="Legal entity",Raw_data!$AO371,IF(Dashboard!$B$11="Location",Raw_data!$AP371,Raw_data!$AQ371)))))</f>
        <v/>
      </c>
      <c r="H371">
        <f>--(AND(ISNUMBER(B371),B371&lt;0.5))</f>
        <v/>
      </c>
      <c r="I371">
        <f>IFERROR(MAX(0,(0.5-B371)*100),0)+IF(D371&gt;=24,20,0)+IF(Raw_data!$I371&gt;0,20,0)+IF(Raw_data!$AE371=TRUE,10,0)</f>
        <v/>
      </c>
      <c r="J371">
        <f>IFERROR(CHOOSE(MATCH(Dashboard!$B$11,{"Department","Team","Unit","Legal entity","Location","Lead"},0),INDEX(Lists!$B$3:$B$20,ROW()-1),INDEX(Lists!$C$3:$C$146,ROW()-1),INDEX(Lists!$D$3:$D$67,ROW()-1),INDEX(Lists!$E$3:$E$5,ROW()-1),INDEX(Lists!$F$3:$F$12,ROW()-1),INDEX(Lists!$G$3:$G$126,ROW()-1)),"")</f>
        <v/>
      </c>
      <c r="K371">
        <f>IF(J371="","",SUMPRODUCT(($A$2:$A$636=1)*($G$2:$G$636=J371)))</f>
        <v/>
      </c>
      <c r="L371">
        <f>IF(J371="","",SUMPRODUCT(($A$2:$A$636=1)*($G$2:$G$636=J371)*(ISNUMBER($B$2:$B$636))*($B$2:$B$636&lt;0.5)))</f>
        <v/>
      </c>
      <c r="M371">
        <f>IFERROR(L371/K371,"")</f>
        <v/>
      </c>
      <c r="N371">
        <f>IF(K371="","",M371+K371/100000+ROW()/100000000)</f>
        <v/>
      </c>
      <c r="R371">
        <f>IF(A371=1,IFERROR(I371,0)+ROW()/100000000,-1E+99)</f>
        <v/>
      </c>
      <c r="S371">
        <f>IF(A371=1,IFERROR(Raw_data!$T371,""),"")</f>
        <v/>
      </c>
      <c r="T371">
        <f>IF(A371=1,IFERROR(Raw_data!$AA371,""),"")</f>
        <v/>
      </c>
      <c r="U371">
        <f>IF(A371=1,IFERROR(Raw_data!$U371,""),"")</f>
        <v/>
      </c>
      <c r="V371">
        <f>IF(A371=1,IFERROR(Raw_data!$AB371,""),"")</f>
        <v/>
      </c>
    </row>
    <row r="372">
      <c r="A372">
        <f>--(AND(OR(Dashboard!$B$4="All",Raw_data!$AL372=Dashboard!$B$4),OR(Dashboard!$B$5="All",Raw_data!$AM372=Dashboard!$B$5),OR(Dashboard!$B$6="All",Raw_data!$AN372=Dashboard!$B$6),OR(Dashboard!$B$7="All",Raw_data!$AO372=Dashboard!$B$7),OR(Dashboard!$B$8="All",Raw_data!$AP372=Dashboard!$B$8),OR(Dashboard!$B$9="All",Raw_data!$AQ372=Dashboard!$B$9),OR(Dashboard!$B$10="All",Raw_data!$AF372=Dashboard!$B$10),OR(Raw_data!$F372="",Raw_data!$F372&lt;=TODAY())))</f>
        <v/>
      </c>
      <c r="B372">
        <f>IFERROR(IF(Dashboard!$B$3="Weighted",Raw_data!$U372,Raw_data!$T372),"")</f>
        <v/>
      </c>
      <c r="C372">
        <f>IFERROR(IF(Dashboard!$B$3="Weighted",Raw_data!$AB372,Raw_data!$AA372),"")</f>
        <v/>
      </c>
      <c r="D372">
        <f>IF(OR(Raw_data!$J372="",Raw_data!$J372&lt;=0,Raw_data!$K372=""),"",IF(Raw_data!$K372&gt;TODAY(),0,DATEDIF(Raw_data!$K372,TODAY(),"M")))</f>
        <v/>
      </c>
      <c r="E372">
        <f>--(AND(Raw_data!$AF372="No",OR(Raw_data!$AG372&lt;&gt;"",Raw_data!$AJ372&gt;0,Raw_data!$AK372&lt;&gt;"")))</f>
        <v/>
      </c>
      <c r="F372">
        <f>--(OR(AND(ISNUMBER(B372),B372&lt;0.5,OR(D372&gt;=24,Raw_data!$I372&gt;0)),Raw_data!$AE372=TRUE))</f>
        <v/>
      </c>
      <c r="G372">
        <f>IF(Dashboard!$B$11="Department",Raw_data!$AL372,IF(Dashboard!$B$11="Team",Raw_data!$AM372,IF(Dashboard!$B$11="Unit",Raw_data!$AN372,IF(Dashboard!$B$11="Legal entity",Raw_data!$AO372,IF(Dashboard!$B$11="Location",Raw_data!$AP372,Raw_data!$AQ372)))))</f>
        <v/>
      </c>
      <c r="H372">
        <f>--(AND(ISNUMBER(B372),B372&lt;0.5))</f>
        <v/>
      </c>
      <c r="I372">
        <f>IFERROR(MAX(0,(0.5-B372)*100),0)+IF(D372&gt;=24,20,0)+IF(Raw_data!$I372&gt;0,20,0)+IF(Raw_data!$AE372=TRUE,10,0)</f>
        <v/>
      </c>
      <c r="J372">
        <f>IFERROR(CHOOSE(MATCH(Dashboard!$B$11,{"Department","Team","Unit","Legal entity","Location","Lead"},0),INDEX(Lists!$B$3:$B$20,ROW()-1),INDEX(Lists!$C$3:$C$146,ROW()-1),INDEX(Lists!$D$3:$D$67,ROW()-1),INDEX(Lists!$E$3:$E$5,ROW()-1),INDEX(Lists!$F$3:$F$12,ROW()-1),INDEX(Lists!$G$3:$G$126,ROW()-1)),"")</f>
        <v/>
      </c>
      <c r="K372">
        <f>IF(J372="","",SUMPRODUCT(($A$2:$A$636=1)*($G$2:$G$636=J372)))</f>
        <v/>
      </c>
      <c r="L372">
        <f>IF(J372="","",SUMPRODUCT(($A$2:$A$636=1)*($G$2:$G$636=J372)*(ISNUMBER($B$2:$B$636))*($B$2:$B$636&lt;0.5)))</f>
        <v/>
      </c>
      <c r="M372">
        <f>IFERROR(L372/K372,"")</f>
        <v/>
      </c>
      <c r="N372">
        <f>IF(K372="","",M372+K372/100000+ROW()/100000000)</f>
        <v/>
      </c>
      <c r="R372">
        <f>IF(A372=1,IFERROR(I372,0)+ROW()/100000000,-1E+99)</f>
        <v/>
      </c>
      <c r="S372">
        <f>IF(A372=1,IFERROR(Raw_data!$T372,""),"")</f>
        <v/>
      </c>
      <c r="T372">
        <f>IF(A372=1,IFERROR(Raw_data!$AA372,""),"")</f>
        <v/>
      </c>
      <c r="U372">
        <f>IF(A372=1,IFERROR(Raw_data!$U372,""),"")</f>
        <v/>
      </c>
      <c r="V372">
        <f>IF(A372=1,IFERROR(Raw_data!$AB372,""),"")</f>
        <v/>
      </c>
    </row>
    <row r="373">
      <c r="A373">
        <f>--(AND(OR(Dashboard!$B$4="All",Raw_data!$AL373=Dashboard!$B$4),OR(Dashboard!$B$5="All",Raw_data!$AM373=Dashboard!$B$5),OR(Dashboard!$B$6="All",Raw_data!$AN373=Dashboard!$B$6),OR(Dashboard!$B$7="All",Raw_data!$AO373=Dashboard!$B$7),OR(Dashboard!$B$8="All",Raw_data!$AP373=Dashboard!$B$8),OR(Dashboard!$B$9="All",Raw_data!$AQ373=Dashboard!$B$9),OR(Dashboard!$B$10="All",Raw_data!$AF373=Dashboard!$B$10),OR(Raw_data!$F373="",Raw_data!$F373&lt;=TODAY())))</f>
        <v/>
      </c>
      <c r="B373">
        <f>IFERROR(IF(Dashboard!$B$3="Weighted",Raw_data!$U373,Raw_data!$T373),"")</f>
        <v/>
      </c>
      <c r="C373">
        <f>IFERROR(IF(Dashboard!$B$3="Weighted",Raw_data!$AB373,Raw_data!$AA373),"")</f>
        <v/>
      </c>
      <c r="D373">
        <f>IF(OR(Raw_data!$J373="",Raw_data!$J373&lt;=0,Raw_data!$K373=""),"",IF(Raw_data!$K373&gt;TODAY(),0,DATEDIF(Raw_data!$K373,TODAY(),"M")))</f>
        <v/>
      </c>
      <c r="E373">
        <f>--(AND(Raw_data!$AF373="No",OR(Raw_data!$AG373&lt;&gt;"",Raw_data!$AJ373&gt;0,Raw_data!$AK373&lt;&gt;"")))</f>
        <v/>
      </c>
      <c r="F373">
        <f>--(OR(AND(ISNUMBER(B373),B373&lt;0.5,OR(D373&gt;=24,Raw_data!$I373&gt;0)),Raw_data!$AE373=TRUE))</f>
        <v/>
      </c>
      <c r="G373">
        <f>IF(Dashboard!$B$11="Department",Raw_data!$AL373,IF(Dashboard!$B$11="Team",Raw_data!$AM373,IF(Dashboard!$B$11="Unit",Raw_data!$AN373,IF(Dashboard!$B$11="Legal entity",Raw_data!$AO373,IF(Dashboard!$B$11="Location",Raw_data!$AP373,Raw_data!$AQ373)))))</f>
        <v/>
      </c>
      <c r="H373">
        <f>--(AND(ISNUMBER(B373),B373&lt;0.5))</f>
        <v/>
      </c>
      <c r="I373">
        <f>IFERROR(MAX(0,(0.5-B373)*100),0)+IF(D373&gt;=24,20,0)+IF(Raw_data!$I373&gt;0,20,0)+IF(Raw_data!$AE373=TRUE,10,0)</f>
        <v/>
      </c>
      <c r="J373">
        <f>IFERROR(CHOOSE(MATCH(Dashboard!$B$11,{"Department","Team","Unit","Legal entity","Location","Lead"},0),INDEX(Lists!$B$3:$B$20,ROW()-1),INDEX(Lists!$C$3:$C$146,ROW()-1),INDEX(Lists!$D$3:$D$67,ROW()-1),INDEX(Lists!$E$3:$E$5,ROW()-1),INDEX(Lists!$F$3:$F$12,ROW()-1),INDEX(Lists!$G$3:$G$126,ROW()-1)),"")</f>
        <v/>
      </c>
      <c r="K373">
        <f>IF(J373="","",SUMPRODUCT(($A$2:$A$636=1)*($G$2:$G$636=J373)))</f>
        <v/>
      </c>
      <c r="L373">
        <f>IF(J373="","",SUMPRODUCT(($A$2:$A$636=1)*($G$2:$G$636=J373)*(ISNUMBER($B$2:$B$636))*($B$2:$B$636&lt;0.5)))</f>
        <v/>
      </c>
      <c r="M373">
        <f>IFERROR(L373/K373,"")</f>
        <v/>
      </c>
      <c r="N373">
        <f>IF(K373="","",M373+K373/100000+ROW()/100000000)</f>
        <v/>
      </c>
      <c r="R373">
        <f>IF(A373=1,IFERROR(I373,0)+ROW()/100000000,-1E+99)</f>
        <v/>
      </c>
      <c r="S373">
        <f>IF(A373=1,IFERROR(Raw_data!$T373,""),"")</f>
        <v/>
      </c>
      <c r="T373">
        <f>IF(A373=1,IFERROR(Raw_data!$AA373,""),"")</f>
        <v/>
      </c>
      <c r="U373">
        <f>IF(A373=1,IFERROR(Raw_data!$U373,""),"")</f>
        <v/>
      </c>
      <c r="V373">
        <f>IF(A373=1,IFERROR(Raw_data!$AB373,""),"")</f>
        <v/>
      </c>
    </row>
    <row r="374">
      <c r="A374">
        <f>--(AND(OR(Dashboard!$B$4="All",Raw_data!$AL374=Dashboard!$B$4),OR(Dashboard!$B$5="All",Raw_data!$AM374=Dashboard!$B$5),OR(Dashboard!$B$6="All",Raw_data!$AN374=Dashboard!$B$6),OR(Dashboard!$B$7="All",Raw_data!$AO374=Dashboard!$B$7),OR(Dashboard!$B$8="All",Raw_data!$AP374=Dashboard!$B$8),OR(Dashboard!$B$9="All",Raw_data!$AQ374=Dashboard!$B$9),OR(Dashboard!$B$10="All",Raw_data!$AF374=Dashboard!$B$10),OR(Raw_data!$F374="",Raw_data!$F374&lt;=TODAY())))</f>
        <v/>
      </c>
      <c r="B374">
        <f>IFERROR(IF(Dashboard!$B$3="Weighted",Raw_data!$U374,Raw_data!$T374),"")</f>
        <v/>
      </c>
      <c r="C374">
        <f>IFERROR(IF(Dashboard!$B$3="Weighted",Raw_data!$AB374,Raw_data!$AA374),"")</f>
        <v/>
      </c>
      <c r="D374">
        <f>IF(OR(Raw_data!$J374="",Raw_data!$J374&lt;=0,Raw_data!$K374=""),"",IF(Raw_data!$K374&gt;TODAY(),0,DATEDIF(Raw_data!$K374,TODAY(),"M")))</f>
        <v/>
      </c>
      <c r="E374">
        <f>--(AND(Raw_data!$AF374="No",OR(Raw_data!$AG374&lt;&gt;"",Raw_data!$AJ374&gt;0,Raw_data!$AK374&lt;&gt;"")))</f>
        <v/>
      </c>
      <c r="F374">
        <f>--(OR(AND(ISNUMBER(B374),B374&lt;0.5,OR(D374&gt;=24,Raw_data!$I374&gt;0)),Raw_data!$AE374=TRUE))</f>
        <v/>
      </c>
      <c r="G374">
        <f>IF(Dashboard!$B$11="Department",Raw_data!$AL374,IF(Dashboard!$B$11="Team",Raw_data!$AM374,IF(Dashboard!$B$11="Unit",Raw_data!$AN374,IF(Dashboard!$B$11="Legal entity",Raw_data!$AO374,IF(Dashboard!$B$11="Location",Raw_data!$AP374,Raw_data!$AQ374)))))</f>
        <v/>
      </c>
      <c r="H374">
        <f>--(AND(ISNUMBER(B374),B374&lt;0.5))</f>
        <v/>
      </c>
      <c r="I374">
        <f>IFERROR(MAX(0,(0.5-B374)*100),0)+IF(D374&gt;=24,20,0)+IF(Raw_data!$I374&gt;0,20,0)+IF(Raw_data!$AE374=TRUE,10,0)</f>
        <v/>
      </c>
      <c r="J374">
        <f>IFERROR(CHOOSE(MATCH(Dashboard!$B$11,{"Department","Team","Unit","Legal entity","Location","Lead"},0),INDEX(Lists!$B$3:$B$20,ROW()-1),INDEX(Lists!$C$3:$C$146,ROW()-1),INDEX(Lists!$D$3:$D$67,ROW()-1),INDEX(Lists!$E$3:$E$5,ROW()-1),INDEX(Lists!$F$3:$F$12,ROW()-1),INDEX(Lists!$G$3:$G$126,ROW()-1)),"")</f>
        <v/>
      </c>
      <c r="K374">
        <f>IF(J374="","",SUMPRODUCT(($A$2:$A$636=1)*($G$2:$G$636=J374)))</f>
        <v/>
      </c>
      <c r="L374">
        <f>IF(J374="","",SUMPRODUCT(($A$2:$A$636=1)*($G$2:$G$636=J374)*(ISNUMBER($B$2:$B$636))*($B$2:$B$636&lt;0.5)))</f>
        <v/>
      </c>
      <c r="M374">
        <f>IFERROR(L374/K374,"")</f>
        <v/>
      </c>
      <c r="N374">
        <f>IF(K374="","",M374+K374/100000+ROW()/100000000)</f>
        <v/>
      </c>
      <c r="R374">
        <f>IF(A374=1,IFERROR(I374,0)+ROW()/100000000,-1E+99)</f>
        <v/>
      </c>
      <c r="S374">
        <f>IF(A374=1,IFERROR(Raw_data!$T374,""),"")</f>
        <v/>
      </c>
      <c r="T374">
        <f>IF(A374=1,IFERROR(Raw_data!$AA374,""),"")</f>
        <v/>
      </c>
      <c r="U374">
        <f>IF(A374=1,IFERROR(Raw_data!$U374,""),"")</f>
        <v/>
      </c>
      <c r="V374">
        <f>IF(A374=1,IFERROR(Raw_data!$AB374,""),"")</f>
        <v/>
      </c>
    </row>
    <row r="375">
      <c r="A375">
        <f>--(AND(OR(Dashboard!$B$4="All",Raw_data!$AL375=Dashboard!$B$4),OR(Dashboard!$B$5="All",Raw_data!$AM375=Dashboard!$B$5),OR(Dashboard!$B$6="All",Raw_data!$AN375=Dashboard!$B$6),OR(Dashboard!$B$7="All",Raw_data!$AO375=Dashboard!$B$7),OR(Dashboard!$B$8="All",Raw_data!$AP375=Dashboard!$B$8),OR(Dashboard!$B$9="All",Raw_data!$AQ375=Dashboard!$B$9),OR(Dashboard!$B$10="All",Raw_data!$AF375=Dashboard!$B$10),OR(Raw_data!$F375="",Raw_data!$F375&lt;=TODAY())))</f>
        <v/>
      </c>
      <c r="B375">
        <f>IFERROR(IF(Dashboard!$B$3="Weighted",Raw_data!$U375,Raw_data!$T375),"")</f>
        <v/>
      </c>
      <c r="C375">
        <f>IFERROR(IF(Dashboard!$B$3="Weighted",Raw_data!$AB375,Raw_data!$AA375),"")</f>
        <v/>
      </c>
      <c r="D375">
        <f>IF(OR(Raw_data!$J375="",Raw_data!$J375&lt;=0,Raw_data!$K375=""),"",IF(Raw_data!$K375&gt;TODAY(),0,DATEDIF(Raw_data!$K375,TODAY(),"M")))</f>
        <v/>
      </c>
      <c r="E375">
        <f>--(AND(Raw_data!$AF375="No",OR(Raw_data!$AG375&lt;&gt;"",Raw_data!$AJ375&gt;0,Raw_data!$AK375&lt;&gt;"")))</f>
        <v/>
      </c>
      <c r="F375">
        <f>--(OR(AND(ISNUMBER(B375),B375&lt;0.5,OR(D375&gt;=24,Raw_data!$I375&gt;0)),Raw_data!$AE375=TRUE))</f>
        <v/>
      </c>
      <c r="G375">
        <f>IF(Dashboard!$B$11="Department",Raw_data!$AL375,IF(Dashboard!$B$11="Team",Raw_data!$AM375,IF(Dashboard!$B$11="Unit",Raw_data!$AN375,IF(Dashboard!$B$11="Legal entity",Raw_data!$AO375,IF(Dashboard!$B$11="Location",Raw_data!$AP375,Raw_data!$AQ375)))))</f>
        <v/>
      </c>
      <c r="H375">
        <f>--(AND(ISNUMBER(B375),B375&lt;0.5))</f>
        <v/>
      </c>
      <c r="I375">
        <f>IFERROR(MAX(0,(0.5-B375)*100),0)+IF(D375&gt;=24,20,0)+IF(Raw_data!$I375&gt;0,20,0)+IF(Raw_data!$AE375=TRUE,10,0)</f>
        <v/>
      </c>
      <c r="J375">
        <f>IFERROR(CHOOSE(MATCH(Dashboard!$B$11,{"Department","Team","Unit","Legal entity","Location","Lead"},0),INDEX(Lists!$B$3:$B$20,ROW()-1),INDEX(Lists!$C$3:$C$146,ROW()-1),INDEX(Lists!$D$3:$D$67,ROW()-1),INDEX(Lists!$E$3:$E$5,ROW()-1),INDEX(Lists!$F$3:$F$12,ROW()-1),INDEX(Lists!$G$3:$G$126,ROW()-1)),"")</f>
        <v/>
      </c>
      <c r="K375">
        <f>IF(J375="","",SUMPRODUCT(($A$2:$A$636=1)*($G$2:$G$636=J375)))</f>
        <v/>
      </c>
      <c r="L375">
        <f>IF(J375="","",SUMPRODUCT(($A$2:$A$636=1)*($G$2:$G$636=J375)*(ISNUMBER($B$2:$B$636))*($B$2:$B$636&lt;0.5)))</f>
        <v/>
      </c>
      <c r="M375">
        <f>IFERROR(L375/K375,"")</f>
        <v/>
      </c>
      <c r="N375">
        <f>IF(K375="","",M375+K375/100000+ROW()/100000000)</f>
        <v/>
      </c>
      <c r="R375">
        <f>IF(A375=1,IFERROR(I375,0)+ROW()/100000000,-1E+99)</f>
        <v/>
      </c>
      <c r="S375">
        <f>IF(A375=1,IFERROR(Raw_data!$T375,""),"")</f>
        <v/>
      </c>
      <c r="T375">
        <f>IF(A375=1,IFERROR(Raw_data!$AA375,""),"")</f>
        <v/>
      </c>
      <c r="U375">
        <f>IF(A375=1,IFERROR(Raw_data!$U375,""),"")</f>
        <v/>
      </c>
      <c r="V375">
        <f>IF(A375=1,IFERROR(Raw_data!$AB375,""),"")</f>
        <v/>
      </c>
    </row>
    <row r="376">
      <c r="A376">
        <f>--(AND(OR(Dashboard!$B$4="All",Raw_data!$AL376=Dashboard!$B$4),OR(Dashboard!$B$5="All",Raw_data!$AM376=Dashboard!$B$5),OR(Dashboard!$B$6="All",Raw_data!$AN376=Dashboard!$B$6),OR(Dashboard!$B$7="All",Raw_data!$AO376=Dashboard!$B$7),OR(Dashboard!$B$8="All",Raw_data!$AP376=Dashboard!$B$8),OR(Dashboard!$B$9="All",Raw_data!$AQ376=Dashboard!$B$9),OR(Dashboard!$B$10="All",Raw_data!$AF376=Dashboard!$B$10),OR(Raw_data!$F376="",Raw_data!$F376&lt;=TODAY())))</f>
        <v/>
      </c>
      <c r="B376">
        <f>IFERROR(IF(Dashboard!$B$3="Weighted",Raw_data!$U376,Raw_data!$T376),"")</f>
        <v/>
      </c>
      <c r="C376">
        <f>IFERROR(IF(Dashboard!$B$3="Weighted",Raw_data!$AB376,Raw_data!$AA376),"")</f>
        <v/>
      </c>
      <c r="D376">
        <f>IF(OR(Raw_data!$J376="",Raw_data!$J376&lt;=0,Raw_data!$K376=""),"",IF(Raw_data!$K376&gt;TODAY(),0,DATEDIF(Raw_data!$K376,TODAY(),"M")))</f>
        <v/>
      </c>
      <c r="E376">
        <f>--(AND(Raw_data!$AF376="No",OR(Raw_data!$AG376&lt;&gt;"",Raw_data!$AJ376&gt;0,Raw_data!$AK376&lt;&gt;"")))</f>
        <v/>
      </c>
      <c r="F376">
        <f>--(OR(AND(ISNUMBER(B376),B376&lt;0.5,OR(D376&gt;=24,Raw_data!$I376&gt;0)),Raw_data!$AE376=TRUE))</f>
        <v/>
      </c>
      <c r="G376">
        <f>IF(Dashboard!$B$11="Department",Raw_data!$AL376,IF(Dashboard!$B$11="Team",Raw_data!$AM376,IF(Dashboard!$B$11="Unit",Raw_data!$AN376,IF(Dashboard!$B$11="Legal entity",Raw_data!$AO376,IF(Dashboard!$B$11="Location",Raw_data!$AP376,Raw_data!$AQ376)))))</f>
        <v/>
      </c>
      <c r="H376">
        <f>--(AND(ISNUMBER(B376),B376&lt;0.5))</f>
        <v/>
      </c>
      <c r="I376">
        <f>IFERROR(MAX(0,(0.5-B376)*100),0)+IF(D376&gt;=24,20,0)+IF(Raw_data!$I376&gt;0,20,0)+IF(Raw_data!$AE376=TRUE,10,0)</f>
        <v/>
      </c>
      <c r="J376">
        <f>IFERROR(CHOOSE(MATCH(Dashboard!$B$11,{"Department","Team","Unit","Legal entity","Location","Lead"},0),INDEX(Lists!$B$3:$B$20,ROW()-1),INDEX(Lists!$C$3:$C$146,ROW()-1),INDEX(Lists!$D$3:$D$67,ROW()-1),INDEX(Lists!$E$3:$E$5,ROW()-1),INDEX(Lists!$F$3:$F$12,ROW()-1),INDEX(Lists!$G$3:$G$126,ROW()-1)),"")</f>
        <v/>
      </c>
      <c r="K376">
        <f>IF(J376="","",SUMPRODUCT(($A$2:$A$636=1)*($G$2:$G$636=J376)))</f>
        <v/>
      </c>
      <c r="L376">
        <f>IF(J376="","",SUMPRODUCT(($A$2:$A$636=1)*($G$2:$G$636=J376)*(ISNUMBER($B$2:$B$636))*($B$2:$B$636&lt;0.5)))</f>
        <v/>
      </c>
      <c r="M376">
        <f>IFERROR(L376/K376,"")</f>
        <v/>
      </c>
      <c r="N376">
        <f>IF(K376="","",M376+K376/100000+ROW()/100000000)</f>
        <v/>
      </c>
      <c r="R376">
        <f>IF(A376=1,IFERROR(I376,0)+ROW()/100000000,-1E+99)</f>
        <v/>
      </c>
      <c r="S376">
        <f>IF(A376=1,IFERROR(Raw_data!$T376,""),"")</f>
        <v/>
      </c>
      <c r="T376">
        <f>IF(A376=1,IFERROR(Raw_data!$AA376,""),"")</f>
        <v/>
      </c>
      <c r="U376">
        <f>IF(A376=1,IFERROR(Raw_data!$U376,""),"")</f>
        <v/>
      </c>
      <c r="V376">
        <f>IF(A376=1,IFERROR(Raw_data!$AB376,""),"")</f>
        <v/>
      </c>
    </row>
    <row r="377">
      <c r="A377">
        <f>--(AND(OR(Dashboard!$B$4="All",Raw_data!$AL377=Dashboard!$B$4),OR(Dashboard!$B$5="All",Raw_data!$AM377=Dashboard!$B$5),OR(Dashboard!$B$6="All",Raw_data!$AN377=Dashboard!$B$6),OR(Dashboard!$B$7="All",Raw_data!$AO377=Dashboard!$B$7),OR(Dashboard!$B$8="All",Raw_data!$AP377=Dashboard!$B$8),OR(Dashboard!$B$9="All",Raw_data!$AQ377=Dashboard!$B$9),OR(Dashboard!$B$10="All",Raw_data!$AF377=Dashboard!$B$10),OR(Raw_data!$F377="",Raw_data!$F377&lt;=TODAY())))</f>
        <v/>
      </c>
      <c r="B377">
        <f>IFERROR(IF(Dashboard!$B$3="Weighted",Raw_data!$U377,Raw_data!$T377),"")</f>
        <v/>
      </c>
      <c r="C377">
        <f>IFERROR(IF(Dashboard!$B$3="Weighted",Raw_data!$AB377,Raw_data!$AA377),"")</f>
        <v/>
      </c>
      <c r="D377">
        <f>IF(OR(Raw_data!$J377="",Raw_data!$J377&lt;=0,Raw_data!$K377=""),"",IF(Raw_data!$K377&gt;TODAY(),0,DATEDIF(Raw_data!$K377,TODAY(),"M")))</f>
        <v/>
      </c>
      <c r="E377">
        <f>--(AND(Raw_data!$AF377="No",OR(Raw_data!$AG377&lt;&gt;"",Raw_data!$AJ377&gt;0,Raw_data!$AK377&lt;&gt;"")))</f>
        <v/>
      </c>
      <c r="F377">
        <f>--(OR(AND(ISNUMBER(B377),B377&lt;0.5,OR(D377&gt;=24,Raw_data!$I377&gt;0)),Raw_data!$AE377=TRUE))</f>
        <v/>
      </c>
      <c r="G377">
        <f>IF(Dashboard!$B$11="Department",Raw_data!$AL377,IF(Dashboard!$B$11="Team",Raw_data!$AM377,IF(Dashboard!$B$11="Unit",Raw_data!$AN377,IF(Dashboard!$B$11="Legal entity",Raw_data!$AO377,IF(Dashboard!$B$11="Location",Raw_data!$AP377,Raw_data!$AQ377)))))</f>
        <v/>
      </c>
      <c r="H377">
        <f>--(AND(ISNUMBER(B377),B377&lt;0.5))</f>
        <v/>
      </c>
      <c r="I377">
        <f>IFERROR(MAX(0,(0.5-B377)*100),0)+IF(D377&gt;=24,20,0)+IF(Raw_data!$I377&gt;0,20,0)+IF(Raw_data!$AE377=TRUE,10,0)</f>
        <v/>
      </c>
      <c r="J377">
        <f>IFERROR(CHOOSE(MATCH(Dashboard!$B$11,{"Department","Team","Unit","Legal entity","Location","Lead"},0),INDEX(Lists!$B$3:$B$20,ROW()-1),INDEX(Lists!$C$3:$C$146,ROW()-1),INDEX(Lists!$D$3:$D$67,ROW()-1),INDEX(Lists!$E$3:$E$5,ROW()-1),INDEX(Lists!$F$3:$F$12,ROW()-1),INDEX(Lists!$G$3:$G$126,ROW()-1)),"")</f>
        <v/>
      </c>
      <c r="K377">
        <f>IF(J377="","",SUMPRODUCT(($A$2:$A$636=1)*($G$2:$G$636=J377)))</f>
        <v/>
      </c>
      <c r="L377">
        <f>IF(J377="","",SUMPRODUCT(($A$2:$A$636=1)*($G$2:$G$636=J377)*(ISNUMBER($B$2:$B$636))*($B$2:$B$636&lt;0.5)))</f>
        <v/>
      </c>
      <c r="M377">
        <f>IFERROR(L377/K377,"")</f>
        <v/>
      </c>
      <c r="N377">
        <f>IF(K377="","",M377+K377/100000+ROW()/100000000)</f>
        <v/>
      </c>
      <c r="R377">
        <f>IF(A377=1,IFERROR(I377,0)+ROW()/100000000,-1E+99)</f>
        <v/>
      </c>
      <c r="S377">
        <f>IF(A377=1,IFERROR(Raw_data!$T377,""),"")</f>
        <v/>
      </c>
      <c r="T377">
        <f>IF(A377=1,IFERROR(Raw_data!$AA377,""),"")</f>
        <v/>
      </c>
      <c r="U377">
        <f>IF(A377=1,IFERROR(Raw_data!$U377,""),"")</f>
        <v/>
      </c>
      <c r="V377">
        <f>IF(A377=1,IFERROR(Raw_data!$AB377,""),"")</f>
        <v/>
      </c>
    </row>
    <row r="378">
      <c r="A378">
        <f>--(AND(OR(Dashboard!$B$4="All",Raw_data!$AL378=Dashboard!$B$4),OR(Dashboard!$B$5="All",Raw_data!$AM378=Dashboard!$B$5),OR(Dashboard!$B$6="All",Raw_data!$AN378=Dashboard!$B$6),OR(Dashboard!$B$7="All",Raw_data!$AO378=Dashboard!$B$7),OR(Dashboard!$B$8="All",Raw_data!$AP378=Dashboard!$B$8),OR(Dashboard!$B$9="All",Raw_data!$AQ378=Dashboard!$B$9),OR(Dashboard!$B$10="All",Raw_data!$AF378=Dashboard!$B$10),OR(Raw_data!$F378="",Raw_data!$F378&lt;=TODAY())))</f>
        <v/>
      </c>
      <c r="B378">
        <f>IFERROR(IF(Dashboard!$B$3="Weighted",Raw_data!$U378,Raw_data!$T378),"")</f>
        <v/>
      </c>
      <c r="C378">
        <f>IFERROR(IF(Dashboard!$B$3="Weighted",Raw_data!$AB378,Raw_data!$AA378),"")</f>
        <v/>
      </c>
      <c r="D378">
        <f>IF(OR(Raw_data!$J378="",Raw_data!$J378&lt;=0,Raw_data!$K378=""),"",IF(Raw_data!$K378&gt;TODAY(),0,DATEDIF(Raw_data!$K378,TODAY(),"M")))</f>
        <v/>
      </c>
      <c r="E378">
        <f>--(AND(Raw_data!$AF378="No",OR(Raw_data!$AG378&lt;&gt;"",Raw_data!$AJ378&gt;0,Raw_data!$AK378&lt;&gt;"")))</f>
        <v/>
      </c>
      <c r="F378">
        <f>--(OR(AND(ISNUMBER(B378),B378&lt;0.5,OR(D378&gt;=24,Raw_data!$I378&gt;0)),Raw_data!$AE378=TRUE))</f>
        <v/>
      </c>
      <c r="G378">
        <f>IF(Dashboard!$B$11="Department",Raw_data!$AL378,IF(Dashboard!$B$11="Team",Raw_data!$AM378,IF(Dashboard!$B$11="Unit",Raw_data!$AN378,IF(Dashboard!$B$11="Legal entity",Raw_data!$AO378,IF(Dashboard!$B$11="Location",Raw_data!$AP378,Raw_data!$AQ378)))))</f>
        <v/>
      </c>
      <c r="H378">
        <f>--(AND(ISNUMBER(B378),B378&lt;0.5))</f>
        <v/>
      </c>
      <c r="I378">
        <f>IFERROR(MAX(0,(0.5-B378)*100),0)+IF(D378&gt;=24,20,0)+IF(Raw_data!$I378&gt;0,20,0)+IF(Raw_data!$AE378=TRUE,10,0)</f>
        <v/>
      </c>
      <c r="J378">
        <f>IFERROR(CHOOSE(MATCH(Dashboard!$B$11,{"Department","Team","Unit","Legal entity","Location","Lead"},0),INDEX(Lists!$B$3:$B$20,ROW()-1),INDEX(Lists!$C$3:$C$146,ROW()-1),INDEX(Lists!$D$3:$D$67,ROW()-1),INDEX(Lists!$E$3:$E$5,ROW()-1),INDEX(Lists!$F$3:$F$12,ROW()-1),INDEX(Lists!$G$3:$G$126,ROW()-1)),"")</f>
        <v/>
      </c>
      <c r="K378">
        <f>IF(J378="","",SUMPRODUCT(($A$2:$A$636=1)*($G$2:$G$636=J378)))</f>
        <v/>
      </c>
      <c r="L378">
        <f>IF(J378="","",SUMPRODUCT(($A$2:$A$636=1)*($G$2:$G$636=J378)*(ISNUMBER($B$2:$B$636))*($B$2:$B$636&lt;0.5)))</f>
        <v/>
      </c>
      <c r="M378">
        <f>IFERROR(L378/K378,"")</f>
        <v/>
      </c>
      <c r="N378">
        <f>IF(K378="","",M378+K378/100000+ROW()/100000000)</f>
        <v/>
      </c>
      <c r="R378">
        <f>IF(A378=1,IFERROR(I378,0)+ROW()/100000000,-1E+99)</f>
        <v/>
      </c>
      <c r="S378">
        <f>IF(A378=1,IFERROR(Raw_data!$T378,""),"")</f>
        <v/>
      </c>
      <c r="T378">
        <f>IF(A378=1,IFERROR(Raw_data!$AA378,""),"")</f>
        <v/>
      </c>
      <c r="U378">
        <f>IF(A378=1,IFERROR(Raw_data!$U378,""),"")</f>
        <v/>
      </c>
      <c r="V378">
        <f>IF(A378=1,IFERROR(Raw_data!$AB378,""),"")</f>
        <v/>
      </c>
    </row>
    <row r="379">
      <c r="A379">
        <f>--(AND(OR(Dashboard!$B$4="All",Raw_data!$AL379=Dashboard!$B$4),OR(Dashboard!$B$5="All",Raw_data!$AM379=Dashboard!$B$5),OR(Dashboard!$B$6="All",Raw_data!$AN379=Dashboard!$B$6),OR(Dashboard!$B$7="All",Raw_data!$AO379=Dashboard!$B$7),OR(Dashboard!$B$8="All",Raw_data!$AP379=Dashboard!$B$8),OR(Dashboard!$B$9="All",Raw_data!$AQ379=Dashboard!$B$9),OR(Dashboard!$B$10="All",Raw_data!$AF379=Dashboard!$B$10),OR(Raw_data!$F379="",Raw_data!$F379&lt;=TODAY())))</f>
        <v/>
      </c>
      <c r="B379">
        <f>IFERROR(IF(Dashboard!$B$3="Weighted",Raw_data!$U379,Raw_data!$T379),"")</f>
        <v/>
      </c>
      <c r="C379">
        <f>IFERROR(IF(Dashboard!$B$3="Weighted",Raw_data!$AB379,Raw_data!$AA379),"")</f>
        <v/>
      </c>
      <c r="D379">
        <f>IF(OR(Raw_data!$J379="",Raw_data!$J379&lt;=0,Raw_data!$K379=""),"",IF(Raw_data!$K379&gt;TODAY(),0,DATEDIF(Raw_data!$K379,TODAY(),"M")))</f>
        <v/>
      </c>
      <c r="E379">
        <f>--(AND(Raw_data!$AF379="No",OR(Raw_data!$AG379&lt;&gt;"",Raw_data!$AJ379&gt;0,Raw_data!$AK379&lt;&gt;"")))</f>
        <v/>
      </c>
      <c r="F379">
        <f>--(OR(AND(ISNUMBER(B379),B379&lt;0.5,OR(D379&gt;=24,Raw_data!$I379&gt;0)),Raw_data!$AE379=TRUE))</f>
        <v/>
      </c>
      <c r="G379">
        <f>IF(Dashboard!$B$11="Department",Raw_data!$AL379,IF(Dashboard!$B$11="Team",Raw_data!$AM379,IF(Dashboard!$B$11="Unit",Raw_data!$AN379,IF(Dashboard!$B$11="Legal entity",Raw_data!$AO379,IF(Dashboard!$B$11="Location",Raw_data!$AP379,Raw_data!$AQ379)))))</f>
        <v/>
      </c>
      <c r="H379">
        <f>--(AND(ISNUMBER(B379),B379&lt;0.5))</f>
        <v/>
      </c>
      <c r="I379">
        <f>IFERROR(MAX(0,(0.5-B379)*100),0)+IF(D379&gt;=24,20,0)+IF(Raw_data!$I379&gt;0,20,0)+IF(Raw_data!$AE379=TRUE,10,0)</f>
        <v/>
      </c>
      <c r="J379">
        <f>IFERROR(CHOOSE(MATCH(Dashboard!$B$11,{"Department","Team","Unit","Legal entity","Location","Lead"},0),INDEX(Lists!$B$3:$B$20,ROW()-1),INDEX(Lists!$C$3:$C$146,ROW()-1),INDEX(Lists!$D$3:$D$67,ROW()-1),INDEX(Lists!$E$3:$E$5,ROW()-1),INDEX(Lists!$F$3:$F$12,ROW()-1),INDEX(Lists!$G$3:$G$126,ROW()-1)),"")</f>
        <v/>
      </c>
      <c r="K379">
        <f>IF(J379="","",SUMPRODUCT(($A$2:$A$636=1)*($G$2:$G$636=J379)))</f>
        <v/>
      </c>
      <c r="L379">
        <f>IF(J379="","",SUMPRODUCT(($A$2:$A$636=1)*($G$2:$G$636=J379)*(ISNUMBER($B$2:$B$636))*($B$2:$B$636&lt;0.5)))</f>
        <v/>
      </c>
      <c r="M379">
        <f>IFERROR(L379/K379,"")</f>
        <v/>
      </c>
      <c r="N379">
        <f>IF(K379="","",M379+K379/100000+ROW()/100000000)</f>
        <v/>
      </c>
      <c r="R379">
        <f>IF(A379=1,IFERROR(I379,0)+ROW()/100000000,-1E+99)</f>
        <v/>
      </c>
      <c r="S379">
        <f>IF(A379=1,IFERROR(Raw_data!$T379,""),"")</f>
        <v/>
      </c>
      <c r="T379">
        <f>IF(A379=1,IFERROR(Raw_data!$AA379,""),"")</f>
        <v/>
      </c>
      <c r="U379">
        <f>IF(A379=1,IFERROR(Raw_data!$U379,""),"")</f>
        <v/>
      </c>
      <c r="V379">
        <f>IF(A379=1,IFERROR(Raw_data!$AB379,""),"")</f>
        <v/>
      </c>
    </row>
    <row r="380">
      <c r="A380">
        <f>--(AND(OR(Dashboard!$B$4="All",Raw_data!$AL380=Dashboard!$B$4),OR(Dashboard!$B$5="All",Raw_data!$AM380=Dashboard!$B$5),OR(Dashboard!$B$6="All",Raw_data!$AN380=Dashboard!$B$6),OR(Dashboard!$B$7="All",Raw_data!$AO380=Dashboard!$B$7),OR(Dashboard!$B$8="All",Raw_data!$AP380=Dashboard!$B$8),OR(Dashboard!$B$9="All",Raw_data!$AQ380=Dashboard!$B$9),OR(Dashboard!$B$10="All",Raw_data!$AF380=Dashboard!$B$10),OR(Raw_data!$F380="",Raw_data!$F380&lt;=TODAY())))</f>
        <v/>
      </c>
      <c r="B380">
        <f>IFERROR(IF(Dashboard!$B$3="Weighted",Raw_data!$U380,Raw_data!$T380),"")</f>
        <v/>
      </c>
      <c r="C380">
        <f>IFERROR(IF(Dashboard!$B$3="Weighted",Raw_data!$AB380,Raw_data!$AA380),"")</f>
        <v/>
      </c>
      <c r="D380">
        <f>IF(OR(Raw_data!$J380="",Raw_data!$J380&lt;=0,Raw_data!$K380=""),"",IF(Raw_data!$K380&gt;TODAY(),0,DATEDIF(Raw_data!$K380,TODAY(),"M")))</f>
        <v/>
      </c>
      <c r="E380">
        <f>--(AND(Raw_data!$AF380="No",OR(Raw_data!$AG380&lt;&gt;"",Raw_data!$AJ380&gt;0,Raw_data!$AK380&lt;&gt;"")))</f>
        <v/>
      </c>
      <c r="F380">
        <f>--(OR(AND(ISNUMBER(B380),B380&lt;0.5,OR(D380&gt;=24,Raw_data!$I380&gt;0)),Raw_data!$AE380=TRUE))</f>
        <v/>
      </c>
      <c r="G380">
        <f>IF(Dashboard!$B$11="Department",Raw_data!$AL380,IF(Dashboard!$B$11="Team",Raw_data!$AM380,IF(Dashboard!$B$11="Unit",Raw_data!$AN380,IF(Dashboard!$B$11="Legal entity",Raw_data!$AO380,IF(Dashboard!$B$11="Location",Raw_data!$AP380,Raw_data!$AQ380)))))</f>
        <v/>
      </c>
      <c r="H380">
        <f>--(AND(ISNUMBER(B380),B380&lt;0.5))</f>
        <v/>
      </c>
      <c r="I380">
        <f>IFERROR(MAX(0,(0.5-B380)*100),0)+IF(D380&gt;=24,20,0)+IF(Raw_data!$I380&gt;0,20,0)+IF(Raw_data!$AE380=TRUE,10,0)</f>
        <v/>
      </c>
      <c r="J380">
        <f>IFERROR(CHOOSE(MATCH(Dashboard!$B$11,{"Department","Team","Unit","Legal entity","Location","Lead"},0),INDEX(Lists!$B$3:$B$20,ROW()-1),INDEX(Lists!$C$3:$C$146,ROW()-1),INDEX(Lists!$D$3:$D$67,ROW()-1),INDEX(Lists!$E$3:$E$5,ROW()-1),INDEX(Lists!$F$3:$F$12,ROW()-1),INDEX(Lists!$G$3:$G$126,ROW()-1)),"")</f>
        <v/>
      </c>
      <c r="K380">
        <f>IF(J380="","",SUMPRODUCT(($A$2:$A$636=1)*($G$2:$G$636=J380)))</f>
        <v/>
      </c>
      <c r="L380">
        <f>IF(J380="","",SUMPRODUCT(($A$2:$A$636=1)*($G$2:$G$636=J380)*(ISNUMBER($B$2:$B$636))*($B$2:$B$636&lt;0.5)))</f>
        <v/>
      </c>
      <c r="M380">
        <f>IFERROR(L380/K380,"")</f>
        <v/>
      </c>
      <c r="N380">
        <f>IF(K380="","",M380+K380/100000+ROW()/100000000)</f>
        <v/>
      </c>
      <c r="R380">
        <f>IF(A380=1,IFERROR(I380,0)+ROW()/100000000,-1E+99)</f>
        <v/>
      </c>
      <c r="S380">
        <f>IF(A380=1,IFERROR(Raw_data!$T380,""),"")</f>
        <v/>
      </c>
      <c r="T380">
        <f>IF(A380=1,IFERROR(Raw_data!$AA380,""),"")</f>
        <v/>
      </c>
      <c r="U380">
        <f>IF(A380=1,IFERROR(Raw_data!$U380,""),"")</f>
        <v/>
      </c>
      <c r="V380">
        <f>IF(A380=1,IFERROR(Raw_data!$AB380,""),"")</f>
        <v/>
      </c>
    </row>
    <row r="381">
      <c r="A381">
        <f>--(AND(OR(Dashboard!$B$4="All",Raw_data!$AL381=Dashboard!$B$4),OR(Dashboard!$B$5="All",Raw_data!$AM381=Dashboard!$B$5),OR(Dashboard!$B$6="All",Raw_data!$AN381=Dashboard!$B$6),OR(Dashboard!$B$7="All",Raw_data!$AO381=Dashboard!$B$7),OR(Dashboard!$B$8="All",Raw_data!$AP381=Dashboard!$B$8),OR(Dashboard!$B$9="All",Raw_data!$AQ381=Dashboard!$B$9),OR(Dashboard!$B$10="All",Raw_data!$AF381=Dashboard!$B$10),OR(Raw_data!$F381="",Raw_data!$F381&lt;=TODAY())))</f>
        <v/>
      </c>
      <c r="B381">
        <f>IFERROR(IF(Dashboard!$B$3="Weighted",Raw_data!$U381,Raw_data!$T381),"")</f>
        <v/>
      </c>
      <c r="C381">
        <f>IFERROR(IF(Dashboard!$B$3="Weighted",Raw_data!$AB381,Raw_data!$AA381),"")</f>
        <v/>
      </c>
      <c r="D381">
        <f>IF(OR(Raw_data!$J381="",Raw_data!$J381&lt;=0,Raw_data!$K381=""),"",IF(Raw_data!$K381&gt;TODAY(),0,DATEDIF(Raw_data!$K381,TODAY(),"M")))</f>
        <v/>
      </c>
      <c r="E381">
        <f>--(AND(Raw_data!$AF381="No",OR(Raw_data!$AG381&lt;&gt;"",Raw_data!$AJ381&gt;0,Raw_data!$AK381&lt;&gt;"")))</f>
        <v/>
      </c>
      <c r="F381">
        <f>--(OR(AND(ISNUMBER(B381),B381&lt;0.5,OR(D381&gt;=24,Raw_data!$I381&gt;0)),Raw_data!$AE381=TRUE))</f>
        <v/>
      </c>
      <c r="G381">
        <f>IF(Dashboard!$B$11="Department",Raw_data!$AL381,IF(Dashboard!$B$11="Team",Raw_data!$AM381,IF(Dashboard!$B$11="Unit",Raw_data!$AN381,IF(Dashboard!$B$11="Legal entity",Raw_data!$AO381,IF(Dashboard!$B$11="Location",Raw_data!$AP381,Raw_data!$AQ381)))))</f>
        <v/>
      </c>
      <c r="H381">
        <f>--(AND(ISNUMBER(B381),B381&lt;0.5))</f>
        <v/>
      </c>
      <c r="I381">
        <f>IFERROR(MAX(0,(0.5-B381)*100),0)+IF(D381&gt;=24,20,0)+IF(Raw_data!$I381&gt;0,20,0)+IF(Raw_data!$AE381=TRUE,10,0)</f>
        <v/>
      </c>
      <c r="J381">
        <f>IFERROR(CHOOSE(MATCH(Dashboard!$B$11,{"Department","Team","Unit","Legal entity","Location","Lead"},0),INDEX(Lists!$B$3:$B$20,ROW()-1),INDEX(Lists!$C$3:$C$146,ROW()-1),INDEX(Lists!$D$3:$D$67,ROW()-1),INDEX(Lists!$E$3:$E$5,ROW()-1),INDEX(Lists!$F$3:$F$12,ROW()-1),INDEX(Lists!$G$3:$G$126,ROW()-1)),"")</f>
        <v/>
      </c>
      <c r="K381">
        <f>IF(J381="","",SUMPRODUCT(($A$2:$A$636=1)*($G$2:$G$636=J381)))</f>
        <v/>
      </c>
      <c r="L381">
        <f>IF(J381="","",SUMPRODUCT(($A$2:$A$636=1)*($G$2:$G$636=J381)*(ISNUMBER($B$2:$B$636))*($B$2:$B$636&lt;0.5)))</f>
        <v/>
      </c>
      <c r="M381">
        <f>IFERROR(L381/K381,"")</f>
        <v/>
      </c>
      <c r="N381">
        <f>IF(K381="","",M381+K381/100000+ROW()/100000000)</f>
        <v/>
      </c>
      <c r="R381">
        <f>IF(A381=1,IFERROR(I381,0)+ROW()/100000000,-1E+99)</f>
        <v/>
      </c>
      <c r="S381">
        <f>IF(A381=1,IFERROR(Raw_data!$T381,""),"")</f>
        <v/>
      </c>
      <c r="T381">
        <f>IF(A381=1,IFERROR(Raw_data!$AA381,""),"")</f>
        <v/>
      </c>
      <c r="U381">
        <f>IF(A381=1,IFERROR(Raw_data!$U381,""),"")</f>
        <v/>
      </c>
      <c r="V381">
        <f>IF(A381=1,IFERROR(Raw_data!$AB381,""),"")</f>
        <v/>
      </c>
    </row>
    <row r="382">
      <c r="A382">
        <f>--(AND(OR(Dashboard!$B$4="All",Raw_data!$AL382=Dashboard!$B$4),OR(Dashboard!$B$5="All",Raw_data!$AM382=Dashboard!$B$5),OR(Dashboard!$B$6="All",Raw_data!$AN382=Dashboard!$B$6),OR(Dashboard!$B$7="All",Raw_data!$AO382=Dashboard!$B$7),OR(Dashboard!$B$8="All",Raw_data!$AP382=Dashboard!$B$8),OR(Dashboard!$B$9="All",Raw_data!$AQ382=Dashboard!$B$9),OR(Dashboard!$B$10="All",Raw_data!$AF382=Dashboard!$B$10),OR(Raw_data!$F382="",Raw_data!$F382&lt;=TODAY())))</f>
        <v/>
      </c>
      <c r="B382">
        <f>IFERROR(IF(Dashboard!$B$3="Weighted",Raw_data!$U382,Raw_data!$T382),"")</f>
        <v/>
      </c>
      <c r="C382">
        <f>IFERROR(IF(Dashboard!$B$3="Weighted",Raw_data!$AB382,Raw_data!$AA382),"")</f>
        <v/>
      </c>
      <c r="D382">
        <f>IF(OR(Raw_data!$J382="",Raw_data!$J382&lt;=0,Raw_data!$K382=""),"",IF(Raw_data!$K382&gt;TODAY(),0,DATEDIF(Raw_data!$K382,TODAY(),"M")))</f>
        <v/>
      </c>
      <c r="E382">
        <f>--(AND(Raw_data!$AF382="No",OR(Raw_data!$AG382&lt;&gt;"",Raw_data!$AJ382&gt;0,Raw_data!$AK382&lt;&gt;"")))</f>
        <v/>
      </c>
      <c r="F382">
        <f>--(OR(AND(ISNUMBER(B382),B382&lt;0.5,OR(D382&gt;=24,Raw_data!$I382&gt;0)),Raw_data!$AE382=TRUE))</f>
        <v/>
      </c>
      <c r="G382">
        <f>IF(Dashboard!$B$11="Department",Raw_data!$AL382,IF(Dashboard!$B$11="Team",Raw_data!$AM382,IF(Dashboard!$B$11="Unit",Raw_data!$AN382,IF(Dashboard!$B$11="Legal entity",Raw_data!$AO382,IF(Dashboard!$B$11="Location",Raw_data!$AP382,Raw_data!$AQ382)))))</f>
        <v/>
      </c>
      <c r="H382">
        <f>--(AND(ISNUMBER(B382),B382&lt;0.5))</f>
        <v/>
      </c>
      <c r="I382">
        <f>IFERROR(MAX(0,(0.5-B382)*100),0)+IF(D382&gt;=24,20,0)+IF(Raw_data!$I382&gt;0,20,0)+IF(Raw_data!$AE382=TRUE,10,0)</f>
        <v/>
      </c>
      <c r="J382">
        <f>IFERROR(CHOOSE(MATCH(Dashboard!$B$11,{"Department","Team","Unit","Legal entity","Location","Lead"},0),INDEX(Lists!$B$3:$B$20,ROW()-1),INDEX(Lists!$C$3:$C$146,ROW()-1),INDEX(Lists!$D$3:$D$67,ROW()-1),INDEX(Lists!$E$3:$E$5,ROW()-1),INDEX(Lists!$F$3:$F$12,ROW()-1),INDEX(Lists!$G$3:$G$126,ROW()-1)),"")</f>
        <v/>
      </c>
      <c r="K382">
        <f>IF(J382="","",SUMPRODUCT(($A$2:$A$636=1)*($G$2:$G$636=J382)))</f>
        <v/>
      </c>
      <c r="L382">
        <f>IF(J382="","",SUMPRODUCT(($A$2:$A$636=1)*($G$2:$G$636=J382)*(ISNUMBER($B$2:$B$636))*($B$2:$B$636&lt;0.5)))</f>
        <v/>
      </c>
      <c r="M382">
        <f>IFERROR(L382/K382,"")</f>
        <v/>
      </c>
      <c r="N382">
        <f>IF(K382="","",M382+K382/100000+ROW()/100000000)</f>
        <v/>
      </c>
      <c r="R382">
        <f>IF(A382=1,IFERROR(I382,0)+ROW()/100000000,-1E+99)</f>
        <v/>
      </c>
      <c r="S382">
        <f>IF(A382=1,IFERROR(Raw_data!$T382,""),"")</f>
        <v/>
      </c>
      <c r="T382">
        <f>IF(A382=1,IFERROR(Raw_data!$AA382,""),"")</f>
        <v/>
      </c>
      <c r="U382">
        <f>IF(A382=1,IFERROR(Raw_data!$U382,""),"")</f>
        <v/>
      </c>
      <c r="V382">
        <f>IF(A382=1,IFERROR(Raw_data!$AB382,""),"")</f>
        <v/>
      </c>
    </row>
    <row r="383">
      <c r="A383">
        <f>--(AND(OR(Dashboard!$B$4="All",Raw_data!$AL383=Dashboard!$B$4),OR(Dashboard!$B$5="All",Raw_data!$AM383=Dashboard!$B$5),OR(Dashboard!$B$6="All",Raw_data!$AN383=Dashboard!$B$6),OR(Dashboard!$B$7="All",Raw_data!$AO383=Dashboard!$B$7),OR(Dashboard!$B$8="All",Raw_data!$AP383=Dashboard!$B$8),OR(Dashboard!$B$9="All",Raw_data!$AQ383=Dashboard!$B$9),OR(Dashboard!$B$10="All",Raw_data!$AF383=Dashboard!$B$10),OR(Raw_data!$F383="",Raw_data!$F383&lt;=TODAY())))</f>
        <v/>
      </c>
      <c r="B383">
        <f>IFERROR(IF(Dashboard!$B$3="Weighted",Raw_data!$U383,Raw_data!$T383),"")</f>
        <v/>
      </c>
      <c r="C383">
        <f>IFERROR(IF(Dashboard!$B$3="Weighted",Raw_data!$AB383,Raw_data!$AA383),"")</f>
        <v/>
      </c>
      <c r="D383">
        <f>IF(OR(Raw_data!$J383="",Raw_data!$J383&lt;=0,Raw_data!$K383=""),"",IF(Raw_data!$K383&gt;TODAY(),0,DATEDIF(Raw_data!$K383,TODAY(),"M")))</f>
        <v/>
      </c>
      <c r="E383">
        <f>--(AND(Raw_data!$AF383="No",OR(Raw_data!$AG383&lt;&gt;"",Raw_data!$AJ383&gt;0,Raw_data!$AK383&lt;&gt;"")))</f>
        <v/>
      </c>
      <c r="F383">
        <f>--(OR(AND(ISNUMBER(B383),B383&lt;0.5,OR(D383&gt;=24,Raw_data!$I383&gt;0)),Raw_data!$AE383=TRUE))</f>
        <v/>
      </c>
      <c r="G383">
        <f>IF(Dashboard!$B$11="Department",Raw_data!$AL383,IF(Dashboard!$B$11="Team",Raw_data!$AM383,IF(Dashboard!$B$11="Unit",Raw_data!$AN383,IF(Dashboard!$B$11="Legal entity",Raw_data!$AO383,IF(Dashboard!$B$11="Location",Raw_data!$AP383,Raw_data!$AQ383)))))</f>
        <v/>
      </c>
      <c r="H383">
        <f>--(AND(ISNUMBER(B383),B383&lt;0.5))</f>
        <v/>
      </c>
      <c r="I383">
        <f>IFERROR(MAX(0,(0.5-B383)*100),0)+IF(D383&gt;=24,20,0)+IF(Raw_data!$I383&gt;0,20,0)+IF(Raw_data!$AE383=TRUE,10,0)</f>
        <v/>
      </c>
      <c r="J383">
        <f>IFERROR(CHOOSE(MATCH(Dashboard!$B$11,{"Department","Team","Unit","Legal entity","Location","Lead"},0),INDEX(Lists!$B$3:$B$20,ROW()-1),INDEX(Lists!$C$3:$C$146,ROW()-1),INDEX(Lists!$D$3:$D$67,ROW()-1),INDEX(Lists!$E$3:$E$5,ROW()-1),INDEX(Lists!$F$3:$F$12,ROW()-1),INDEX(Lists!$G$3:$G$126,ROW()-1)),"")</f>
        <v/>
      </c>
      <c r="K383">
        <f>IF(J383="","",SUMPRODUCT(($A$2:$A$636=1)*($G$2:$G$636=J383)))</f>
        <v/>
      </c>
      <c r="L383">
        <f>IF(J383="","",SUMPRODUCT(($A$2:$A$636=1)*($G$2:$G$636=J383)*(ISNUMBER($B$2:$B$636))*($B$2:$B$636&lt;0.5)))</f>
        <v/>
      </c>
      <c r="M383">
        <f>IFERROR(L383/K383,"")</f>
        <v/>
      </c>
      <c r="N383">
        <f>IF(K383="","",M383+K383/100000+ROW()/100000000)</f>
        <v/>
      </c>
      <c r="R383">
        <f>IF(A383=1,IFERROR(I383,0)+ROW()/100000000,-1E+99)</f>
        <v/>
      </c>
      <c r="S383">
        <f>IF(A383=1,IFERROR(Raw_data!$T383,""),"")</f>
        <v/>
      </c>
      <c r="T383">
        <f>IF(A383=1,IFERROR(Raw_data!$AA383,""),"")</f>
        <v/>
      </c>
      <c r="U383">
        <f>IF(A383=1,IFERROR(Raw_data!$U383,""),"")</f>
        <v/>
      </c>
      <c r="V383">
        <f>IF(A383=1,IFERROR(Raw_data!$AB383,""),"")</f>
        <v/>
      </c>
    </row>
    <row r="384">
      <c r="A384">
        <f>--(AND(OR(Dashboard!$B$4="All",Raw_data!$AL384=Dashboard!$B$4),OR(Dashboard!$B$5="All",Raw_data!$AM384=Dashboard!$B$5),OR(Dashboard!$B$6="All",Raw_data!$AN384=Dashboard!$B$6),OR(Dashboard!$B$7="All",Raw_data!$AO384=Dashboard!$B$7),OR(Dashboard!$B$8="All",Raw_data!$AP384=Dashboard!$B$8),OR(Dashboard!$B$9="All",Raw_data!$AQ384=Dashboard!$B$9),OR(Dashboard!$B$10="All",Raw_data!$AF384=Dashboard!$B$10),OR(Raw_data!$F384="",Raw_data!$F384&lt;=TODAY())))</f>
        <v/>
      </c>
      <c r="B384">
        <f>IFERROR(IF(Dashboard!$B$3="Weighted",Raw_data!$U384,Raw_data!$T384),"")</f>
        <v/>
      </c>
      <c r="C384">
        <f>IFERROR(IF(Dashboard!$B$3="Weighted",Raw_data!$AB384,Raw_data!$AA384),"")</f>
        <v/>
      </c>
      <c r="D384">
        <f>IF(OR(Raw_data!$J384="",Raw_data!$J384&lt;=0,Raw_data!$K384=""),"",IF(Raw_data!$K384&gt;TODAY(),0,DATEDIF(Raw_data!$K384,TODAY(),"M")))</f>
        <v/>
      </c>
      <c r="E384">
        <f>--(AND(Raw_data!$AF384="No",OR(Raw_data!$AG384&lt;&gt;"",Raw_data!$AJ384&gt;0,Raw_data!$AK384&lt;&gt;"")))</f>
        <v/>
      </c>
      <c r="F384">
        <f>--(OR(AND(ISNUMBER(B384),B384&lt;0.5,OR(D384&gt;=24,Raw_data!$I384&gt;0)),Raw_data!$AE384=TRUE))</f>
        <v/>
      </c>
      <c r="G384">
        <f>IF(Dashboard!$B$11="Department",Raw_data!$AL384,IF(Dashboard!$B$11="Team",Raw_data!$AM384,IF(Dashboard!$B$11="Unit",Raw_data!$AN384,IF(Dashboard!$B$11="Legal entity",Raw_data!$AO384,IF(Dashboard!$B$11="Location",Raw_data!$AP384,Raw_data!$AQ384)))))</f>
        <v/>
      </c>
      <c r="H384">
        <f>--(AND(ISNUMBER(B384),B384&lt;0.5))</f>
        <v/>
      </c>
      <c r="I384">
        <f>IFERROR(MAX(0,(0.5-B384)*100),0)+IF(D384&gt;=24,20,0)+IF(Raw_data!$I384&gt;0,20,0)+IF(Raw_data!$AE384=TRUE,10,0)</f>
        <v/>
      </c>
      <c r="J384">
        <f>IFERROR(CHOOSE(MATCH(Dashboard!$B$11,{"Department","Team","Unit","Legal entity","Location","Lead"},0),INDEX(Lists!$B$3:$B$20,ROW()-1),INDEX(Lists!$C$3:$C$146,ROW()-1),INDEX(Lists!$D$3:$D$67,ROW()-1),INDEX(Lists!$E$3:$E$5,ROW()-1),INDEX(Lists!$F$3:$F$12,ROW()-1),INDEX(Lists!$G$3:$G$126,ROW()-1)),"")</f>
        <v/>
      </c>
      <c r="K384">
        <f>IF(J384="","",SUMPRODUCT(($A$2:$A$636=1)*($G$2:$G$636=J384)))</f>
        <v/>
      </c>
      <c r="L384">
        <f>IF(J384="","",SUMPRODUCT(($A$2:$A$636=1)*($G$2:$G$636=J384)*(ISNUMBER($B$2:$B$636))*($B$2:$B$636&lt;0.5)))</f>
        <v/>
      </c>
      <c r="M384">
        <f>IFERROR(L384/K384,"")</f>
        <v/>
      </c>
      <c r="N384">
        <f>IF(K384="","",M384+K384/100000+ROW()/100000000)</f>
        <v/>
      </c>
      <c r="R384">
        <f>IF(A384=1,IFERROR(I384,0)+ROW()/100000000,-1E+99)</f>
        <v/>
      </c>
      <c r="S384">
        <f>IF(A384=1,IFERROR(Raw_data!$T384,""),"")</f>
        <v/>
      </c>
      <c r="T384">
        <f>IF(A384=1,IFERROR(Raw_data!$AA384,""),"")</f>
        <v/>
      </c>
      <c r="U384">
        <f>IF(A384=1,IFERROR(Raw_data!$U384,""),"")</f>
        <v/>
      </c>
      <c r="V384">
        <f>IF(A384=1,IFERROR(Raw_data!$AB384,""),"")</f>
        <v/>
      </c>
    </row>
    <row r="385">
      <c r="A385">
        <f>--(AND(OR(Dashboard!$B$4="All",Raw_data!$AL385=Dashboard!$B$4),OR(Dashboard!$B$5="All",Raw_data!$AM385=Dashboard!$B$5),OR(Dashboard!$B$6="All",Raw_data!$AN385=Dashboard!$B$6),OR(Dashboard!$B$7="All",Raw_data!$AO385=Dashboard!$B$7),OR(Dashboard!$B$8="All",Raw_data!$AP385=Dashboard!$B$8),OR(Dashboard!$B$9="All",Raw_data!$AQ385=Dashboard!$B$9),OR(Dashboard!$B$10="All",Raw_data!$AF385=Dashboard!$B$10),OR(Raw_data!$F385="",Raw_data!$F385&lt;=TODAY())))</f>
        <v/>
      </c>
      <c r="B385">
        <f>IFERROR(IF(Dashboard!$B$3="Weighted",Raw_data!$U385,Raw_data!$T385),"")</f>
        <v/>
      </c>
      <c r="C385">
        <f>IFERROR(IF(Dashboard!$B$3="Weighted",Raw_data!$AB385,Raw_data!$AA385),"")</f>
        <v/>
      </c>
      <c r="D385">
        <f>IF(OR(Raw_data!$J385="",Raw_data!$J385&lt;=0,Raw_data!$K385=""),"",IF(Raw_data!$K385&gt;TODAY(),0,DATEDIF(Raw_data!$K385,TODAY(),"M")))</f>
        <v/>
      </c>
      <c r="E385">
        <f>--(AND(Raw_data!$AF385="No",OR(Raw_data!$AG385&lt;&gt;"",Raw_data!$AJ385&gt;0,Raw_data!$AK385&lt;&gt;"")))</f>
        <v/>
      </c>
      <c r="F385">
        <f>--(OR(AND(ISNUMBER(B385),B385&lt;0.5,OR(D385&gt;=24,Raw_data!$I385&gt;0)),Raw_data!$AE385=TRUE))</f>
        <v/>
      </c>
      <c r="G385">
        <f>IF(Dashboard!$B$11="Department",Raw_data!$AL385,IF(Dashboard!$B$11="Team",Raw_data!$AM385,IF(Dashboard!$B$11="Unit",Raw_data!$AN385,IF(Dashboard!$B$11="Legal entity",Raw_data!$AO385,IF(Dashboard!$B$11="Location",Raw_data!$AP385,Raw_data!$AQ385)))))</f>
        <v/>
      </c>
      <c r="H385">
        <f>--(AND(ISNUMBER(B385),B385&lt;0.5))</f>
        <v/>
      </c>
      <c r="I385">
        <f>IFERROR(MAX(0,(0.5-B385)*100),0)+IF(D385&gt;=24,20,0)+IF(Raw_data!$I385&gt;0,20,0)+IF(Raw_data!$AE385=TRUE,10,0)</f>
        <v/>
      </c>
      <c r="J385">
        <f>IFERROR(CHOOSE(MATCH(Dashboard!$B$11,{"Department","Team","Unit","Legal entity","Location","Lead"},0),INDEX(Lists!$B$3:$B$20,ROW()-1),INDEX(Lists!$C$3:$C$146,ROW()-1),INDEX(Lists!$D$3:$D$67,ROW()-1),INDEX(Lists!$E$3:$E$5,ROW()-1),INDEX(Lists!$F$3:$F$12,ROW()-1),INDEX(Lists!$G$3:$G$126,ROW()-1)),"")</f>
        <v/>
      </c>
      <c r="K385">
        <f>IF(J385="","",SUMPRODUCT(($A$2:$A$636=1)*($G$2:$G$636=J385)))</f>
        <v/>
      </c>
      <c r="L385">
        <f>IF(J385="","",SUMPRODUCT(($A$2:$A$636=1)*($G$2:$G$636=J385)*(ISNUMBER($B$2:$B$636))*($B$2:$B$636&lt;0.5)))</f>
        <v/>
      </c>
      <c r="M385">
        <f>IFERROR(L385/K385,"")</f>
        <v/>
      </c>
      <c r="N385">
        <f>IF(K385="","",M385+K385/100000+ROW()/100000000)</f>
        <v/>
      </c>
      <c r="R385">
        <f>IF(A385=1,IFERROR(I385,0)+ROW()/100000000,-1E+99)</f>
        <v/>
      </c>
      <c r="S385">
        <f>IF(A385=1,IFERROR(Raw_data!$T385,""),"")</f>
        <v/>
      </c>
      <c r="T385">
        <f>IF(A385=1,IFERROR(Raw_data!$AA385,""),"")</f>
        <v/>
      </c>
      <c r="U385">
        <f>IF(A385=1,IFERROR(Raw_data!$U385,""),"")</f>
        <v/>
      </c>
      <c r="V385">
        <f>IF(A385=1,IFERROR(Raw_data!$AB385,""),"")</f>
        <v/>
      </c>
    </row>
    <row r="386">
      <c r="A386">
        <f>--(AND(OR(Dashboard!$B$4="All",Raw_data!$AL386=Dashboard!$B$4),OR(Dashboard!$B$5="All",Raw_data!$AM386=Dashboard!$B$5),OR(Dashboard!$B$6="All",Raw_data!$AN386=Dashboard!$B$6),OR(Dashboard!$B$7="All",Raw_data!$AO386=Dashboard!$B$7),OR(Dashboard!$B$8="All",Raw_data!$AP386=Dashboard!$B$8),OR(Dashboard!$B$9="All",Raw_data!$AQ386=Dashboard!$B$9),OR(Dashboard!$B$10="All",Raw_data!$AF386=Dashboard!$B$10),OR(Raw_data!$F386="",Raw_data!$F386&lt;=TODAY())))</f>
        <v/>
      </c>
      <c r="B386">
        <f>IFERROR(IF(Dashboard!$B$3="Weighted",Raw_data!$U386,Raw_data!$T386),"")</f>
        <v/>
      </c>
      <c r="C386">
        <f>IFERROR(IF(Dashboard!$B$3="Weighted",Raw_data!$AB386,Raw_data!$AA386),"")</f>
        <v/>
      </c>
      <c r="D386">
        <f>IF(OR(Raw_data!$J386="",Raw_data!$J386&lt;=0,Raw_data!$K386=""),"",IF(Raw_data!$K386&gt;TODAY(),0,DATEDIF(Raw_data!$K386,TODAY(),"M")))</f>
        <v/>
      </c>
      <c r="E386">
        <f>--(AND(Raw_data!$AF386="No",OR(Raw_data!$AG386&lt;&gt;"",Raw_data!$AJ386&gt;0,Raw_data!$AK386&lt;&gt;"")))</f>
        <v/>
      </c>
      <c r="F386">
        <f>--(OR(AND(ISNUMBER(B386),B386&lt;0.5,OR(D386&gt;=24,Raw_data!$I386&gt;0)),Raw_data!$AE386=TRUE))</f>
        <v/>
      </c>
      <c r="G386">
        <f>IF(Dashboard!$B$11="Department",Raw_data!$AL386,IF(Dashboard!$B$11="Team",Raw_data!$AM386,IF(Dashboard!$B$11="Unit",Raw_data!$AN386,IF(Dashboard!$B$11="Legal entity",Raw_data!$AO386,IF(Dashboard!$B$11="Location",Raw_data!$AP386,Raw_data!$AQ386)))))</f>
        <v/>
      </c>
      <c r="H386">
        <f>--(AND(ISNUMBER(B386),B386&lt;0.5))</f>
        <v/>
      </c>
      <c r="I386">
        <f>IFERROR(MAX(0,(0.5-B386)*100),0)+IF(D386&gt;=24,20,0)+IF(Raw_data!$I386&gt;0,20,0)+IF(Raw_data!$AE386=TRUE,10,0)</f>
        <v/>
      </c>
      <c r="J386">
        <f>IFERROR(CHOOSE(MATCH(Dashboard!$B$11,{"Department","Team","Unit","Legal entity","Location","Lead"},0),INDEX(Lists!$B$3:$B$20,ROW()-1),INDEX(Lists!$C$3:$C$146,ROW()-1),INDEX(Lists!$D$3:$D$67,ROW()-1),INDEX(Lists!$E$3:$E$5,ROW()-1),INDEX(Lists!$F$3:$F$12,ROW()-1),INDEX(Lists!$G$3:$G$126,ROW()-1)),"")</f>
        <v/>
      </c>
      <c r="K386">
        <f>IF(J386="","",SUMPRODUCT(($A$2:$A$636=1)*($G$2:$G$636=J386)))</f>
        <v/>
      </c>
      <c r="L386">
        <f>IF(J386="","",SUMPRODUCT(($A$2:$A$636=1)*($G$2:$G$636=J386)*(ISNUMBER($B$2:$B$636))*($B$2:$B$636&lt;0.5)))</f>
        <v/>
      </c>
      <c r="M386">
        <f>IFERROR(L386/K386,"")</f>
        <v/>
      </c>
      <c r="N386">
        <f>IF(K386="","",M386+K386/100000+ROW()/100000000)</f>
        <v/>
      </c>
      <c r="R386">
        <f>IF(A386=1,IFERROR(I386,0)+ROW()/100000000,-1E+99)</f>
        <v/>
      </c>
      <c r="S386">
        <f>IF(A386=1,IFERROR(Raw_data!$T386,""),"")</f>
        <v/>
      </c>
      <c r="T386">
        <f>IF(A386=1,IFERROR(Raw_data!$AA386,""),"")</f>
        <v/>
      </c>
      <c r="U386">
        <f>IF(A386=1,IFERROR(Raw_data!$U386,""),"")</f>
        <v/>
      </c>
      <c r="V386">
        <f>IF(A386=1,IFERROR(Raw_data!$AB386,""),"")</f>
        <v/>
      </c>
    </row>
    <row r="387">
      <c r="A387">
        <f>--(AND(OR(Dashboard!$B$4="All",Raw_data!$AL387=Dashboard!$B$4),OR(Dashboard!$B$5="All",Raw_data!$AM387=Dashboard!$B$5),OR(Dashboard!$B$6="All",Raw_data!$AN387=Dashboard!$B$6),OR(Dashboard!$B$7="All",Raw_data!$AO387=Dashboard!$B$7),OR(Dashboard!$B$8="All",Raw_data!$AP387=Dashboard!$B$8),OR(Dashboard!$B$9="All",Raw_data!$AQ387=Dashboard!$B$9),OR(Dashboard!$B$10="All",Raw_data!$AF387=Dashboard!$B$10),OR(Raw_data!$F387="",Raw_data!$F387&lt;=TODAY())))</f>
        <v/>
      </c>
      <c r="B387">
        <f>IFERROR(IF(Dashboard!$B$3="Weighted",Raw_data!$U387,Raw_data!$T387),"")</f>
        <v/>
      </c>
      <c r="C387">
        <f>IFERROR(IF(Dashboard!$B$3="Weighted",Raw_data!$AB387,Raw_data!$AA387),"")</f>
        <v/>
      </c>
      <c r="D387">
        <f>IF(OR(Raw_data!$J387="",Raw_data!$J387&lt;=0,Raw_data!$K387=""),"",IF(Raw_data!$K387&gt;TODAY(),0,DATEDIF(Raw_data!$K387,TODAY(),"M")))</f>
        <v/>
      </c>
      <c r="E387">
        <f>--(AND(Raw_data!$AF387="No",OR(Raw_data!$AG387&lt;&gt;"",Raw_data!$AJ387&gt;0,Raw_data!$AK387&lt;&gt;"")))</f>
        <v/>
      </c>
      <c r="F387">
        <f>--(OR(AND(ISNUMBER(B387),B387&lt;0.5,OR(D387&gt;=24,Raw_data!$I387&gt;0)),Raw_data!$AE387=TRUE))</f>
        <v/>
      </c>
      <c r="G387">
        <f>IF(Dashboard!$B$11="Department",Raw_data!$AL387,IF(Dashboard!$B$11="Team",Raw_data!$AM387,IF(Dashboard!$B$11="Unit",Raw_data!$AN387,IF(Dashboard!$B$11="Legal entity",Raw_data!$AO387,IF(Dashboard!$B$11="Location",Raw_data!$AP387,Raw_data!$AQ387)))))</f>
        <v/>
      </c>
      <c r="H387">
        <f>--(AND(ISNUMBER(B387),B387&lt;0.5))</f>
        <v/>
      </c>
      <c r="I387">
        <f>IFERROR(MAX(0,(0.5-B387)*100),0)+IF(D387&gt;=24,20,0)+IF(Raw_data!$I387&gt;0,20,0)+IF(Raw_data!$AE387=TRUE,10,0)</f>
        <v/>
      </c>
      <c r="J387">
        <f>IFERROR(CHOOSE(MATCH(Dashboard!$B$11,{"Department","Team","Unit","Legal entity","Location","Lead"},0),INDEX(Lists!$B$3:$B$20,ROW()-1),INDEX(Lists!$C$3:$C$146,ROW()-1),INDEX(Lists!$D$3:$D$67,ROW()-1),INDEX(Lists!$E$3:$E$5,ROW()-1),INDEX(Lists!$F$3:$F$12,ROW()-1),INDEX(Lists!$G$3:$G$126,ROW()-1)),"")</f>
        <v/>
      </c>
      <c r="K387">
        <f>IF(J387="","",SUMPRODUCT(($A$2:$A$636=1)*($G$2:$G$636=J387)))</f>
        <v/>
      </c>
      <c r="L387">
        <f>IF(J387="","",SUMPRODUCT(($A$2:$A$636=1)*($G$2:$G$636=J387)*(ISNUMBER($B$2:$B$636))*($B$2:$B$636&lt;0.5)))</f>
        <v/>
      </c>
      <c r="M387">
        <f>IFERROR(L387/K387,"")</f>
        <v/>
      </c>
      <c r="N387">
        <f>IF(K387="","",M387+K387/100000+ROW()/100000000)</f>
        <v/>
      </c>
      <c r="R387">
        <f>IF(A387=1,IFERROR(I387,0)+ROW()/100000000,-1E+99)</f>
        <v/>
      </c>
      <c r="S387">
        <f>IF(A387=1,IFERROR(Raw_data!$T387,""),"")</f>
        <v/>
      </c>
      <c r="T387">
        <f>IF(A387=1,IFERROR(Raw_data!$AA387,""),"")</f>
        <v/>
      </c>
      <c r="U387">
        <f>IF(A387=1,IFERROR(Raw_data!$U387,""),"")</f>
        <v/>
      </c>
      <c r="V387">
        <f>IF(A387=1,IFERROR(Raw_data!$AB387,""),"")</f>
        <v/>
      </c>
    </row>
    <row r="388">
      <c r="A388">
        <f>--(AND(OR(Dashboard!$B$4="All",Raw_data!$AL388=Dashboard!$B$4),OR(Dashboard!$B$5="All",Raw_data!$AM388=Dashboard!$B$5),OR(Dashboard!$B$6="All",Raw_data!$AN388=Dashboard!$B$6),OR(Dashboard!$B$7="All",Raw_data!$AO388=Dashboard!$B$7),OR(Dashboard!$B$8="All",Raw_data!$AP388=Dashboard!$B$8),OR(Dashboard!$B$9="All",Raw_data!$AQ388=Dashboard!$B$9),OR(Dashboard!$B$10="All",Raw_data!$AF388=Dashboard!$B$10),OR(Raw_data!$F388="",Raw_data!$F388&lt;=TODAY())))</f>
        <v/>
      </c>
      <c r="B388">
        <f>IFERROR(IF(Dashboard!$B$3="Weighted",Raw_data!$U388,Raw_data!$T388),"")</f>
        <v/>
      </c>
      <c r="C388">
        <f>IFERROR(IF(Dashboard!$B$3="Weighted",Raw_data!$AB388,Raw_data!$AA388),"")</f>
        <v/>
      </c>
      <c r="D388">
        <f>IF(OR(Raw_data!$J388="",Raw_data!$J388&lt;=0,Raw_data!$K388=""),"",IF(Raw_data!$K388&gt;TODAY(),0,DATEDIF(Raw_data!$K388,TODAY(),"M")))</f>
        <v/>
      </c>
      <c r="E388">
        <f>--(AND(Raw_data!$AF388="No",OR(Raw_data!$AG388&lt;&gt;"",Raw_data!$AJ388&gt;0,Raw_data!$AK388&lt;&gt;"")))</f>
        <v/>
      </c>
      <c r="F388">
        <f>--(OR(AND(ISNUMBER(B388),B388&lt;0.5,OR(D388&gt;=24,Raw_data!$I388&gt;0)),Raw_data!$AE388=TRUE))</f>
        <v/>
      </c>
      <c r="G388">
        <f>IF(Dashboard!$B$11="Department",Raw_data!$AL388,IF(Dashboard!$B$11="Team",Raw_data!$AM388,IF(Dashboard!$B$11="Unit",Raw_data!$AN388,IF(Dashboard!$B$11="Legal entity",Raw_data!$AO388,IF(Dashboard!$B$11="Location",Raw_data!$AP388,Raw_data!$AQ388)))))</f>
        <v/>
      </c>
      <c r="H388">
        <f>--(AND(ISNUMBER(B388),B388&lt;0.5))</f>
        <v/>
      </c>
      <c r="I388">
        <f>IFERROR(MAX(0,(0.5-B388)*100),0)+IF(D388&gt;=24,20,0)+IF(Raw_data!$I388&gt;0,20,0)+IF(Raw_data!$AE388=TRUE,10,0)</f>
        <v/>
      </c>
      <c r="J388">
        <f>IFERROR(CHOOSE(MATCH(Dashboard!$B$11,{"Department","Team","Unit","Legal entity","Location","Lead"},0),INDEX(Lists!$B$3:$B$20,ROW()-1),INDEX(Lists!$C$3:$C$146,ROW()-1),INDEX(Lists!$D$3:$D$67,ROW()-1),INDEX(Lists!$E$3:$E$5,ROW()-1),INDEX(Lists!$F$3:$F$12,ROW()-1),INDEX(Lists!$G$3:$G$126,ROW()-1)),"")</f>
        <v/>
      </c>
      <c r="K388">
        <f>IF(J388="","",SUMPRODUCT(($A$2:$A$636=1)*($G$2:$G$636=J388)))</f>
        <v/>
      </c>
      <c r="L388">
        <f>IF(J388="","",SUMPRODUCT(($A$2:$A$636=1)*($G$2:$G$636=J388)*(ISNUMBER($B$2:$B$636))*($B$2:$B$636&lt;0.5)))</f>
        <v/>
      </c>
      <c r="M388">
        <f>IFERROR(L388/K388,"")</f>
        <v/>
      </c>
      <c r="N388">
        <f>IF(K388="","",M388+K388/100000+ROW()/100000000)</f>
        <v/>
      </c>
      <c r="R388">
        <f>IF(A388=1,IFERROR(I388,0)+ROW()/100000000,-1E+99)</f>
        <v/>
      </c>
      <c r="S388">
        <f>IF(A388=1,IFERROR(Raw_data!$T388,""),"")</f>
        <v/>
      </c>
      <c r="T388">
        <f>IF(A388=1,IFERROR(Raw_data!$AA388,""),"")</f>
        <v/>
      </c>
      <c r="U388">
        <f>IF(A388=1,IFERROR(Raw_data!$U388,""),"")</f>
        <v/>
      </c>
      <c r="V388">
        <f>IF(A388=1,IFERROR(Raw_data!$AB388,""),"")</f>
        <v/>
      </c>
    </row>
    <row r="389">
      <c r="A389">
        <f>--(AND(OR(Dashboard!$B$4="All",Raw_data!$AL389=Dashboard!$B$4),OR(Dashboard!$B$5="All",Raw_data!$AM389=Dashboard!$B$5),OR(Dashboard!$B$6="All",Raw_data!$AN389=Dashboard!$B$6),OR(Dashboard!$B$7="All",Raw_data!$AO389=Dashboard!$B$7),OR(Dashboard!$B$8="All",Raw_data!$AP389=Dashboard!$B$8),OR(Dashboard!$B$9="All",Raw_data!$AQ389=Dashboard!$B$9),OR(Dashboard!$B$10="All",Raw_data!$AF389=Dashboard!$B$10),OR(Raw_data!$F389="",Raw_data!$F389&lt;=TODAY())))</f>
        <v/>
      </c>
      <c r="B389">
        <f>IFERROR(IF(Dashboard!$B$3="Weighted",Raw_data!$U389,Raw_data!$T389),"")</f>
        <v/>
      </c>
      <c r="C389">
        <f>IFERROR(IF(Dashboard!$B$3="Weighted",Raw_data!$AB389,Raw_data!$AA389),"")</f>
        <v/>
      </c>
      <c r="D389">
        <f>IF(OR(Raw_data!$J389="",Raw_data!$J389&lt;=0,Raw_data!$K389=""),"",IF(Raw_data!$K389&gt;TODAY(),0,DATEDIF(Raw_data!$K389,TODAY(),"M")))</f>
        <v/>
      </c>
      <c r="E389">
        <f>--(AND(Raw_data!$AF389="No",OR(Raw_data!$AG389&lt;&gt;"",Raw_data!$AJ389&gt;0,Raw_data!$AK389&lt;&gt;"")))</f>
        <v/>
      </c>
      <c r="F389">
        <f>--(OR(AND(ISNUMBER(B389),B389&lt;0.5,OR(D389&gt;=24,Raw_data!$I389&gt;0)),Raw_data!$AE389=TRUE))</f>
        <v/>
      </c>
      <c r="G389">
        <f>IF(Dashboard!$B$11="Department",Raw_data!$AL389,IF(Dashboard!$B$11="Team",Raw_data!$AM389,IF(Dashboard!$B$11="Unit",Raw_data!$AN389,IF(Dashboard!$B$11="Legal entity",Raw_data!$AO389,IF(Dashboard!$B$11="Location",Raw_data!$AP389,Raw_data!$AQ389)))))</f>
        <v/>
      </c>
      <c r="H389">
        <f>--(AND(ISNUMBER(B389),B389&lt;0.5))</f>
        <v/>
      </c>
      <c r="I389">
        <f>IFERROR(MAX(0,(0.5-B389)*100),0)+IF(D389&gt;=24,20,0)+IF(Raw_data!$I389&gt;0,20,0)+IF(Raw_data!$AE389=TRUE,10,0)</f>
        <v/>
      </c>
      <c r="J389">
        <f>IFERROR(CHOOSE(MATCH(Dashboard!$B$11,{"Department","Team","Unit","Legal entity","Location","Lead"},0),INDEX(Lists!$B$3:$B$20,ROW()-1),INDEX(Lists!$C$3:$C$146,ROW()-1),INDEX(Lists!$D$3:$D$67,ROW()-1),INDEX(Lists!$E$3:$E$5,ROW()-1),INDEX(Lists!$F$3:$F$12,ROW()-1),INDEX(Lists!$G$3:$G$126,ROW()-1)),"")</f>
        <v/>
      </c>
      <c r="K389">
        <f>IF(J389="","",SUMPRODUCT(($A$2:$A$636=1)*($G$2:$G$636=J389)))</f>
        <v/>
      </c>
      <c r="L389">
        <f>IF(J389="","",SUMPRODUCT(($A$2:$A$636=1)*($G$2:$G$636=J389)*(ISNUMBER($B$2:$B$636))*($B$2:$B$636&lt;0.5)))</f>
        <v/>
      </c>
      <c r="M389">
        <f>IFERROR(L389/K389,"")</f>
        <v/>
      </c>
      <c r="N389">
        <f>IF(K389="","",M389+K389/100000+ROW()/100000000)</f>
        <v/>
      </c>
      <c r="R389">
        <f>IF(A389=1,IFERROR(I389,0)+ROW()/100000000,-1E+99)</f>
        <v/>
      </c>
      <c r="S389">
        <f>IF(A389=1,IFERROR(Raw_data!$T389,""),"")</f>
        <v/>
      </c>
      <c r="T389">
        <f>IF(A389=1,IFERROR(Raw_data!$AA389,""),"")</f>
        <v/>
      </c>
      <c r="U389">
        <f>IF(A389=1,IFERROR(Raw_data!$U389,""),"")</f>
        <v/>
      </c>
      <c r="V389">
        <f>IF(A389=1,IFERROR(Raw_data!$AB389,""),"")</f>
        <v/>
      </c>
    </row>
    <row r="390">
      <c r="A390">
        <f>--(AND(OR(Dashboard!$B$4="All",Raw_data!$AL390=Dashboard!$B$4),OR(Dashboard!$B$5="All",Raw_data!$AM390=Dashboard!$B$5),OR(Dashboard!$B$6="All",Raw_data!$AN390=Dashboard!$B$6),OR(Dashboard!$B$7="All",Raw_data!$AO390=Dashboard!$B$7),OR(Dashboard!$B$8="All",Raw_data!$AP390=Dashboard!$B$8),OR(Dashboard!$B$9="All",Raw_data!$AQ390=Dashboard!$B$9),OR(Dashboard!$B$10="All",Raw_data!$AF390=Dashboard!$B$10),OR(Raw_data!$F390="",Raw_data!$F390&lt;=TODAY())))</f>
        <v/>
      </c>
      <c r="B390">
        <f>IFERROR(IF(Dashboard!$B$3="Weighted",Raw_data!$U390,Raw_data!$T390),"")</f>
        <v/>
      </c>
      <c r="C390">
        <f>IFERROR(IF(Dashboard!$B$3="Weighted",Raw_data!$AB390,Raw_data!$AA390),"")</f>
        <v/>
      </c>
      <c r="D390">
        <f>IF(OR(Raw_data!$J390="",Raw_data!$J390&lt;=0,Raw_data!$K390=""),"",IF(Raw_data!$K390&gt;TODAY(),0,DATEDIF(Raw_data!$K390,TODAY(),"M")))</f>
        <v/>
      </c>
      <c r="E390">
        <f>--(AND(Raw_data!$AF390="No",OR(Raw_data!$AG390&lt;&gt;"",Raw_data!$AJ390&gt;0,Raw_data!$AK390&lt;&gt;"")))</f>
        <v/>
      </c>
      <c r="F390">
        <f>--(OR(AND(ISNUMBER(B390),B390&lt;0.5,OR(D390&gt;=24,Raw_data!$I390&gt;0)),Raw_data!$AE390=TRUE))</f>
        <v/>
      </c>
      <c r="G390">
        <f>IF(Dashboard!$B$11="Department",Raw_data!$AL390,IF(Dashboard!$B$11="Team",Raw_data!$AM390,IF(Dashboard!$B$11="Unit",Raw_data!$AN390,IF(Dashboard!$B$11="Legal entity",Raw_data!$AO390,IF(Dashboard!$B$11="Location",Raw_data!$AP390,Raw_data!$AQ390)))))</f>
        <v/>
      </c>
      <c r="H390">
        <f>--(AND(ISNUMBER(B390),B390&lt;0.5))</f>
        <v/>
      </c>
      <c r="I390">
        <f>IFERROR(MAX(0,(0.5-B390)*100),0)+IF(D390&gt;=24,20,0)+IF(Raw_data!$I390&gt;0,20,0)+IF(Raw_data!$AE390=TRUE,10,0)</f>
        <v/>
      </c>
      <c r="J390">
        <f>IFERROR(CHOOSE(MATCH(Dashboard!$B$11,{"Department","Team","Unit","Legal entity","Location","Lead"},0),INDEX(Lists!$B$3:$B$20,ROW()-1),INDEX(Lists!$C$3:$C$146,ROW()-1),INDEX(Lists!$D$3:$D$67,ROW()-1),INDEX(Lists!$E$3:$E$5,ROW()-1),INDEX(Lists!$F$3:$F$12,ROW()-1),INDEX(Lists!$G$3:$G$126,ROW()-1)),"")</f>
        <v/>
      </c>
      <c r="K390">
        <f>IF(J390="","",SUMPRODUCT(($A$2:$A$636=1)*($G$2:$G$636=J390)))</f>
        <v/>
      </c>
      <c r="L390">
        <f>IF(J390="","",SUMPRODUCT(($A$2:$A$636=1)*($G$2:$G$636=J390)*(ISNUMBER($B$2:$B$636))*($B$2:$B$636&lt;0.5)))</f>
        <v/>
      </c>
      <c r="M390">
        <f>IFERROR(L390/K390,"")</f>
        <v/>
      </c>
      <c r="N390">
        <f>IF(K390="","",M390+K390/100000+ROW()/100000000)</f>
        <v/>
      </c>
      <c r="R390">
        <f>IF(A390=1,IFERROR(I390,0)+ROW()/100000000,-1E+99)</f>
        <v/>
      </c>
      <c r="S390">
        <f>IF(A390=1,IFERROR(Raw_data!$T390,""),"")</f>
        <v/>
      </c>
      <c r="T390">
        <f>IF(A390=1,IFERROR(Raw_data!$AA390,""),"")</f>
        <v/>
      </c>
      <c r="U390">
        <f>IF(A390=1,IFERROR(Raw_data!$U390,""),"")</f>
        <v/>
      </c>
      <c r="V390">
        <f>IF(A390=1,IFERROR(Raw_data!$AB390,""),"")</f>
        <v/>
      </c>
    </row>
    <row r="391">
      <c r="A391">
        <f>--(AND(OR(Dashboard!$B$4="All",Raw_data!$AL391=Dashboard!$B$4),OR(Dashboard!$B$5="All",Raw_data!$AM391=Dashboard!$B$5),OR(Dashboard!$B$6="All",Raw_data!$AN391=Dashboard!$B$6),OR(Dashboard!$B$7="All",Raw_data!$AO391=Dashboard!$B$7),OR(Dashboard!$B$8="All",Raw_data!$AP391=Dashboard!$B$8),OR(Dashboard!$B$9="All",Raw_data!$AQ391=Dashboard!$B$9),OR(Dashboard!$B$10="All",Raw_data!$AF391=Dashboard!$B$10),OR(Raw_data!$F391="",Raw_data!$F391&lt;=TODAY())))</f>
        <v/>
      </c>
      <c r="B391">
        <f>IFERROR(IF(Dashboard!$B$3="Weighted",Raw_data!$U391,Raw_data!$T391),"")</f>
        <v/>
      </c>
      <c r="C391">
        <f>IFERROR(IF(Dashboard!$B$3="Weighted",Raw_data!$AB391,Raw_data!$AA391),"")</f>
        <v/>
      </c>
      <c r="D391">
        <f>IF(OR(Raw_data!$J391="",Raw_data!$J391&lt;=0,Raw_data!$K391=""),"",IF(Raw_data!$K391&gt;TODAY(),0,DATEDIF(Raw_data!$K391,TODAY(),"M")))</f>
        <v/>
      </c>
      <c r="E391">
        <f>--(AND(Raw_data!$AF391="No",OR(Raw_data!$AG391&lt;&gt;"",Raw_data!$AJ391&gt;0,Raw_data!$AK391&lt;&gt;"")))</f>
        <v/>
      </c>
      <c r="F391">
        <f>--(OR(AND(ISNUMBER(B391),B391&lt;0.5,OR(D391&gt;=24,Raw_data!$I391&gt;0)),Raw_data!$AE391=TRUE))</f>
        <v/>
      </c>
      <c r="G391">
        <f>IF(Dashboard!$B$11="Department",Raw_data!$AL391,IF(Dashboard!$B$11="Team",Raw_data!$AM391,IF(Dashboard!$B$11="Unit",Raw_data!$AN391,IF(Dashboard!$B$11="Legal entity",Raw_data!$AO391,IF(Dashboard!$B$11="Location",Raw_data!$AP391,Raw_data!$AQ391)))))</f>
        <v/>
      </c>
      <c r="H391">
        <f>--(AND(ISNUMBER(B391),B391&lt;0.5))</f>
        <v/>
      </c>
      <c r="I391">
        <f>IFERROR(MAX(0,(0.5-B391)*100),0)+IF(D391&gt;=24,20,0)+IF(Raw_data!$I391&gt;0,20,0)+IF(Raw_data!$AE391=TRUE,10,0)</f>
        <v/>
      </c>
      <c r="J391">
        <f>IFERROR(CHOOSE(MATCH(Dashboard!$B$11,{"Department","Team","Unit","Legal entity","Location","Lead"},0),INDEX(Lists!$B$3:$B$20,ROW()-1),INDEX(Lists!$C$3:$C$146,ROW()-1),INDEX(Lists!$D$3:$D$67,ROW()-1),INDEX(Lists!$E$3:$E$5,ROW()-1),INDEX(Lists!$F$3:$F$12,ROW()-1),INDEX(Lists!$G$3:$G$126,ROW()-1)),"")</f>
        <v/>
      </c>
      <c r="K391">
        <f>IF(J391="","",SUMPRODUCT(($A$2:$A$636=1)*($G$2:$G$636=J391)))</f>
        <v/>
      </c>
      <c r="L391">
        <f>IF(J391="","",SUMPRODUCT(($A$2:$A$636=1)*($G$2:$G$636=J391)*(ISNUMBER($B$2:$B$636))*($B$2:$B$636&lt;0.5)))</f>
        <v/>
      </c>
      <c r="M391">
        <f>IFERROR(L391/K391,"")</f>
        <v/>
      </c>
      <c r="N391">
        <f>IF(K391="","",M391+K391/100000+ROW()/100000000)</f>
        <v/>
      </c>
      <c r="R391">
        <f>IF(A391=1,IFERROR(I391,0)+ROW()/100000000,-1E+99)</f>
        <v/>
      </c>
      <c r="S391">
        <f>IF(A391=1,IFERROR(Raw_data!$T391,""),"")</f>
        <v/>
      </c>
      <c r="T391">
        <f>IF(A391=1,IFERROR(Raw_data!$AA391,""),"")</f>
        <v/>
      </c>
      <c r="U391">
        <f>IF(A391=1,IFERROR(Raw_data!$U391,""),"")</f>
        <v/>
      </c>
      <c r="V391">
        <f>IF(A391=1,IFERROR(Raw_data!$AB391,""),"")</f>
        <v/>
      </c>
    </row>
    <row r="392">
      <c r="A392">
        <f>--(AND(OR(Dashboard!$B$4="All",Raw_data!$AL392=Dashboard!$B$4),OR(Dashboard!$B$5="All",Raw_data!$AM392=Dashboard!$B$5),OR(Dashboard!$B$6="All",Raw_data!$AN392=Dashboard!$B$6),OR(Dashboard!$B$7="All",Raw_data!$AO392=Dashboard!$B$7),OR(Dashboard!$B$8="All",Raw_data!$AP392=Dashboard!$B$8),OR(Dashboard!$B$9="All",Raw_data!$AQ392=Dashboard!$B$9),OR(Dashboard!$B$10="All",Raw_data!$AF392=Dashboard!$B$10),OR(Raw_data!$F392="",Raw_data!$F392&lt;=TODAY())))</f>
        <v/>
      </c>
      <c r="B392">
        <f>IFERROR(IF(Dashboard!$B$3="Weighted",Raw_data!$U392,Raw_data!$T392),"")</f>
        <v/>
      </c>
      <c r="C392">
        <f>IFERROR(IF(Dashboard!$B$3="Weighted",Raw_data!$AB392,Raw_data!$AA392),"")</f>
        <v/>
      </c>
      <c r="D392">
        <f>IF(OR(Raw_data!$J392="",Raw_data!$J392&lt;=0,Raw_data!$K392=""),"",IF(Raw_data!$K392&gt;TODAY(),0,DATEDIF(Raw_data!$K392,TODAY(),"M")))</f>
        <v/>
      </c>
      <c r="E392">
        <f>--(AND(Raw_data!$AF392="No",OR(Raw_data!$AG392&lt;&gt;"",Raw_data!$AJ392&gt;0,Raw_data!$AK392&lt;&gt;"")))</f>
        <v/>
      </c>
      <c r="F392">
        <f>--(OR(AND(ISNUMBER(B392),B392&lt;0.5,OR(D392&gt;=24,Raw_data!$I392&gt;0)),Raw_data!$AE392=TRUE))</f>
        <v/>
      </c>
      <c r="G392">
        <f>IF(Dashboard!$B$11="Department",Raw_data!$AL392,IF(Dashboard!$B$11="Team",Raw_data!$AM392,IF(Dashboard!$B$11="Unit",Raw_data!$AN392,IF(Dashboard!$B$11="Legal entity",Raw_data!$AO392,IF(Dashboard!$B$11="Location",Raw_data!$AP392,Raw_data!$AQ392)))))</f>
        <v/>
      </c>
      <c r="H392">
        <f>--(AND(ISNUMBER(B392),B392&lt;0.5))</f>
        <v/>
      </c>
      <c r="I392">
        <f>IFERROR(MAX(0,(0.5-B392)*100),0)+IF(D392&gt;=24,20,0)+IF(Raw_data!$I392&gt;0,20,0)+IF(Raw_data!$AE392=TRUE,10,0)</f>
        <v/>
      </c>
      <c r="J392">
        <f>IFERROR(CHOOSE(MATCH(Dashboard!$B$11,{"Department","Team","Unit","Legal entity","Location","Lead"},0),INDEX(Lists!$B$3:$B$20,ROW()-1),INDEX(Lists!$C$3:$C$146,ROW()-1),INDEX(Lists!$D$3:$D$67,ROW()-1),INDEX(Lists!$E$3:$E$5,ROW()-1),INDEX(Lists!$F$3:$F$12,ROW()-1),INDEX(Lists!$G$3:$G$126,ROW()-1)),"")</f>
        <v/>
      </c>
      <c r="K392">
        <f>IF(J392="","",SUMPRODUCT(($A$2:$A$636=1)*($G$2:$G$636=J392)))</f>
        <v/>
      </c>
      <c r="L392">
        <f>IF(J392="","",SUMPRODUCT(($A$2:$A$636=1)*($G$2:$G$636=J392)*(ISNUMBER($B$2:$B$636))*($B$2:$B$636&lt;0.5)))</f>
        <v/>
      </c>
      <c r="M392">
        <f>IFERROR(L392/K392,"")</f>
        <v/>
      </c>
      <c r="N392">
        <f>IF(K392="","",M392+K392/100000+ROW()/100000000)</f>
        <v/>
      </c>
      <c r="R392">
        <f>IF(A392=1,IFERROR(I392,0)+ROW()/100000000,-1E+99)</f>
        <v/>
      </c>
      <c r="S392">
        <f>IF(A392=1,IFERROR(Raw_data!$T392,""),"")</f>
        <v/>
      </c>
      <c r="T392">
        <f>IF(A392=1,IFERROR(Raw_data!$AA392,""),"")</f>
        <v/>
      </c>
      <c r="U392">
        <f>IF(A392=1,IFERROR(Raw_data!$U392,""),"")</f>
        <v/>
      </c>
      <c r="V392">
        <f>IF(A392=1,IFERROR(Raw_data!$AB392,""),"")</f>
        <v/>
      </c>
    </row>
    <row r="393">
      <c r="A393">
        <f>--(AND(OR(Dashboard!$B$4="All",Raw_data!$AL393=Dashboard!$B$4),OR(Dashboard!$B$5="All",Raw_data!$AM393=Dashboard!$B$5),OR(Dashboard!$B$6="All",Raw_data!$AN393=Dashboard!$B$6),OR(Dashboard!$B$7="All",Raw_data!$AO393=Dashboard!$B$7),OR(Dashboard!$B$8="All",Raw_data!$AP393=Dashboard!$B$8),OR(Dashboard!$B$9="All",Raw_data!$AQ393=Dashboard!$B$9),OR(Dashboard!$B$10="All",Raw_data!$AF393=Dashboard!$B$10),OR(Raw_data!$F393="",Raw_data!$F393&lt;=TODAY())))</f>
        <v/>
      </c>
      <c r="B393">
        <f>IFERROR(IF(Dashboard!$B$3="Weighted",Raw_data!$U393,Raw_data!$T393),"")</f>
        <v/>
      </c>
      <c r="C393">
        <f>IFERROR(IF(Dashboard!$B$3="Weighted",Raw_data!$AB393,Raw_data!$AA393),"")</f>
        <v/>
      </c>
      <c r="D393">
        <f>IF(OR(Raw_data!$J393="",Raw_data!$J393&lt;=0,Raw_data!$K393=""),"",IF(Raw_data!$K393&gt;TODAY(),0,DATEDIF(Raw_data!$K393,TODAY(),"M")))</f>
        <v/>
      </c>
      <c r="E393">
        <f>--(AND(Raw_data!$AF393="No",OR(Raw_data!$AG393&lt;&gt;"",Raw_data!$AJ393&gt;0,Raw_data!$AK393&lt;&gt;"")))</f>
        <v/>
      </c>
      <c r="F393">
        <f>--(OR(AND(ISNUMBER(B393),B393&lt;0.5,OR(D393&gt;=24,Raw_data!$I393&gt;0)),Raw_data!$AE393=TRUE))</f>
        <v/>
      </c>
      <c r="G393">
        <f>IF(Dashboard!$B$11="Department",Raw_data!$AL393,IF(Dashboard!$B$11="Team",Raw_data!$AM393,IF(Dashboard!$B$11="Unit",Raw_data!$AN393,IF(Dashboard!$B$11="Legal entity",Raw_data!$AO393,IF(Dashboard!$B$11="Location",Raw_data!$AP393,Raw_data!$AQ393)))))</f>
        <v/>
      </c>
      <c r="H393">
        <f>--(AND(ISNUMBER(B393),B393&lt;0.5))</f>
        <v/>
      </c>
      <c r="I393">
        <f>IFERROR(MAX(0,(0.5-B393)*100),0)+IF(D393&gt;=24,20,0)+IF(Raw_data!$I393&gt;0,20,0)+IF(Raw_data!$AE393=TRUE,10,0)</f>
        <v/>
      </c>
      <c r="J393">
        <f>IFERROR(CHOOSE(MATCH(Dashboard!$B$11,{"Department","Team","Unit","Legal entity","Location","Lead"},0),INDEX(Lists!$B$3:$B$20,ROW()-1),INDEX(Lists!$C$3:$C$146,ROW()-1),INDEX(Lists!$D$3:$D$67,ROW()-1),INDEX(Lists!$E$3:$E$5,ROW()-1),INDEX(Lists!$F$3:$F$12,ROW()-1),INDEX(Lists!$G$3:$G$126,ROW()-1)),"")</f>
        <v/>
      </c>
      <c r="K393">
        <f>IF(J393="","",SUMPRODUCT(($A$2:$A$636=1)*($G$2:$G$636=J393)))</f>
        <v/>
      </c>
      <c r="L393">
        <f>IF(J393="","",SUMPRODUCT(($A$2:$A$636=1)*($G$2:$G$636=J393)*(ISNUMBER($B$2:$B$636))*($B$2:$B$636&lt;0.5)))</f>
        <v/>
      </c>
      <c r="M393">
        <f>IFERROR(L393/K393,"")</f>
        <v/>
      </c>
      <c r="N393">
        <f>IF(K393="","",M393+K393/100000+ROW()/100000000)</f>
        <v/>
      </c>
      <c r="R393">
        <f>IF(A393=1,IFERROR(I393,0)+ROW()/100000000,-1E+99)</f>
        <v/>
      </c>
      <c r="S393">
        <f>IF(A393=1,IFERROR(Raw_data!$T393,""),"")</f>
        <v/>
      </c>
      <c r="T393">
        <f>IF(A393=1,IFERROR(Raw_data!$AA393,""),"")</f>
        <v/>
      </c>
      <c r="U393">
        <f>IF(A393=1,IFERROR(Raw_data!$U393,""),"")</f>
        <v/>
      </c>
      <c r="V393">
        <f>IF(A393=1,IFERROR(Raw_data!$AB393,""),"")</f>
        <v/>
      </c>
    </row>
    <row r="394">
      <c r="A394">
        <f>--(AND(OR(Dashboard!$B$4="All",Raw_data!$AL394=Dashboard!$B$4),OR(Dashboard!$B$5="All",Raw_data!$AM394=Dashboard!$B$5),OR(Dashboard!$B$6="All",Raw_data!$AN394=Dashboard!$B$6),OR(Dashboard!$B$7="All",Raw_data!$AO394=Dashboard!$B$7),OR(Dashboard!$B$8="All",Raw_data!$AP394=Dashboard!$B$8),OR(Dashboard!$B$9="All",Raw_data!$AQ394=Dashboard!$B$9),OR(Dashboard!$B$10="All",Raw_data!$AF394=Dashboard!$B$10),OR(Raw_data!$F394="",Raw_data!$F394&lt;=TODAY())))</f>
        <v/>
      </c>
      <c r="B394">
        <f>IFERROR(IF(Dashboard!$B$3="Weighted",Raw_data!$U394,Raw_data!$T394),"")</f>
        <v/>
      </c>
      <c r="C394">
        <f>IFERROR(IF(Dashboard!$B$3="Weighted",Raw_data!$AB394,Raw_data!$AA394),"")</f>
        <v/>
      </c>
      <c r="D394">
        <f>IF(OR(Raw_data!$J394="",Raw_data!$J394&lt;=0,Raw_data!$K394=""),"",IF(Raw_data!$K394&gt;TODAY(),0,DATEDIF(Raw_data!$K394,TODAY(),"M")))</f>
        <v/>
      </c>
      <c r="E394">
        <f>--(AND(Raw_data!$AF394="No",OR(Raw_data!$AG394&lt;&gt;"",Raw_data!$AJ394&gt;0,Raw_data!$AK394&lt;&gt;"")))</f>
        <v/>
      </c>
      <c r="F394">
        <f>--(OR(AND(ISNUMBER(B394),B394&lt;0.5,OR(D394&gt;=24,Raw_data!$I394&gt;0)),Raw_data!$AE394=TRUE))</f>
        <v/>
      </c>
      <c r="G394">
        <f>IF(Dashboard!$B$11="Department",Raw_data!$AL394,IF(Dashboard!$B$11="Team",Raw_data!$AM394,IF(Dashboard!$B$11="Unit",Raw_data!$AN394,IF(Dashboard!$B$11="Legal entity",Raw_data!$AO394,IF(Dashboard!$B$11="Location",Raw_data!$AP394,Raw_data!$AQ394)))))</f>
        <v/>
      </c>
      <c r="H394">
        <f>--(AND(ISNUMBER(B394),B394&lt;0.5))</f>
        <v/>
      </c>
      <c r="I394">
        <f>IFERROR(MAX(0,(0.5-B394)*100),0)+IF(D394&gt;=24,20,0)+IF(Raw_data!$I394&gt;0,20,0)+IF(Raw_data!$AE394=TRUE,10,0)</f>
        <v/>
      </c>
      <c r="J394">
        <f>IFERROR(CHOOSE(MATCH(Dashboard!$B$11,{"Department","Team","Unit","Legal entity","Location","Lead"},0),INDEX(Lists!$B$3:$B$20,ROW()-1),INDEX(Lists!$C$3:$C$146,ROW()-1),INDEX(Lists!$D$3:$D$67,ROW()-1),INDEX(Lists!$E$3:$E$5,ROW()-1),INDEX(Lists!$F$3:$F$12,ROW()-1),INDEX(Lists!$G$3:$G$126,ROW()-1)),"")</f>
        <v/>
      </c>
      <c r="K394">
        <f>IF(J394="","",SUMPRODUCT(($A$2:$A$636=1)*($G$2:$G$636=J394)))</f>
        <v/>
      </c>
      <c r="L394">
        <f>IF(J394="","",SUMPRODUCT(($A$2:$A$636=1)*($G$2:$G$636=J394)*(ISNUMBER($B$2:$B$636))*($B$2:$B$636&lt;0.5)))</f>
        <v/>
      </c>
      <c r="M394">
        <f>IFERROR(L394/K394,"")</f>
        <v/>
      </c>
      <c r="N394">
        <f>IF(K394="","",M394+K394/100000+ROW()/100000000)</f>
        <v/>
      </c>
      <c r="R394">
        <f>IF(A394=1,IFERROR(I394,0)+ROW()/100000000,-1E+99)</f>
        <v/>
      </c>
      <c r="S394">
        <f>IF(A394=1,IFERROR(Raw_data!$T394,""),"")</f>
        <v/>
      </c>
      <c r="T394">
        <f>IF(A394=1,IFERROR(Raw_data!$AA394,""),"")</f>
        <v/>
      </c>
      <c r="U394">
        <f>IF(A394=1,IFERROR(Raw_data!$U394,""),"")</f>
        <v/>
      </c>
      <c r="V394">
        <f>IF(A394=1,IFERROR(Raw_data!$AB394,""),"")</f>
        <v/>
      </c>
    </row>
    <row r="395">
      <c r="A395">
        <f>--(AND(OR(Dashboard!$B$4="All",Raw_data!$AL395=Dashboard!$B$4),OR(Dashboard!$B$5="All",Raw_data!$AM395=Dashboard!$B$5),OR(Dashboard!$B$6="All",Raw_data!$AN395=Dashboard!$B$6),OR(Dashboard!$B$7="All",Raw_data!$AO395=Dashboard!$B$7),OR(Dashboard!$B$8="All",Raw_data!$AP395=Dashboard!$B$8),OR(Dashboard!$B$9="All",Raw_data!$AQ395=Dashboard!$B$9),OR(Dashboard!$B$10="All",Raw_data!$AF395=Dashboard!$B$10),OR(Raw_data!$F395="",Raw_data!$F395&lt;=TODAY())))</f>
        <v/>
      </c>
      <c r="B395">
        <f>IFERROR(IF(Dashboard!$B$3="Weighted",Raw_data!$U395,Raw_data!$T395),"")</f>
        <v/>
      </c>
      <c r="C395">
        <f>IFERROR(IF(Dashboard!$B$3="Weighted",Raw_data!$AB395,Raw_data!$AA395),"")</f>
        <v/>
      </c>
      <c r="D395">
        <f>IF(OR(Raw_data!$J395="",Raw_data!$J395&lt;=0,Raw_data!$K395=""),"",IF(Raw_data!$K395&gt;TODAY(),0,DATEDIF(Raw_data!$K395,TODAY(),"M")))</f>
        <v/>
      </c>
      <c r="E395">
        <f>--(AND(Raw_data!$AF395="No",OR(Raw_data!$AG395&lt;&gt;"",Raw_data!$AJ395&gt;0,Raw_data!$AK395&lt;&gt;"")))</f>
        <v/>
      </c>
      <c r="F395">
        <f>--(OR(AND(ISNUMBER(B395),B395&lt;0.5,OR(D395&gt;=24,Raw_data!$I395&gt;0)),Raw_data!$AE395=TRUE))</f>
        <v/>
      </c>
      <c r="G395">
        <f>IF(Dashboard!$B$11="Department",Raw_data!$AL395,IF(Dashboard!$B$11="Team",Raw_data!$AM395,IF(Dashboard!$B$11="Unit",Raw_data!$AN395,IF(Dashboard!$B$11="Legal entity",Raw_data!$AO395,IF(Dashboard!$B$11="Location",Raw_data!$AP395,Raw_data!$AQ395)))))</f>
        <v/>
      </c>
      <c r="H395">
        <f>--(AND(ISNUMBER(B395),B395&lt;0.5))</f>
        <v/>
      </c>
      <c r="I395">
        <f>IFERROR(MAX(0,(0.5-B395)*100),0)+IF(D395&gt;=24,20,0)+IF(Raw_data!$I395&gt;0,20,0)+IF(Raw_data!$AE395=TRUE,10,0)</f>
        <v/>
      </c>
      <c r="J395">
        <f>IFERROR(CHOOSE(MATCH(Dashboard!$B$11,{"Department","Team","Unit","Legal entity","Location","Lead"},0),INDEX(Lists!$B$3:$B$20,ROW()-1),INDEX(Lists!$C$3:$C$146,ROW()-1),INDEX(Lists!$D$3:$D$67,ROW()-1),INDEX(Lists!$E$3:$E$5,ROW()-1),INDEX(Lists!$F$3:$F$12,ROW()-1),INDEX(Lists!$G$3:$G$126,ROW()-1)),"")</f>
        <v/>
      </c>
      <c r="K395">
        <f>IF(J395="","",SUMPRODUCT(($A$2:$A$636=1)*($G$2:$G$636=J395)))</f>
        <v/>
      </c>
      <c r="L395">
        <f>IF(J395="","",SUMPRODUCT(($A$2:$A$636=1)*($G$2:$G$636=J395)*(ISNUMBER($B$2:$B$636))*($B$2:$B$636&lt;0.5)))</f>
        <v/>
      </c>
      <c r="M395">
        <f>IFERROR(L395/K395,"")</f>
        <v/>
      </c>
      <c r="N395">
        <f>IF(K395="","",M395+K395/100000+ROW()/100000000)</f>
        <v/>
      </c>
      <c r="R395">
        <f>IF(A395=1,IFERROR(I395,0)+ROW()/100000000,-1E+99)</f>
        <v/>
      </c>
      <c r="S395">
        <f>IF(A395=1,IFERROR(Raw_data!$T395,""),"")</f>
        <v/>
      </c>
      <c r="T395">
        <f>IF(A395=1,IFERROR(Raw_data!$AA395,""),"")</f>
        <v/>
      </c>
      <c r="U395">
        <f>IF(A395=1,IFERROR(Raw_data!$U395,""),"")</f>
        <v/>
      </c>
      <c r="V395">
        <f>IF(A395=1,IFERROR(Raw_data!$AB395,""),"")</f>
        <v/>
      </c>
    </row>
    <row r="396">
      <c r="A396">
        <f>--(AND(OR(Dashboard!$B$4="All",Raw_data!$AL396=Dashboard!$B$4),OR(Dashboard!$B$5="All",Raw_data!$AM396=Dashboard!$B$5),OR(Dashboard!$B$6="All",Raw_data!$AN396=Dashboard!$B$6),OR(Dashboard!$B$7="All",Raw_data!$AO396=Dashboard!$B$7),OR(Dashboard!$B$8="All",Raw_data!$AP396=Dashboard!$B$8),OR(Dashboard!$B$9="All",Raw_data!$AQ396=Dashboard!$B$9),OR(Dashboard!$B$10="All",Raw_data!$AF396=Dashboard!$B$10),OR(Raw_data!$F396="",Raw_data!$F396&lt;=TODAY())))</f>
        <v/>
      </c>
      <c r="B396">
        <f>IFERROR(IF(Dashboard!$B$3="Weighted",Raw_data!$U396,Raw_data!$T396),"")</f>
        <v/>
      </c>
      <c r="C396">
        <f>IFERROR(IF(Dashboard!$B$3="Weighted",Raw_data!$AB396,Raw_data!$AA396),"")</f>
        <v/>
      </c>
      <c r="D396">
        <f>IF(OR(Raw_data!$J396="",Raw_data!$J396&lt;=0,Raw_data!$K396=""),"",IF(Raw_data!$K396&gt;TODAY(),0,DATEDIF(Raw_data!$K396,TODAY(),"M")))</f>
        <v/>
      </c>
      <c r="E396">
        <f>--(AND(Raw_data!$AF396="No",OR(Raw_data!$AG396&lt;&gt;"",Raw_data!$AJ396&gt;0,Raw_data!$AK396&lt;&gt;"")))</f>
        <v/>
      </c>
      <c r="F396">
        <f>--(OR(AND(ISNUMBER(B396),B396&lt;0.5,OR(D396&gt;=24,Raw_data!$I396&gt;0)),Raw_data!$AE396=TRUE))</f>
        <v/>
      </c>
      <c r="G396">
        <f>IF(Dashboard!$B$11="Department",Raw_data!$AL396,IF(Dashboard!$B$11="Team",Raw_data!$AM396,IF(Dashboard!$B$11="Unit",Raw_data!$AN396,IF(Dashboard!$B$11="Legal entity",Raw_data!$AO396,IF(Dashboard!$B$11="Location",Raw_data!$AP396,Raw_data!$AQ396)))))</f>
        <v/>
      </c>
      <c r="H396">
        <f>--(AND(ISNUMBER(B396),B396&lt;0.5))</f>
        <v/>
      </c>
      <c r="I396">
        <f>IFERROR(MAX(0,(0.5-B396)*100),0)+IF(D396&gt;=24,20,0)+IF(Raw_data!$I396&gt;0,20,0)+IF(Raw_data!$AE396=TRUE,10,0)</f>
        <v/>
      </c>
      <c r="J396">
        <f>IFERROR(CHOOSE(MATCH(Dashboard!$B$11,{"Department","Team","Unit","Legal entity","Location","Lead"},0),INDEX(Lists!$B$3:$B$20,ROW()-1),INDEX(Lists!$C$3:$C$146,ROW()-1),INDEX(Lists!$D$3:$D$67,ROW()-1),INDEX(Lists!$E$3:$E$5,ROW()-1),INDEX(Lists!$F$3:$F$12,ROW()-1),INDEX(Lists!$G$3:$G$126,ROW()-1)),"")</f>
        <v/>
      </c>
      <c r="K396">
        <f>IF(J396="","",SUMPRODUCT(($A$2:$A$636=1)*($G$2:$G$636=J396)))</f>
        <v/>
      </c>
      <c r="L396">
        <f>IF(J396="","",SUMPRODUCT(($A$2:$A$636=1)*($G$2:$G$636=J396)*(ISNUMBER($B$2:$B$636))*($B$2:$B$636&lt;0.5)))</f>
        <v/>
      </c>
      <c r="M396">
        <f>IFERROR(L396/K396,"")</f>
        <v/>
      </c>
      <c r="N396">
        <f>IF(K396="","",M396+K396/100000+ROW()/100000000)</f>
        <v/>
      </c>
      <c r="R396">
        <f>IF(A396=1,IFERROR(I396,0)+ROW()/100000000,-1E+99)</f>
        <v/>
      </c>
      <c r="S396">
        <f>IF(A396=1,IFERROR(Raw_data!$T396,""),"")</f>
        <v/>
      </c>
      <c r="T396">
        <f>IF(A396=1,IFERROR(Raw_data!$AA396,""),"")</f>
        <v/>
      </c>
      <c r="U396">
        <f>IF(A396=1,IFERROR(Raw_data!$U396,""),"")</f>
        <v/>
      </c>
      <c r="V396">
        <f>IF(A396=1,IFERROR(Raw_data!$AB396,""),"")</f>
        <v/>
      </c>
    </row>
    <row r="397">
      <c r="A397">
        <f>--(AND(OR(Dashboard!$B$4="All",Raw_data!$AL397=Dashboard!$B$4),OR(Dashboard!$B$5="All",Raw_data!$AM397=Dashboard!$B$5),OR(Dashboard!$B$6="All",Raw_data!$AN397=Dashboard!$B$6),OR(Dashboard!$B$7="All",Raw_data!$AO397=Dashboard!$B$7),OR(Dashboard!$B$8="All",Raw_data!$AP397=Dashboard!$B$8),OR(Dashboard!$B$9="All",Raw_data!$AQ397=Dashboard!$B$9),OR(Dashboard!$B$10="All",Raw_data!$AF397=Dashboard!$B$10),OR(Raw_data!$F397="",Raw_data!$F397&lt;=TODAY())))</f>
        <v/>
      </c>
      <c r="B397">
        <f>IFERROR(IF(Dashboard!$B$3="Weighted",Raw_data!$U397,Raw_data!$T397),"")</f>
        <v/>
      </c>
      <c r="C397">
        <f>IFERROR(IF(Dashboard!$B$3="Weighted",Raw_data!$AB397,Raw_data!$AA397),"")</f>
        <v/>
      </c>
      <c r="D397">
        <f>IF(OR(Raw_data!$J397="",Raw_data!$J397&lt;=0,Raw_data!$K397=""),"",IF(Raw_data!$K397&gt;TODAY(),0,DATEDIF(Raw_data!$K397,TODAY(),"M")))</f>
        <v/>
      </c>
      <c r="E397">
        <f>--(AND(Raw_data!$AF397="No",OR(Raw_data!$AG397&lt;&gt;"",Raw_data!$AJ397&gt;0,Raw_data!$AK397&lt;&gt;"")))</f>
        <v/>
      </c>
      <c r="F397">
        <f>--(OR(AND(ISNUMBER(B397),B397&lt;0.5,OR(D397&gt;=24,Raw_data!$I397&gt;0)),Raw_data!$AE397=TRUE))</f>
        <v/>
      </c>
      <c r="G397">
        <f>IF(Dashboard!$B$11="Department",Raw_data!$AL397,IF(Dashboard!$B$11="Team",Raw_data!$AM397,IF(Dashboard!$B$11="Unit",Raw_data!$AN397,IF(Dashboard!$B$11="Legal entity",Raw_data!$AO397,IF(Dashboard!$B$11="Location",Raw_data!$AP397,Raw_data!$AQ397)))))</f>
        <v/>
      </c>
      <c r="H397">
        <f>--(AND(ISNUMBER(B397),B397&lt;0.5))</f>
        <v/>
      </c>
      <c r="I397">
        <f>IFERROR(MAX(0,(0.5-B397)*100),0)+IF(D397&gt;=24,20,0)+IF(Raw_data!$I397&gt;0,20,0)+IF(Raw_data!$AE397=TRUE,10,0)</f>
        <v/>
      </c>
      <c r="J397">
        <f>IFERROR(CHOOSE(MATCH(Dashboard!$B$11,{"Department","Team","Unit","Legal entity","Location","Lead"},0),INDEX(Lists!$B$3:$B$20,ROW()-1),INDEX(Lists!$C$3:$C$146,ROW()-1),INDEX(Lists!$D$3:$D$67,ROW()-1),INDEX(Lists!$E$3:$E$5,ROW()-1),INDEX(Lists!$F$3:$F$12,ROW()-1),INDEX(Lists!$G$3:$G$126,ROW()-1)),"")</f>
        <v/>
      </c>
      <c r="K397">
        <f>IF(J397="","",SUMPRODUCT(($A$2:$A$636=1)*($G$2:$G$636=J397)))</f>
        <v/>
      </c>
      <c r="L397">
        <f>IF(J397="","",SUMPRODUCT(($A$2:$A$636=1)*($G$2:$G$636=J397)*(ISNUMBER($B$2:$B$636))*($B$2:$B$636&lt;0.5)))</f>
        <v/>
      </c>
      <c r="M397">
        <f>IFERROR(L397/K397,"")</f>
        <v/>
      </c>
      <c r="N397">
        <f>IF(K397="","",M397+K397/100000+ROW()/100000000)</f>
        <v/>
      </c>
      <c r="R397">
        <f>IF(A397=1,IFERROR(I397,0)+ROW()/100000000,-1E+99)</f>
        <v/>
      </c>
      <c r="S397">
        <f>IF(A397=1,IFERROR(Raw_data!$T397,""),"")</f>
        <v/>
      </c>
      <c r="T397">
        <f>IF(A397=1,IFERROR(Raw_data!$AA397,""),"")</f>
        <v/>
      </c>
      <c r="U397">
        <f>IF(A397=1,IFERROR(Raw_data!$U397,""),"")</f>
        <v/>
      </c>
      <c r="V397">
        <f>IF(A397=1,IFERROR(Raw_data!$AB397,""),"")</f>
        <v/>
      </c>
    </row>
    <row r="398">
      <c r="A398">
        <f>--(AND(OR(Dashboard!$B$4="All",Raw_data!$AL398=Dashboard!$B$4),OR(Dashboard!$B$5="All",Raw_data!$AM398=Dashboard!$B$5),OR(Dashboard!$B$6="All",Raw_data!$AN398=Dashboard!$B$6),OR(Dashboard!$B$7="All",Raw_data!$AO398=Dashboard!$B$7),OR(Dashboard!$B$8="All",Raw_data!$AP398=Dashboard!$B$8),OR(Dashboard!$B$9="All",Raw_data!$AQ398=Dashboard!$B$9),OR(Dashboard!$B$10="All",Raw_data!$AF398=Dashboard!$B$10),OR(Raw_data!$F398="",Raw_data!$F398&lt;=TODAY())))</f>
        <v/>
      </c>
      <c r="B398">
        <f>IFERROR(IF(Dashboard!$B$3="Weighted",Raw_data!$U398,Raw_data!$T398),"")</f>
        <v/>
      </c>
      <c r="C398">
        <f>IFERROR(IF(Dashboard!$B$3="Weighted",Raw_data!$AB398,Raw_data!$AA398),"")</f>
        <v/>
      </c>
      <c r="D398">
        <f>IF(OR(Raw_data!$J398="",Raw_data!$J398&lt;=0,Raw_data!$K398=""),"",IF(Raw_data!$K398&gt;TODAY(),0,DATEDIF(Raw_data!$K398,TODAY(),"M")))</f>
        <v/>
      </c>
      <c r="E398">
        <f>--(AND(Raw_data!$AF398="No",OR(Raw_data!$AG398&lt;&gt;"",Raw_data!$AJ398&gt;0,Raw_data!$AK398&lt;&gt;"")))</f>
        <v/>
      </c>
      <c r="F398">
        <f>--(OR(AND(ISNUMBER(B398),B398&lt;0.5,OR(D398&gt;=24,Raw_data!$I398&gt;0)),Raw_data!$AE398=TRUE))</f>
        <v/>
      </c>
      <c r="G398">
        <f>IF(Dashboard!$B$11="Department",Raw_data!$AL398,IF(Dashboard!$B$11="Team",Raw_data!$AM398,IF(Dashboard!$B$11="Unit",Raw_data!$AN398,IF(Dashboard!$B$11="Legal entity",Raw_data!$AO398,IF(Dashboard!$B$11="Location",Raw_data!$AP398,Raw_data!$AQ398)))))</f>
        <v/>
      </c>
      <c r="H398">
        <f>--(AND(ISNUMBER(B398),B398&lt;0.5))</f>
        <v/>
      </c>
      <c r="I398">
        <f>IFERROR(MAX(0,(0.5-B398)*100),0)+IF(D398&gt;=24,20,0)+IF(Raw_data!$I398&gt;0,20,0)+IF(Raw_data!$AE398=TRUE,10,0)</f>
        <v/>
      </c>
      <c r="J398">
        <f>IFERROR(CHOOSE(MATCH(Dashboard!$B$11,{"Department","Team","Unit","Legal entity","Location","Lead"},0),INDEX(Lists!$B$3:$B$20,ROW()-1),INDEX(Lists!$C$3:$C$146,ROW()-1),INDEX(Lists!$D$3:$D$67,ROW()-1),INDEX(Lists!$E$3:$E$5,ROW()-1),INDEX(Lists!$F$3:$F$12,ROW()-1),INDEX(Lists!$G$3:$G$126,ROW()-1)),"")</f>
        <v/>
      </c>
      <c r="K398">
        <f>IF(J398="","",SUMPRODUCT(($A$2:$A$636=1)*($G$2:$G$636=J398)))</f>
        <v/>
      </c>
      <c r="L398">
        <f>IF(J398="","",SUMPRODUCT(($A$2:$A$636=1)*($G$2:$G$636=J398)*(ISNUMBER($B$2:$B$636))*($B$2:$B$636&lt;0.5)))</f>
        <v/>
      </c>
      <c r="M398">
        <f>IFERROR(L398/K398,"")</f>
        <v/>
      </c>
      <c r="N398">
        <f>IF(K398="","",M398+K398/100000+ROW()/100000000)</f>
        <v/>
      </c>
      <c r="R398">
        <f>IF(A398=1,IFERROR(I398,0)+ROW()/100000000,-1E+99)</f>
        <v/>
      </c>
      <c r="S398">
        <f>IF(A398=1,IFERROR(Raw_data!$T398,""),"")</f>
        <v/>
      </c>
      <c r="T398">
        <f>IF(A398=1,IFERROR(Raw_data!$AA398,""),"")</f>
        <v/>
      </c>
      <c r="U398">
        <f>IF(A398=1,IFERROR(Raw_data!$U398,""),"")</f>
        <v/>
      </c>
      <c r="V398">
        <f>IF(A398=1,IFERROR(Raw_data!$AB398,""),"")</f>
        <v/>
      </c>
    </row>
    <row r="399">
      <c r="A399">
        <f>--(AND(OR(Dashboard!$B$4="All",Raw_data!$AL399=Dashboard!$B$4),OR(Dashboard!$B$5="All",Raw_data!$AM399=Dashboard!$B$5),OR(Dashboard!$B$6="All",Raw_data!$AN399=Dashboard!$B$6),OR(Dashboard!$B$7="All",Raw_data!$AO399=Dashboard!$B$7),OR(Dashboard!$B$8="All",Raw_data!$AP399=Dashboard!$B$8),OR(Dashboard!$B$9="All",Raw_data!$AQ399=Dashboard!$B$9),OR(Dashboard!$B$10="All",Raw_data!$AF399=Dashboard!$B$10),OR(Raw_data!$F399="",Raw_data!$F399&lt;=TODAY())))</f>
        <v/>
      </c>
      <c r="B399">
        <f>IFERROR(IF(Dashboard!$B$3="Weighted",Raw_data!$U399,Raw_data!$T399),"")</f>
        <v/>
      </c>
      <c r="C399">
        <f>IFERROR(IF(Dashboard!$B$3="Weighted",Raw_data!$AB399,Raw_data!$AA399),"")</f>
        <v/>
      </c>
      <c r="D399">
        <f>IF(OR(Raw_data!$J399="",Raw_data!$J399&lt;=0,Raw_data!$K399=""),"",IF(Raw_data!$K399&gt;TODAY(),0,DATEDIF(Raw_data!$K399,TODAY(),"M")))</f>
        <v/>
      </c>
      <c r="E399">
        <f>--(AND(Raw_data!$AF399="No",OR(Raw_data!$AG399&lt;&gt;"",Raw_data!$AJ399&gt;0,Raw_data!$AK399&lt;&gt;"")))</f>
        <v/>
      </c>
      <c r="F399">
        <f>--(OR(AND(ISNUMBER(B399),B399&lt;0.5,OR(D399&gt;=24,Raw_data!$I399&gt;0)),Raw_data!$AE399=TRUE))</f>
        <v/>
      </c>
      <c r="G399">
        <f>IF(Dashboard!$B$11="Department",Raw_data!$AL399,IF(Dashboard!$B$11="Team",Raw_data!$AM399,IF(Dashboard!$B$11="Unit",Raw_data!$AN399,IF(Dashboard!$B$11="Legal entity",Raw_data!$AO399,IF(Dashboard!$B$11="Location",Raw_data!$AP399,Raw_data!$AQ399)))))</f>
        <v/>
      </c>
      <c r="H399">
        <f>--(AND(ISNUMBER(B399),B399&lt;0.5))</f>
        <v/>
      </c>
      <c r="I399">
        <f>IFERROR(MAX(0,(0.5-B399)*100),0)+IF(D399&gt;=24,20,0)+IF(Raw_data!$I399&gt;0,20,0)+IF(Raw_data!$AE399=TRUE,10,0)</f>
        <v/>
      </c>
      <c r="J399">
        <f>IFERROR(CHOOSE(MATCH(Dashboard!$B$11,{"Department","Team","Unit","Legal entity","Location","Lead"},0),INDEX(Lists!$B$3:$B$20,ROW()-1),INDEX(Lists!$C$3:$C$146,ROW()-1),INDEX(Lists!$D$3:$D$67,ROW()-1),INDEX(Lists!$E$3:$E$5,ROW()-1),INDEX(Lists!$F$3:$F$12,ROW()-1),INDEX(Lists!$G$3:$G$126,ROW()-1)),"")</f>
        <v/>
      </c>
      <c r="K399">
        <f>IF(J399="","",SUMPRODUCT(($A$2:$A$636=1)*($G$2:$G$636=J399)))</f>
        <v/>
      </c>
      <c r="L399">
        <f>IF(J399="","",SUMPRODUCT(($A$2:$A$636=1)*($G$2:$G$636=J399)*(ISNUMBER($B$2:$B$636))*($B$2:$B$636&lt;0.5)))</f>
        <v/>
      </c>
      <c r="M399">
        <f>IFERROR(L399/K399,"")</f>
        <v/>
      </c>
      <c r="N399">
        <f>IF(K399="","",M399+K399/100000+ROW()/100000000)</f>
        <v/>
      </c>
      <c r="R399">
        <f>IF(A399=1,IFERROR(I399,0)+ROW()/100000000,-1E+99)</f>
        <v/>
      </c>
      <c r="S399">
        <f>IF(A399=1,IFERROR(Raw_data!$T399,""),"")</f>
        <v/>
      </c>
      <c r="T399">
        <f>IF(A399=1,IFERROR(Raw_data!$AA399,""),"")</f>
        <v/>
      </c>
      <c r="U399">
        <f>IF(A399=1,IFERROR(Raw_data!$U399,""),"")</f>
        <v/>
      </c>
      <c r="V399">
        <f>IF(A399=1,IFERROR(Raw_data!$AB399,""),"")</f>
        <v/>
      </c>
    </row>
    <row r="400">
      <c r="A400">
        <f>--(AND(OR(Dashboard!$B$4="All",Raw_data!$AL400=Dashboard!$B$4),OR(Dashboard!$B$5="All",Raw_data!$AM400=Dashboard!$B$5),OR(Dashboard!$B$6="All",Raw_data!$AN400=Dashboard!$B$6),OR(Dashboard!$B$7="All",Raw_data!$AO400=Dashboard!$B$7),OR(Dashboard!$B$8="All",Raw_data!$AP400=Dashboard!$B$8),OR(Dashboard!$B$9="All",Raw_data!$AQ400=Dashboard!$B$9),OR(Dashboard!$B$10="All",Raw_data!$AF400=Dashboard!$B$10),OR(Raw_data!$F400="",Raw_data!$F400&lt;=TODAY())))</f>
        <v/>
      </c>
      <c r="B400">
        <f>IFERROR(IF(Dashboard!$B$3="Weighted",Raw_data!$U400,Raw_data!$T400),"")</f>
        <v/>
      </c>
      <c r="C400">
        <f>IFERROR(IF(Dashboard!$B$3="Weighted",Raw_data!$AB400,Raw_data!$AA400),"")</f>
        <v/>
      </c>
      <c r="D400">
        <f>IF(OR(Raw_data!$J400="",Raw_data!$J400&lt;=0,Raw_data!$K400=""),"",IF(Raw_data!$K400&gt;TODAY(),0,DATEDIF(Raw_data!$K400,TODAY(),"M")))</f>
        <v/>
      </c>
      <c r="E400">
        <f>--(AND(Raw_data!$AF400="No",OR(Raw_data!$AG400&lt;&gt;"",Raw_data!$AJ400&gt;0,Raw_data!$AK400&lt;&gt;"")))</f>
        <v/>
      </c>
      <c r="F400">
        <f>--(OR(AND(ISNUMBER(B400),B400&lt;0.5,OR(D400&gt;=24,Raw_data!$I400&gt;0)),Raw_data!$AE400=TRUE))</f>
        <v/>
      </c>
      <c r="G400">
        <f>IF(Dashboard!$B$11="Department",Raw_data!$AL400,IF(Dashboard!$B$11="Team",Raw_data!$AM400,IF(Dashboard!$B$11="Unit",Raw_data!$AN400,IF(Dashboard!$B$11="Legal entity",Raw_data!$AO400,IF(Dashboard!$B$11="Location",Raw_data!$AP400,Raw_data!$AQ400)))))</f>
        <v/>
      </c>
      <c r="H400">
        <f>--(AND(ISNUMBER(B400),B400&lt;0.5))</f>
        <v/>
      </c>
      <c r="I400">
        <f>IFERROR(MAX(0,(0.5-B400)*100),0)+IF(D400&gt;=24,20,0)+IF(Raw_data!$I400&gt;0,20,0)+IF(Raw_data!$AE400=TRUE,10,0)</f>
        <v/>
      </c>
      <c r="J400">
        <f>IFERROR(CHOOSE(MATCH(Dashboard!$B$11,{"Department","Team","Unit","Legal entity","Location","Lead"},0),INDEX(Lists!$B$3:$B$20,ROW()-1),INDEX(Lists!$C$3:$C$146,ROW()-1),INDEX(Lists!$D$3:$D$67,ROW()-1),INDEX(Lists!$E$3:$E$5,ROW()-1),INDEX(Lists!$F$3:$F$12,ROW()-1),INDEX(Lists!$G$3:$G$126,ROW()-1)),"")</f>
        <v/>
      </c>
      <c r="K400">
        <f>IF(J400="","",SUMPRODUCT(($A$2:$A$636=1)*($G$2:$G$636=J400)))</f>
        <v/>
      </c>
      <c r="L400">
        <f>IF(J400="","",SUMPRODUCT(($A$2:$A$636=1)*($G$2:$G$636=J400)*(ISNUMBER($B$2:$B$636))*($B$2:$B$636&lt;0.5)))</f>
        <v/>
      </c>
      <c r="M400">
        <f>IFERROR(L400/K400,"")</f>
        <v/>
      </c>
      <c r="N400">
        <f>IF(K400="","",M400+K400/100000+ROW()/100000000)</f>
        <v/>
      </c>
      <c r="R400">
        <f>IF(A400=1,IFERROR(I400,0)+ROW()/100000000,-1E+99)</f>
        <v/>
      </c>
      <c r="S400">
        <f>IF(A400=1,IFERROR(Raw_data!$T400,""),"")</f>
        <v/>
      </c>
      <c r="T400">
        <f>IF(A400=1,IFERROR(Raw_data!$AA400,""),"")</f>
        <v/>
      </c>
      <c r="U400">
        <f>IF(A400=1,IFERROR(Raw_data!$U400,""),"")</f>
        <v/>
      </c>
      <c r="V400">
        <f>IF(A400=1,IFERROR(Raw_data!$AB400,""),"")</f>
        <v/>
      </c>
    </row>
    <row r="401">
      <c r="A401">
        <f>--(AND(OR(Dashboard!$B$4="All",Raw_data!$AL401=Dashboard!$B$4),OR(Dashboard!$B$5="All",Raw_data!$AM401=Dashboard!$B$5),OR(Dashboard!$B$6="All",Raw_data!$AN401=Dashboard!$B$6),OR(Dashboard!$B$7="All",Raw_data!$AO401=Dashboard!$B$7),OR(Dashboard!$B$8="All",Raw_data!$AP401=Dashboard!$B$8),OR(Dashboard!$B$9="All",Raw_data!$AQ401=Dashboard!$B$9),OR(Dashboard!$B$10="All",Raw_data!$AF401=Dashboard!$B$10),OR(Raw_data!$F401="",Raw_data!$F401&lt;=TODAY())))</f>
        <v/>
      </c>
      <c r="B401">
        <f>IFERROR(IF(Dashboard!$B$3="Weighted",Raw_data!$U401,Raw_data!$T401),"")</f>
        <v/>
      </c>
      <c r="C401">
        <f>IFERROR(IF(Dashboard!$B$3="Weighted",Raw_data!$AB401,Raw_data!$AA401),"")</f>
        <v/>
      </c>
      <c r="D401">
        <f>IF(OR(Raw_data!$J401="",Raw_data!$J401&lt;=0,Raw_data!$K401=""),"",IF(Raw_data!$K401&gt;TODAY(),0,DATEDIF(Raw_data!$K401,TODAY(),"M")))</f>
        <v/>
      </c>
      <c r="E401">
        <f>--(AND(Raw_data!$AF401="No",OR(Raw_data!$AG401&lt;&gt;"",Raw_data!$AJ401&gt;0,Raw_data!$AK401&lt;&gt;"")))</f>
        <v/>
      </c>
      <c r="F401">
        <f>--(OR(AND(ISNUMBER(B401),B401&lt;0.5,OR(D401&gt;=24,Raw_data!$I401&gt;0)),Raw_data!$AE401=TRUE))</f>
        <v/>
      </c>
      <c r="G401">
        <f>IF(Dashboard!$B$11="Department",Raw_data!$AL401,IF(Dashboard!$B$11="Team",Raw_data!$AM401,IF(Dashboard!$B$11="Unit",Raw_data!$AN401,IF(Dashboard!$B$11="Legal entity",Raw_data!$AO401,IF(Dashboard!$B$11="Location",Raw_data!$AP401,Raw_data!$AQ401)))))</f>
        <v/>
      </c>
      <c r="H401">
        <f>--(AND(ISNUMBER(B401),B401&lt;0.5))</f>
        <v/>
      </c>
      <c r="I401">
        <f>IFERROR(MAX(0,(0.5-B401)*100),0)+IF(D401&gt;=24,20,0)+IF(Raw_data!$I401&gt;0,20,0)+IF(Raw_data!$AE401=TRUE,10,0)</f>
        <v/>
      </c>
      <c r="J401">
        <f>IFERROR(CHOOSE(MATCH(Dashboard!$B$11,{"Department","Team","Unit","Legal entity","Location","Lead"},0),INDEX(Lists!$B$3:$B$20,ROW()-1),INDEX(Lists!$C$3:$C$146,ROW()-1),INDEX(Lists!$D$3:$D$67,ROW()-1),INDEX(Lists!$E$3:$E$5,ROW()-1),INDEX(Lists!$F$3:$F$12,ROW()-1),INDEX(Lists!$G$3:$G$126,ROW()-1)),"")</f>
        <v/>
      </c>
      <c r="K401">
        <f>IF(J401="","",SUMPRODUCT(($A$2:$A$636=1)*($G$2:$G$636=J401)))</f>
        <v/>
      </c>
      <c r="L401">
        <f>IF(J401="","",SUMPRODUCT(($A$2:$A$636=1)*($G$2:$G$636=J401)*(ISNUMBER($B$2:$B$636))*($B$2:$B$636&lt;0.5)))</f>
        <v/>
      </c>
      <c r="M401">
        <f>IFERROR(L401/K401,"")</f>
        <v/>
      </c>
      <c r="N401">
        <f>IF(K401="","",M401+K401/100000+ROW()/100000000)</f>
        <v/>
      </c>
      <c r="R401">
        <f>IF(A401=1,IFERROR(I401,0)+ROW()/100000000,-1E+99)</f>
        <v/>
      </c>
      <c r="S401">
        <f>IF(A401=1,IFERROR(Raw_data!$T401,""),"")</f>
        <v/>
      </c>
      <c r="T401">
        <f>IF(A401=1,IFERROR(Raw_data!$AA401,""),"")</f>
        <v/>
      </c>
      <c r="U401">
        <f>IF(A401=1,IFERROR(Raw_data!$U401,""),"")</f>
        <v/>
      </c>
      <c r="V401">
        <f>IF(A401=1,IFERROR(Raw_data!$AB401,""),"")</f>
        <v/>
      </c>
    </row>
    <row r="402">
      <c r="A402">
        <f>--(AND(OR(Dashboard!$B$4="All",Raw_data!$AL402=Dashboard!$B$4),OR(Dashboard!$B$5="All",Raw_data!$AM402=Dashboard!$B$5),OR(Dashboard!$B$6="All",Raw_data!$AN402=Dashboard!$B$6),OR(Dashboard!$B$7="All",Raw_data!$AO402=Dashboard!$B$7),OR(Dashboard!$B$8="All",Raw_data!$AP402=Dashboard!$B$8),OR(Dashboard!$B$9="All",Raw_data!$AQ402=Dashboard!$B$9),OR(Dashboard!$B$10="All",Raw_data!$AF402=Dashboard!$B$10),OR(Raw_data!$F402="",Raw_data!$F402&lt;=TODAY())))</f>
        <v/>
      </c>
      <c r="B402">
        <f>IFERROR(IF(Dashboard!$B$3="Weighted",Raw_data!$U402,Raw_data!$T402),"")</f>
        <v/>
      </c>
      <c r="C402">
        <f>IFERROR(IF(Dashboard!$B$3="Weighted",Raw_data!$AB402,Raw_data!$AA402),"")</f>
        <v/>
      </c>
      <c r="D402">
        <f>IF(OR(Raw_data!$J402="",Raw_data!$J402&lt;=0,Raw_data!$K402=""),"",IF(Raw_data!$K402&gt;TODAY(),0,DATEDIF(Raw_data!$K402,TODAY(),"M")))</f>
        <v/>
      </c>
      <c r="E402">
        <f>--(AND(Raw_data!$AF402="No",OR(Raw_data!$AG402&lt;&gt;"",Raw_data!$AJ402&gt;0,Raw_data!$AK402&lt;&gt;"")))</f>
        <v/>
      </c>
      <c r="F402">
        <f>--(OR(AND(ISNUMBER(B402),B402&lt;0.5,OR(D402&gt;=24,Raw_data!$I402&gt;0)),Raw_data!$AE402=TRUE))</f>
        <v/>
      </c>
      <c r="G402">
        <f>IF(Dashboard!$B$11="Department",Raw_data!$AL402,IF(Dashboard!$B$11="Team",Raw_data!$AM402,IF(Dashboard!$B$11="Unit",Raw_data!$AN402,IF(Dashboard!$B$11="Legal entity",Raw_data!$AO402,IF(Dashboard!$B$11="Location",Raw_data!$AP402,Raw_data!$AQ402)))))</f>
        <v/>
      </c>
      <c r="H402">
        <f>--(AND(ISNUMBER(B402),B402&lt;0.5))</f>
        <v/>
      </c>
      <c r="I402">
        <f>IFERROR(MAX(0,(0.5-B402)*100),0)+IF(D402&gt;=24,20,0)+IF(Raw_data!$I402&gt;0,20,0)+IF(Raw_data!$AE402=TRUE,10,0)</f>
        <v/>
      </c>
      <c r="J402">
        <f>IFERROR(CHOOSE(MATCH(Dashboard!$B$11,{"Department","Team","Unit","Legal entity","Location","Lead"},0),INDEX(Lists!$B$3:$B$20,ROW()-1),INDEX(Lists!$C$3:$C$146,ROW()-1),INDEX(Lists!$D$3:$D$67,ROW()-1),INDEX(Lists!$E$3:$E$5,ROW()-1),INDEX(Lists!$F$3:$F$12,ROW()-1),INDEX(Lists!$G$3:$G$126,ROW()-1)),"")</f>
        <v/>
      </c>
      <c r="K402">
        <f>IF(J402="","",SUMPRODUCT(($A$2:$A$636=1)*($G$2:$G$636=J402)))</f>
        <v/>
      </c>
      <c r="L402">
        <f>IF(J402="","",SUMPRODUCT(($A$2:$A$636=1)*($G$2:$G$636=J402)*(ISNUMBER($B$2:$B$636))*($B$2:$B$636&lt;0.5)))</f>
        <v/>
      </c>
      <c r="M402">
        <f>IFERROR(L402/K402,"")</f>
        <v/>
      </c>
      <c r="N402">
        <f>IF(K402="","",M402+K402/100000+ROW()/100000000)</f>
        <v/>
      </c>
      <c r="R402">
        <f>IF(A402=1,IFERROR(I402,0)+ROW()/100000000,-1E+99)</f>
        <v/>
      </c>
      <c r="S402">
        <f>IF(A402=1,IFERROR(Raw_data!$T402,""),"")</f>
        <v/>
      </c>
      <c r="T402">
        <f>IF(A402=1,IFERROR(Raw_data!$AA402,""),"")</f>
        <v/>
      </c>
      <c r="U402">
        <f>IF(A402=1,IFERROR(Raw_data!$U402,""),"")</f>
        <v/>
      </c>
      <c r="V402">
        <f>IF(A402=1,IFERROR(Raw_data!$AB402,""),"")</f>
        <v/>
      </c>
    </row>
    <row r="403">
      <c r="A403">
        <f>--(AND(OR(Dashboard!$B$4="All",Raw_data!$AL403=Dashboard!$B$4),OR(Dashboard!$B$5="All",Raw_data!$AM403=Dashboard!$B$5),OR(Dashboard!$B$6="All",Raw_data!$AN403=Dashboard!$B$6),OR(Dashboard!$B$7="All",Raw_data!$AO403=Dashboard!$B$7),OR(Dashboard!$B$8="All",Raw_data!$AP403=Dashboard!$B$8),OR(Dashboard!$B$9="All",Raw_data!$AQ403=Dashboard!$B$9),OR(Dashboard!$B$10="All",Raw_data!$AF403=Dashboard!$B$10),OR(Raw_data!$F403="",Raw_data!$F403&lt;=TODAY())))</f>
        <v/>
      </c>
      <c r="B403">
        <f>IFERROR(IF(Dashboard!$B$3="Weighted",Raw_data!$U403,Raw_data!$T403),"")</f>
        <v/>
      </c>
      <c r="C403">
        <f>IFERROR(IF(Dashboard!$B$3="Weighted",Raw_data!$AB403,Raw_data!$AA403),"")</f>
        <v/>
      </c>
      <c r="D403">
        <f>IF(OR(Raw_data!$J403="",Raw_data!$J403&lt;=0,Raw_data!$K403=""),"",IF(Raw_data!$K403&gt;TODAY(),0,DATEDIF(Raw_data!$K403,TODAY(),"M")))</f>
        <v/>
      </c>
      <c r="E403">
        <f>--(AND(Raw_data!$AF403="No",OR(Raw_data!$AG403&lt;&gt;"",Raw_data!$AJ403&gt;0,Raw_data!$AK403&lt;&gt;"")))</f>
        <v/>
      </c>
      <c r="F403">
        <f>--(OR(AND(ISNUMBER(B403),B403&lt;0.5,OR(D403&gt;=24,Raw_data!$I403&gt;0)),Raw_data!$AE403=TRUE))</f>
        <v/>
      </c>
      <c r="G403">
        <f>IF(Dashboard!$B$11="Department",Raw_data!$AL403,IF(Dashboard!$B$11="Team",Raw_data!$AM403,IF(Dashboard!$B$11="Unit",Raw_data!$AN403,IF(Dashboard!$B$11="Legal entity",Raw_data!$AO403,IF(Dashboard!$B$11="Location",Raw_data!$AP403,Raw_data!$AQ403)))))</f>
        <v/>
      </c>
      <c r="H403">
        <f>--(AND(ISNUMBER(B403),B403&lt;0.5))</f>
        <v/>
      </c>
      <c r="I403">
        <f>IFERROR(MAX(0,(0.5-B403)*100),0)+IF(D403&gt;=24,20,0)+IF(Raw_data!$I403&gt;0,20,0)+IF(Raw_data!$AE403=TRUE,10,0)</f>
        <v/>
      </c>
      <c r="J403">
        <f>IFERROR(CHOOSE(MATCH(Dashboard!$B$11,{"Department","Team","Unit","Legal entity","Location","Lead"},0),INDEX(Lists!$B$3:$B$20,ROW()-1),INDEX(Lists!$C$3:$C$146,ROW()-1),INDEX(Lists!$D$3:$D$67,ROW()-1),INDEX(Lists!$E$3:$E$5,ROW()-1),INDEX(Lists!$F$3:$F$12,ROW()-1),INDEX(Lists!$G$3:$G$126,ROW()-1)),"")</f>
        <v/>
      </c>
      <c r="K403">
        <f>IF(J403="","",SUMPRODUCT(($A$2:$A$636=1)*($G$2:$G$636=J403)))</f>
        <v/>
      </c>
      <c r="L403">
        <f>IF(J403="","",SUMPRODUCT(($A$2:$A$636=1)*($G$2:$G$636=J403)*(ISNUMBER($B$2:$B$636))*($B$2:$B$636&lt;0.5)))</f>
        <v/>
      </c>
      <c r="M403">
        <f>IFERROR(L403/K403,"")</f>
        <v/>
      </c>
      <c r="N403">
        <f>IF(K403="","",M403+K403/100000+ROW()/100000000)</f>
        <v/>
      </c>
      <c r="R403">
        <f>IF(A403=1,IFERROR(I403,0)+ROW()/100000000,-1E+99)</f>
        <v/>
      </c>
      <c r="S403">
        <f>IF(A403=1,IFERROR(Raw_data!$T403,""),"")</f>
        <v/>
      </c>
      <c r="T403">
        <f>IF(A403=1,IFERROR(Raw_data!$AA403,""),"")</f>
        <v/>
      </c>
      <c r="U403">
        <f>IF(A403=1,IFERROR(Raw_data!$U403,""),"")</f>
        <v/>
      </c>
      <c r="V403">
        <f>IF(A403=1,IFERROR(Raw_data!$AB403,""),"")</f>
        <v/>
      </c>
    </row>
    <row r="404">
      <c r="A404">
        <f>--(AND(OR(Dashboard!$B$4="All",Raw_data!$AL404=Dashboard!$B$4),OR(Dashboard!$B$5="All",Raw_data!$AM404=Dashboard!$B$5),OR(Dashboard!$B$6="All",Raw_data!$AN404=Dashboard!$B$6),OR(Dashboard!$B$7="All",Raw_data!$AO404=Dashboard!$B$7),OR(Dashboard!$B$8="All",Raw_data!$AP404=Dashboard!$B$8),OR(Dashboard!$B$9="All",Raw_data!$AQ404=Dashboard!$B$9),OR(Dashboard!$B$10="All",Raw_data!$AF404=Dashboard!$B$10),OR(Raw_data!$F404="",Raw_data!$F404&lt;=TODAY())))</f>
        <v/>
      </c>
      <c r="B404">
        <f>IFERROR(IF(Dashboard!$B$3="Weighted",Raw_data!$U404,Raw_data!$T404),"")</f>
        <v/>
      </c>
      <c r="C404">
        <f>IFERROR(IF(Dashboard!$B$3="Weighted",Raw_data!$AB404,Raw_data!$AA404),"")</f>
        <v/>
      </c>
      <c r="D404">
        <f>IF(OR(Raw_data!$J404="",Raw_data!$J404&lt;=0,Raw_data!$K404=""),"",IF(Raw_data!$K404&gt;TODAY(),0,DATEDIF(Raw_data!$K404,TODAY(),"M")))</f>
        <v/>
      </c>
      <c r="E404">
        <f>--(AND(Raw_data!$AF404="No",OR(Raw_data!$AG404&lt;&gt;"",Raw_data!$AJ404&gt;0,Raw_data!$AK404&lt;&gt;"")))</f>
        <v/>
      </c>
      <c r="F404">
        <f>--(OR(AND(ISNUMBER(B404),B404&lt;0.5,OR(D404&gt;=24,Raw_data!$I404&gt;0)),Raw_data!$AE404=TRUE))</f>
        <v/>
      </c>
      <c r="G404">
        <f>IF(Dashboard!$B$11="Department",Raw_data!$AL404,IF(Dashboard!$B$11="Team",Raw_data!$AM404,IF(Dashboard!$B$11="Unit",Raw_data!$AN404,IF(Dashboard!$B$11="Legal entity",Raw_data!$AO404,IF(Dashboard!$B$11="Location",Raw_data!$AP404,Raw_data!$AQ404)))))</f>
        <v/>
      </c>
      <c r="H404">
        <f>--(AND(ISNUMBER(B404),B404&lt;0.5))</f>
        <v/>
      </c>
      <c r="I404">
        <f>IFERROR(MAX(0,(0.5-B404)*100),0)+IF(D404&gt;=24,20,0)+IF(Raw_data!$I404&gt;0,20,0)+IF(Raw_data!$AE404=TRUE,10,0)</f>
        <v/>
      </c>
      <c r="J404">
        <f>IFERROR(CHOOSE(MATCH(Dashboard!$B$11,{"Department","Team","Unit","Legal entity","Location","Lead"},0),INDEX(Lists!$B$3:$B$20,ROW()-1),INDEX(Lists!$C$3:$C$146,ROW()-1),INDEX(Lists!$D$3:$D$67,ROW()-1),INDEX(Lists!$E$3:$E$5,ROW()-1),INDEX(Lists!$F$3:$F$12,ROW()-1),INDEX(Lists!$G$3:$G$126,ROW()-1)),"")</f>
        <v/>
      </c>
      <c r="K404">
        <f>IF(J404="","",SUMPRODUCT(($A$2:$A$636=1)*($G$2:$G$636=J404)))</f>
        <v/>
      </c>
      <c r="L404">
        <f>IF(J404="","",SUMPRODUCT(($A$2:$A$636=1)*($G$2:$G$636=J404)*(ISNUMBER($B$2:$B$636))*($B$2:$B$636&lt;0.5)))</f>
        <v/>
      </c>
      <c r="M404">
        <f>IFERROR(L404/K404,"")</f>
        <v/>
      </c>
      <c r="N404">
        <f>IF(K404="","",M404+K404/100000+ROW()/100000000)</f>
        <v/>
      </c>
      <c r="R404">
        <f>IF(A404=1,IFERROR(I404,0)+ROW()/100000000,-1E+99)</f>
        <v/>
      </c>
      <c r="S404">
        <f>IF(A404=1,IFERROR(Raw_data!$T404,""),"")</f>
        <v/>
      </c>
      <c r="T404">
        <f>IF(A404=1,IFERROR(Raw_data!$AA404,""),"")</f>
        <v/>
      </c>
      <c r="U404">
        <f>IF(A404=1,IFERROR(Raw_data!$U404,""),"")</f>
        <v/>
      </c>
      <c r="V404">
        <f>IF(A404=1,IFERROR(Raw_data!$AB404,""),"")</f>
        <v/>
      </c>
    </row>
    <row r="405">
      <c r="A405">
        <f>--(AND(OR(Dashboard!$B$4="All",Raw_data!$AL405=Dashboard!$B$4),OR(Dashboard!$B$5="All",Raw_data!$AM405=Dashboard!$B$5),OR(Dashboard!$B$6="All",Raw_data!$AN405=Dashboard!$B$6),OR(Dashboard!$B$7="All",Raw_data!$AO405=Dashboard!$B$7),OR(Dashboard!$B$8="All",Raw_data!$AP405=Dashboard!$B$8),OR(Dashboard!$B$9="All",Raw_data!$AQ405=Dashboard!$B$9),OR(Dashboard!$B$10="All",Raw_data!$AF405=Dashboard!$B$10),OR(Raw_data!$F405="",Raw_data!$F405&lt;=TODAY())))</f>
        <v/>
      </c>
      <c r="B405">
        <f>IFERROR(IF(Dashboard!$B$3="Weighted",Raw_data!$U405,Raw_data!$T405),"")</f>
        <v/>
      </c>
      <c r="C405">
        <f>IFERROR(IF(Dashboard!$B$3="Weighted",Raw_data!$AB405,Raw_data!$AA405),"")</f>
        <v/>
      </c>
      <c r="D405">
        <f>IF(OR(Raw_data!$J405="",Raw_data!$J405&lt;=0,Raw_data!$K405=""),"",IF(Raw_data!$K405&gt;TODAY(),0,DATEDIF(Raw_data!$K405,TODAY(),"M")))</f>
        <v/>
      </c>
      <c r="E405">
        <f>--(AND(Raw_data!$AF405="No",OR(Raw_data!$AG405&lt;&gt;"",Raw_data!$AJ405&gt;0,Raw_data!$AK405&lt;&gt;"")))</f>
        <v/>
      </c>
      <c r="F405">
        <f>--(OR(AND(ISNUMBER(B405),B405&lt;0.5,OR(D405&gt;=24,Raw_data!$I405&gt;0)),Raw_data!$AE405=TRUE))</f>
        <v/>
      </c>
      <c r="G405">
        <f>IF(Dashboard!$B$11="Department",Raw_data!$AL405,IF(Dashboard!$B$11="Team",Raw_data!$AM405,IF(Dashboard!$B$11="Unit",Raw_data!$AN405,IF(Dashboard!$B$11="Legal entity",Raw_data!$AO405,IF(Dashboard!$B$11="Location",Raw_data!$AP405,Raw_data!$AQ405)))))</f>
        <v/>
      </c>
      <c r="H405">
        <f>--(AND(ISNUMBER(B405),B405&lt;0.5))</f>
        <v/>
      </c>
      <c r="I405">
        <f>IFERROR(MAX(0,(0.5-B405)*100),0)+IF(D405&gt;=24,20,0)+IF(Raw_data!$I405&gt;0,20,0)+IF(Raw_data!$AE405=TRUE,10,0)</f>
        <v/>
      </c>
      <c r="J405">
        <f>IFERROR(CHOOSE(MATCH(Dashboard!$B$11,{"Department","Team","Unit","Legal entity","Location","Lead"},0),INDEX(Lists!$B$3:$B$20,ROW()-1),INDEX(Lists!$C$3:$C$146,ROW()-1),INDEX(Lists!$D$3:$D$67,ROW()-1),INDEX(Lists!$E$3:$E$5,ROW()-1),INDEX(Lists!$F$3:$F$12,ROW()-1),INDEX(Lists!$G$3:$G$126,ROW()-1)),"")</f>
        <v/>
      </c>
      <c r="K405">
        <f>IF(J405="","",SUMPRODUCT(($A$2:$A$636=1)*($G$2:$G$636=J405)))</f>
        <v/>
      </c>
      <c r="L405">
        <f>IF(J405="","",SUMPRODUCT(($A$2:$A$636=1)*($G$2:$G$636=J405)*(ISNUMBER($B$2:$B$636))*($B$2:$B$636&lt;0.5)))</f>
        <v/>
      </c>
      <c r="M405">
        <f>IFERROR(L405/K405,"")</f>
        <v/>
      </c>
      <c r="N405">
        <f>IF(K405="","",M405+K405/100000+ROW()/100000000)</f>
        <v/>
      </c>
      <c r="R405">
        <f>IF(A405=1,IFERROR(I405,0)+ROW()/100000000,-1E+99)</f>
        <v/>
      </c>
      <c r="S405">
        <f>IF(A405=1,IFERROR(Raw_data!$T405,""),"")</f>
        <v/>
      </c>
      <c r="T405">
        <f>IF(A405=1,IFERROR(Raw_data!$AA405,""),"")</f>
        <v/>
      </c>
      <c r="U405">
        <f>IF(A405=1,IFERROR(Raw_data!$U405,""),"")</f>
        <v/>
      </c>
      <c r="V405">
        <f>IF(A405=1,IFERROR(Raw_data!$AB405,""),"")</f>
        <v/>
      </c>
    </row>
    <row r="406">
      <c r="A406">
        <f>--(AND(OR(Dashboard!$B$4="All",Raw_data!$AL406=Dashboard!$B$4),OR(Dashboard!$B$5="All",Raw_data!$AM406=Dashboard!$B$5),OR(Dashboard!$B$6="All",Raw_data!$AN406=Dashboard!$B$6),OR(Dashboard!$B$7="All",Raw_data!$AO406=Dashboard!$B$7),OR(Dashboard!$B$8="All",Raw_data!$AP406=Dashboard!$B$8),OR(Dashboard!$B$9="All",Raw_data!$AQ406=Dashboard!$B$9),OR(Dashboard!$B$10="All",Raw_data!$AF406=Dashboard!$B$10),OR(Raw_data!$F406="",Raw_data!$F406&lt;=TODAY())))</f>
        <v/>
      </c>
      <c r="B406">
        <f>IFERROR(IF(Dashboard!$B$3="Weighted",Raw_data!$U406,Raw_data!$T406),"")</f>
        <v/>
      </c>
      <c r="C406">
        <f>IFERROR(IF(Dashboard!$B$3="Weighted",Raw_data!$AB406,Raw_data!$AA406),"")</f>
        <v/>
      </c>
      <c r="D406">
        <f>IF(OR(Raw_data!$J406="",Raw_data!$J406&lt;=0,Raw_data!$K406=""),"",IF(Raw_data!$K406&gt;TODAY(),0,DATEDIF(Raw_data!$K406,TODAY(),"M")))</f>
        <v/>
      </c>
      <c r="E406">
        <f>--(AND(Raw_data!$AF406="No",OR(Raw_data!$AG406&lt;&gt;"",Raw_data!$AJ406&gt;0,Raw_data!$AK406&lt;&gt;"")))</f>
        <v/>
      </c>
      <c r="F406">
        <f>--(OR(AND(ISNUMBER(B406),B406&lt;0.5,OR(D406&gt;=24,Raw_data!$I406&gt;0)),Raw_data!$AE406=TRUE))</f>
        <v/>
      </c>
      <c r="G406">
        <f>IF(Dashboard!$B$11="Department",Raw_data!$AL406,IF(Dashboard!$B$11="Team",Raw_data!$AM406,IF(Dashboard!$B$11="Unit",Raw_data!$AN406,IF(Dashboard!$B$11="Legal entity",Raw_data!$AO406,IF(Dashboard!$B$11="Location",Raw_data!$AP406,Raw_data!$AQ406)))))</f>
        <v/>
      </c>
      <c r="H406">
        <f>--(AND(ISNUMBER(B406),B406&lt;0.5))</f>
        <v/>
      </c>
      <c r="I406">
        <f>IFERROR(MAX(0,(0.5-B406)*100),0)+IF(D406&gt;=24,20,0)+IF(Raw_data!$I406&gt;0,20,0)+IF(Raw_data!$AE406=TRUE,10,0)</f>
        <v/>
      </c>
      <c r="J406">
        <f>IFERROR(CHOOSE(MATCH(Dashboard!$B$11,{"Department","Team","Unit","Legal entity","Location","Lead"},0),INDEX(Lists!$B$3:$B$20,ROW()-1),INDEX(Lists!$C$3:$C$146,ROW()-1),INDEX(Lists!$D$3:$D$67,ROW()-1),INDEX(Lists!$E$3:$E$5,ROW()-1),INDEX(Lists!$F$3:$F$12,ROW()-1),INDEX(Lists!$G$3:$G$126,ROW()-1)),"")</f>
        <v/>
      </c>
      <c r="K406">
        <f>IF(J406="","",SUMPRODUCT(($A$2:$A$636=1)*($G$2:$G$636=J406)))</f>
        <v/>
      </c>
      <c r="L406">
        <f>IF(J406="","",SUMPRODUCT(($A$2:$A$636=1)*($G$2:$G$636=J406)*(ISNUMBER($B$2:$B$636))*($B$2:$B$636&lt;0.5)))</f>
        <v/>
      </c>
      <c r="M406">
        <f>IFERROR(L406/K406,"")</f>
        <v/>
      </c>
      <c r="N406">
        <f>IF(K406="","",M406+K406/100000+ROW()/100000000)</f>
        <v/>
      </c>
      <c r="R406">
        <f>IF(A406=1,IFERROR(I406,0)+ROW()/100000000,-1E+99)</f>
        <v/>
      </c>
      <c r="S406">
        <f>IF(A406=1,IFERROR(Raw_data!$T406,""),"")</f>
        <v/>
      </c>
      <c r="T406">
        <f>IF(A406=1,IFERROR(Raw_data!$AA406,""),"")</f>
        <v/>
      </c>
      <c r="U406">
        <f>IF(A406=1,IFERROR(Raw_data!$U406,""),"")</f>
        <v/>
      </c>
      <c r="V406">
        <f>IF(A406=1,IFERROR(Raw_data!$AB406,""),"")</f>
        <v/>
      </c>
    </row>
    <row r="407">
      <c r="A407">
        <f>--(AND(OR(Dashboard!$B$4="All",Raw_data!$AL407=Dashboard!$B$4),OR(Dashboard!$B$5="All",Raw_data!$AM407=Dashboard!$B$5),OR(Dashboard!$B$6="All",Raw_data!$AN407=Dashboard!$B$6),OR(Dashboard!$B$7="All",Raw_data!$AO407=Dashboard!$B$7),OR(Dashboard!$B$8="All",Raw_data!$AP407=Dashboard!$B$8),OR(Dashboard!$B$9="All",Raw_data!$AQ407=Dashboard!$B$9),OR(Dashboard!$B$10="All",Raw_data!$AF407=Dashboard!$B$10),OR(Raw_data!$F407="",Raw_data!$F407&lt;=TODAY())))</f>
        <v/>
      </c>
      <c r="B407">
        <f>IFERROR(IF(Dashboard!$B$3="Weighted",Raw_data!$U407,Raw_data!$T407),"")</f>
        <v/>
      </c>
      <c r="C407">
        <f>IFERROR(IF(Dashboard!$B$3="Weighted",Raw_data!$AB407,Raw_data!$AA407),"")</f>
        <v/>
      </c>
      <c r="D407">
        <f>IF(OR(Raw_data!$J407="",Raw_data!$J407&lt;=0,Raw_data!$K407=""),"",IF(Raw_data!$K407&gt;TODAY(),0,DATEDIF(Raw_data!$K407,TODAY(),"M")))</f>
        <v/>
      </c>
      <c r="E407">
        <f>--(AND(Raw_data!$AF407="No",OR(Raw_data!$AG407&lt;&gt;"",Raw_data!$AJ407&gt;0,Raw_data!$AK407&lt;&gt;"")))</f>
        <v/>
      </c>
      <c r="F407">
        <f>--(OR(AND(ISNUMBER(B407),B407&lt;0.5,OR(D407&gt;=24,Raw_data!$I407&gt;0)),Raw_data!$AE407=TRUE))</f>
        <v/>
      </c>
      <c r="G407">
        <f>IF(Dashboard!$B$11="Department",Raw_data!$AL407,IF(Dashboard!$B$11="Team",Raw_data!$AM407,IF(Dashboard!$B$11="Unit",Raw_data!$AN407,IF(Dashboard!$B$11="Legal entity",Raw_data!$AO407,IF(Dashboard!$B$11="Location",Raw_data!$AP407,Raw_data!$AQ407)))))</f>
        <v/>
      </c>
      <c r="H407">
        <f>--(AND(ISNUMBER(B407),B407&lt;0.5))</f>
        <v/>
      </c>
      <c r="I407">
        <f>IFERROR(MAX(0,(0.5-B407)*100),0)+IF(D407&gt;=24,20,0)+IF(Raw_data!$I407&gt;0,20,0)+IF(Raw_data!$AE407=TRUE,10,0)</f>
        <v/>
      </c>
      <c r="J407">
        <f>IFERROR(CHOOSE(MATCH(Dashboard!$B$11,{"Department","Team","Unit","Legal entity","Location","Lead"},0),INDEX(Lists!$B$3:$B$20,ROW()-1),INDEX(Lists!$C$3:$C$146,ROW()-1),INDEX(Lists!$D$3:$D$67,ROW()-1),INDEX(Lists!$E$3:$E$5,ROW()-1),INDEX(Lists!$F$3:$F$12,ROW()-1),INDEX(Lists!$G$3:$G$126,ROW()-1)),"")</f>
        <v/>
      </c>
      <c r="K407">
        <f>IF(J407="","",SUMPRODUCT(($A$2:$A$636=1)*($G$2:$G$636=J407)))</f>
        <v/>
      </c>
      <c r="L407">
        <f>IF(J407="","",SUMPRODUCT(($A$2:$A$636=1)*($G$2:$G$636=J407)*(ISNUMBER($B$2:$B$636))*($B$2:$B$636&lt;0.5)))</f>
        <v/>
      </c>
      <c r="M407">
        <f>IFERROR(L407/K407,"")</f>
        <v/>
      </c>
      <c r="N407">
        <f>IF(K407="","",M407+K407/100000+ROW()/100000000)</f>
        <v/>
      </c>
      <c r="R407">
        <f>IF(A407=1,IFERROR(I407,0)+ROW()/100000000,-1E+99)</f>
        <v/>
      </c>
      <c r="S407">
        <f>IF(A407=1,IFERROR(Raw_data!$T407,""),"")</f>
        <v/>
      </c>
      <c r="T407">
        <f>IF(A407=1,IFERROR(Raw_data!$AA407,""),"")</f>
        <v/>
      </c>
      <c r="U407">
        <f>IF(A407=1,IFERROR(Raw_data!$U407,""),"")</f>
        <v/>
      </c>
      <c r="V407">
        <f>IF(A407=1,IFERROR(Raw_data!$AB407,""),"")</f>
        <v/>
      </c>
    </row>
    <row r="408">
      <c r="A408">
        <f>--(AND(OR(Dashboard!$B$4="All",Raw_data!$AL408=Dashboard!$B$4),OR(Dashboard!$B$5="All",Raw_data!$AM408=Dashboard!$B$5),OR(Dashboard!$B$6="All",Raw_data!$AN408=Dashboard!$B$6),OR(Dashboard!$B$7="All",Raw_data!$AO408=Dashboard!$B$7),OR(Dashboard!$B$8="All",Raw_data!$AP408=Dashboard!$B$8),OR(Dashboard!$B$9="All",Raw_data!$AQ408=Dashboard!$B$9),OR(Dashboard!$B$10="All",Raw_data!$AF408=Dashboard!$B$10),OR(Raw_data!$F408="",Raw_data!$F408&lt;=TODAY())))</f>
        <v/>
      </c>
      <c r="B408">
        <f>IFERROR(IF(Dashboard!$B$3="Weighted",Raw_data!$U408,Raw_data!$T408),"")</f>
        <v/>
      </c>
      <c r="C408">
        <f>IFERROR(IF(Dashboard!$B$3="Weighted",Raw_data!$AB408,Raw_data!$AA408),"")</f>
        <v/>
      </c>
      <c r="D408">
        <f>IF(OR(Raw_data!$J408="",Raw_data!$J408&lt;=0,Raw_data!$K408=""),"",IF(Raw_data!$K408&gt;TODAY(),0,DATEDIF(Raw_data!$K408,TODAY(),"M")))</f>
        <v/>
      </c>
      <c r="E408">
        <f>--(AND(Raw_data!$AF408="No",OR(Raw_data!$AG408&lt;&gt;"",Raw_data!$AJ408&gt;0,Raw_data!$AK408&lt;&gt;"")))</f>
        <v/>
      </c>
      <c r="F408">
        <f>--(OR(AND(ISNUMBER(B408),B408&lt;0.5,OR(D408&gt;=24,Raw_data!$I408&gt;0)),Raw_data!$AE408=TRUE))</f>
        <v/>
      </c>
      <c r="G408">
        <f>IF(Dashboard!$B$11="Department",Raw_data!$AL408,IF(Dashboard!$B$11="Team",Raw_data!$AM408,IF(Dashboard!$B$11="Unit",Raw_data!$AN408,IF(Dashboard!$B$11="Legal entity",Raw_data!$AO408,IF(Dashboard!$B$11="Location",Raw_data!$AP408,Raw_data!$AQ408)))))</f>
        <v/>
      </c>
      <c r="H408">
        <f>--(AND(ISNUMBER(B408),B408&lt;0.5))</f>
        <v/>
      </c>
      <c r="I408">
        <f>IFERROR(MAX(0,(0.5-B408)*100),0)+IF(D408&gt;=24,20,0)+IF(Raw_data!$I408&gt;0,20,0)+IF(Raw_data!$AE408=TRUE,10,0)</f>
        <v/>
      </c>
      <c r="J408">
        <f>IFERROR(CHOOSE(MATCH(Dashboard!$B$11,{"Department","Team","Unit","Legal entity","Location","Lead"},0),INDEX(Lists!$B$3:$B$20,ROW()-1),INDEX(Lists!$C$3:$C$146,ROW()-1),INDEX(Lists!$D$3:$D$67,ROW()-1),INDEX(Lists!$E$3:$E$5,ROW()-1),INDEX(Lists!$F$3:$F$12,ROW()-1),INDEX(Lists!$G$3:$G$126,ROW()-1)),"")</f>
        <v/>
      </c>
      <c r="K408">
        <f>IF(J408="","",SUMPRODUCT(($A$2:$A$636=1)*($G$2:$G$636=J408)))</f>
        <v/>
      </c>
      <c r="L408">
        <f>IF(J408="","",SUMPRODUCT(($A$2:$A$636=1)*($G$2:$G$636=J408)*(ISNUMBER($B$2:$B$636))*($B$2:$B$636&lt;0.5)))</f>
        <v/>
      </c>
      <c r="M408">
        <f>IFERROR(L408/K408,"")</f>
        <v/>
      </c>
      <c r="N408">
        <f>IF(K408="","",M408+K408/100000+ROW()/100000000)</f>
        <v/>
      </c>
      <c r="R408">
        <f>IF(A408=1,IFERROR(I408,0)+ROW()/100000000,-1E+99)</f>
        <v/>
      </c>
      <c r="S408">
        <f>IF(A408=1,IFERROR(Raw_data!$T408,""),"")</f>
        <v/>
      </c>
      <c r="T408">
        <f>IF(A408=1,IFERROR(Raw_data!$AA408,""),"")</f>
        <v/>
      </c>
      <c r="U408">
        <f>IF(A408=1,IFERROR(Raw_data!$U408,""),"")</f>
        <v/>
      </c>
      <c r="V408">
        <f>IF(A408=1,IFERROR(Raw_data!$AB408,""),"")</f>
        <v/>
      </c>
    </row>
    <row r="409">
      <c r="A409">
        <f>--(AND(OR(Dashboard!$B$4="All",Raw_data!$AL409=Dashboard!$B$4),OR(Dashboard!$B$5="All",Raw_data!$AM409=Dashboard!$B$5),OR(Dashboard!$B$6="All",Raw_data!$AN409=Dashboard!$B$6),OR(Dashboard!$B$7="All",Raw_data!$AO409=Dashboard!$B$7),OR(Dashboard!$B$8="All",Raw_data!$AP409=Dashboard!$B$8),OR(Dashboard!$B$9="All",Raw_data!$AQ409=Dashboard!$B$9),OR(Dashboard!$B$10="All",Raw_data!$AF409=Dashboard!$B$10),OR(Raw_data!$F409="",Raw_data!$F409&lt;=TODAY())))</f>
        <v/>
      </c>
      <c r="B409">
        <f>IFERROR(IF(Dashboard!$B$3="Weighted",Raw_data!$U409,Raw_data!$T409),"")</f>
        <v/>
      </c>
      <c r="C409">
        <f>IFERROR(IF(Dashboard!$B$3="Weighted",Raw_data!$AB409,Raw_data!$AA409),"")</f>
        <v/>
      </c>
      <c r="D409">
        <f>IF(OR(Raw_data!$J409="",Raw_data!$J409&lt;=0,Raw_data!$K409=""),"",IF(Raw_data!$K409&gt;TODAY(),0,DATEDIF(Raw_data!$K409,TODAY(),"M")))</f>
        <v/>
      </c>
      <c r="E409">
        <f>--(AND(Raw_data!$AF409="No",OR(Raw_data!$AG409&lt;&gt;"",Raw_data!$AJ409&gt;0,Raw_data!$AK409&lt;&gt;"")))</f>
        <v/>
      </c>
      <c r="F409">
        <f>--(OR(AND(ISNUMBER(B409),B409&lt;0.5,OR(D409&gt;=24,Raw_data!$I409&gt;0)),Raw_data!$AE409=TRUE))</f>
        <v/>
      </c>
      <c r="G409">
        <f>IF(Dashboard!$B$11="Department",Raw_data!$AL409,IF(Dashboard!$B$11="Team",Raw_data!$AM409,IF(Dashboard!$B$11="Unit",Raw_data!$AN409,IF(Dashboard!$B$11="Legal entity",Raw_data!$AO409,IF(Dashboard!$B$11="Location",Raw_data!$AP409,Raw_data!$AQ409)))))</f>
        <v/>
      </c>
      <c r="H409">
        <f>--(AND(ISNUMBER(B409),B409&lt;0.5))</f>
        <v/>
      </c>
      <c r="I409">
        <f>IFERROR(MAX(0,(0.5-B409)*100),0)+IF(D409&gt;=24,20,0)+IF(Raw_data!$I409&gt;0,20,0)+IF(Raw_data!$AE409=TRUE,10,0)</f>
        <v/>
      </c>
      <c r="J409">
        <f>IFERROR(CHOOSE(MATCH(Dashboard!$B$11,{"Department","Team","Unit","Legal entity","Location","Lead"},0),INDEX(Lists!$B$3:$B$20,ROW()-1),INDEX(Lists!$C$3:$C$146,ROW()-1),INDEX(Lists!$D$3:$D$67,ROW()-1),INDEX(Lists!$E$3:$E$5,ROW()-1),INDEX(Lists!$F$3:$F$12,ROW()-1),INDEX(Lists!$G$3:$G$126,ROW()-1)),"")</f>
        <v/>
      </c>
      <c r="K409">
        <f>IF(J409="","",SUMPRODUCT(($A$2:$A$636=1)*($G$2:$G$636=J409)))</f>
        <v/>
      </c>
      <c r="L409">
        <f>IF(J409="","",SUMPRODUCT(($A$2:$A$636=1)*($G$2:$G$636=J409)*(ISNUMBER($B$2:$B$636))*($B$2:$B$636&lt;0.5)))</f>
        <v/>
      </c>
      <c r="M409">
        <f>IFERROR(L409/K409,"")</f>
        <v/>
      </c>
      <c r="N409">
        <f>IF(K409="","",M409+K409/100000+ROW()/100000000)</f>
        <v/>
      </c>
      <c r="R409">
        <f>IF(A409=1,IFERROR(I409,0)+ROW()/100000000,-1E+99)</f>
        <v/>
      </c>
      <c r="S409">
        <f>IF(A409=1,IFERROR(Raw_data!$T409,""),"")</f>
        <v/>
      </c>
      <c r="T409">
        <f>IF(A409=1,IFERROR(Raw_data!$AA409,""),"")</f>
        <v/>
      </c>
      <c r="U409">
        <f>IF(A409=1,IFERROR(Raw_data!$U409,""),"")</f>
        <v/>
      </c>
      <c r="V409">
        <f>IF(A409=1,IFERROR(Raw_data!$AB409,""),"")</f>
        <v/>
      </c>
    </row>
    <row r="410">
      <c r="A410">
        <f>--(AND(OR(Dashboard!$B$4="All",Raw_data!$AL410=Dashboard!$B$4),OR(Dashboard!$B$5="All",Raw_data!$AM410=Dashboard!$B$5),OR(Dashboard!$B$6="All",Raw_data!$AN410=Dashboard!$B$6),OR(Dashboard!$B$7="All",Raw_data!$AO410=Dashboard!$B$7),OR(Dashboard!$B$8="All",Raw_data!$AP410=Dashboard!$B$8),OR(Dashboard!$B$9="All",Raw_data!$AQ410=Dashboard!$B$9),OR(Dashboard!$B$10="All",Raw_data!$AF410=Dashboard!$B$10),OR(Raw_data!$F410="",Raw_data!$F410&lt;=TODAY())))</f>
        <v/>
      </c>
      <c r="B410">
        <f>IFERROR(IF(Dashboard!$B$3="Weighted",Raw_data!$U410,Raw_data!$T410),"")</f>
        <v/>
      </c>
      <c r="C410">
        <f>IFERROR(IF(Dashboard!$B$3="Weighted",Raw_data!$AB410,Raw_data!$AA410),"")</f>
        <v/>
      </c>
      <c r="D410">
        <f>IF(OR(Raw_data!$J410="",Raw_data!$J410&lt;=0,Raw_data!$K410=""),"",IF(Raw_data!$K410&gt;TODAY(),0,DATEDIF(Raw_data!$K410,TODAY(),"M")))</f>
        <v/>
      </c>
      <c r="E410">
        <f>--(AND(Raw_data!$AF410="No",OR(Raw_data!$AG410&lt;&gt;"",Raw_data!$AJ410&gt;0,Raw_data!$AK410&lt;&gt;"")))</f>
        <v/>
      </c>
      <c r="F410">
        <f>--(OR(AND(ISNUMBER(B410),B410&lt;0.5,OR(D410&gt;=24,Raw_data!$I410&gt;0)),Raw_data!$AE410=TRUE))</f>
        <v/>
      </c>
      <c r="G410">
        <f>IF(Dashboard!$B$11="Department",Raw_data!$AL410,IF(Dashboard!$B$11="Team",Raw_data!$AM410,IF(Dashboard!$B$11="Unit",Raw_data!$AN410,IF(Dashboard!$B$11="Legal entity",Raw_data!$AO410,IF(Dashboard!$B$11="Location",Raw_data!$AP410,Raw_data!$AQ410)))))</f>
        <v/>
      </c>
      <c r="H410">
        <f>--(AND(ISNUMBER(B410),B410&lt;0.5))</f>
        <v/>
      </c>
      <c r="I410">
        <f>IFERROR(MAX(0,(0.5-B410)*100),0)+IF(D410&gt;=24,20,0)+IF(Raw_data!$I410&gt;0,20,0)+IF(Raw_data!$AE410=TRUE,10,0)</f>
        <v/>
      </c>
      <c r="J410">
        <f>IFERROR(CHOOSE(MATCH(Dashboard!$B$11,{"Department","Team","Unit","Legal entity","Location","Lead"},0),INDEX(Lists!$B$3:$B$20,ROW()-1),INDEX(Lists!$C$3:$C$146,ROW()-1),INDEX(Lists!$D$3:$D$67,ROW()-1),INDEX(Lists!$E$3:$E$5,ROW()-1),INDEX(Lists!$F$3:$F$12,ROW()-1),INDEX(Lists!$G$3:$G$126,ROW()-1)),"")</f>
        <v/>
      </c>
      <c r="K410">
        <f>IF(J410="","",SUMPRODUCT(($A$2:$A$636=1)*($G$2:$G$636=J410)))</f>
        <v/>
      </c>
      <c r="L410">
        <f>IF(J410="","",SUMPRODUCT(($A$2:$A$636=1)*($G$2:$G$636=J410)*(ISNUMBER($B$2:$B$636))*($B$2:$B$636&lt;0.5)))</f>
        <v/>
      </c>
      <c r="M410">
        <f>IFERROR(L410/K410,"")</f>
        <v/>
      </c>
      <c r="N410">
        <f>IF(K410="","",M410+K410/100000+ROW()/100000000)</f>
        <v/>
      </c>
      <c r="R410">
        <f>IF(A410=1,IFERROR(I410,0)+ROW()/100000000,-1E+99)</f>
        <v/>
      </c>
      <c r="S410">
        <f>IF(A410=1,IFERROR(Raw_data!$T410,""),"")</f>
        <v/>
      </c>
      <c r="T410">
        <f>IF(A410=1,IFERROR(Raw_data!$AA410,""),"")</f>
        <v/>
      </c>
      <c r="U410">
        <f>IF(A410=1,IFERROR(Raw_data!$U410,""),"")</f>
        <v/>
      </c>
      <c r="V410">
        <f>IF(A410=1,IFERROR(Raw_data!$AB410,""),"")</f>
        <v/>
      </c>
    </row>
    <row r="411">
      <c r="A411">
        <f>--(AND(OR(Dashboard!$B$4="All",Raw_data!$AL411=Dashboard!$B$4),OR(Dashboard!$B$5="All",Raw_data!$AM411=Dashboard!$B$5),OR(Dashboard!$B$6="All",Raw_data!$AN411=Dashboard!$B$6),OR(Dashboard!$B$7="All",Raw_data!$AO411=Dashboard!$B$7),OR(Dashboard!$B$8="All",Raw_data!$AP411=Dashboard!$B$8),OR(Dashboard!$B$9="All",Raw_data!$AQ411=Dashboard!$B$9),OR(Dashboard!$B$10="All",Raw_data!$AF411=Dashboard!$B$10),OR(Raw_data!$F411="",Raw_data!$F411&lt;=TODAY())))</f>
        <v/>
      </c>
      <c r="B411">
        <f>IFERROR(IF(Dashboard!$B$3="Weighted",Raw_data!$U411,Raw_data!$T411),"")</f>
        <v/>
      </c>
      <c r="C411">
        <f>IFERROR(IF(Dashboard!$B$3="Weighted",Raw_data!$AB411,Raw_data!$AA411),"")</f>
        <v/>
      </c>
      <c r="D411">
        <f>IF(OR(Raw_data!$J411="",Raw_data!$J411&lt;=0,Raw_data!$K411=""),"",IF(Raw_data!$K411&gt;TODAY(),0,DATEDIF(Raw_data!$K411,TODAY(),"M")))</f>
        <v/>
      </c>
      <c r="E411">
        <f>--(AND(Raw_data!$AF411="No",OR(Raw_data!$AG411&lt;&gt;"",Raw_data!$AJ411&gt;0,Raw_data!$AK411&lt;&gt;"")))</f>
        <v/>
      </c>
      <c r="F411">
        <f>--(OR(AND(ISNUMBER(B411),B411&lt;0.5,OR(D411&gt;=24,Raw_data!$I411&gt;0)),Raw_data!$AE411=TRUE))</f>
        <v/>
      </c>
      <c r="G411">
        <f>IF(Dashboard!$B$11="Department",Raw_data!$AL411,IF(Dashboard!$B$11="Team",Raw_data!$AM411,IF(Dashboard!$B$11="Unit",Raw_data!$AN411,IF(Dashboard!$B$11="Legal entity",Raw_data!$AO411,IF(Dashboard!$B$11="Location",Raw_data!$AP411,Raw_data!$AQ411)))))</f>
        <v/>
      </c>
      <c r="H411">
        <f>--(AND(ISNUMBER(B411),B411&lt;0.5))</f>
        <v/>
      </c>
      <c r="I411">
        <f>IFERROR(MAX(0,(0.5-B411)*100),0)+IF(D411&gt;=24,20,0)+IF(Raw_data!$I411&gt;0,20,0)+IF(Raw_data!$AE411=TRUE,10,0)</f>
        <v/>
      </c>
      <c r="J411">
        <f>IFERROR(CHOOSE(MATCH(Dashboard!$B$11,{"Department","Team","Unit","Legal entity","Location","Lead"},0),INDEX(Lists!$B$3:$B$20,ROW()-1),INDEX(Lists!$C$3:$C$146,ROW()-1),INDEX(Lists!$D$3:$D$67,ROW()-1),INDEX(Lists!$E$3:$E$5,ROW()-1),INDEX(Lists!$F$3:$F$12,ROW()-1),INDEX(Lists!$G$3:$G$126,ROW()-1)),"")</f>
        <v/>
      </c>
      <c r="K411">
        <f>IF(J411="","",SUMPRODUCT(($A$2:$A$636=1)*($G$2:$G$636=J411)))</f>
        <v/>
      </c>
      <c r="L411">
        <f>IF(J411="","",SUMPRODUCT(($A$2:$A$636=1)*($G$2:$G$636=J411)*(ISNUMBER($B$2:$B$636))*($B$2:$B$636&lt;0.5)))</f>
        <v/>
      </c>
      <c r="M411">
        <f>IFERROR(L411/K411,"")</f>
        <v/>
      </c>
      <c r="N411">
        <f>IF(K411="","",M411+K411/100000+ROW()/100000000)</f>
        <v/>
      </c>
      <c r="R411">
        <f>IF(A411=1,IFERROR(I411,0)+ROW()/100000000,-1E+99)</f>
        <v/>
      </c>
      <c r="S411">
        <f>IF(A411=1,IFERROR(Raw_data!$T411,""),"")</f>
        <v/>
      </c>
      <c r="T411">
        <f>IF(A411=1,IFERROR(Raw_data!$AA411,""),"")</f>
        <v/>
      </c>
      <c r="U411">
        <f>IF(A411=1,IFERROR(Raw_data!$U411,""),"")</f>
        <v/>
      </c>
      <c r="V411">
        <f>IF(A411=1,IFERROR(Raw_data!$AB411,""),"")</f>
        <v/>
      </c>
    </row>
    <row r="412">
      <c r="A412">
        <f>--(AND(OR(Dashboard!$B$4="All",Raw_data!$AL412=Dashboard!$B$4),OR(Dashboard!$B$5="All",Raw_data!$AM412=Dashboard!$B$5),OR(Dashboard!$B$6="All",Raw_data!$AN412=Dashboard!$B$6),OR(Dashboard!$B$7="All",Raw_data!$AO412=Dashboard!$B$7),OR(Dashboard!$B$8="All",Raw_data!$AP412=Dashboard!$B$8),OR(Dashboard!$B$9="All",Raw_data!$AQ412=Dashboard!$B$9),OR(Dashboard!$B$10="All",Raw_data!$AF412=Dashboard!$B$10),OR(Raw_data!$F412="",Raw_data!$F412&lt;=TODAY())))</f>
        <v/>
      </c>
      <c r="B412">
        <f>IFERROR(IF(Dashboard!$B$3="Weighted",Raw_data!$U412,Raw_data!$T412),"")</f>
        <v/>
      </c>
      <c r="C412">
        <f>IFERROR(IF(Dashboard!$B$3="Weighted",Raw_data!$AB412,Raw_data!$AA412),"")</f>
        <v/>
      </c>
      <c r="D412">
        <f>IF(OR(Raw_data!$J412="",Raw_data!$J412&lt;=0,Raw_data!$K412=""),"",IF(Raw_data!$K412&gt;TODAY(),0,DATEDIF(Raw_data!$K412,TODAY(),"M")))</f>
        <v/>
      </c>
      <c r="E412">
        <f>--(AND(Raw_data!$AF412="No",OR(Raw_data!$AG412&lt;&gt;"",Raw_data!$AJ412&gt;0,Raw_data!$AK412&lt;&gt;"")))</f>
        <v/>
      </c>
      <c r="F412">
        <f>--(OR(AND(ISNUMBER(B412),B412&lt;0.5,OR(D412&gt;=24,Raw_data!$I412&gt;0)),Raw_data!$AE412=TRUE))</f>
        <v/>
      </c>
      <c r="G412">
        <f>IF(Dashboard!$B$11="Department",Raw_data!$AL412,IF(Dashboard!$B$11="Team",Raw_data!$AM412,IF(Dashboard!$B$11="Unit",Raw_data!$AN412,IF(Dashboard!$B$11="Legal entity",Raw_data!$AO412,IF(Dashboard!$B$11="Location",Raw_data!$AP412,Raw_data!$AQ412)))))</f>
        <v/>
      </c>
      <c r="H412">
        <f>--(AND(ISNUMBER(B412),B412&lt;0.5))</f>
        <v/>
      </c>
      <c r="I412">
        <f>IFERROR(MAX(0,(0.5-B412)*100),0)+IF(D412&gt;=24,20,0)+IF(Raw_data!$I412&gt;0,20,0)+IF(Raw_data!$AE412=TRUE,10,0)</f>
        <v/>
      </c>
      <c r="J412">
        <f>IFERROR(CHOOSE(MATCH(Dashboard!$B$11,{"Department","Team","Unit","Legal entity","Location","Lead"},0),INDEX(Lists!$B$3:$B$20,ROW()-1),INDEX(Lists!$C$3:$C$146,ROW()-1),INDEX(Lists!$D$3:$D$67,ROW()-1),INDEX(Lists!$E$3:$E$5,ROW()-1),INDEX(Lists!$F$3:$F$12,ROW()-1),INDEX(Lists!$G$3:$G$126,ROW()-1)),"")</f>
        <v/>
      </c>
      <c r="K412">
        <f>IF(J412="","",SUMPRODUCT(($A$2:$A$636=1)*($G$2:$G$636=J412)))</f>
        <v/>
      </c>
      <c r="L412">
        <f>IF(J412="","",SUMPRODUCT(($A$2:$A$636=1)*($G$2:$G$636=J412)*(ISNUMBER($B$2:$B$636))*($B$2:$B$636&lt;0.5)))</f>
        <v/>
      </c>
      <c r="M412">
        <f>IFERROR(L412/K412,"")</f>
        <v/>
      </c>
      <c r="N412">
        <f>IF(K412="","",M412+K412/100000+ROW()/100000000)</f>
        <v/>
      </c>
      <c r="R412">
        <f>IF(A412=1,IFERROR(I412,0)+ROW()/100000000,-1E+99)</f>
        <v/>
      </c>
      <c r="S412">
        <f>IF(A412=1,IFERROR(Raw_data!$T412,""),"")</f>
        <v/>
      </c>
      <c r="T412">
        <f>IF(A412=1,IFERROR(Raw_data!$AA412,""),"")</f>
        <v/>
      </c>
      <c r="U412">
        <f>IF(A412=1,IFERROR(Raw_data!$U412,""),"")</f>
        <v/>
      </c>
      <c r="V412">
        <f>IF(A412=1,IFERROR(Raw_data!$AB412,""),"")</f>
        <v/>
      </c>
    </row>
    <row r="413">
      <c r="A413">
        <f>--(AND(OR(Dashboard!$B$4="All",Raw_data!$AL413=Dashboard!$B$4),OR(Dashboard!$B$5="All",Raw_data!$AM413=Dashboard!$B$5),OR(Dashboard!$B$6="All",Raw_data!$AN413=Dashboard!$B$6),OR(Dashboard!$B$7="All",Raw_data!$AO413=Dashboard!$B$7),OR(Dashboard!$B$8="All",Raw_data!$AP413=Dashboard!$B$8),OR(Dashboard!$B$9="All",Raw_data!$AQ413=Dashboard!$B$9),OR(Dashboard!$B$10="All",Raw_data!$AF413=Dashboard!$B$10),OR(Raw_data!$F413="",Raw_data!$F413&lt;=TODAY())))</f>
        <v/>
      </c>
      <c r="B413">
        <f>IFERROR(IF(Dashboard!$B$3="Weighted",Raw_data!$U413,Raw_data!$T413),"")</f>
        <v/>
      </c>
      <c r="C413">
        <f>IFERROR(IF(Dashboard!$B$3="Weighted",Raw_data!$AB413,Raw_data!$AA413),"")</f>
        <v/>
      </c>
      <c r="D413">
        <f>IF(OR(Raw_data!$J413="",Raw_data!$J413&lt;=0,Raw_data!$K413=""),"",IF(Raw_data!$K413&gt;TODAY(),0,DATEDIF(Raw_data!$K413,TODAY(),"M")))</f>
        <v/>
      </c>
      <c r="E413">
        <f>--(AND(Raw_data!$AF413="No",OR(Raw_data!$AG413&lt;&gt;"",Raw_data!$AJ413&gt;0,Raw_data!$AK413&lt;&gt;"")))</f>
        <v/>
      </c>
      <c r="F413">
        <f>--(OR(AND(ISNUMBER(B413),B413&lt;0.5,OR(D413&gt;=24,Raw_data!$I413&gt;0)),Raw_data!$AE413=TRUE))</f>
        <v/>
      </c>
      <c r="G413">
        <f>IF(Dashboard!$B$11="Department",Raw_data!$AL413,IF(Dashboard!$B$11="Team",Raw_data!$AM413,IF(Dashboard!$B$11="Unit",Raw_data!$AN413,IF(Dashboard!$B$11="Legal entity",Raw_data!$AO413,IF(Dashboard!$B$11="Location",Raw_data!$AP413,Raw_data!$AQ413)))))</f>
        <v/>
      </c>
      <c r="H413">
        <f>--(AND(ISNUMBER(B413),B413&lt;0.5))</f>
        <v/>
      </c>
      <c r="I413">
        <f>IFERROR(MAX(0,(0.5-B413)*100),0)+IF(D413&gt;=24,20,0)+IF(Raw_data!$I413&gt;0,20,0)+IF(Raw_data!$AE413=TRUE,10,0)</f>
        <v/>
      </c>
      <c r="J413">
        <f>IFERROR(CHOOSE(MATCH(Dashboard!$B$11,{"Department","Team","Unit","Legal entity","Location","Lead"},0),INDEX(Lists!$B$3:$B$20,ROW()-1),INDEX(Lists!$C$3:$C$146,ROW()-1),INDEX(Lists!$D$3:$D$67,ROW()-1),INDEX(Lists!$E$3:$E$5,ROW()-1),INDEX(Lists!$F$3:$F$12,ROW()-1),INDEX(Lists!$G$3:$G$126,ROW()-1)),"")</f>
        <v/>
      </c>
      <c r="K413">
        <f>IF(J413="","",SUMPRODUCT(($A$2:$A$636=1)*($G$2:$G$636=J413)))</f>
        <v/>
      </c>
      <c r="L413">
        <f>IF(J413="","",SUMPRODUCT(($A$2:$A$636=1)*($G$2:$G$636=J413)*(ISNUMBER($B$2:$B$636))*($B$2:$B$636&lt;0.5)))</f>
        <v/>
      </c>
      <c r="M413">
        <f>IFERROR(L413/K413,"")</f>
        <v/>
      </c>
      <c r="N413">
        <f>IF(K413="","",M413+K413/100000+ROW()/100000000)</f>
        <v/>
      </c>
      <c r="R413">
        <f>IF(A413=1,IFERROR(I413,0)+ROW()/100000000,-1E+99)</f>
        <v/>
      </c>
      <c r="S413">
        <f>IF(A413=1,IFERROR(Raw_data!$T413,""),"")</f>
        <v/>
      </c>
      <c r="T413">
        <f>IF(A413=1,IFERROR(Raw_data!$AA413,""),"")</f>
        <v/>
      </c>
      <c r="U413">
        <f>IF(A413=1,IFERROR(Raw_data!$U413,""),"")</f>
        <v/>
      </c>
      <c r="V413">
        <f>IF(A413=1,IFERROR(Raw_data!$AB413,""),"")</f>
        <v/>
      </c>
    </row>
    <row r="414">
      <c r="A414">
        <f>--(AND(OR(Dashboard!$B$4="All",Raw_data!$AL414=Dashboard!$B$4),OR(Dashboard!$B$5="All",Raw_data!$AM414=Dashboard!$B$5),OR(Dashboard!$B$6="All",Raw_data!$AN414=Dashboard!$B$6),OR(Dashboard!$B$7="All",Raw_data!$AO414=Dashboard!$B$7),OR(Dashboard!$B$8="All",Raw_data!$AP414=Dashboard!$B$8),OR(Dashboard!$B$9="All",Raw_data!$AQ414=Dashboard!$B$9),OR(Dashboard!$B$10="All",Raw_data!$AF414=Dashboard!$B$10),OR(Raw_data!$F414="",Raw_data!$F414&lt;=TODAY())))</f>
        <v/>
      </c>
      <c r="B414">
        <f>IFERROR(IF(Dashboard!$B$3="Weighted",Raw_data!$U414,Raw_data!$T414),"")</f>
        <v/>
      </c>
      <c r="C414">
        <f>IFERROR(IF(Dashboard!$B$3="Weighted",Raw_data!$AB414,Raw_data!$AA414),"")</f>
        <v/>
      </c>
      <c r="D414">
        <f>IF(OR(Raw_data!$J414="",Raw_data!$J414&lt;=0,Raw_data!$K414=""),"",IF(Raw_data!$K414&gt;TODAY(),0,DATEDIF(Raw_data!$K414,TODAY(),"M")))</f>
        <v/>
      </c>
      <c r="E414">
        <f>--(AND(Raw_data!$AF414="No",OR(Raw_data!$AG414&lt;&gt;"",Raw_data!$AJ414&gt;0,Raw_data!$AK414&lt;&gt;"")))</f>
        <v/>
      </c>
      <c r="F414">
        <f>--(OR(AND(ISNUMBER(B414),B414&lt;0.5,OR(D414&gt;=24,Raw_data!$I414&gt;0)),Raw_data!$AE414=TRUE))</f>
        <v/>
      </c>
      <c r="G414">
        <f>IF(Dashboard!$B$11="Department",Raw_data!$AL414,IF(Dashboard!$B$11="Team",Raw_data!$AM414,IF(Dashboard!$B$11="Unit",Raw_data!$AN414,IF(Dashboard!$B$11="Legal entity",Raw_data!$AO414,IF(Dashboard!$B$11="Location",Raw_data!$AP414,Raw_data!$AQ414)))))</f>
        <v/>
      </c>
      <c r="H414">
        <f>--(AND(ISNUMBER(B414),B414&lt;0.5))</f>
        <v/>
      </c>
      <c r="I414">
        <f>IFERROR(MAX(0,(0.5-B414)*100),0)+IF(D414&gt;=24,20,0)+IF(Raw_data!$I414&gt;0,20,0)+IF(Raw_data!$AE414=TRUE,10,0)</f>
        <v/>
      </c>
      <c r="J414">
        <f>IFERROR(CHOOSE(MATCH(Dashboard!$B$11,{"Department","Team","Unit","Legal entity","Location","Lead"},0),INDEX(Lists!$B$3:$B$20,ROW()-1),INDEX(Lists!$C$3:$C$146,ROW()-1),INDEX(Lists!$D$3:$D$67,ROW()-1),INDEX(Lists!$E$3:$E$5,ROW()-1),INDEX(Lists!$F$3:$F$12,ROW()-1),INDEX(Lists!$G$3:$G$126,ROW()-1)),"")</f>
        <v/>
      </c>
      <c r="K414">
        <f>IF(J414="","",SUMPRODUCT(($A$2:$A$636=1)*($G$2:$G$636=J414)))</f>
        <v/>
      </c>
      <c r="L414">
        <f>IF(J414="","",SUMPRODUCT(($A$2:$A$636=1)*($G$2:$G$636=J414)*(ISNUMBER($B$2:$B$636))*($B$2:$B$636&lt;0.5)))</f>
        <v/>
      </c>
      <c r="M414">
        <f>IFERROR(L414/K414,"")</f>
        <v/>
      </c>
      <c r="N414">
        <f>IF(K414="","",M414+K414/100000+ROW()/100000000)</f>
        <v/>
      </c>
      <c r="R414">
        <f>IF(A414=1,IFERROR(I414,0)+ROW()/100000000,-1E+99)</f>
        <v/>
      </c>
      <c r="S414">
        <f>IF(A414=1,IFERROR(Raw_data!$T414,""),"")</f>
        <v/>
      </c>
      <c r="T414">
        <f>IF(A414=1,IFERROR(Raw_data!$AA414,""),"")</f>
        <v/>
      </c>
      <c r="U414">
        <f>IF(A414=1,IFERROR(Raw_data!$U414,""),"")</f>
        <v/>
      </c>
      <c r="V414">
        <f>IF(A414=1,IFERROR(Raw_data!$AB414,""),"")</f>
        <v/>
      </c>
    </row>
    <row r="415">
      <c r="A415">
        <f>--(AND(OR(Dashboard!$B$4="All",Raw_data!$AL415=Dashboard!$B$4),OR(Dashboard!$B$5="All",Raw_data!$AM415=Dashboard!$B$5),OR(Dashboard!$B$6="All",Raw_data!$AN415=Dashboard!$B$6),OR(Dashboard!$B$7="All",Raw_data!$AO415=Dashboard!$B$7),OR(Dashboard!$B$8="All",Raw_data!$AP415=Dashboard!$B$8),OR(Dashboard!$B$9="All",Raw_data!$AQ415=Dashboard!$B$9),OR(Dashboard!$B$10="All",Raw_data!$AF415=Dashboard!$B$10),OR(Raw_data!$F415="",Raw_data!$F415&lt;=TODAY())))</f>
        <v/>
      </c>
      <c r="B415">
        <f>IFERROR(IF(Dashboard!$B$3="Weighted",Raw_data!$U415,Raw_data!$T415),"")</f>
        <v/>
      </c>
      <c r="C415">
        <f>IFERROR(IF(Dashboard!$B$3="Weighted",Raw_data!$AB415,Raw_data!$AA415),"")</f>
        <v/>
      </c>
      <c r="D415">
        <f>IF(OR(Raw_data!$J415="",Raw_data!$J415&lt;=0,Raw_data!$K415=""),"",IF(Raw_data!$K415&gt;TODAY(),0,DATEDIF(Raw_data!$K415,TODAY(),"M")))</f>
        <v/>
      </c>
      <c r="E415">
        <f>--(AND(Raw_data!$AF415="No",OR(Raw_data!$AG415&lt;&gt;"",Raw_data!$AJ415&gt;0,Raw_data!$AK415&lt;&gt;"")))</f>
        <v/>
      </c>
      <c r="F415">
        <f>--(OR(AND(ISNUMBER(B415),B415&lt;0.5,OR(D415&gt;=24,Raw_data!$I415&gt;0)),Raw_data!$AE415=TRUE))</f>
        <v/>
      </c>
      <c r="G415">
        <f>IF(Dashboard!$B$11="Department",Raw_data!$AL415,IF(Dashboard!$B$11="Team",Raw_data!$AM415,IF(Dashboard!$B$11="Unit",Raw_data!$AN415,IF(Dashboard!$B$11="Legal entity",Raw_data!$AO415,IF(Dashboard!$B$11="Location",Raw_data!$AP415,Raw_data!$AQ415)))))</f>
        <v/>
      </c>
      <c r="H415">
        <f>--(AND(ISNUMBER(B415),B415&lt;0.5))</f>
        <v/>
      </c>
      <c r="I415">
        <f>IFERROR(MAX(0,(0.5-B415)*100),0)+IF(D415&gt;=24,20,0)+IF(Raw_data!$I415&gt;0,20,0)+IF(Raw_data!$AE415=TRUE,10,0)</f>
        <v/>
      </c>
      <c r="J415">
        <f>IFERROR(CHOOSE(MATCH(Dashboard!$B$11,{"Department","Team","Unit","Legal entity","Location","Lead"},0),INDEX(Lists!$B$3:$B$20,ROW()-1),INDEX(Lists!$C$3:$C$146,ROW()-1),INDEX(Lists!$D$3:$D$67,ROW()-1),INDEX(Lists!$E$3:$E$5,ROW()-1),INDEX(Lists!$F$3:$F$12,ROW()-1),INDEX(Lists!$G$3:$G$126,ROW()-1)),"")</f>
        <v/>
      </c>
      <c r="K415">
        <f>IF(J415="","",SUMPRODUCT(($A$2:$A$636=1)*($G$2:$G$636=J415)))</f>
        <v/>
      </c>
      <c r="L415">
        <f>IF(J415="","",SUMPRODUCT(($A$2:$A$636=1)*($G$2:$G$636=J415)*(ISNUMBER($B$2:$B$636))*($B$2:$B$636&lt;0.5)))</f>
        <v/>
      </c>
      <c r="M415">
        <f>IFERROR(L415/K415,"")</f>
        <v/>
      </c>
      <c r="N415">
        <f>IF(K415="","",M415+K415/100000+ROW()/100000000)</f>
        <v/>
      </c>
      <c r="R415">
        <f>IF(A415=1,IFERROR(I415,0)+ROW()/100000000,-1E+99)</f>
        <v/>
      </c>
      <c r="S415">
        <f>IF(A415=1,IFERROR(Raw_data!$T415,""),"")</f>
        <v/>
      </c>
      <c r="T415">
        <f>IF(A415=1,IFERROR(Raw_data!$AA415,""),"")</f>
        <v/>
      </c>
      <c r="U415">
        <f>IF(A415=1,IFERROR(Raw_data!$U415,""),"")</f>
        <v/>
      </c>
      <c r="V415">
        <f>IF(A415=1,IFERROR(Raw_data!$AB415,""),"")</f>
        <v/>
      </c>
    </row>
    <row r="416">
      <c r="A416">
        <f>--(AND(OR(Dashboard!$B$4="All",Raw_data!$AL416=Dashboard!$B$4),OR(Dashboard!$B$5="All",Raw_data!$AM416=Dashboard!$B$5),OR(Dashboard!$B$6="All",Raw_data!$AN416=Dashboard!$B$6),OR(Dashboard!$B$7="All",Raw_data!$AO416=Dashboard!$B$7),OR(Dashboard!$B$8="All",Raw_data!$AP416=Dashboard!$B$8),OR(Dashboard!$B$9="All",Raw_data!$AQ416=Dashboard!$B$9),OR(Dashboard!$B$10="All",Raw_data!$AF416=Dashboard!$B$10),OR(Raw_data!$F416="",Raw_data!$F416&lt;=TODAY())))</f>
        <v/>
      </c>
      <c r="B416">
        <f>IFERROR(IF(Dashboard!$B$3="Weighted",Raw_data!$U416,Raw_data!$T416),"")</f>
        <v/>
      </c>
      <c r="C416">
        <f>IFERROR(IF(Dashboard!$B$3="Weighted",Raw_data!$AB416,Raw_data!$AA416),"")</f>
        <v/>
      </c>
      <c r="D416">
        <f>IF(OR(Raw_data!$J416="",Raw_data!$J416&lt;=0,Raw_data!$K416=""),"",IF(Raw_data!$K416&gt;TODAY(),0,DATEDIF(Raw_data!$K416,TODAY(),"M")))</f>
        <v/>
      </c>
      <c r="E416">
        <f>--(AND(Raw_data!$AF416="No",OR(Raw_data!$AG416&lt;&gt;"",Raw_data!$AJ416&gt;0,Raw_data!$AK416&lt;&gt;"")))</f>
        <v/>
      </c>
      <c r="F416">
        <f>--(OR(AND(ISNUMBER(B416),B416&lt;0.5,OR(D416&gt;=24,Raw_data!$I416&gt;0)),Raw_data!$AE416=TRUE))</f>
        <v/>
      </c>
      <c r="G416">
        <f>IF(Dashboard!$B$11="Department",Raw_data!$AL416,IF(Dashboard!$B$11="Team",Raw_data!$AM416,IF(Dashboard!$B$11="Unit",Raw_data!$AN416,IF(Dashboard!$B$11="Legal entity",Raw_data!$AO416,IF(Dashboard!$B$11="Location",Raw_data!$AP416,Raw_data!$AQ416)))))</f>
        <v/>
      </c>
      <c r="H416">
        <f>--(AND(ISNUMBER(B416),B416&lt;0.5))</f>
        <v/>
      </c>
      <c r="I416">
        <f>IFERROR(MAX(0,(0.5-B416)*100),0)+IF(D416&gt;=24,20,0)+IF(Raw_data!$I416&gt;0,20,0)+IF(Raw_data!$AE416=TRUE,10,0)</f>
        <v/>
      </c>
      <c r="J416">
        <f>IFERROR(CHOOSE(MATCH(Dashboard!$B$11,{"Department","Team","Unit","Legal entity","Location","Lead"},0),INDEX(Lists!$B$3:$B$20,ROW()-1),INDEX(Lists!$C$3:$C$146,ROW()-1),INDEX(Lists!$D$3:$D$67,ROW()-1),INDEX(Lists!$E$3:$E$5,ROW()-1),INDEX(Lists!$F$3:$F$12,ROW()-1),INDEX(Lists!$G$3:$G$126,ROW()-1)),"")</f>
        <v/>
      </c>
      <c r="K416">
        <f>IF(J416="","",SUMPRODUCT(($A$2:$A$636=1)*($G$2:$G$636=J416)))</f>
        <v/>
      </c>
      <c r="L416">
        <f>IF(J416="","",SUMPRODUCT(($A$2:$A$636=1)*($G$2:$G$636=J416)*(ISNUMBER($B$2:$B$636))*($B$2:$B$636&lt;0.5)))</f>
        <v/>
      </c>
      <c r="M416">
        <f>IFERROR(L416/K416,"")</f>
        <v/>
      </c>
      <c r="N416">
        <f>IF(K416="","",M416+K416/100000+ROW()/100000000)</f>
        <v/>
      </c>
      <c r="R416">
        <f>IF(A416=1,IFERROR(I416,0)+ROW()/100000000,-1E+99)</f>
        <v/>
      </c>
      <c r="S416">
        <f>IF(A416=1,IFERROR(Raw_data!$T416,""),"")</f>
        <v/>
      </c>
      <c r="T416">
        <f>IF(A416=1,IFERROR(Raw_data!$AA416,""),"")</f>
        <v/>
      </c>
      <c r="U416">
        <f>IF(A416=1,IFERROR(Raw_data!$U416,""),"")</f>
        <v/>
      </c>
      <c r="V416">
        <f>IF(A416=1,IFERROR(Raw_data!$AB416,""),"")</f>
        <v/>
      </c>
    </row>
    <row r="417">
      <c r="A417">
        <f>--(AND(OR(Dashboard!$B$4="All",Raw_data!$AL417=Dashboard!$B$4),OR(Dashboard!$B$5="All",Raw_data!$AM417=Dashboard!$B$5),OR(Dashboard!$B$6="All",Raw_data!$AN417=Dashboard!$B$6),OR(Dashboard!$B$7="All",Raw_data!$AO417=Dashboard!$B$7),OR(Dashboard!$B$8="All",Raw_data!$AP417=Dashboard!$B$8),OR(Dashboard!$B$9="All",Raw_data!$AQ417=Dashboard!$B$9),OR(Dashboard!$B$10="All",Raw_data!$AF417=Dashboard!$B$10),OR(Raw_data!$F417="",Raw_data!$F417&lt;=TODAY())))</f>
        <v/>
      </c>
      <c r="B417">
        <f>IFERROR(IF(Dashboard!$B$3="Weighted",Raw_data!$U417,Raw_data!$T417),"")</f>
        <v/>
      </c>
      <c r="C417">
        <f>IFERROR(IF(Dashboard!$B$3="Weighted",Raw_data!$AB417,Raw_data!$AA417),"")</f>
        <v/>
      </c>
      <c r="D417">
        <f>IF(OR(Raw_data!$J417="",Raw_data!$J417&lt;=0,Raw_data!$K417=""),"",IF(Raw_data!$K417&gt;TODAY(),0,DATEDIF(Raw_data!$K417,TODAY(),"M")))</f>
        <v/>
      </c>
      <c r="E417">
        <f>--(AND(Raw_data!$AF417="No",OR(Raw_data!$AG417&lt;&gt;"",Raw_data!$AJ417&gt;0,Raw_data!$AK417&lt;&gt;"")))</f>
        <v/>
      </c>
      <c r="F417">
        <f>--(OR(AND(ISNUMBER(B417),B417&lt;0.5,OR(D417&gt;=24,Raw_data!$I417&gt;0)),Raw_data!$AE417=TRUE))</f>
        <v/>
      </c>
      <c r="G417">
        <f>IF(Dashboard!$B$11="Department",Raw_data!$AL417,IF(Dashboard!$B$11="Team",Raw_data!$AM417,IF(Dashboard!$B$11="Unit",Raw_data!$AN417,IF(Dashboard!$B$11="Legal entity",Raw_data!$AO417,IF(Dashboard!$B$11="Location",Raw_data!$AP417,Raw_data!$AQ417)))))</f>
        <v/>
      </c>
      <c r="H417">
        <f>--(AND(ISNUMBER(B417),B417&lt;0.5))</f>
        <v/>
      </c>
      <c r="I417">
        <f>IFERROR(MAX(0,(0.5-B417)*100),0)+IF(D417&gt;=24,20,0)+IF(Raw_data!$I417&gt;0,20,0)+IF(Raw_data!$AE417=TRUE,10,0)</f>
        <v/>
      </c>
      <c r="J417">
        <f>IFERROR(CHOOSE(MATCH(Dashboard!$B$11,{"Department","Team","Unit","Legal entity","Location","Lead"},0),INDEX(Lists!$B$3:$B$20,ROW()-1),INDEX(Lists!$C$3:$C$146,ROW()-1),INDEX(Lists!$D$3:$D$67,ROW()-1),INDEX(Lists!$E$3:$E$5,ROW()-1),INDEX(Lists!$F$3:$F$12,ROW()-1),INDEX(Lists!$G$3:$G$126,ROW()-1)),"")</f>
        <v/>
      </c>
      <c r="K417">
        <f>IF(J417="","",SUMPRODUCT(($A$2:$A$636=1)*($G$2:$G$636=J417)))</f>
        <v/>
      </c>
      <c r="L417">
        <f>IF(J417="","",SUMPRODUCT(($A$2:$A$636=1)*($G$2:$G$636=J417)*(ISNUMBER($B$2:$B$636))*($B$2:$B$636&lt;0.5)))</f>
        <v/>
      </c>
      <c r="M417">
        <f>IFERROR(L417/K417,"")</f>
        <v/>
      </c>
      <c r="N417">
        <f>IF(K417="","",M417+K417/100000+ROW()/100000000)</f>
        <v/>
      </c>
      <c r="R417">
        <f>IF(A417=1,IFERROR(I417,0)+ROW()/100000000,-1E+99)</f>
        <v/>
      </c>
      <c r="S417">
        <f>IF(A417=1,IFERROR(Raw_data!$T417,""),"")</f>
        <v/>
      </c>
      <c r="T417">
        <f>IF(A417=1,IFERROR(Raw_data!$AA417,""),"")</f>
        <v/>
      </c>
      <c r="U417">
        <f>IF(A417=1,IFERROR(Raw_data!$U417,""),"")</f>
        <v/>
      </c>
      <c r="V417">
        <f>IF(A417=1,IFERROR(Raw_data!$AB417,""),"")</f>
        <v/>
      </c>
    </row>
    <row r="418">
      <c r="A418">
        <f>--(AND(OR(Dashboard!$B$4="All",Raw_data!$AL418=Dashboard!$B$4),OR(Dashboard!$B$5="All",Raw_data!$AM418=Dashboard!$B$5),OR(Dashboard!$B$6="All",Raw_data!$AN418=Dashboard!$B$6),OR(Dashboard!$B$7="All",Raw_data!$AO418=Dashboard!$B$7),OR(Dashboard!$B$8="All",Raw_data!$AP418=Dashboard!$B$8),OR(Dashboard!$B$9="All",Raw_data!$AQ418=Dashboard!$B$9),OR(Dashboard!$B$10="All",Raw_data!$AF418=Dashboard!$B$10),OR(Raw_data!$F418="",Raw_data!$F418&lt;=TODAY())))</f>
        <v/>
      </c>
      <c r="B418">
        <f>IFERROR(IF(Dashboard!$B$3="Weighted",Raw_data!$U418,Raw_data!$T418),"")</f>
        <v/>
      </c>
      <c r="C418">
        <f>IFERROR(IF(Dashboard!$B$3="Weighted",Raw_data!$AB418,Raw_data!$AA418),"")</f>
        <v/>
      </c>
      <c r="D418">
        <f>IF(OR(Raw_data!$J418="",Raw_data!$J418&lt;=0,Raw_data!$K418=""),"",IF(Raw_data!$K418&gt;TODAY(),0,DATEDIF(Raw_data!$K418,TODAY(),"M")))</f>
        <v/>
      </c>
      <c r="E418">
        <f>--(AND(Raw_data!$AF418="No",OR(Raw_data!$AG418&lt;&gt;"",Raw_data!$AJ418&gt;0,Raw_data!$AK418&lt;&gt;"")))</f>
        <v/>
      </c>
      <c r="F418">
        <f>--(OR(AND(ISNUMBER(B418),B418&lt;0.5,OR(D418&gt;=24,Raw_data!$I418&gt;0)),Raw_data!$AE418=TRUE))</f>
        <v/>
      </c>
      <c r="G418">
        <f>IF(Dashboard!$B$11="Department",Raw_data!$AL418,IF(Dashboard!$B$11="Team",Raw_data!$AM418,IF(Dashboard!$B$11="Unit",Raw_data!$AN418,IF(Dashboard!$B$11="Legal entity",Raw_data!$AO418,IF(Dashboard!$B$11="Location",Raw_data!$AP418,Raw_data!$AQ418)))))</f>
        <v/>
      </c>
      <c r="H418">
        <f>--(AND(ISNUMBER(B418),B418&lt;0.5))</f>
        <v/>
      </c>
      <c r="I418">
        <f>IFERROR(MAX(0,(0.5-B418)*100),0)+IF(D418&gt;=24,20,0)+IF(Raw_data!$I418&gt;0,20,0)+IF(Raw_data!$AE418=TRUE,10,0)</f>
        <v/>
      </c>
      <c r="J418">
        <f>IFERROR(CHOOSE(MATCH(Dashboard!$B$11,{"Department","Team","Unit","Legal entity","Location","Lead"},0),INDEX(Lists!$B$3:$B$20,ROW()-1),INDEX(Lists!$C$3:$C$146,ROW()-1),INDEX(Lists!$D$3:$D$67,ROW()-1),INDEX(Lists!$E$3:$E$5,ROW()-1),INDEX(Lists!$F$3:$F$12,ROW()-1),INDEX(Lists!$G$3:$G$126,ROW()-1)),"")</f>
        <v/>
      </c>
      <c r="K418">
        <f>IF(J418="","",SUMPRODUCT(($A$2:$A$636=1)*($G$2:$G$636=J418)))</f>
        <v/>
      </c>
      <c r="L418">
        <f>IF(J418="","",SUMPRODUCT(($A$2:$A$636=1)*($G$2:$G$636=J418)*(ISNUMBER($B$2:$B$636))*($B$2:$B$636&lt;0.5)))</f>
        <v/>
      </c>
      <c r="M418">
        <f>IFERROR(L418/K418,"")</f>
        <v/>
      </c>
      <c r="N418">
        <f>IF(K418="","",M418+K418/100000+ROW()/100000000)</f>
        <v/>
      </c>
      <c r="R418">
        <f>IF(A418=1,IFERROR(I418,0)+ROW()/100000000,-1E+99)</f>
        <v/>
      </c>
      <c r="S418">
        <f>IF(A418=1,IFERROR(Raw_data!$T418,""),"")</f>
        <v/>
      </c>
      <c r="T418">
        <f>IF(A418=1,IFERROR(Raw_data!$AA418,""),"")</f>
        <v/>
      </c>
      <c r="U418">
        <f>IF(A418=1,IFERROR(Raw_data!$U418,""),"")</f>
        <v/>
      </c>
      <c r="V418">
        <f>IF(A418=1,IFERROR(Raw_data!$AB418,""),"")</f>
        <v/>
      </c>
    </row>
    <row r="419">
      <c r="A419">
        <f>--(AND(OR(Dashboard!$B$4="All",Raw_data!$AL419=Dashboard!$B$4),OR(Dashboard!$B$5="All",Raw_data!$AM419=Dashboard!$B$5),OR(Dashboard!$B$6="All",Raw_data!$AN419=Dashboard!$B$6),OR(Dashboard!$B$7="All",Raw_data!$AO419=Dashboard!$B$7),OR(Dashboard!$B$8="All",Raw_data!$AP419=Dashboard!$B$8),OR(Dashboard!$B$9="All",Raw_data!$AQ419=Dashboard!$B$9),OR(Dashboard!$B$10="All",Raw_data!$AF419=Dashboard!$B$10),OR(Raw_data!$F419="",Raw_data!$F419&lt;=TODAY())))</f>
        <v/>
      </c>
      <c r="B419">
        <f>IFERROR(IF(Dashboard!$B$3="Weighted",Raw_data!$U419,Raw_data!$T419),"")</f>
        <v/>
      </c>
      <c r="C419">
        <f>IFERROR(IF(Dashboard!$B$3="Weighted",Raw_data!$AB419,Raw_data!$AA419),"")</f>
        <v/>
      </c>
      <c r="D419">
        <f>IF(OR(Raw_data!$J419="",Raw_data!$J419&lt;=0,Raw_data!$K419=""),"",IF(Raw_data!$K419&gt;TODAY(),0,DATEDIF(Raw_data!$K419,TODAY(),"M")))</f>
        <v/>
      </c>
      <c r="E419">
        <f>--(AND(Raw_data!$AF419="No",OR(Raw_data!$AG419&lt;&gt;"",Raw_data!$AJ419&gt;0,Raw_data!$AK419&lt;&gt;"")))</f>
        <v/>
      </c>
      <c r="F419">
        <f>--(OR(AND(ISNUMBER(B419),B419&lt;0.5,OR(D419&gt;=24,Raw_data!$I419&gt;0)),Raw_data!$AE419=TRUE))</f>
        <v/>
      </c>
      <c r="G419">
        <f>IF(Dashboard!$B$11="Department",Raw_data!$AL419,IF(Dashboard!$B$11="Team",Raw_data!$AM419,IF(Dashboard!$B$11="Unit",Raw_data!$AN419,IF(Dashboard!$B$11="Legal entity",Raw_data!$AO419,IF(Dashboard!$B$11="Location",Raw_data!$AP419,Raw_data!$AQ419)))))</f>
        <v/>
      </c>
      <c r="H419">
        <f>--(AND(ISNUMBER(B419),B419&lt;0.5))</f>
        <v/>
      </c>
      <c r="I419">
        <f>IFERROR(MAX(0,(0.5-B419)*100),0)+IF(D419&gt;=24,20,0)+IF(Raw_data!$I419&gt;0,20,0)+IF(Raw_data!$AE419=TRUE,10,0)</f>
        <v/>
      </c>
      <c r="J419">
        <f>IFERROR(CHOOSE(MATCH(Dashboard!$B$11,{"Department","Team","Unit","Legal entity","Location","Lead"},0),INDEX(Lists!$B$3:$B$20,ROW()-1),INDEX(Lists!$C$3:$C$146,ROW()-1),INDEX(Lists!$D$3:$D$67,ROW()-1),INDEX(Lists!$E$3:$E$5,ROW()-1),INDEX(Lists!$F$3:$F$12,ROW()-1),INDEX(Lists!$G$3:$G$126,ROW()-1)),"")</f>
        <v/>
      </c>
      <c r="K419">
        <f>IF(J419="","",SUMPRODUCT(($A$2:$A$636=1)*($G$2:$G$636=J419)))</f>
        <v/>
      </c>
      <c r="L419">
        <f>IF(J419="","",SUMPRODUCT(($A$2:$A$636=1)*($G$2:$G$636=J419)*(ISNUMBER($B$2:$B$636))*($B$2:$B$636&lt;0.5)))</f>
        <v/>
      </c>
      <c r="M419">
        <f>IFERROR(L419/K419,"")</f>
        <v/>
      </c>
      <c r="N419">
        <f>IF(K419="","",M419+K419/100000+ROW()/100000000)</f>
        <v/>
      </c>
      <c r="R419">
        <f>IF(A419=1,IFERROR(I419,0)+ROW()/100000000,-1E+99)</f>
        <v/>
      </c>
      <c r="S419">
        <f>IF(A419=1,IFERROR(Raw_data!$T419,""),"")</f>
        <v/>
      </c>
      <c r="T419">
        <f>IF(A419=1,IFERROR(Raw_data!$AA419,""),"")</f>
        <v/>
      </c>
      <c r="U419">
        <f>IF(A419=1,IFERROR(Raw_data!$U419,""),"")</f>
        <v/>
      </c>
      <c r="V419">
        <f>IF(A419=1,IFERROR(Raw_data!$AB419,""),"")</f>
        <v/>
      </c>
    </row>
    <row r="420">
      <c r="A420">
        <f>--(AND(OR(Dashboard!$B$4="All",Raw_data!$AL420=Dashboard!$B$4),OR(Dashboard!$B$5="All",Raw_data!$AM420=Dashboard!$B$5),OR(Dashboard!$B$6="All",Raw_data!$AN420=Dashboard!$B$6),OR(Dashboard!$B$7="All",Raw_data!$AO420=Dashboard!$B$7),OR(Dashboard!$B$8="All",Raw_data!$AP420=Dashboard!$B$8),OR(Dashboard!$B$9="All",Raw_data!$AQ420=Dashboard!$B$9),OR(Dashboard!$B$10="All",Raw_data!$AF420=Dashboard!$B$10),OR(Raw_data!$F420="",Raw_data!$F420&lt;=TODAY())))</f>
        <v/>
      </c>
      <c r="B420">
        <f>IFERROR(IF(Dashboard!$B$3="Weighted",Raw_data!$U420,Raw_data!$T420),"")</f>
        <v/>
      </c>
      <c r="C420">
        <f>IFERROR(IF(Dashboard!$B$3="Weighted",Raw_data!$AB420,Raw_data!$AA420),"")</f>
        <v/>
      </c>
      <c r="D420">
        <f>IF(OR(Raw_data!$J420="",Raw_data!$J420&lt;=0,Raw_data!$K420=""),"",IF(Raw_data!$K420&gt;TODAY(),0,DATEDIF(Raw_data!$K420,TODAY(),"M")))</f>
        <v/>
      </c>
      <c r="E420">
        <f>--(AND(Raw_data!$AF420="No",OR(Raw_data!$AG420&lt;&gt;"",Raw_data!$AJ420&gt;0,Raw_data!$AK420&lt;&gt;"")))</f>
        <v/>
      </c>
      <c r="F420">
        <f>--(OR(AND(ISNUMBER(B420),B420&lt;0.5,OR(D420&gt;=24,Raw_data!$I420&gt;0)),Raw_data!$AE420=TRUE))</f>
        <v/>
      </c>
      <c r="G420">
        <f>IF(Dashboard!$B$11="Department",Raw_data!$AL420,IF(Dashboard!$B$11="Team",Raw_data!$AM420,IF(Dashboard!$B$11="Unit",Raw_data!$AN420,IF(Dashboard!$B$11="Legal entity",Raw_data!$AO420,IF(Dashboard!$B$11="Location",Raw_data!$AP420,Raw_data!$AQ420)))))</f>
        <v/>
      </c>
      <c r="H420">
        <f>--(AND(ISNUMBER(B420),B420&lt;0.5))</f>
        <v/>
      </c>
      <c r="I420">
        <f>IFERROR(MAX(0,(0.5-B420)*100),0)+IF(D420&gt;=24,20,0)+IF(Raw_data!$I420&gt;0,20,0)+IF(Raw_data!$AE420=TRUE,10,0)</f>
        <v/>
      </c>
      <c r="J420">
        <f>IFERROR(CHOOSE(MATCH(Dashboard!$B$11,{"Department","Team","Unit","Legal entity","Location","Lead"},0),INDEX(Lists!$B$3:$B$20,ROW()-1),INDEX(Lists!$C$3:$C$146,ROW()-1),INDEX(Lists!$D$3:$D$67,ROW()-1),INDEX(Lists!$E$3:$E$5,ROW()-1),INDEX(Lists!$F$3:$F$12,ROW()-1),INDEX(Lists!$G$3:$G$126,ROW()-1)),"")</f>
        <v/>
      </c>
      <c r="K420">
        <f>IF(J420="","",SUMPRODUCT(($A$2:$A$636=1)*($G$2:$G$636=J420)))</f>
        <v/>
      </c>
      <c r="L420">
        <f>IF(J420="","",SUMPRODUCT(($A$2:$A$636=1)*($G$2:$G$636=J420)*(ISNUMBER($B$2:$B$636))*($B$2:$B$636&lt;0.5)))</f>
        <v/>
      </c>
      <c r="M420">
        <f>IFERROR(L420/K420,"")</f>
        <v/>
      </c>
      <c r="N420">
        <f>IF(K420="","",M420+K420/100000+ROW()/100000000)</f>
        <v/>
      </c>
      <c r="R420">
        <f>IF(A420=1,IFERROR(I420,0)+ROW()/100000000,-1E+99)</f>
        <v/>
      </c>
      <c r="S420">
        <f>IF(A420=1,IFERROR(Raw_data!$T420,""),"")</f>
        <v/>
      </c>
      <c r="T420">
        <f>IF(A420=1,IFERROR(Raw_data!$AA420,""),"")</f>
        <v/>
      </c>
      <c r="U420">
        <f>IF(A420=1,IFERROR(Raw_data!$U420,""),"")</f>
        <v/>
      </c>
      <c r="V420">
        <f>IF(A420=1,IFERROR(Raw_data!$AB420,""),"")</f>
        <v/>
      </c>
    </row>
    <row r="421">
      <c r="A421">
        <f>--(AND(OR(Dashboard!$B$4="All",Raw_data!$AL421=Dashboard!$B$4),OR(Dashboard!$B$5="All",Raw_data!$AM421=Dashboard!$B$5),OR(Dashboard!$B$6="All",Raw_data!$AN421=Dashboard!$B$6),OR(Dashboard!$B$7="All",Raw_data!$AO421=Dashboard!$B$7),OR(Dashboard!$B$8="All",Raw_data!$AP421=Dashboard!$B$8),OR(Dashboard!$B$9="All",Raw_data!$AQ421=Dashboard!$B$9),OR(Dashboard!$B$10="All",Raw_data!$AF421=Dashboard!$B$10),OR(Raw_data!$F421="",Raw_data!$F421&lt;=TODAY())))</f>
        <v/>
      </c>
      <c r="B421">
        <f>IFERROR(IF(Dashboard!$B$3="Weighted",Raw_data!$U421,Raw_data!$T421),"")</f>
        <v/>
      </c>
      <c r="C421">
        <f>IFERROR(IF(Dashboard!$B$3="Weighted",Raw_data!$AB421,Raw_data!$AA421),"")</f>
        <v/>
      </c>
      <c r="D421">
        <f>IF(OR(Raw_data!$J421="",Raw_data!$J421&lt;=0,Raw_data!$K421=""),"",IF(Raw_data!$K421&gt;TODAY(),0,DATEDIF(Raw_data!$K421,TODAY(),"M")))</f>
        <v/>
      </c>
      <c r="E421">
        <f>--(AND(Raw_data!$AF421="No",OR(Raw_data!$AG421&lt;&gt;"",Raw_data!$AJ421&gt;0,Raw_data!$AK421&lt;&gt;"")))</f>
        <v/>
      </c>
      <c r="F421">
        <f>--(OR(AND(ISNUMBER(B421),B421&lt;0.5,OR(D421&gt;=24,Raw_data!$I421&gt;0)),Raw_data!$AE421=TRUE))</f>
        <v/>
      </c>
      <c r="G421">
        <f>IF(Dashboard!$B$11="Department",Raw_data!$AL421,IF(Dashboard!$B$11="Team",Raw_data!$AM421,IF(Dashboard!$B$11="Unit",Raw_data!$AN421,IF(Dashboard!$B$11="Legal entity",Raw_data!$AO421,IF(Dashboard!$B$11="Location",Raw_data!$AP421,Raw_data!$AQ421)))))</f>
        <v/>
      </c>
      <c r="H421">
        <f>--(AND(ISNUMBER(B421),B421&lt;0.5))</f>
        <v/>
      </c>
      <c r="I421">
        <f>IFERROR(MAX(0,(0.5-B421)*100),0)+IF(D421&gt;=24,20,0)+IF(Raw_data!$I421&gt;0,20,0)+IF(Raw_data!$AE421=TRUE,10,0)</f>
        <v/>
      </c>
      <c r="J421">
        <f>IFERROR(CHOOSE(MATCH(Dashboard!$B$11,{"Department","Team","Unit","Legal entity","Location","Lead"},0),INDEX(Lists!$B$3:$B$20,ROW()-1),INDEX(Lists!$C$3:$C$146,ROW()-1),INDEX(Lists!$D$3:$D$67,ROW()-1),INDEX(Lists!$E$3:$E$5,ROW()-1),INDEX(Lists!$F$3:$F$12,ROW()-1),INDEX(Lists!$G$3:$G$126,ROW()-1)),"")</f>
        <v/>
      </c>
      <c r="K421">
        <f>IF(J421="","",SUMPRODUCT(($A$2:$A$636=1)*($G$2:$G$636=J421)))</f>
        <v/>
      </c>
      <c r="L421">
        <f>IF(J421="","",SUMPRODUCT(($A$2:$A$636=1)*($G$2:$G$636=J421)*(ISNUMBER($B$2:$B$636))*($B$2:$B$636&lt;0.5)))</f>
        <v/>
      </c>
      <c r="M421">
        <f>IFERROR(L421/K421,"")</f>
        <v/>
      </c>
      <c r="N421">
        <f>IF(K421="","",M421+K421/100000+ROW()/100000000)</f>
        <v/>
      </c>
      <c r="R421">
        <f>IF(A421=1,IFERROR(I421,0)+ROW()/100000000,-1E+99)</f>
        <v/>
      </c>
      <c r="S421">
        <f>IF(A421=1,IFERROR(Raw_data!$T421,""),"")</f>
        <v/>
      </c>
      <c r="T421">
        <f>IF(A421=1,IFERROR(Raw_data!$AA421,""),"")</f>
        <v/>
      </c>
      <c r="U421">
        <f>IF(A421=1,IFERROR(Raw_data!$U421,""),"")</f>
        <v/>
      </c>
      <c r="V421">
        <f>IF(A421=1,IFERROR(Raw_data!$AB421,""),"")</f>
        <v/>
      </c>
    </row>
    <row r="422">
      <c r="A422">
        <f>--(AND(OR(Dashboard!$B$4="All",Raw_data!$AL422=Dashboard!$B$4),OR(Dashboard!$B$5="All",Raw_data!$AM422=Dashboard!$B$5),OR(Dashboard!$B$6="All",Raw_data!$AN422=Dashboard!$B$6),OR(Dashboard!$B$7="All",Raw_data!$AO422=Dashboard!$B$7),OR(Dashboard!$B$8="All",Raw_data!$AP422=Dashboard!$B$8),OR(Dashboard!$B$9="All",Raw_data!$AQ422=Dashboard!$B$9),OR(Dashboard!$B$10="All",Raw_data!$AF422=Dashboard!$B$10),OR(Raw_data!$F422="",Raw_data!$F422&lt;=TODAY())))</f>
        <v/>
      </c>
      <c r="B422">
        <f>IFERROR(IF(Dashboard!$B$3="Weighted",Raw_data!$U422,Raw_data!$T422),"")</f>
        <v/>
      </c>
      <c r="C422">
        <f>IFERROR(IF(Dashboard!$B$3="Weighted",Raw_data!$AB422,Raw_data!$AA422),"")</f>
        <v/>
      </c>
      <c r="D422">
        <f>IF(OR(Raw_data!$J422="",Raw_data!$J422&lt;=0,Raw_data!$K422=""),"",IF(Raw_data!$K422&gt;TODAY(),0,DATEDIF(Raw_data!$K422,TODAY(),"M")))</f>
        <v/>
      </c>
      <c r="E422">
        <f>--(AND(Raw_data!$AF422="No",OR(Raw_data!$AG422&lt;&gt;"",Raw_data!$AJ422&gt;0,Raw_data!$AK422&lt;&gt;"")))</f>
        <v/>
      </c>
      <c r="F422">
        <f>--(OR(AND(ISNUMBER(B422),B422&lt;0.5,OR(D422&gt;=24,Raw_data!$I422&gt;0)),Raw_data!$AE422=TRUE))</f>
        <v/>
      </c>
      <c r="G422">
        <f>IF(Dashboard!$B$11="Department",Raw_data!$AL422,IF(Dashboard!$B$11="Team",Raw_data!$AM422,IF(Dashboard!$B$11="Unit",Raw_data!$AN422,IF(Dashboard!$B$11="Legal entity",Raw_data!$AO422,IF(Dashboard!$B$11="Location",Raw_data!$AP422,Raw_data!$AQ422)))))</f>
        <v/>
      </c>
      <c r="H422">
        <f>--(AND(ISNUMBER(B422),B422&lt;0.5))</f>
        <v/>
      </c>
      <c r="I422">
        <f>IFERROR(MAX(0,(0.5-B422)*100),0)+IF(D422&gt;=24,20,0)+IF(Raw_data!$I422&gt;0,20,0)+IF(Raw_data!$AE422=TRUE,10,0)</f>
        <v/>
      </c>
      <c r="J422">
        <f>IFERROR(CHOOSE(MATCH(Dashboard!$B$11,{"Department","Team","Unit","Legal entity","Location","Lead"},0),INDEX(Lists!$B$3:$B$20,ROW()-1),INDEX(Lists!$C$3:$C$146,ROW()-1),INDEX(Lists!$D$3:$D$67,ROW()-1),INDEX(Lists!$E$3:$E$5,ROW()-1),INDEX(Lists!$F$3:$F$12,ROW()-1),INDEX(Lists!$G$3:$G$126,ROW()-1)),"")</f>
        <v/>
      </c>
      <c r="K422">
        <f>IF(J422="","",SUMPRODUCT(($A$2:$A$636=1)*($G$2:$G$636=J422)))</f>
        <v/>
      </c>
      <c r="L422">
        <f>IF(J422="","",SUMPRODUCT(($A$2:$A$636=1)*($G$2:$G$636=J422)*(ISNUMBER($B$2:$B$636))*($B$2:$B$636&lt;0.5)))</f>
        <v/>
      </c>
      <c r="M422">
        <f>IFERROR(L422/K422,"")</f>
        <v/>
      </c>
      <c r="N422">
        <f>IF(K422="","",M422+K422/100000+ROW()/100000000)</f>
        <v/>
      </c>
      <c r="R422">
        <f>IF(A422=1,IFERROR(I422,0)+ROW()/100000000,-1E+99)</f>
        <v/>
      </c>
      <c r="S422">
        <f>IF(A422=1,IFERROR(Raw_data!$T422,""),"")</f>
        <v/>
      </c>
      <c r="T422">
        <f>IF(A422=1,IFERROR(Raw_data!$AA422,""),"")</f>
        <v/>
      </c>
      <c r="U422">
        <f>IF(A422=1,IFERROR(Raw_data!$U422,""),"")</f>
        <v/>
      </c>
      <c r="V422">
        <f>IF(A422=1,IFERROR(Raw_data!$AB422,""),"")</f>
        <v/>
      </c>
    </row>
    <row r="423">
      <c r="A423">
        <f>--(AND(OR(Dashboard!$B$4="All",Raw_data!$AL423=Dashboard!$B$4),OR(Dashboard!$B$5="All",Raw_data!$AM423=Dashboard!$B$5),OR(Dashboard!$B$6="All",Raw_data!$AN423=Dashboard!$B$6),OR(Dashboard!$B$7="All",Raw_data!$AO423=Dashboard!$B$7),OR(Dashboard!$B$8="All",Raw_data!$AP423=Dashboard!$B$8),OR(Dashboard!$B$9="All",Raw_data!$AQ423=Dashboard!$B$9),OR(Dashboard!$B$10="All",Raw_data!$AF423=Dashboard!$B$10),OR(Raw_data!$F423="",Raw_data!$F423&lt;=TODAY())))</f>
        <v/>
      </c>
      <c r="B423">
        <f>IFERROR(IF(Dashboard!$B$3="Weighted",Raw_data!$U423,Raw_data!$T423),"")</f>
        <v/>
      </c>
      <c r="C423">
        <f>IFERROR(IF(Dashboard!$B$3="Weighted",Raw_data!$AB423,Raw_data!$AA423),"")</f>
        <v/>
      </c>
      <c r="D423">
        <f>IF(OR(Raw_data!$J423="",Raw_data!$J423&lt;=0,Raw_data!$K423=""),"",IF(Raw_data!$K423&gt;TODAY(),0,DATEDIF(Raw_data!$K423,TODAY(),"M")))</f>
        <v/>
      </c>
      <c r="E423">
        <f>--(AND(Raw_data!$AF423="No",OR(Raw_data!$AG423&lt;&gt;"",Raw_data!$AJ423&gt;0,Raw_data!$AK423&lt;&gt;"")))</f>
        <v/>
      </c>
      <c r="F423">
        <f>--(OR(AND(ISNUMBER(B423),B423&lt;0.5,OR(D423&gt;=24,Raw_data!$I423&gt;0)),Raw_data!$AE423=TRUE))</f>
        <v/>
      </c>
      <c r="G423">
        <f>IF(Dashboard!$B$11="Department",Raw_data!$AL423,IF(Dashboard!$B$11="Team",Raw_data!$AM423,IF(Dashboard!$B$11="Unit",Raw_data!$AN423,IF(Dashboard!$B$11="Legal entity",Raw_data!$AO423,IF(Dashboard!$B$11="Location",Raw_data!$AP423,Raw_data!$AQ423)))))</f>
        <v/>
      </c>
      <c r="H423">
        <f>--(AND(ISNUMBER(B423),B423&lt;0.5))</f>
        <v/>
      </c>
      <c r="I423">
        <f>IFERROR(MAX(0,(0.5-B423)*100),0)+IF(D423&gt;=24,20,0)+IF(Raw_data!$I423&gt;0,20,0)+IF(Raw_data!$AE423=TRUE,10,0)</f>
        <v/>
      </c>
      <c r="J423">
        <f>IFERROR(CHOOSE(MATCH(Dashboard!$B$11,{"Department","Team","Unit","Legal entity","Location","Lead"},0),INDEX(Lists!$B$3:$B$20,ROW()-1),INDEX(Lists!$C$3:$C$146,ROW()-1),INDEX(Lists!$D$3:$D$67,ROW()-1),INDEX(Lists!$E$3:$E$5,ROW()-1),INDEX(Lists!$F$3:$F$12,ROW()-1),INDEX(Lists!$G$3:$G$126,ROW()-1)),"")</f>
        <v/>
      </c>
      <c r="K423">
        <f>IF(J423="","",SUMPRODUCT(($A$2:$A$636=1)*($G$2:$G$636=J423)))</f>
        <v/>
      </c>
      <c r="L423">
        <f>IF(J423="","",SUMPRODUCT(($A$2:$A$636=1)*($G$2:$G$636=J423)*(ISNUMBER($B$2:$B$636))*($B$2:$B$636&lt;0.5)))</f>
        <v/>
      </c>
      <c r="M423">
        <f>IFERROR(L423/K423,"")</f>
        <v/>
      </c>
      <c r="N423">
        <f>IF(K423="","",M423+K423/100000+ROW()/100000000)</f>
        <v/>
      </c>
      <c r="R423">
        <f>IF(A423=1,IFERROR(I423,0)+ROW()/100000000,-1E+99)</f>
        <v/>
      </c>
      <c r="S423">
        <f>IF(A423=1,IFERROR(Raw_data!$T423,""),"")</f>
        <v/>
      </c>
      <c r="T423">
        <f>IF(A423=1,IFERROR(Raw_data!$AA423,""),"")</f>
        <v/>
      </c>
      <c r="U423">
        <f>IF(A423=1,IFERROR(Raw_data!$U423,""),"")</f>
        <v/>
      </c>
      <c r="V423">
        <f>IF(A423=1,IFERROR(Raw_data!$AB423,""),"")</f>
        <v/>
      </c>
    </row>
    <row r="424">
      <c r="A424">
        <f>--(AND(OR(Dashboard!$B$4="All",Raw_data!$AL424=Dashboard!$B$4),OR(Dashboard!$B$5="All",Raw_data!$AM424=Dashboard!$B$5),OR(Dashboard!$B$6="All",Raw_data!$AN424=Dashboard!$B$6),OR(Dashboard!$B$7="All",Raw_data!$AO424=Dashboard!$B$7),OR(Dashboard!$B$8="All",Raw_data!$AP424=Dashboard!$B$8),OR(Dashboard!$B$9="All",Raw_data!$AQ424=Dashboard!$B$9),OR(Dashboard!$B$10="All",Raw_data!$AF424=Dashboard!$B$10),OR(Raw_data!$F424="",Raw_data!$F424&lt;=TODAY())))</f>
        <v/>
      </c>
      <c r="B424">
        <f>IFERROR(IF(Dashboard!$B$3="Weighted",Raw_data!$U424,Raw_data!$T424),"")</f>
        <v/>
      </c>
      <c r="C424">
        <f>IFERROR(IF(Dashboard!$B$3="Weighted",Raw_data!$AB424,Raw_data!$AA424),"")</f>
        <v/>
      </c>
      <c r="D424">
        <f>IF(OR(Raw_data!$J424="",Raw_data!$J424&lt;=0,Raw_data!$K424=""),"",IF(Raw_data!$K424&gt;TODAY(),0,DATEDIF(Raw_data!$K424,TODAY(),"M")))</f>
        <v/>
      </c>
      <c r="E424">
        <f>--(AND(Raw_data!$AF424="No",OR(Raw_data!$AG424&lt;&gt;"",Raw_data!$AJ424&gt;0,Raw_data!$AK424&lt;&gt;"")))</f>
        <v/>
      </c>
      <c r="F424">
        <f>--(OR(AND(ISNUMBER(B424),B424&lt;0.5,OR(D424&gt;=24,Raw_data!$I424&gt;0)),Raw_data!$AE424=TRUE))</f>
        <v/>
      </c>
      <c r="G424">
        <f>IF(Dashboard!$B$11="Department",Raw_data!$AL424,IF(Dashboard!$B$11="Team",Raw_data!$AM424,IF(Dashboard!$B$11="Unit",Raw_data!$AN424,IF(Dashboard!$B$11="Legal entity",Raw_data!$AO424,IF(Dashboard!$B$11="Location",Raw_data!$AP424,Raw_data!$AQ424)))))</f>
        <v/>
      </c>
      <c r="H424">
        <f>--(AND(ISNUMBER(B424),B424&lt;0.5))</f>
        <v/>
      </c>
      <c r="I424">
        <f>IFERROR(MAX(0,(0.5-B424)*100),0)+IF(D424&gt;=24,20,0)+IF(Raw_data!$I424&gt;0,20,0)+IF(Raw_data!$AE424=TRUE,10,0)</f>
        <v/>
      </c>
      <c r="J424">
        <f>IFERROR(CHOOSE(MATCH(Dashboard!$B$11,{"Department","Team","Unit","Legal entity","Location","Lead"},0),INDEX(Lists!$B$3:$B$20,ROW()-1),INDEX(Lists!$C$3:$C$146,ROW()-1),INDEX(Lists!$D$3:$D$67,ROW()-1),INDEX(Lists!$E$3:$E$5,ROW()-1),INDEX(Lists!$F$3:$F$12,ROW()-1),INDEX(Lists!$G$3:$G$126,ROW()-1)),"")</f>
        <v/>
      </c>
      <c r="K424">
        <f>IF(J424="","",SUMPRODUCT(($A$2:$A$636=1)*($G$2:$G$636=J424)))</f>
        <v/>
      </c>
      <c r="L424">
        <f>IF(J424="","",SUMPRODUCT(($A$2:$A$636=1)*($G$2:$G$636=J424)*(ISNUMBER($B$2:$B$636))*($B$2:$B$636&lt;0.5)))</f>
        <v/>
      </c>
      <c r="M424">
        <f>IFERROR(L424/K424,"")</f>
        <v/>
      </c>
      <c r="N424">
        <f>IF(K424="","",M424+K424/100000+ROW()/100000000)</f>
        <v/>
      </c>
      <c r="R424">
        <f>IF(A424=1,IFERROR(I424,0)+ROW()/100000000,-1E+99)</f>
        <v/>
      </c>
      <c r="S424">
        <f>IF(A424=1,IFERROR(Raw_data!$T424,""),"")</f>
        <v/>
      </c>
      <c r="T424">
        <f>IF(A424=1,IFERROR(Raw_data!$AA424,""),"")</f>
        <v/>
      </c>
      <c r="U424">
        <f>IF(A424=1,IFERROR(Raw_data!$U424,""),"")</f>
        <v/>
      </c>
      <c r="V424">
        <f>IF(A424=1,IFERROR(Raw_data!$AB424,""),"")</f>
        <v/>
      </c>
    </row>
    <row r="425">
      <c r="A425">
        <f>--(AND(OR(Dashboard!$B$4="All",Raw_data!$AL425=Dashboard!$B$4),OR(Dashboard!$B$5="All",Raw_data!$AM425=Dashboard!$B$5),OR(Dashboard!$B$6="All",Raw_data!$AN425=Dashboard!$B$6),OR(Dashboard!$B$7="All",Raw_data!$AO425=Dashboard!$B$7),OR(Dashboard!$B$8="All",Raw_data!$AP425=Dashboard!$B$8),OR(Dashboard!$B$9="All",Raw_data!$AQ425=Dashboard!$B$9),OR(Dashboard!$B$10="All",Raw_data!$AF425=Dashboard!$B$10),OR(Raw_data!$F425="",Raw_data!$F425&lt;=TODAY())))</f>
        <v/>
      </c>
      <c r="B425">
        <f>IFERROR(IF(Dashboard!$B$3="Weighted",Raw_data!$U425,Raw_data!$T425),"")</f>
        <v/>
      </c>
      <c r="C425">
        <f>IFERROR(IF(Dashboard!$B$3="Weighted",Raw_data!$AB425,Raw_data!$AA425),"")</f>
        <v/>
      </c>
      <c r="D425">
        <f>IF(OR(Raw_data!$J425="",Raw_data!$J425&lt;=0,Raw_data!$K425=""),"",IF(Raw_data!$K425&gt;TODAY(),0,DATEDIF(Raw_data!$K425,TODAY(),"M")))</f>
        <v/>
      </c>
      <c r="E425">
        <f>--(AND(Raw_data!$AF425="No",OR(Raw_data!$AG425&lt;&gt;"",Raw_data!$AJ425&gt;0,Raw_data!$AK425&lt;&gt;"")))</f>
        <v/>
      </c>
      <c r="F425">
        <f>--(OR(AND(ISNUMBER(B425),B425&lt;0.5,OR(D425&gt;=24,Raw_data!$I425&gt;0)),Raw_data!$AE425=TRUE))</f>
        <v/>
      </c>
      <c r="G425">
        <f>IF(Dashboard!$B$11="Department",Raw_data!$AL425,IF(Dashboard!$B$11="Team",Raw_data!$AM425,IF(Dashboard!$B$11="Unit",Raw_data!$AN425,IF(Dashboard!$B$11="Legal entity",Raw_data!$AO425,IF(Dashboard!$B$11="Location",Raw_data!$AP425,Raw_data!$AQ425)))))</f>
        <v/>
      </c>
      <c r="H425">
        <f>--(AND(ISNUMBER(B425),B425&lt;0.5))</f>
        <v/>
      </c>
      <c r="I425">
        <f>IFERROR(MAX(0,(0.5-B425)*100),0)+IF(D425&gt;=24,20,0)+IF(Raw_data!$I425&gt;0,20,0)+IF(Raw_data!$AE425=TRUE,10,0)</f>
        <v/>
      </c>
      <c r="J425">
        <f>IFERROR(CHOOSE(MATCH(Dashboard!$B$11,{"Department","Team","Unit","Legal entity","Location","Lead"},0),INDEX(Lists!$B$3:$B$20,ROW()-1),INDEX(Lists!$C$3:$C$146,ROW()-1),INDEX(Lists!$D$3:$D$67,ROW()-1),INDEX(Lists!$E$3:$E$5,ROW()-1),INDEX(Lists!$F$3:$F$12,ROW()-1),INDEX(Lists!$G$3:$G$126,ROW()-1)),"")</f>
        <v/>
      </c>
      <c r="K425">
        <f>IF(J425="","",SUMPRODUCT(($A$2:$A$636=1)*($G$2:$G$636=J425)))</f>
        <v/>
      </c>
      <c r="L425">
        <f>IF(J425="","",SUMPRODUCT(($A$2:$A$636=1)*($G$2:$G$636=J425)*(ISNUMBER($B$2:$B$636))*($B$2:$B$636&lt;0.5)))</f>
        <v/>
      </c>
      <c r="M425">
        <f>IFERROR(L425/K425,"")</f>
        <v/>
      </c>
      <c r="N425">
        <f>IF(K425="","",M425+K425/100000+ROW()/100000000)</f>
        <v/>
      </c>
      <c r="R425">
        <f>IF(A425=1,IFERROR(I425,0)+ROW()/100000000,-1E+99)</f>
        <v/>
      </c>
      <c r="S425">
        <f>IF(A425=1,IFERROR(Raw_data!$T425,""),"")</f>
        <v/>
      </c>
      <c r="T425">
        <f>IF(A425=1,IFERROR(Raw_data!$AA425,""),"")</f>
        <v/>
      </c>
      <c r="U425">
        <f>IF(A425=1,IFERROR(Raw_data!$U425,""),"")</f>
        <v/>
      </c>
      <c r="V425">
        <f>IF(A425=1,IFERROR(Raw_data!$AB425,""),"")</f>
        <v/>
      </c>
    </row>
    <row r="426">
      <c r="A426">
        <f>--(AND(OR(Dashboard!$B$4="All",Raw_data!$AL426=Dashboard!$B$4),OR(Dashboard!$B$5="All",Raw_data!$AM426=Dashboard!$B$5),OR(Dashboard!$B$6="All",Raw_data!$AN426=Dashboard!$B$6),OR(Dashboard!$B$7="All",Raw_data!$AO426=Dashboard!$B$7),OR(Dashboard!$B$8="All",Raw_data!$AP426=Dashboard!$B$8),OR(Dashboard!$B$9="All",Raw_data!$AQ426=Dashboard!$B$9),OR(Dashboard!$B$10="All",Raw_data!$AF426=Dashboard!$B$10),OR(Raw_data!$F426="",Raw_data!$F426&lt;=TODAY())))</f>
        <v/>
      </c>
      <c r="B426">
        <f>IFERROR(IF(Dashboard!$B$3="Weighted",Raw_data!$U426,Raw_data!$T426),"")</f>
        <v/>
      </c>
      <c r="C426">
        <f>IFERROR(IF(Dashboard!$B$3="Weighted",Raw_data!$AB426,Raw_data!$AA426),"")</f>
        <v/>
      </c>
      <c r="D426">
        <f>IF(OR(Raw_data!$J426="",Raw_data!$J426&lt;=0,Raw_data!$K426=""),"",IF(Raw_data!$K426&gt;TODAY(),0,DATEDIF(Raw_data!$K426,TODAY(),"M")))</f>
        <v/>
      </c>
      <c r="E426">
        <f>--(AND(Raw_data!$AF426="No",OR(Raw_data!$AG426&lt;&gt;"",Raw_data!$AJ426&gt;0,Raw_data!$AK426&lt;&gt;"")))</f>
        <v/>
      </c>
      <c r="F426">
        <f>--(OR(AND(ISNUMBER(B426),B426&lt;0.5,OR(D426&gt;=24,Raw_data!$I426&gt;0)),Raw_data!$AE426=TRUE))</f>
        <v/>
      </c>
      <c r="G426">
        <f>IF(Dashboard!$B$11="Department",Raw_data!$AL426,IF(Dashboard!$B$11="Team",Raw_data!$AM426,IF(Dashboard!$B$11="Unit",Raw_data!$AN426,IF(Dashboard!$B$11="Legal entity",Raw_data!$AO426,IF(Dashboard!$B$11="Location",Raw_data!$AP426,Raw_data!$AQ426)))))</f>
        <v/>
      </c>
      <c r="H426">
        <f>--(AND(ISNUMBER(B426),B426&lt;0.5))</f>
        <v/>
      </c>
      <c r="I426">
        <f>IFERROR(MAX(0,(0.5-B426)*100),0)+IF(D426&gt;=24,20,0)+IF(Raw_data!$I426&gt;0,20,0)+IF(Raw_data!$AE426=TRUE,10,0)</f>
        <v/>
      </c>
      <c r="J426">
        <f>IFERROR(CHOOSE(MATCH(Dashboard!$B$11,{"Department","Team","Unit","Legal entity","Location","Lead"},0),INDEX(Lists!$B$3:$B$20,ROW()-1),INDEX(Lists!$C$3:$C$146,ROW()-1),INDEX(Lists!$D$3:$D$67,ROW()-1),INDEX(Lists!$E$3:$E$5,ROW()-1),INDEX(Lists!$F$3:$F$12,ROW()-1),INDEX(Lists!$G$3:$G$126,ROW()-1)),"")</f>
        <v/>
      </c>
      <c r="K426">
        <f>IF(J426="","",SUMPRODUCT(($A$2:$A$636=1)*($G$2:$G$636=J426)))</f>
        <v/>
      </c>
      <c r="L426">
        <f>IF(J426="","",SUMPRODUCT(($A$2:$A$636=1)*($G$2:$G$636=J426)*(ISNUMBER($B$2:$B$636))*($B$2:$B$636&lt;0.5)))</f>
        <v/>
      </c>
      <c r="M426">
        <f>IFERROR(L426/K426,"")</f>
        <v/>
      </c>
      <c r="N426">
        <f>IF(K426="","",M426+K426/100000+ROW()/100000000)</f>
        <v/>
      </c>
      <c r="R426">
        <f>IF(A426=1,IFERROR(I426,0)+ROW()/100000000,-1E+99)</f>
        <v/>
      </c>
      <c r="S426">
        <f>IF(A426=1,IFERROR(Raw_data!$T426,""),"")</f>
        <v/>
      </c>
      <c r="T426">
        <f>IF(A426=1,IFERROR(Raw_data!$AA426,""),"")</f>
        <v/>
      </c>
      <c r="U426">
        <f>IF(A426=1,IFERROR(Raw_data!$U426,""),"")</f>
        <v/>
      </c>
      <c r="V426">
        <f>IF(A426=1,IFERROR(Raw_data!$AB426,""),"")</f>
        <v/>
      </c>
    </row>
    <row r="427">
      <c r="A427">
        <f>--(AND(OR(Dashboard!$B$4="All",Raw_data!$AL427=Dashboard!$B$4),OR(Dashboard!$B$5="All",Raw_data!$AM427=Dashboard!$B$5),OR(Dashboard!$B$6="All",Raw_data!$AN427=Dashboard!$B$6),OR(Dashboard!$B$7="All",Raw_data!$AO427=Dashboard!$B$7),OR(Dashboard!$B$8="All",Raw_data!$AP427=Dashboard!$B$8),OR(Dashboard!$B$9="All",Raw_data!$AQ427=Dashboard!$B$9),OR(Dashboard!$B$10="All",Raw_data!$AF427=Dashboard!$B$10),OR(Raw_data!$F427="",Raw_data!$F427&lt;=TODAY())))</f>
        <v/>
      </c>
      <c r="B427">
        <f>IFERROR(IF(Dashboard!$B$3="Weighted",Raw_data!$U427,Raw_data!$T427),"")</f>
        <v/>
      </c>
      <c r="C427">
        <f>IFERROR(IF(Dashboard!$B$3="Weighted",Raw_data!$AB427,Raw_data!$AA427),"")</f>
        <v/>
      </c>
      <c r="D427">
        <f>IF(OR(Raw_data!$J427="",Raw_data!$J427&lt;=0,Raw_data!$K427=""),"",IF(Raw_data!$K427&gt;TODAY(),0,DATEDIF(Raw_data!$K427,TODAY(),"M")))</f>
        <v/>
      </c>
      <c r="E427">
        <f>--(AND(Raw_data!$AF427="No",OR(Raw_data!$AG427&lt;&gt;"",Raw_data!$AJ427&gt;0,Raw_data!$AK427&lt;&gt;"")))</f>
        <v/>
      </c>
      <c r="F427">
        <f>--(OR(AND(ISNUMBER(B427),B427&lt;0.5,OR(D427&gt;=24,Raw_data!$I427&gt;0)),Raw_data!$AE427=TRUE))</f>
        <v/>
      </c>
      <c r="G427">
        <f>IF(Dashboard!$B$11="Department",Raw_data!$AL427,IF(Dashboard!$B$11="Team",Raw_data!$AM427,IF(Dashboard!$B$11="Unit",Raw_data!$AN427,IF(Dashboard!$B$11="Legal entity",Raw_data!$AO427,IF(Dashboard!$B$11="Location",Raw_data!$AP427,Raw_data!$AQ427)))))</f>
        <v/>
      </c>
      <c r="H427">
        <f>--(AND(ISNUMBER(B427),B427&lt;0.5))</f>
        <v/>
      </c>
      <c r="I427">
        <f>IFERROR(MAX(0,(0.5-B427)*100),0)+IF(D427&gt;=24,20,0)+IF(Raw_data!$I427&gt;0,20,0)+IF(Raw_data!$AE427=TRUE,10,0)</f>
        <v/>
      </c>
      <c r="J427">
        <f>IFERROR(CHOOSE(MATCH(Dashboard!$B$11,{"Department","Team","Unit","Legal entity","Location","Lead"},0),INDEX(Lists!$B$3:$B$20,ROW()-1),INDEX(Lists!$C$3:$C$146,ROW()-1),INDEX(Lists!$D$3:$D$67,ROW()-1),INDEX(Lists!$E$3:$E$5,ROW()-1),INDEX(Lists!$F$3:$F$12,ROW()-1),INDEX(Lists!$G$3:$G$126,ROW()-1)),"")</f>
        <v/>
      </c>
      <c r="K427">
        <f>IF(J427="","",SUMPRODUCT(($A$2:$A$636=1)*($G$2:$G$636=J427)))</f>
        <v/>
      </c>
      <c r="L427">
        <f>IF(J427="","",SUMPRODUCT(($A$2:$A$636=1)*($G$2:$G$636=J427)*(ISNUMBER($B$2:$B$636))*($B$2:$B$636&lt;0.5)))</f>
        <v/>
      </c>
      <c r="M427">
        <f>IFERROR(L427/K427,"")</f>
        <v/>
      </c>
      <c r="N427">
        <f>IF(K427="","",M427+K427/100000+ROW()/100000000)</f>
        <v/>
      </c>
      <c r="R427">
        <f>IF(A427=1,IFERROR(I427,0)+ROW()/100000000,-1E+99)</f>
        <v/>
      </c>
      <c r="S427">
        <f>IF(A427=1,IFERROR(Raw_data!$T427,""),"")</f>
        <v/>
      </c>
      <c r="T427">
        <f>IF(A427=1,IFERROR(Raw_data!$AA427,""),"")</f>
        <v/>
      </c>
      <c r="U427">
        <f>IF(A427=1,IFERROR(Raw_data!$U427,""),"")</f>
        <v/>
      </c>
      <c r="V427">
        <f>IF(A427=1,IFERROR(Raw_data!$AB427,""),"")</f>
        <v/>
      </c>
    </row>
    <row r="428">
      <c r="A428">
        <f>--(AND(OR(Dashboard!$B$4="All",Raw_data!$AL428=Dashboard!$B$4),OR(Dashboard!$B$5="All",Raw_data!$AM428=Dashboard!$B$5),OR(Dashboard!$B$6="All",Raw_data!$AN428=Dashboard!$B$6),OR(Dashboard!$B$7="All",Raw_data!$AO428=Dashboard!$B$7),OR(Dashboard!$B$8="All",Raw_data!$AP428=Dashboard!$B$8),OR(Dashboard!$B$9="All",Raw_data!$AQ428=Dashboard!$B$9),OR(Dashboard!$B$10="All",Raw_data!$AF428=Dashboard!$B$10),OR(Raw_data!$F428="",Raw_data!$F428&lt;=TODAY())))</f>
        <v/>
      </c>
      <c r="B428">
        <f>IFERROR(IF(Dashboard!$B$3="Weighted",Raw_data!$U428,Raw_data!$T428),"")</f>
        <v/>
      </c>
      <c r="C428">
        <f>IFERROR(IF(Dashboard!$B$3="Weighted",Raw_data!$AB428,Raw_data!$AA428),"")</f>
        <v/>
      </c>
      <c r="D428">
        <f>IF(OR(Raw_data!$J428="",Raw_data!$J428&lt;=0,Raw_data!$K428=""),"",IF(Raw_data!$K428&gt;TODAY(),0,DATEDIF(Raw_data!$K428,TODAY(),"M")))</f>
        <v/>
      </c>
      <c r="E428">
        <f>--(AND(Raw_data!$AF428="No",OR(Raw_data!$AG428&lt;&gt;"",Raw_data!$AJ428&gt;0,Raw_data!$AK428&lt;&gt;"")))</f>
        <v/>
      </c>
      <c r="F428">
        <f>--(OR(AND(ISNUMBER(B428),B428&lt;0.5,OR(D428&gt;=24,Raw_data!$I428&gt;0)),Raw_data!$AE428=TRUE))</f>
        <v/>
      </c>
      <c r="G428">
        <f>IF(Dashboard!$B$11="Department",Raw_data!$AL428,IF(Dashboard!$B$11="Team",Raw_data!$AM428,IF(Dashboard!$B$11="Unit",Raw_data!$AN428,IF(Dashboard!$B$11="Legal entity",Raw_data!$AO428,IF(Dashboard!$B$11="Location",Raw_data!$AP428,Raw_data!$AQ428)))))</f>
        <v/>
      </c>
      <c r="H428">
        <f>--(AND(ISNUMBER(B428),B428&lt;0.5))</f>
        <v/>
      </c>
      <c r="I428">
        <f>IFERROR(MAX(0,(0.5-B428)*100),0)+IF(D428&gt;=24,20,0)+IF(Raw_data!$I428&gt;0,20,0)+IF(Raw_data!$AE428=TRUE,10,0)</f>
        <v/>
      </c>
      <c r="J428">
        <f>IFERROR(CHOOSE(MATCH(Dashboard!$B$11,{"Department","Team","Unit","Legal entity","Location","Lead"},0),INDEX(Lists!$B$3:$B$20,ROW()-1),INDEX(Lists!$C$3:$C$146,ROW()-1),INDEX(Lists!$D$3:$D$67,ROW()-1),INDEX(Lists!$E$3:$E$5,ROW()-1),INDEX(Lists!$F$3:$F$12,ROW()-1),INDEX(Lists!$G$3:$G$126,ROW()-1)),"")</f>
        <v/>
      </c>
      <c r="K428">
        <f>IF(J428="","",SUMPRODUCT(($A$2:$A$636=1)*($G$2:$G$636=J428)))</f>
        <v/>
      </c>
      <c r="L428">
        <f>IF(J428="","",SUMPRODUCT(($A$2:$A$636=1)*($G$2:$G$636=J428)*(ISNUMBER($B$2:$B$636))*($B$2:$B$636&lt;0.5)))</f>
        <v/>
      </c>
      <c r="M428">
        <f>IFERROR(L428/K428,"")</f>
        <v/>
      </c>
      <c r="N428">
        <f>IF(K428="","",M428+K428/100000+ROW()/100000000)</f>
        <v/>
      </c>
      <c r="R428">
        <f>IF(A428=1,IFERROR(I428,0)+ROW()/100000000,-1E+99)</f>
        <v/>
      </c>
      <c r="S428">
        <f>IF(A428=1,IFERROR(Raw_data!$T428,""),"")</f>
        <v/>
      </c>
      <c r="T428">
        <f>IF(A428=1,IFERROR(Raw_data!$AA428,""),"")</f>
        <v/>
      </c>
      <c r="U428">
        <f>IF(A428=1,IFERROR(Raw_data!$U428,""),"")</f>
        <v/>
      </c>
      <c r="V428">
        <f>IF(A428=1,IFERROR(Raw_data!$AB428,""),"")</f>
        <v/>
      </c>
    </row>
    <row r="429">
      <c r="A429">
        <f>--(AND(OR(Dashboard!$B$4="All",Raw_data!$AL429=Dashboard!$B$4),OR(Dashboard!$B$5="All",Raw_data!$AM429=Dashboard!$B$5),OR(Dashboard!$B$6="All",Raw_data!$AN429=Dashboard!$B$6),OR(Dashboard!$B$7="All",Raw_data!$AO429=Dashboard!$B$7),OR(Dashboard!$B$8="All",Raw_data!$AP429=Dashboard!$B$8),OR(Dashboard!$B$9="All",Raw_data!$AQ429=Dashboard!$B$9),OR(Dashboard!$B$10="All",Raw_data!$AF429=Dashboard!$B$10),OR(Raw_data!$F429="",Raw_data!$F429&lt;=TODAY())))</f>
        <v/>
      </c>
      <c r="B429">
        <f>IFERROR(IF(Dashboard!$B$3="Weighted",Raw_data!$U429,Raw_data!$T429),"")</f>
        <v/>
      </c>
      <c r="C429">
        <f>IFERROR(IF(Dashboard!$B$3="Weighted",Raw_data!$AB429,Raw_data!$AA429),"")</f>
        <v/>
      </c>
      <c r="D429">
        <f>IF(OR(Raw_data!$J429="",Raw_data!$J429&lt;=0,Raw_data!$K429=""),"",IF(Raw_data!$K429&gt;TODAY(),0,DATEDIF(Raw_data!$K429,TODAY(),"M")))</f>
        <v/>
      </c>
      <c r="E429">
        <f>--(AND(Raw_data!$AF429="No",OR(Raw_data!$AG429&lt;&gt;"",Raw_data!$AJ429&gt;0,Raw_data!$AK429&lt;&gt;"")))</f>
        <v/>
      </c>
      <c r="F429">
        <f>--(OR(AND(ISNUMBER(B429),B429&lt;0.5,OR(D429&gt;=24,Raw_data!$I429&gt;0)),Raw_data!$AE429=TRUE))</f>
        <v/>
      </c>
      <c r="G429">
        <f>IF(Dashboard!$B$11="Department",Raw_data!$AL429,IF(Dashboard!$B$11="Team",Raw_data!$AM429,IF(Dashboard!$B$11="Unit",Raw_data!$AN429,IF(Dashboard!$B$11="Legal entity",Raw_data!$AO429,IF(Dashboard!$B$11="Location",Raw_data!$AP429,Raw_data!$AQ429)))))</f>
        <v/>
      </c>
      <c r="H429">
        <f>--(AND(ISNUMBER(B429),B429&lt;0.5))</f>
        <v/>
      </c>
      <c r="I429">
        <f>IFERROR(MAX(0,(0.5-B429)*100),0)+IF(D429&gt;=24,20,0)+IF(Raw_data!$I429&gt;0,20,0)+IF(Raw_data!$AE429=TRUE,10,0)</f>
        <v/>
      </c>
      <c r="J429">
        <f>IFERROR(CHOOSE(MATCH(Dashboard!$B$11,{"Department","Team","Unit","Legal entity","Location","Lead"},0),INDEX(Lists!$B$3:$B$20,ROW()-1),INDEX(Lists!$C$3:$C$146,ROW()-1),INDEX(Lists!$D$3:$D$67,ROW()-1),INDEX(Lists!$E$3:$E$5,ROW()-1),INDEX(Lists!$F$3:$F$12,ROW()-1),INDEX(Lists!$G$3:$G$126,ROW()-1)),"")</f>
        <v/>
      </c>
      <c r="K429">
        <f>IF(J429="","",SUMPRODUCT(($A$2:$A$636=1)*($G$2:$G$636=J429)))</f>
        <v/>
      </c>
      <c r="L429">
        <f>IF(J429="","",SUMPRODUCT(($A$2:$A$636=1)*($G$2:$G$636=J429)*(ISNUMBER($B$2:$B$636))*($B$2:$B$636&lt;0.5)))</f>
        <v/>
      </c>
      <c r="M429">
        <f>IFERROR(L429/K429,"")</f>
        <v/>
      </c>
      <c r="N429">
        <f>IF(K429="","",M429+K429/100000+ROW()/100000000)</f>
        <v/>
      </c>
      <c r="R429">
        <f>IF(A429=1,IFERROR(I429,0)+ROW()/100000000,-1E+99)</f>
        <v/>
      </c>
      <c r="S429">
        <f>IF(A429=1,IFERROR(Raw_data!$T429,""),"")</f>
        <v/>
      </c>
      <c r="T429">
        <f>IF(A429=1,IFERROR(Raw_data!$AA429,""),"")</f>
        <v/>
      </c>
      <c r="U429">
        <f>IF(A429=1,IFERROR(Raw_data!$U429,""),"")</f>
        <v/>
      </c>
      <c r="V429">
        <f>IF(A429=1,IFERROR(Raw_data!$AB429,""),"")</f>
        <v/>
      </c>
    </row>
    <row r="430">
      <c r="A430">
        <f>--(AND(OR(Dashboard!$B$4="All",Raw_data!$AL430=Dashboard!$B$4),OR(Dashboard!$B$5="All",Raw_data!$AM430=Dashboard!$B$5),OR(Dashboard!$B$6="All",Raw_data!$AN430=Dashboard!$B$6),OR(Dashboard!$B$7="All",Raw_data!$AO430=Dashboard!$B$7),OR(Dashboard!$B$8="All",Raw_data!$AP430=Dashboard!$B$8),OR(Dashboard!$B$9="All",Raw_data!$AQ430=Dashboard!$B$9),OR(Dashboard!$B$10="All",Raw_data!$AF430=Dashboard!$B$10),OR(Raw_data!$F430="",Raw_data!$F430&lt;=TODAY())))</f>
        <v/>
      </c>
      <c r="B430">
        <f>IFERROR(IF(Dashboard!$B$3="Weighted",Raw_data!$U430,Raw_data!$T430),"")</f>
        <v/>
      </c>
      <c r="C430">
        <f>IFERROR(IF(Dashboard!$B$3="Weighted",Raw_data!$AB430,Raw_data!$AA430),"")</f>
        <v/>
      </c>
      <c r="D430">
        <f>IF(OR(Raw_data!$J430="",Raw_data!$J430&lt;=0,Raw_data!$K430=""),"",IF(Raw_data!$K430&gt;TODAY(),0,DATEDIF(Raw_data!$K430,TODAY(),"M")))</f>
        <v/>
      </c>
      <c r="E430">
        <f>--(AND(Raw_data!$AF430="No",OR(Raw_data!$AG430&lt;&gt;"",Raw_data!$AJ430&gt;0,Raw_data!$AK430&lt;&gt;"")))</f>
        <v/>
      </c>
      <c r="F430">
        <f>--(OR(AND(ISNUMBER(B430),B430&lt;0.5,OR(D430&gt;=24,Raw_data!$I430&gt;0)),Raw_data!$AE430=TRUE))</f>
        <v/>
      </c>
      <c r="G430">
        <f>IF(Dashboard!$B$11="Department",Raw_data!$AL430,IF(Dashboard!$B$11="Team",Raw_data!$AM430,IF(Dashboard!$B$11="Unit",Raw_data!$AN430,IF(Dashboard!$B$11="Legal entity",Raw_data!$AO430,IF(Dashboard!$B$11="Location",Raw_data!$AP430,Raw_data!$AQ430)))))</f>
        <v/>
      </c>
      <c r="H430">
        <f>--(AND(ISNUMBER(B430),B430&lt;0.5))</f>
        <v/>
      </c>
      <c r="I430">
        <f>IFERROR(MAX(0,(0.5-B430)*100),0)+IF(D430&gt;=24,20,0)+IF(Raw_data!$I430&gt;0,20,0)+IF(Raw_data!$AE430=TRUE,10,0)</f>
        <v/>
      </c>
      <c r="J430">
        <f>IFERROR(CHOOSE(MATCH(Dashboard!$B$11,{"Department","Team","Unit","Legal entity","Location","Lead"},0),INDEX(Lists!$B$3:$B$20,ROW()-1),INDEX(Lists!$C$3:$C$146,ROW()-1),INDEX(Lists!$D$3:$D$67,ROW()-1),INDEX(Lists!$E$3:$E$5,ROW()-1),INDEX(Lists!$F$3:$F$12,ROW()-1),INDEX(Lists!$G$3:$G$126,ROW()-1)),"")</f>
        <v/>
      </c>
      <c r="K430">
        <f>IF(J430="","",SUMPRODUCT(($A$2:$A$636=1)*($G$2:$G$636=J430)))</f>
        <v/>
      </c>
      <c r="L430">
        <f>IF(J430="","",SUMPRODUCT(($A$2:$A$636=1)*($G$2:$G$636=J430)*(ISNUMBER($B$2:$B$636))*($B$2:$B$636&lt;0.5)))</f>
        <v/>
      </c>
      <c r="M430">
        <f>IFERROR(L430/K430,"")</f>
        <v/>
      </c>
      <c r="N430">
        <f>IF(K430="","",M430+K430/100000+ROW()/100000000)</f>
        <v/>
      </c>
      <c r="R430">
        <f>IF(A430=1,IFERROR(I430,0)+ROW()/100000000,-1E+99)</f>
        <v/>
      </c>
      <c r="S430">
        <f>IF(A430=1,IFERROR(Raw_data!$T430,""),"")</f>
        <v/>
      </c>
      <c r="T430">
        <f>IF(A430=1,IFERROR(Raw_data!$AA430,""),"")</f>
        <v/>
      </c>
      <c r="U430">
        <f>IF(A430=1,IFERROR(Raw_data!$U430,""),"")</f>
        <v/>
      </c>
      <c r="V430">
        <f>IF(A430=1,IFERROR(Raw_data!$AB430,""),"")</f>
        <v/>
      </c>
    </row>
    <row r="431">
      <c r="A431">
        <f>--(AND(OR(Dashboard!$B$4="All",Raw_data!$AL431=Dashboard!$B$4),OR(Dashboard!$B$5="All",Raw_data!$AM431=Dashboard!$B$5),OR(Dashboard!$B$6="All",Raw_data!$AN431=Dashboard!$B$6),OR(Dashboard!$B$7="All",Raw_data!$AO431=Dashboard!$B$7),OR(Dashboard!$B$8="All",Raw_data!$AP431=Dashboard!$B$8),OR(Dashboard!$B$9="All",Raw_data!$AQ431=Dashboard!$B$9),OR(Dashboard!$B$10="All",Raw_data!$AF431=Dashboard!$B$10),OR(Raw_data!$F431="",Raw_data!$F431&lt;=TODAY())))</f>
        <v/>
      </c>
      <c r="B431">
        <f>IFERROR(IF(Dashboard!$B$3="Weighted",Raw_data!$U431,Raw_data!$T431),"")</f>
        <v/>
      </c>
      <c r="C431">
        <f>IFERROR(IF(Dashboard!$B$3="Weighted",Raw_data!$AB431,Raw_data!$AA431),"")</f>
        <v/>
      </c>
      <c r="D431">
        <f>IF(OR(Raw_data!$J431="",Raw_data!$J431&lt;=0,Raw_data!$K431=""),"",IF(Raw_data!$K431&gt;TODAY(),0,DATEDIF(Raw_data!$K431,TODAY(),"M")))</f>
        <v/>
      </c>
      <c r="E431">
        <f>--(AND(Raw_data!$AF431="No",OR(Raw_data!$AG431&lt;&gt;"",Raw_data!$AJ431&gt;0,Raw_data!$AK431&lt;&gt;"")))</f>
        <v/>
      </c>
      <c r="F431">
        <f>--(OR(AND(ISNUMBER(B431),B431&lt;0.5,OR(D431&gt;=24,Raw_data!$I431&gt;0)),Raw_data!$AE431=TRUE))</f>
        <v/>
      </c>
      <c r="G431">
        <f>IF(Dashboard!$B$11="Department",Raw_data!$AL431,IF(Dashboard!$B$11="Team",Raw_data!$AM431,IF(Dashboard!$B$11="Unit",Raw_data!$AN431,IF(Dashboard!$B$11="Legal entity",Raw_data!$AO431,IF(Dashboard!$B$11="Location",Raw_data!$AP431,Raw_data!$AQ431)))))</f>
        <v/>
      </c>
      <c r="H431">
        <f>--(AND(ISNUMBER(B431),B431&lt;0.5))</f>
        <v/>
      </c>
      <c r="I431">
        <f>IFERROR(MAX(0,(0.5-B431)*100),0)+IF(D431&gt;=24,20,0)+IF(Raw_data!$I431&gt;0,20,0)+IF(Raw_data!$AE431=TRUE,10,0)</f>
        <v/>
      </c>
      <c r="J431">
        <f>IFERROR(CHOOSE(MATCH(Dashboard!$B$11,{"Department","Team","Unit","Legal entity","Location","Lead"},0),INDEX(Lists!$B$3:$B$20,ROW()-1),INDEX(Lists!$C$3:$C$146,ROW()-1),INDEX(Lists!$D$3:$D$67,ROW()-1),INDEX(Lists!$E$3:$E$5,ROW()-1),INDEX(Lists!$F$3:$F$12,ROW()-1),INDEX(Lists!$G$3:$G$126,ROW()-1)),"")</f>
        <v/>
      </c>
      <c r="K431">
        <f>IF(J431="","",SUMPRODUCT(($A$2:$A$636=1)*($G$2:$G$636=J431)))</f>
        <v/>
      </c>
      <c r="L431">
        <f>IF(J431="","",SUMPRODUCT(($A$2:$A$636=1)*($G$2:$G$636=J431)*(ISNUMBER($B$2:$B$636))*($B$2:$B$636&lt;0.5)))</f>
        <v/>
      </c>
      <c r="M431">
        <f>IFERROR(L431/K431,"")</f>
        <v/>
      </c>
      <c r="N431">
        <f>IF(K431="","",M431+K431/100000+ROW()/100000000)</f>
        <v/>
      </c>
      <c r="R431">
        <f>IF(A431=1,IFERROR(I431,0)+ROW()/100000000,-1E+99)</f>
        <v/>
      </c>
      <c r="S431">
        <f>IF(A431=1,IFERROR(Raw_data!$T431,""),"")</f>
        <v/>
      </c>
      <c r="T431">
        <f>IF(A431=1,IFERROR(Raw_data!$AA431,""),"")</f>
        <v/>
      </c>
      <c r="U431">
        <f>IF(A431=1,IFERROR(Raw_data!$U431,""),"")</f>
        <v/>
      </c>
      <c r="V431">
        <f>IF(A431=1,IFERROR(Raw_data!$AB431,""),"")</f>
        <v/>
      </c>
    </row>
    <row r="432">
      <c r="A432">
        <f>--(AND(OR(Dashboard!$B$4="All",Raw_data!$AL432=Dashboard!$B$4),OR(Dashboard!$B$5="All",Raw_data!$AM432=Dashboard!$B$5),OR(Dashboard!$B$6="All",Raw_data!$AN432=Dashboard!$B$6),OR(Dashboard!$B$7="All",Raw_data!$AO432=Dashboard!$B$7),OR(Dashboard!$B$8="All",Raw_data!$AP432=Dashboard!$B$8),OR(Dashboard!$B$9="All",Raw_data!$AQ432=Dashboard!$B$9),OR(Dashboard!$B$10="All",Raw_data!$AF432=Dashboard!$B$10),OR(Raw_data!$F432="",Raw_data!$F432&lt;=TODAY())))</f>
        <v/>
      </c>
      <c r="B432">
        <f>IFERROR(IF(Dashboard!$B$3="Weighted",Raw_data!$U432,Raw_data!$T432),"")</f>
        <v/>
      </c>
      <c r="C432">
        <f>IFERROR(IF(Dashboard!$B$3="Weighted",Raw_data!$AB432,Raw_data!$AA432),"")</f>
        <v/>
      </c>
      <c r="D432">
        <f>IF(OR(Raw_data!$J432="",Raw_data!$J432&lt;=0,Raw_data!$K432=""),"",IF(Raw_data!$K432&gt;TODAY(),0,DATEDIF(Raw_data!$K432,TODAY(),"M")))</f>
        <v/>
      </c>
      <c r="E432">
        <f>--(AND(Raw_data!$AF432="No",OR(Raw_data!$AG432&lt;&gt;"",Raw_data!$AJ432&gt;0,Raw_data!$AK432&lt;&gt;"")))</f>
        <v/>
      </c>
      <c r="F432">
        <f>--(OR(AND(ISNUMBER(B432),B432&lt;0.5,OR(D432&gt;=24,Raw_data!$I432&gt;0)),Raw_data!$AE432=TRUE))</f>
        <v/>
      </c>
      <c r="G432">
        <f>IF(Dashboard!$B$11="Department",Raw_data!$AL432,IF(Dashboard!$B$11="Team",Raw_data!$AM432,IF(Dashboard!$B$11="Unit",Raw_data!$AN432,IF(Dashboard!$B$11="Legal entity",Raw_data!$AO432,IF(Dashboard!$B$11="Location",Raw_data!$AP432,Raw_data!$AQ432)))))</f>
        <v/>
      </c>
      <c r="H432">
        <f>--(AND(ISNUMBER(B432),B432&lt;0.5))</f>
        <v/>
      </c>
      <c r="I432">
        <f>IFERROR(MAX(0,(0.5-B432)*100),0)+IF(D432&gt;=24,20,0)+IF(Raw_data!$I432&gt;0,20,0)+IF(Raw_data!$AE432=TRUE,10,0)</f>
        <v/>
      </c>
      <c r="J432">
        <f>IFERROR(CHOOSE(MATCH(Dashboard!$B$11,{"Department","Team","Unit","Legal entity","Location","Lead"},0),INDEX(Lists!$B$3:$B$20,ROW()-1),INDEX(Lists!$C$3:$C$146,ROW()-1),INDEX(Lists!$D$3:$D$67,ROW()-1),INDEX(Lists!$E$3:$E$5,ROW()-1),INDEX(Lists!$F$3:$F$12,ROW()-1),INDEX(Lists!$G$3:$G$126,ROW()-1)),"")</f>
        <v/>
      </c>
      <c r="K432">
        <f>IF(J432="","",SUMPRODUCT(($A$2:$A$636=1)*($G$2:$G$636=J432)))</f>
        <v/>
      </c>
      <c r="L432">
        <f>IF(J432="","",SUMPRODUCT(($A$2:$A$636=1)*($G$2:$G$636=J432)*(ISNUMBER($B$2:$B$636))*($B$2:$B$636&lt;0.5)))</f>
        <v/>
      </c>
      <c r="M432">
        <f>IFERROR(L432/K432,"")</f>
        <v/>
      </c>
      <c r="N432">
        <f>IF(K432="","",M432+K432/100000+ROW()/100000000)</f>
        <v/>
      </c>
      <c r="R432">
        <f>IF(A432=1,IFERROR(I432,0)+ROW()/100000000,-1E+99)</f>
        <v/>
      </c>
      <c r="S432">
        <f>IF(A432=1,IFERROR(Raw_data!$T432,""),"")</f>
        <v/>
      </c>
      <c r="T432">
        <f>IF(A432=1,IFERROR(Raw_data!$AA432,""),"")</f>
        <v/>
      </c>
      <c r="U432">
        <f>IF(A432=1,IFERROR(Raw_data!$U432,""),"")</f>
        <v/>
      </c>
      <c r="V432">
        <f>IF(A432=1,IFERROR(Raw_data!$AB432,""),"")</f>
        <v/>
      </c>
    </row>
    <row r="433">
      <c r="A433">
        <f>--(AND(OR(Dashboard!$B$4="All",Raw_data!$AL433=Dashboard!$B$4),OR(Dashboard!$B$5="All",Raw_data!$AM433=Dashboard!$B$5),OR(Dashboard!$B$6="All",Raw_data!$AN433=Dashboard!$B$6),OR(Dashboard!$B$7="All",Raw_data!$AO433=Dashboard!$B$7),OR(Dashboard!$B$8="All",Raw_data!$AP433=Dashboard!$B$8),OR(Dashboard!$B$9="All",Raw_data!$AQ433=Dashboard!$B$9),OR(Dashboard!$B$10="All",Raw_data!$AF433=Dashboard!$B$10),OR(Raw_data!$F433="",Raw_data!$F433&lt;=TODAY())))</f>
        <v/>
      </c>
      <c r="B433">
        <f>IFERROR(IF(Dashboard!$B$3="Weighted",Raw_data!$U433,Raw_data!$T433),"")</f>
        <v/>
      </c>
      <c r="C433">
        <f>IFERROR(IF(Dashboard!$B$3="Weighted",Raw_data!$AB433,Raw_data!$AA433),"")</f>
        <v/>
      </c>
      <c r="D433">
        <f>IF(OR(Raw_data!$J433="",Raw_data!$J433&lt;=0,Raw_data!$K433=""),"",IF(Raw_data!$K433&gt;TODAY(),0,DATEDIF(Raw_data!$K433,TODAY(),"M")))</f>
        <v/>
      </c>
      <c r="E433">
        <f>--(AND(Raw_data!$AF433="No",OR(Raw_data!$AG433&lt;&gt;"",Raw_data!$AJ433&gt;0,Raw_data!$AK433&lt;&gt;"")))</f>
        <v/>
      </c>
      <c r="F433">
        <f>--(OR(AND(ISNUMBER(B433),B433&lt;0.5,OR(D433&gt;=24,Raw_data!$I433&gt;0)),Raw_data!$AE433=TRUE))</f>
        <v/>
      </c>
      <c r="G433">
        <f>IF(Dashboard!$B$11="Department",Raw_data!$AL433,IF(Dashboard!$B$11="Team",Raw_data!$AM433,IF(Dashboard!$B$11="Unit",Raw_data!$AN433,IF(Dashboard!$B$11="Legal entity",Raw_data!$AO433,IF(Dashboard!$B$11="Location",Raw_data!$AP433,Raw_data!$AQ433)))))</f>
        <v/>
      </c>
      <c r="H433">
        <f>--(AND(ISNUMBER(B433),B433&lt;0.5))</f>
        <v/>
      </c>
      <c r="I433">
        <f>IFERROR(MAX(0,(0.5-B433)*100),0)+IF(D433&gt;=24,20,0)+IF(Raw_data!$I433&gt;0,20,0)+IF(Raw_data!$AE433=TRUE,10,0)</f>
        <v/>
      </c>
      <c r="J433">
        <f>IFERROR(CHOOSE(MATCH(Dashboard!$B$11,{"Department","Team","Unit","Legal entity","Location","Lead"},0),INDEX(Lists!$B$3:$B$20,ROW()-1),INDEX(Lists!$C$3:$C$146,ROW()-1),INDEX(Lists!$D$3:$D$67,ROW()-1),INDEX(Lists!$E$3:$E$5,ROW()-1),INDEX(Lists!$F$3:$F$12,ROW()-1),INDEX(Lists!$G$3:$G$126,ROW()-1)),"")</f>
        <v/>
      </c>
      <c r="K433">
        <f>IF(J433="","",SUMPRODUCT(($A$2:$A$636=1)*($G$2:$G$636=J433)))</f>
        <v/>
      </c>
      <c r="L433">
        <f>IF(J433="","",SUMPRODUCT(($A$2:$A$636=1)*($G$2:$G$636=J433)*(ISNUMBER($B$2:$B$636))*($B$2:$B$636&lt;0.5)))</f>
        <v/>
      </c>
      <c r="M433">
        <f>IFERROR(L433/K433,"")</f>
        <v/>
      </c>
      <c r="N433">
        <f>IF(K433="","",M433+K433/100000+ROW()/100000000)</f>
        <v/>
      </c>
      <c r="R433">
        <f>IF(A433=1,IFERROR(I433,0)+ROW()/100000000,-1E+99)</f>
        <v/>
      </c>
      <c r="S433">
        <f>IF(A433=1,IFERROR(Raw_data!$T433,""),"")</f>
        <v/>
      </c>
      <c r="T433">
        <f>IF(A433=1,IFERROR(Raw_data!$AA433,""),"")</f>
        <v/>
      </c>
      <c r="U433">
        <f>IF(A433=1,IFERROR(Raw_data!$U433,""),"")</f>
        <v/>
      </c>
      <c r="V433">
        <f>IF(A433=1,IFERROR(Raw_data!$AB433,""),"")</f>
        <v/>
      </c>
    </row>
    <row r="434">
      <c r="A434">
        <f>--(AND(OR(Dashboard!$B$4="All",Raw_data!$AL434=Dashboard!$B$4),OR(Dashboard!$B$5="All",Raw_data!$AM434=Dashboard!$B$5),OR(Dashboard!$B$6="All",Raw_data!$AN434=Dashboard!$B$6),OR(Dashboard!$B$7="All",Raw_data!$AO434=Dashboard!$B$7),OR(Dashboard!$B$8="All",Raw_data!$AP434=Dashboard!$B$8),OR(Dashboard!$B$9="All",Raw_data!$AQ434=Dashboard!$B$9),OR(Dashboard!$B$10="All",Raw_data!$AF434=Dashboard!$B$10),OR(Raw_data!$F434="",Raw_data!$F434&lt;=TODAY())))</f>
        <v/>
      </c>
      <c r="B434">
        <f>IFERROR(IF(Dashboard!$B$3="Weighted",Raw_data!$U434,Raw_data!$T434),"")</f>
        <v/>
      </c>
      <c r="C434">
        <f>IFERROR(IF(Dashboard!$B$3="Weighted",Raw_data!$AB434,Raw_data!$AA434),"")</f>
        <v/>
      </c>
      <c r="D434">
        <f>IF(OR(Raw_data!$J434="",Raw_data!$J434&lt;=0,Raw_data!$K434=""),"",IF(Raw_data!$K434&gt;TODAY(),0,DATEDIF(Raw_data!$K434,TODAY(),"M")))</f>
        <v/>
      </c>
      <c r="E434">
        <f>--(AND(Raw_data!$AF434="No",OR(Raw_data!$AG434&lt;&gt;"",Raw_data!$AJ434&gt;0,Raw_data!$AK434&lt;&gt;"")))</f>
        <v/>
      </c>
      <c r="F434">
        <f>--(OR(AND(ISNUMBER(B434),B434&lt;0.5,OR(D434&gt;=24,Raw_data!$I434&gt;0)),Raw_data!$AE434=TRUE))</f>
        <v/>
      </c>
      <c r="G434">
        <f>IF(Dashboard!$B$11="Department",Raw_data!$AL434,IF(Dashboard!$B$11="Team",Raw_data!$AM434,IF(Dashboard!$B$11="Unit",Raw_data!$AN434,IF(Dashboard!$B$11="Legal entity",Raw_data!$AO434,IF(Dashboard!$B$11="Location",Raw_data!$AP434,Raw_data!$AQ434)))))</f>
        <v/>
      </c>
      <c r="H434">
        <f>--(AND(ISNUMBER(B434),B434&lt;0.5))</f>
        <v/>
      </c>
      <c r="I434">
        <f>IFERROR(MAX(0,(0.5-B434)*100),0)+IF(D434&gt;=24,20,0)+IF(Raw_data!$I434&gt;0,20,0)+IF(Raw_data!$AE434=TRUE,10,0)</f>
        <v/>
      </c>
      <c r="J434">
        <f>IFERROR(CHOOSE(MATCH(Dashboard!$B$11,{"Department","Team","Unit","Legal entity","Location","Lead"},0),INDEX(Lists!$B$3:$B$20,ROW()-1),INDEX(Lists!$C$3:$C$146,ROW()-1),INDEX(Lists!$D$3:$D$67,ROW()-1),INDEX(Lists!$E$3:$E$5,ROW()-1),INDEX(Lists!$F$3:$F$12,ROW()-1),INDEX(Lists!$G$3:$G$126,ROW()-1)),"")</f>
        <v/>
      </c>
      <c r="K434">
        <f>IF(J434="","",SUMPRODUCT(($A$2:$A$636=1)*($G$2:$G$636=J434)))</f>
        <v/>
      </c>
      <c r="L434">
        <f>IF(J434="","",SUMPRODUCT(($A$2:$A$636=1)*($G$2:$G$636=J434)*(ISNUMBER($B$2:$B$636))*($B$2:$B$636&lt;0.5)))</f>
        <v/>
      </c>
      <c r="M434">
        <f>IFERROR(L434/K434,"")</f>
        <v/>
      </c>
      <c r="N434">
        <f>IF(K434="","",M434+K434/100000+ROW()/100000000)</f>
        <v/>
      </c>
      <c r="R434">
        <f>IF(A434=1,IFERROR(I434,0)+ROW()/100000000,-1E+99)</f>
        <v/>
      </c>
      <c r="S434">
        <f>IF(A434=1,IFERROR(Raw_data!$T434,""),"")</f>
        <v/>
      </c>
      <c r="T434">
        <f>IF(A434=1,IFERROR(Raw_data!$AA434,""),"")</f>
        <v/>
      </c>
      <c r="U434">
        <f>IF(A434=1,IFERROR(Raw_data!$U434,""),"")</f>
        <v/>
      </c>
      <c r="V434">
        <f>IF(A434=1,IFERROR(Raw_data!$AB434,""),"")</f>
        <v/>
      </c>
    </row>
    <row r="435">
      <c r="A435">
        <f>--(AND(OR(Dashboard!$B$4="All",Raw_data!$AL435=Dashboard!$B$4),OR(Dashboard!$B$5="All",Raw_data!$AM435=Dashboard!$B$5),OR(Dashboard!$B$6="All",Raw_data!$AN435=Dashboard!$B$6),OR(Dashboard!$B$7="All",Raw_data!$AO435=Dashboard!$B$7),OR(Dashboard!$B$8="All",Raw_data!$AP435=Dashboard!$B$8),OR(Dashboard!$B$9="All",Raw_data!$AQ435=Dashboard!$B$9),OR(Dashboard!$B$10="All",Raw_data!$AF435=Dashboard!$B$10),OR(Raw_data!$F435="",Raw_data!$F435&lt;=TODAY())))</f>
        <v/>
      </c>
      <c r="B435">
        <f>IFERROR(IF(Dashboard!$B$3="Weighted",Raw_data!$U435,Raw_data!$T435),"")</f>
        <v/>
      </c>
      <c r="C435">
        <f>IFERROR(IF(Dashboard!$B$3="Weighted",Raw_data!$AB435,Raw_data!$AA435),"")</f>
        <v/>
      </c>
      <c r="D435">
        <f>IF(OR(Raw_data!$J435="",Raw_data!$J435&lt;=0,Raw_data!$K435=""),"",IF(Raw_data!$K435&gt;TODAY(),0,DATEDIF(Raw_data!$K435,TODAY(),"M")))</f>
        <v/>
      </c>
      <c r="E435">
        <f>--(AND(Raw_data!$AF435="No",OR(Raw_data!$AG435&lt;&gt;"",Raw_data!$AJ435&gt;0,Raw_data!$AK435&lt;&gt;"")))</f>
        <v/>
      </c>
      <c r="F435">
        <f>--(OR(AND(ISNUMBER(B435),B435&lt;0.5,OR(D435&gt;=24,Raw_data!$I435&gt;0)),Raw_data!$AE435=TRUE))</f>
        <v/>
      </c>
      <c r="G435">
        <f>IF(Dashboard!$B$11="Department",Raw_data!$AL435,IF(Dashboard!$B$11="Team",Raw_data!$AM435,IF(Dashboard!$B$11="Unit",Raw_data!$AN435,IF(Dashboard!$B$11="Legal entity",Raw_data!$AO435,IF(Dashboard!$B$11="Location",Raw_data!$AP435,Raw_data!$AQ435)))))</f>
        <v/>
      </c>
      <c r="H435">
        <f>--(AND(ISNUMBER(B435),B435&lt;0.5))</f>
        <v/>
      </c>
      <c r="I435">
        <f>IFERROR(MAX(0,(0.5-B435)*100),0)+IF(D435&gt;=24,20,0)+IF(Raw_data!$I435&gt;0,20,0)+IF(Raw_data!$AE435=TRUE,10,0)</f>
        <v/>
      </c>
      <c r="J435">
        <f>IFERROR(CHOOSE(MATCH(Dashboard!$B$11,{"Department","Team","Unit","Legal entity","Location","Lead"},0),INDEX(Lists!$B$3:$B$20,ROW()-1),INDEX(Lists!$C$3:$C$146,ROW()-1),INDEX(Lists!$D$3:$D$67,ROW()-1),INDEX(Lists!$E$3:$E$5,ROW()-1),INDEX(Lists!$F$3:$F$12,ROW()-1),INDEX(Lists!$G$3:$G$126,ROW()-1)),"")</f>
        <v/>
      </c>
      <c r="K435">
        <f>IF(J435="","",SUMPRODUCT(($A$2:$A$636=1)*($G$2:$G$636=J435)))</f>
        <v/>
      </c>
      <c r="L435">
        <f>IF(J435="","",SUMPRODUCT(($A$2:$A$636=1)*($G$2:$G$636=J435)*(ISNUMBER($B$2:$B$636))*($B$2:$B$636&lt;0.5)))</f>
        <v/>
      </c>
      <c r="M435">
        <f>IFERROR(L435/K435,"")</f>
        <v/>
      </c>
      <c r="N435">
        <f>IF(K435="","",M435+K435/100000+ROW()/100000000)</f>
        <v/>
      </c>
      <c r="R435">
        <f>IF(A435=1,IFERROR(I435,0)+ROW()/100000000,-1E+99)</f>
        <v/>
      </c>
      <c r="S435">
        <f>IF(A435=1,IFERROR(Raw_data!$T435,""),"")</f>
        <v/>
      </c>
      <c r="T435">
        <f>IF(A435=1,IFERROR(Raw_data!$AA435,""),"")</f>
        <v/>
      </c>
      <c r="U435">
        <f>IF(A435=1,IFERROR(Raw_data!$U435,""),"")</f>
        <v/>
      </c>
      <c r="V435">
        <f>IF(A435=1,IFERROR(Raw_data!$AB435,""),"")</f>
        <v/>
      </c>
    </row>
    <row r="436">
      <c r="A436">
        <f>--(AND(OR(Dashboard!$B$4="All",Raw_data!$AL436=Dashboard!$B$4),OR(Dashboard!$B$5="All",Raw_data!$AM436=Dashboard!$B$5),OR(Dashboard!$B$6="All",Raw_data!$AN436=Dashboard!$B$6),OR(Dashboard!$B$7="All",Raw_data!$AO436=Dashboard!$B$7),OR(Dashboard!$B$8="All",Raw_data!$AP436=Dashboard!$B$8),OR(Dashboard!$B$9="All",Raw_data!$AQ436=Dashboard!$B$9),OR(Dashboard!$B$10="All",Raw_data!$AF436=Dashboard!$B$10),OR(Raw_data!$F436="",Raw_data!$F436&lt;=TODAY())))</f>
        <v/>
      </c>
      <c r="B436">
        <f>IFERROR(IF(Dashboard!$B$3="Weighted",Raw_data!$U436,Raw_data!$T436),"")</f>
        <v/>
      </c>
      <c r="C436">
        <f>IFERROR(IF(Dashboard!$B$3="Weighted",Raw_data!$AB436,Raw_data!$AA436),"")</f>
        <v/>
      </c>
      <c r="D436">
        <f>IF(OR(Raw_data!$J436="",Raw_data!$J436&lt;=0,Raw_data!$K436=""),"",IF(Raw_data!$K436&gt;TODAY(),0,DATEDIF(Raw_data!$K436,TODAY(),"M")))</f>
        <v/>
      </c>
      <c r="E436">
        <f>--(AND(Raw_data!$AF436="No",OR(Raw_data!$AG436&lt;&gt;"",Raw_data!$AJ436&gt;0,Raw_data!$AK436&lt;&gt;"")))</f>
        <v/>
      </c>
      <c r="F436">
        <f>--(OR(AND(ISNUMBER(B436),B436&lt;0.5,OR(D436&gt;=24,Raw_data!$I436&gt;0)),Raw_data!$AE436=TRUE))</f>
        <v/>
      </c>
      <c r="G436">
        <f>IF(Dashboard!$B$11="Department",Raw_data!$AL436,IF(Dashboard!$B$11="Team",Raw_data!$AM436,IF(Dashboard!$B$11="Unit",Raw_data!$AN436,IF(Dashboard!$B$11="Legal entity",Raw_data!$AO436,IF(Dashboard!$B$11="Location",Raw_data!$AP436,Raw_data!$AQ436)))))</f>
        <v/>
      </c>
      <c r="H436">
        <f>--(AND(ISNUMBER(B436),B436&lt;0.5))</f>
        <v/>
      </c>
      <c r="I436">
        <f>IFERROR(MAX(0,(0.5-B436)*100),0)+IF(D436&gt;=24,20,0)+IF(Raw_data!$I436&gt;0,20,0)+IF(Raw_data!$AE436=TRUE,10,0)</f>
        <v/>
      </c>
      <c r="J436">
        <f>IFERROR(CHOOSE(MATCH(Dashboard!$B$11,{"Department","Team","Unit","Legal entity","Location","Lead"},0),INDEX(Lists!$B$3:$B$20,ROW()-1),INDEX(Lists!$C$3:$C$146,ROW()-1),INDEX(Lists!$D$3:$D$67,ROW()-1),INDEX(Lists!$E$3:$E$5,ROW()-1),INDEX(Lists!$F$3:$F$12,ROW()-1),INDEX(Lists!$G$3:$G$126,ROW()-1)),"")</f>
        <v/>
      </c>
      <c r="K436">
        <f>IF(J436="","",SUMPRODUCT(($A$2:$A$636=1)*($G$2:$G$636=J436)))</f>
        <v/>
      </c>
      <c r="L436">
        <f>IF(J436="","",SUMPRODUCT(($A$2:$A$636=1)*($G$2:$G$636=J436)*(ISNUMBER($B$2:$B$636))*($B$2:$B$636&lt;0.5)))</f>
        <v/>
      </c>
      <c r="M436">
        <f>IFERROR(L436/K436,"")</f>
        <v/>
      </c>
      <c r="N436">
        <f>IF(K436="","",M436+K436/100000+ROW()/100000000)</f>
        <v/>
      </c>
      <c r="R436">
        <f>IF(A436=1,IFERROR(I436,0)+ROW()/100000000,-1E+99)</f>
        <v/>
      </c>
      <c r="S436">
        <f>IF(A436=1,IFERROR(Raw_data!$T436,""),"")</f>
        <v/>
      </c>
      <c r="T436">
        <f>IF(A436=1,IFERROR(Raw_data!$AA436,""),"")</f>
        <v/>
      </c>
      <c r="U436">
        <f>IF(A436=1,IFERROR(Raw_data!$U436,""),"")</f>
        <v/>
      </c>
      <c r="V436">
        <f>IF(A436=1,IFERROR(Raw_data!$AB436,""),"")</f>
        <v/>
      </c>
    </row>
    <row r="437">
      <c r="A437">
        <f>--(AND(OR(Dashboard!$B$4="All",Raw_data!$AL437=Dashboard!$B$4),OR(Dashboard!$B$5="All",Raw_data!$AM437=Dashboard!$B$5),OR(Dashboard!$B$6="All",Raw_data!$AN437=Dashboard!$B$6),OR(Dashboard!$B$7="All",Raw_data!$AO437=Dashboard!$B$7),OR(Dashboard!$B$8="All",Raw_data!$AP437=Dashboard!$B$8),OR(Dashboard!$B$9="All",Raw_data!$AQ437=Dashboard!$B$9),OR(Dashboard!$B$10="All",Raw_data!$AF437=Dashboard!$B$10),OR(Raw_data!$F437="",Raw_data!$F437&lt;=TODAY())))</f>
        <v/>
      </c>
      <c r="B437">
        <f>IFERROR(IF(Dashboard!$B$3="Weighted",Raw_data!$U437,Raw_data!$T437),"")</f>
        <v/>
      </c>
      <c r="C437">
        <f>IFERROR(IF(Dashboard!$B$3="Weighted",Raw_data!$AB437,Raw_data!$AA437),"")</f>
        <v/>
      </c>
      <c r="D437">
        <f>IF(OR(Raw_data!$J437="",Raw_data!$J437&lt;=0,Raw_data!$K437=""),"",IF(Raw_data!$K437&gt;TODAY(),0,DATEDIF(Raw_data!$K437,TODAY(),"M")))</f>
        <v/>
      </c>
      <c r="E437">
        <f>--(AND(Raw_data!$AF437="No",OR(Raw_data!$AG437&lt;&gt;"",Raw_data!$AJ437&gt;0,Raw_data!$AK437&lt;&gt;"")))</f>
        <v/>
      </c>
      <c r="F437">
        <f>--(OR(AND(ISNUMBER(B437),B437&lt;0.5,OR(D437&gt;=24,Raw_data!$I437&gt;0)),Raw_data!$AE437=TRUE))</f>
        <v/>
      </c>
      <c r="G437">
        <f>IF(Dashboard!$B$11="Department",Raw_data!$AL437,IF(Dashboard!$B$11="Team",Raw_data!$AM437,IF(Dashboard!$B$11="Unit",Raw_data!$AN437,IF(Dashboard!$B$11="Legal entity",Raw_data!$AO437,IF(Dashboard!$B$11="Location",Raw_data!$AP437,Raw_data!$AQ437)))))</f>
        <v/>
      </c>
      <c r="H437">
        <f>--(AND(ISNUMBER(B437),B437&lt;0.5))</f>
        <v/>
      </c>
      <c r="I437">
        <f>IFERROR(MAX(0,(0.5-B437)*100),0)+IF(D437&gt;=24,20,0)+IF(Raw_data!$I437&gt;0,20,0)+IF(Raw_data!$AE437=TRUE,10,0)</f>
        <v/>
      </c>
      <c r="J437">
        <f>IFERROR(CHOOSE(MATCH(Dashboard!$B$11,{"Department","Team","Unit","Legal entity","Location","Lead"},0),INDEX(Lists!$B$3:$B$20,ROW()-1),INDEX(Lists!$C$3:$C$146,ROW()-1),INDEX(Lists!$D$3:$D$67,ROW()-1),INDEX(Lists!$E$3:$E$5,ROW()-1),INDEX(Lists!$F$3:$F$12,ROW()-1),INDEX(Lists!$G$3:$G$126,ROW()-1)),"")</f>
        <v/>
      </c>
      <c r="K437">
        <f>IF(J437="","",SUMPRODUCT(($A$2:$A$636=1)*($G$2:$G$636=J437)))</f>
        <v/>
      </c>
      <c r="L437">
        <f>IF(J437="","",SUMPRODUCT(($A$2:$A$636=1)*($G$2:$G$636=J437)*(ISNUMBER($B$2:$B$636))*($B$2:$B$636&lt;0.5)))</f>
        <v/>
      </c>
      <c r="M437">
        <f>IFERROR(L437/K437,"")</f>
        <v/>
      </c>
      <c r="N437">
        <f>IF(K437="","",M437+K437/100000+ROW()/100000000)</f>
        <v/>
      </c>
      <c r="R437">
        <f>IF(A437=1,IFERROR(I437,0)+ROW()/100000000,-1E+99)</f>
        <v/>
      </c>
      <c r="S437">
        <f>IF(A437=1,IFERROR(Raw_data!$T437,""),"")</f>
        <v/>
      </c>
      <c r="T437">
        <f>IF(A437=1,IFERROR(Raw_data!$AA437,""),"")</f>
        <v/>
      </c>
      <c r="U437">
        <f>IF(A437=1,IFERROR(Raw_data!$U437,""),"")</f>
        <v/>
      </c>
      <c r="V437">
        <f>IF(A437=1,IFERROR(Raw_data!$AB437,""),"")</f>
        <v/>
      </c>
    </row>
    <row r="438">
      <c r="A438">
        <f>--(AND(OR(Dashboard!$B$4="All",Raw_data!$AL438=Dashboard!$B$4),OR(Dashboard!$B$5="All",Raw_data!$AM438=Dashboard!$B$5),OR(Dashboard!$B$6="All",Raw_data!$AN438=Dashboard!$B$6),OR(Dashboard!$B$7="All",Raw_data!$AO438=Dashboard!$B$7),OR(Dashboard!$B$8="All",Raw_data!$AP438=Dashboard!$B$8),OR(Dashboard!$B$9="All",Raw_data!$AQ438=Dashboard!$B$9),OR(Dashboard!$B$10="All",Raw_data!$AF438=Dashboard!$B$10),OR(Raw_data!$F438="",Raw_data!$F438&lt;=TODAY())))</f>
        <v/>
      </c>
      <c r="B438">
        <f>IFERROR(IF(Dashboard!$B$3="Weighted",Raw_data!$U438,Raw_data!$T438),"")</f>
        <v/>
      </c>
      <c r="C438">
        <f>IFERROR(IF(Dashboard!$B$3="Weighted",Raw_data!$AB438,Raw_data!$AA438),"")</f>
        <v/>
      </c>
      <c r="D438">
        <f>IF(OR(Raw_data!$J438="",Raw_data!$J438&lt;=0,Raw_data!$K438=""),"",IF(Raw_data!$K438&gt;TODAY(),0,DATEDIF(Raw_data!$K438,TODAY(),"M")))</f>
        <v/>
      </c>
      <c r="E438">
        <f>--(AND(Raw_data!$AF438="No",OR(Raw_data!$AG438&lt;&gt;"",Raw_data!$AJ438&gt;0,Raw_data!$AK438&lt;&gt;"")))</f>
        <v/>
      </c>
      <c r="F438">
        <f>--(OR(AND(ISNUMBER(B438),B438&lt;0.5,OR(D438&gt;=24,Raw_data!$I438&gt;0)),Raw_data!$AE438=TRUE))</f>
        <v/>
      </c>
      <c r="G438">
        <f>IF(Dashboard!$B$11="Department",Raw_data!$AL438,IF(Dashboard!$B$11="Team",Raw_data!$AM438,IF(Dashboard!$B$11="Unit",Raw_data!$AN438,IF(Dashboard!$B$11="Legal entity",Raw_data!$AO438,IF(Dashboard!$B$11="Location",Raw_data!$AP438,Raw_data!$AQ438)))))</f>
        <v/>
      </c>
      <c r="H438">
        <f>--(AND(ISNUMBER(B438),B438&lt;0.5))</f>
        <v/>
      </c>
      <c r="I438">
        <f>IFERROR(MAX(0,(0.5-B438)*100),0)+IF(D438&gt;=24,20,0)+IF(Raw_data!$I438&gt;0,20,0)+IF(Raw_data!$AE438=TRUE,10,0)</f>
        <v/>
      </c>
      <c r="J438">
        <f>IFERROR(CHOOSE(MATCH(Dashboard!$B$11,{"Department","Team","Unit","Legal entity","Location","Lead"},0),INDEX(Lists!$B$3:$B$20,ROW()-1),INDEX(Lists!$C$3:$C$146,ROW()-1),INDEX(Lists!$D$3:$D$67,ROW()-1),INDEX(Lists!$E$3:$E$5,ROW()-1),INDEX(Lists!$F$3:$F$12,ROW()-1),INDEX(Lists!$G$3:$G$126,ROW()-1)),"")</f>
        <v/>
      </c>
      <c r="K438">
        <f>IF(J438="","",SUMPRODUCT(($A$2:$A$636=1)*($G$2:$G$636=J438)))</f>
        <v/>
      </c>
      <c r="L438">
        <f>IF(J438="","",SUMPRODUCT(($A$2:$A$636=1)*($G$2:$G$636=J438)*(ISNUMBER($B$2:$B$636))*($B$2:$B$636&lt;0.5)))</f>
        <v/>
      </c>
      <c r="M438">
        <f>IFERROR(L438/K438,"")</f>
        <v/>
      </c>
      <c r="N438">
        <f>IF(K438="","",M438+K438/100000+ROW()/100000000)</f>
        <v/>
      </c>
      <c r="R438">
        <f>IF(A438=1,IFERROR(I438,0)+ROW()/100000000,-1E+99)</f>
        <v/>
      </c>
      <c r="S438">
        <f>IF(A438=1,IFERROR(Raw_data!$T438,""),"")</f>
        <v/>
      </c>
      <c r="T438">
        <f>IF(A438=1,IFERROR(Raw_data!$AA438,""),"")</f>
        <v/>
      </c>
      <c r="U438">
        <f>IF(A438=1,IFERROR(Raw_data!$U438,""),"")</f>
        <v/>
      </c>
      <c r="V438">
        <f>IF(A438=1,IFERROR(Raw_data!$AB438,""),"")</f>
        <v/>
      </c>
    </row>
    <row r="439">
      <c r="A439">
        <f>--(AND(OR(Dashboard!$B$4="All",Raw_data!$AL439=Dashboard!$B$4),OR(Dashboard!$B$5="All",Raw_data!$AM439=Dashboard!$B$5),OR(Dashboard!$B$6="All",Raw_data!$AN439=Dashboard!$B$6),OR(Dashboard!$B$7="All",Raw_data!$AO439=Dashboard!$B$7),OR(Dashboard!$B$8="All",Raw_data!$AP439=Dashboard!$B$8),OR(Dashboard!$B$9="All",Raw_data!$AQ439=Dashboard!$B$9),OR(Dashboard!$B$10="All",Raw_data!$AF439=Dashboard!$B$10),OR(Raw_data!$F439="",Raw_data!$F439&lt;=TODAY())))</f>
        <v/>
      </c>
      <c r="B439">
        <f>IFERROR(IF(Dashboard!$B$3="Weighted",Raw_data!$U439,Raw_data!$T439),"")</f>
        <v/>
      </c>
      <c r="C439">
        <f>IFERROR(IF(Dashboard!$B$3="Weighted",Raw_data!$AB439,Raw_data!$AA439),"")</f>
        <v/>
      </c>
      <c r="D439">
        <f>IF(OR(Raw_data!$J439="",Raw_data!$J439&lt;=0,Raw_data!$K439=""),"",IF(Raw_data!$K439&gt;TODAY(),0,DATEDIF(Raw_data!$K439,TODAY(),"M")))</f>
        <v/>
      </c>
      <c r="E439">
        <f>--(AND(Raw_data!$AF439="No",OR(Raw_data!$AG439&lt;&gt;"",Raw_data!$AJ439&gt;0,Raw_data!$AK439&lt;&gt;"")))</f>
        <v/>
      </c>
      <c r="F439">
        <f>--(OR(AND(ISNUMBER(B439),B439&lt;0.5,OR(D439&gt;=24,Raw_data!$I439&gt;0)),Raw_data!$AE439=TRUE))</f>
        <v/>
      </c>
      <c r="G439">
        <f>IF(Dashboard!$B$11="Department",Raw_data!$AL439,IF(Dashboard!$B$11="Team",Raw_data!$AM439,IF(Dashboard!$B$11="Unit",Raw_data!$AN439,IF(Dashboard!$B$11="Legal entity",Raw_data!$AO439,IF(Dashboard!$B$11="Location",Raw_data!$AP439,Raw_data!$AQ439)))))</f>
        <v/>
      </c>
      <c r="H439">
        <f>--(AND(ISNUMBER(B439),B439&lt;0.5))</f>
        <v/>
      </c>
      <c r="I439">
        <f>IFERROR(MAX(0,(0.5-B439)*100),0)+IF(D439&gt;=24,20,0)+IF(Raw_data!$I439&gt;0,20,0)+IF(Raw_data!$AE439=TRUE,10,0)</f>
        <v/>
      </c>
      <c r="J439">
        <f>IFERROR(CHOOSE(MATCH(Dashboard!$B$11,{"Department","Team","Unit","Legal entity","Location","Lead"},0),INDEX(Lists!$B$3:$B$20,ROW()-1),INDEX(Lists!$C$3:$C$146,ROW()-1),INDEX(Lists!$D$3:$D$67,ROW()-1),INDEX(Lists!$E$3:$E$5,ROW()-1),INDEX(Lists!$F$3:$F$12,ROW()-1),INDEX(Lists!$G$3:$G$126,ROW()-1)),"")</f>
        <v/>
      </c>
      <c r="K439">
        <f>IF(J439="","",SUMPRODUCT(($A$2:$A$636=1)*($G$2:$G$636=J439)))</f>
        <v/>
      </c>
      <c r="L439">
        <f>IF(J439="","",SUMPRODUCT(($A$2:$A$636=1)*($G$2:$G$636=J439)*(ISNUMBER($B$2:$B$636))*($B$2:$B$636&lt;0.5)))</f>
        <v/>
      </c>
      <c r="M439">
        <f>IFERROR(L439/K439,"")</f>
        <v/>
      </c>
      <c r="N439">
        <f>IF(K439="","",M439+K439/100000+ROW()/100000000)</f>
        <v/>
      </c>
      <c r="R439">
        <f>IF(A439=1,IFERROR(I439,0)+ROW()/100000000,-1E+99)</f>
        <v/>
      </c>
      <c r="S439">
        <f>IF(A439=1,IFERROR(Raw_data!$T439,""),"")</f>
        <v/>
      </c>
      <c r="T439">
        <f>IF(A439=1,IFERROR(Raw_data!$AA439,""),"")</f>
        <v/>
      </c>
      <c r="U439">
        <f>IF(A439=1,IFERROR(Raw_data!$U439,""),"")</f>
        <v/>
      </c>
      <c r="V439">
        <f>IF(A439=1,IFERROR(Raw_data!$AB439,""),"")</f>
        <v/>
      </c>
    </row>
    <row r="440">
      <c r="A440">
        <f>--(AND(OR(Dashboard!$B$4="All",Raw_data!$AL440=Dashboard!$B$4),OR(Dashboard!$B$5="All",Raw_data!$AM440=Dashboard!$B$5),OR(Dashboard!$B$6="All",Raw_data!$AN440=Dashboard!$B$6),OR(Dashboard!$B$7="All",Raw_data!$AO440=Dashboard!$B$7),OR(Dashboard!$B$8="All",Raw_data!$AP440=Dashboard!$B$8),OR(Dashboard!$B$9="All",Raw_data!$AQ440=Dashboard!$B$9),OR(Dashboard!$B$10="All",Raw_data!$AF440=Dashboard!$B$10),OR(Raw_data!$F440="",Raw_data!$F440&lt;=TODAY())))</f>
        <v/>
      </c>
      <c r="B440">
        <f>IFERROR(IF(Dashboard!$B$3="Weighted",Raw_data!$U440,Raw_data!$T440),"")</f>
        <v/>
      </c>
      <c r="C440">
        <f>IFERROR(IF(Dashboard!$B$3="Weighted",Raw_data!$AB440,Raw_data!$AA440),"")</f>
        <v/>
      </c>
      <c r="D440">
        <f>IF(OR(Raw_data!$J440="",Raw_data!$J440&lt;=0,Raw_data!$K440=""),"",IF(Raw_data!$K440&gt;TODAY(),0,DATEDIF(Raw_data!$K440,TODAY(),"M")))</f>
        <v/>
      </c>
      <c r="E440">
        <f>--(AND(Raw_data!$AF440="No",OR(Raw_data!$AG440&lt;&gt;"",Raw_data!$AJ440&gt;0,Raw_data!$AK440&lt;&gt;"")))</f>
        <v/>
      </c>
      <c r="F440">
        <f>--(OR(AND(ISNUMBER(B440),B440&lt;0.5,OR(D440&gt;=24,Raw_data!$I440&gt;0)),Raw_data!$AE440=TRUE))</f>
        <v/>
      </c>
      <c r="G440">
        <f>IF(Dashboard!$B$11="Department",Raw_data!$AL440,IF(Dashboard!$B$11="Team",Raw_data!$AM440,IF(Dashboard!$B$11="Unit",Raw_data!$AN440,IF(Dashboard!$B$11="Legal entity",Raw_data!$AO440,IF(Dashboard!$B$11="Location",Raw_data!$AP440,Raw_data!$AQ440)))))</f>
        <v/>
      </c>
      <c r="H440">
        <f>--(AND(ISNUMBER(B440),B440&lt;0.5))</f>
        <v/>
      </c>
      <c r="I440">
        <f>IFERROR(MAX(0,(0.5-B440)*100),0)+IF(D440&gt;=24,20,0)+IF(Raw_data!$I440&gt;0,20,0)+IF(Raw_data!$AE440=TRUE,10,0)</f>
        <v/>
      </c>
      <c r="J440">
        <f>IFERROR(CHOOSE(MATCH(Dashboard!$B$11,{"Department","Team","Unit","Legal entity","Location","Lead"},0),INDEX(Lists!$B$3:$B$20,ROW()-1),INDEX(Lists!$C$3:$C$146,ROW()-1),INDEX(Lists!$D$3:$D$67,ROW()-1),INDEX(Lists!$E$3:$E$5,ROW()-1),INDEX(Lists!$F$3:$F$12,ROW()-1),INDEX(Lists!$G$3:$G$126,ROW()-1)),"")</f>
        <v/>
      </c>
      <c r="K440">
        <f>IF(J440="","",SUMPRODUCT(($A$2:$A$636=1)*($G$2:$G$636=J440)))</f>
        <v/>
      </c>
      <c r="L440">
        <f>IF(J440="","",SUMPRODUCT(($A$2:$A$636=1)*($G$2:$G$636=J440)*(ISNUMBER($B$2:$B$636))*($B$2:$B$636&lt;0.5)))</f>
        <v/>
      </c>
      <c r="M440">
        <f>IFERROR(L440/K440,"")</f>
        <v/>
      </c>
      <c r="N440">
        <f>IF(K440="","",M440+K440/100000+ROW()/100000000)</f>
        <v/>
      </c>
      <c r="R440">
        <f>IF(A440=1,IFERROR(I440,0)+ROW()/100000000,-1E+99)</f>
        <v/>
      </c>
      <c r="S440">
        <f>IF(A440=1,IFERROR(Raw_data!$T440,""),"")</f>
        <v/>
      </c>
      <c r="T440">
        <f>IF(A440=1,IFERROR(Raw_data!$AA440,""),"")</f>
        <v/>
      </c>
      <c r="U440">
        <f>IF(A440=1,IFERROR(Raw_data!$U440,""),"")</f>
        <v/>
      </c>
      <c r="V440">
        <f>IF(A440=1,IFERROR(Raw_data!$AB440,""),"")</f>
        <v/>
      </c>
    </row>
    <row r="441">
      <c r="A441">
        <f>--(AND(OR(Dashboard!$B$4="All",Raw_data!$AL441=Dashboard!$B$4),OR(Dashboard!$B$5="All",Raw_data!$AM441=Dashboard!$B$5),OR(Dashboard!$B$6="All",Raw_data!$AN441=Dashboard!$B$6),OR(Dashboard!$B$7="All",Raw_data!$AO441=Dashboard!$B$7),OR(Dashboard!$B$8="All",Raw_data!$AP441=Dashboard!$B$8),OR(Dashboard!$B$9="All",Raw_data!$AQ441=Dashboard!$B$9),OR(Dashboard!$B$10="All",Raw_data!$AF441=Dashboard!$B$10),OR(Raw_data!$F441="",Raw_data!$F441&lt;=TODAY())))</f>
        <v/>
      </c>
      <c r="B441">
        <f>IFERROR(IF(Dashboard!$B$3="Weighted",Raw_data!$U441,Raw_data!$T441),"")</f>
        <v/>
      </c>
      <c r="C441">
        <f>IFERROR(IF(Dashboard!$B$3="Weighted",Raw_data!$AB441,Raw_data!$AA441),"")</f>
        <v/>
      </c>
      <c r="D441">
        <f>IF(OR(Raw_data!$J441="",Raw_data!$J441&lt;=0,Raw_data!$K441=""),"",IF(Raw_data!$K441&gt;TODAY(),0,DATEDIF(Raw_data!$K441,TODAY(),"M")))</f>
        <v/>
      </c>
      <c r="E441">
        <f>--(AND(Raw_data!$AF441="No",OR(Raw_data!$AG441&lt;&gt;"",Raw_data!$AJ441&gt;0,Raw_data!$AK441&lt;&gt;"")))</f>
        <v/>
      </c>
      <c r="F441">
        <f>--(OR(AND(ISNUMBER(B441),B441&lt;0.5,OR(D441&gt;=24,Raw_data!$I441&gt;0)),Raw_data!$AE441=TRUE))</f>
        <v/>
      </c>
      <c r="G441">
        <f>IF(Dashboard!$B$11="Department",Raw_data!$AL441,IF(Dashboard!$B$11="Team",Raw_data!$AM441,IF(Dashboard!$B$11="Unit",Raw_data!$AN441,IF(Dashboard!$B$11="Legal entity",Raw_data!$AO441,IF(Dashboard!$B$11="Location",Raw_data!$AP441,Raw_data!$AQ441)))))</f>
        <v/>
      </c>
      <c r="H441">
        <f>--(AND(ISNUMBER(B441),B441&lt;0.5))</f>
        <v/>
      </c>
      <c r="I441">
        <f>IFERROR(MAX(0,(0.5-B441)*100),0)+IF(D441&gt;=24,20,0)+IF(Raw_data!$I441&gt;0,20,0)+IF(Raw_data!$AE441=TRUE,10,0)</f>
        <v/>
      </c>
      <c r="J441">
        <f>IFERROR(CHOOSE(MATCH(Dashboard!$B$11,{"Department","Team","Unit","Legal entity","Location","Lead"},0),INDEX(Lists!$B$3:$B$20,ROW()-1),INDEX(Lists!$C$3:$C$146,ROW()-1),INDEX(Lists!$D$3:$D$67,ROW()-1),INDEX(Lists!$E$3:$E$5,ROW()-1),INDEX(Lists!$F$3:$F$12,ROW()-1),INDEX(Lists!$G$3:$G$126,ROW()-1)),"")</f>
        <v/>
      </c>
      <c r="K441">
        <f>IF(J441="","",SUMPRODUCT(($A$2:$A$636=1)*($G$2:$G$636=J441)))</f>
        <v/>
      </c>
      <c r="L441">
        <f>IF(J441="","",SUMPRODUCT(($A$2:$A$636=1)*($G$2:$G$636=J441)*(ISNUMBER($B$2:$B$636))*($B$2:$B$636&lt;0.5)))</f>
        <v/>
      </c>
      <c r="M441">
        <f>IFERROR(L441/K441,"")</f>
        <v/>
      </c>
      <c r="N441">
        <f>IF(K441="","",M441+K441/100000+ROW()/100000000)</f>
        <v/>
      </c>
      <c r="R441">
        <f>IF(A441=1,IFERROR(I441,0)+ROW()/100000000,-1E+99)</f>
        <v/>
      </c>
      <c r="S441">
        <f>IF(A441=1,IFERROR(Raw_data!$T441,""),"")</f>
        <v/>
      </c>
      <c r="T441">
        <f>IF(A441=1,IFERROR(Raw_data!$AA441,""),"")</f>
        <v/>
      </c>
      <c r="U441">
        <f>IF(A441=1,IFERROR(Raw_data!$U441,""),"")</f>
        <v/>
      </c>
      <c r="V441">
        <f>IF(A441=1,IFERROR(Raw_data!$AB441,""),"")</f>
        <v/>
      </c>
    </row>
    <row r="442">
      <c r="A442">
        <f>--(AND(OR(Dashboard!$B$4="All",Raw_data!$AL442=Dashboard!$B$4),OR(Dashboard!$B$5="All",Raw_data!$AM442=Dashboard!$B$5),OR(Dashboard!$B$6="All",Raw_data!$AN442=Dashboard!$B$6),OR(Dashboard!$B$7="All",Raw_data!$AO442=Dashboard!$B$7),OR(Dashboard!$B$8="All",Raw_data!$AP442=Dashboard!$B$8),OR(Dashboard!$B$9="All",Raw_data!$AQ442=Dashboard!$B$9),OR(Dashboard!$B$10="All",Raw_data!$AF442=Dashboard!$B$10),OR(Raw_data!$F442="",Raw_data!$F442&lt;=TODAY())))</f>
        <v/>
      </c>
      <c r="B442">
        <f>IFERROR(IF(Dashboard!$B$3="Weighted",Raw_data!$U442,Raw_data!$T442),"")</f>
        <v/>
      </c>
      <c r="C442">
        <f>IFERROR(IF(Dashboard!$B$3="Weighted",Raw_data!$AB442,Raw_data!$AA442),"")</f>
        <v/>
      </c>
      <c r="D442">
        <f>IF(OR(Raw_data!$J442="",Raw_data!$J442&lt;=0,Raw_data!$K442=""),"",IF(Raw_data!$K442&gt;TODAY(),0,DATEDIF(Raw_data!$K442,TODAY(),"M")))</f>
        <v/>
      </c>
      <c r="E442">
        <f>--(AND(Raw_data!$AF442="No",OR(Raw_data!$AG442&lt;&gt;"",Raw_data!$AJ442&gt;0,Raw_data!$AK442&lt;&gt;"")))</f>
        <v/>
      </c>
      <c r="F442">
        <f>--(OR(AND(ISNUMBER(B442),B442&lt;0.5,OR(D442&gt;=24,Raw_data!$I442&gt;0)),Raw_data!$AE442=TRUE))</f>
        <v/>
      </c>
      <c r="G442">
        <f>IF(Dashboard!$B$11="Department",Raw_data!$AL442,IF(Dashboard!$B$11="Team",Raw_data!$AM442,IF(Dashboard!$B$11="Unit",Raw_data!$AN442,IF(Dashboard!$B$11="Legal entity",Raw_data!$AO442,IF(Dashboard!$B$11="Location",Raw_data!$AP442,Raw_data!$AQ442)))))</f>
        <v/>
      </c>
      <c r="H442">
        <f>--(AND(ISNUMBER(B442),B442&lt;0.5))</f>
        <v/>
      </c>
      <c r="I442">
        <f>IFERROR(MAX(0,(0.5-B442)*100),0)+IF(D442&gt;=24,20,0)+IF(Raw_data!$I442&gt;0,20,0)+IF(Raw_data!$AE442=TRUE,10,0)</f>
        <v/>
      </c>
      <c r="J442">
        <f>IFERROR(CHOOSE(MATCH(Dashboard!$B$11,{"Department","Team","Unit","Legal entity","Location","Lead"},0),INDEX(Lists!$B$3:$B$20,ROW()-1),INDEX(Lists!$C$3:$C$146,ROW()-1),INDEX(Lists!$D$3:$D$67,ROW()-1),INDEX(Lists!$E$3:$E$5,ROW()-1),INDEX(Lists!$F$3:$F$12,ROW()-1),INDEX(Lists!$G$3:$G$126,ROW()-1)),"")</f>
        <v/>
      </c>
      <c r="K442">
        <f>IF(J442="","",SUMPRODUCT(($A$2:$A$636=1)*($G$2:$G$636=J442)))</f>
        <v/>
      </c>
      <c r="L442">
        <f>IF(J442="","",SUMPRODUCT(($A$2:$A$636=1)*($G$2:$G$636=J442)*(ISNUMBER($B$2:$B$636))*($B$2:$B$636&lt;0.5)))</f>
        <v/>
      </c>
      <c r="M442">
        <f>IFERROR(L442/K442,"")</f>
        <v/>
      </c>
      <c r="N442">
        <f>IF(K442="","",M442+K442/100000+ROW()/100000000)</f>
        <v/>
      </c>
      <c r="R442">
        <f>IF(A442=1,IFERROR(I442,0)+ROW()/100000000,-1E+99)</f>
        <v/>
      </c>
      <c r="S442">
        <f>IF(A442=1,IFERROR(Raw_data!$T442,""),"")</f>
        <v/>
      </c>
      <c r="T442">
        <f>IF(A442=1,IFERROR(Raw_data!$AA442,""),"")</f>
        <v/>
      </c>
      <c r="U442">
        <f>IF(A442=1,IFERROR(Raw_data!$U442,""),"")</f>
        <v/>
      </c>
      <c r="V442">
        <f>IF(A442=1,IFERROR(Raw_data!$AB442,""),"")</f>
        <v/>
      </c>
    </row>
    <row r="443">
      <c r="A443">
        <f>--(AND(OR(Dashboard!$B$4="All",Raw_data!$AL443=Dashboard!$B$4),OR(Dashboard!$B$5="All",Raw_data!$AM443=Dashboard!$B$5),OR(Dashboard!$B$6="All",Raw_data!$AN443=Dashboard!$B$6),OR(Dashboard!$B$7="All",Raw_data!$AO443=Dashboard!$B$7),OR(Dashboard!$B$8="All",Raw_data!$AP443=Dashboard!$B$8),OR(Dashboard!$B$9="All",Raw_data!$AQ443=Dashboard!$B$9),OR(Dashboard!$B$10="All",Raw_data!$AF443=Dashboard!$B$10),OR(Raw_data!$F443="",Raw_data!$F443&lt;=TODAY())))</f>
        <v/>
      </c>
      <c r="B443">
        <f>IFERROR(IF(Dashboard!$B$3="Weighted",Raw_data!$U443,Raw_data!$T443),"")</f>
        <v/>
      </c>
      <c r="C443">
        <f>IFERROR(IF(Dashboard!$B$3="Weighted",Raw_data!$AB443,Raw_data!$AA443),"")</f>
        <v/>
      </c>
      <c r="D443">
        <f>IF(OR(Raw_data!$J443="",Raw_data!$J443&lt;=0,Raw_data!$K443=""),"",IF(Raw_data!$K443&gt;TODAY(),0,DATEDIF(Raw_data!$K443,TODAY(),"M")))</f>
        <v/>
      </c>
      <c r="E443">
        <f>--(AND(Raw_data!$AF443="No",OR(Raw_data!$AG443&lt;&gt;"",Raw_data!$AJ443&gt;0,Raw_data!$AK443&lt;&gt;"")))</f>
        <v/>
      </c>
      <c r="F443">
        <f>--(OR(AND(ISNUMBER(B443),B443&lt;0.5,OR(D443&gt;=24,Raw_data!$I443&gt;0)),Raw_data!$AE443=TRUE))</f>
        <v/>
      </c>
      <c r="G443">
        <f>IF(Dashboard!$B$11="Department",Raw_data!$AL443,IF(Dashboard!$B$11="Team",Raw_data!$AM443,IF(Dashboard!$B$11="Unit",Raw_data!$AN443,IF(Dashboard!$B$11="Legal entity",Raw_data!$AO443,IF(Dashboard!$B$11="Location",Raw_data!$AP443,Raw_data!$AQ443)))))</f>
        <v/>
      </c>
      <c r="H443">
        <f>--(AND(ISNUMBER(B443),B443&lt;0.5))</f>
        <v/>
      </c>
      <c r="I443">
        <f>IFERROR(MAX(0,(0.5-B443)*100),0)+IF(D443&gt;=24,20,0)+IF(Raw_data!$I443&gt;0,20,0)+IF(Raw_data!$AE443=TRUE,10,0)</f>
        <v/>
      </c>
      <c r="J443">
        <f>IFERROR(CHOOSE(MATCH(Dashboard!$B$11,{"Department","Team","Unit","Legal entity","Location","Lead"},0),INDEX(Lists!$B$3:$B$20,ROW()-1),INDEX(Lists!$C$3:$C$146,ROW()-1),INDEX(Lists!$D$3:$D$67,ROW()-1),INDEX(Lists!$E$3:$E$5,ROW()-1),INDEX(Lists!$F$3:$F$12,ROW()-1),INDEX(Lists!$G$3:$G$126,ROW()-1)),"")</f>
        <v/>
      </c>
      <c r="K443">
        <f>IF(J443="","",SUMPRODUCT(($A$2:$A$636=1)*($G$2:$G$636=J443)))</f>
        <v/>
      </c>
      <c r="L443">
        <f>IF(J443="","",SUMPRODUCT(($A$2:$A$636=1)*($G$2:$G$636=J443)*(ISNUMBER($B$2:$B$636))*($B$2:$B$636&lt;0.5)))</f>
        <v/>
      </c>
      <c r="M443">
        <f>IFERROR(L443/K443,"")</f>
        <v/>
      </c>
      <c r="N443">
        <f>IF(K443="","",M443+K443/100000+ROW()/100000000)</f>
        <v/>
      </c>
      <c r="R443">
        <f>IF(A443=1,IFERROR(I443,0)+ROW()/100000000,-1E+99)</f>
        <v/>
      </c>
      <c r="S443">
        <f>IF(A443=1,IFERROR(Raw_data!$T443,""),"")</f>
        <v/>
      </c>
      <c r="T443">
        <f>IF(A443=1,IFERROR(Raw_data!$AA443,""),"")</f>
        <v/>
      </c>
      <c r="U443">
        <f>IF(A443=1,IFERROR(Raw_data!$U443,""),"")</f>
        <v/>
      </c>
      <c r="V443">
        <f>IF(A443=1,IFERROR(Raw_data!$AB443,""),"")</f>
        <v/>
      </c>
    </row>
    <row r="444">
      <c r="A444">
        <f>--(AND(OR(Dashboard!$B$4="All",Raw_data!$AL444=Dashboard!$B$4),OR(Dashboard!$B$5="All",Raw_data!$AM444=Dashboard!$B$5),OR(Dashboard!$B$6="All",Raw_data!$AN444=Dashboard!$B$6),OR(Dashboard!$B$7="All",Raw_data!$AO444=Dashboard!$B$7),OR(Dashboard!$B$8="All",Raw_data!$AP444=Dashboard!$B$8),OR(Dashboard!$B$9="All",Raw_data!$AQ444=Dashboard!$B$9),OR(Dashboard!$B$10="All",Raw_data!$AF444=Dashboard!$B$10),OR(Raw_data!$F444="",Raw_data!$F444&lt;=TODAY())))</f>
        <v/>
      </c>
      <c r="B444">
        <f>IFERROR(IF(Dashboard!$B$3="Weighted",Raw_data!$U444,Raw_data!$T444),"")</f>
        <v/>
      </c>
      <c r="C444">
        <f>IFERROR(IF(Dashboard!$B$3="Weighted",Raw_data!$AB444,Raw_data!$AA444),"")</f>
        <v/>
      </c>
      <c r="D444">
        <f>IF(OR(Raw_data!$J444="",Raw_data!$J444&lt;=0,Raw_data!$K444=""),"",IF(Raw_data!$K444&gt;TODAY(),0,DATEDIF(Raw_data!$K444,TODAY(),"M")))</f>
        <v/>
      </c>
      <c r="E444">
        <f>--(AND(Raw_data!$AF444="No",OR(Raw_data!$AG444&lt;&gt;"",Raw_data!$AJ444&gt;0,Raw_data!$AK444&lt;&gt;"")))</f>
        <v/>
      </c>
      <c r="F444">
        <f>--(OR(AND(ISNUMBER(B444),B444&lt;0.5,OR(D444&gt;=24,Raw_data!$I444&gt;0)),Raw_data!$AE444=TRUE))</f>
        <v/>
      </c>
      <c r="G444">
        <f>IF(Dashboard!$B$11="Department",Raw_data!$AL444,IF(Dashboard!$B$11="Team",Raw_data!$AM444,IF(Dashboard!$B$11="Unit",Raw_data!$AN444,IF(Dashboard!$B$11="Legal entity",Raw_data!$AO444,IF(Dashboard!$B$11="Location",Raw_data!$AP444,Raw_data!$AQ444)))))</f>
        <v/>
      </c>
      <c r="H444">
        <f>--(AND(ISNUMBER(B444),B444&lt;0.5))</f>
        <v/>
      </c>
      <c r="I444">
        <f>IFERROR(MAX(0,(0.5-B444)*100),0)+IF(D444&gt;=24,20,0)+IF(Raw_data!$I444&gt;0,20,0)+IF(Raw_data!$AE444=TRUE,10,0)</f>
        <v/>
      </c>
      <c r="J444">
        <f>IFERROR(CHOOSE(MATCH(Dashboard!$B$11,{"Department","Team","Unit","Legal entity","Location","Lead"},0),INDEX(Lists!$B$3:$B$20,ROW()-1),INDEX(Lists!$C$3:$C$146,ROW()-1),INDEX(Lists!$D$3:$D$67,ROW()-1),INDEX(Lists!$E$3:$E$5,ROW()-1),INDEX(Lists!$F$3:$F$12,ROW()-1),INDEX(Lists!$G$3:$G$126,ROW()-1)),"")</f>
        <v/>
      </c>
      <c r="K444">
        <f>IF(J444="","",SUMPRODUCT(($A$2:$A$636=1)*($G$2:$G$636=J444)))</f>
        <v/>
      </c>
      <c r="L444">
        <f>IF(J444="","",SUMPRODUCT(($A$2:$A$636=1)*($G$2:$G$636=J444)*(ISNUMBER($B$2:$B$636))*($B$2:$B$636&lt;0.5)))</f>
        <v/>
      </c>
      <c r="M444">
        <f>IFERROR(L444/K444,"")</f>
        <v/>
      </c>
      <c r="N444">
        <f>IF(K444="","",M444+K444/100000+ROW()/100000000)</f>
        <v/>
      </c>
      <c r="R444">
        <f>IF(A444=1,IFERROR(I444,0)+ROW()/100000000,-1E+99)</f>
        <v/>
      </c>
      <c r="S444">
        <f>IF(A444=1,IFERROR(Raw_data!$T444,""),"")</f>
        <v/>
      </c>
      <c r="T444">
        <f>IF(A444=1,IFERROR(Raw_data!$AA444,""),"")</f>
        <v/>
      </c>
      <c r="U444">
        <f>IF(A444=1,IFERROR(Raw_data!$U444,""),"")</f>
        <v/>
      </c>
      <c r="V444">
        <f>IF(A444=1,IFERROR(Raw_data!$AB444,""),"")</f>
        <v/>
      </c>
    </row>
    <row r="445">
      <c r="A445">
        <f>--(AND(OR(Dashboard!$B$4="All",Raw_data!$AL445=Dashboard!$B$4),OR(Dashboard!$B$5="All",Raw_data!$AM445=Dashboard!$B$5),OR(Dashboard!$B$6="All",Raw_data!$AN445=Dashboard!$B$6),OR(Dashboard!$B$7="All",Raw_data!$AO445=Dashboard!$B$7),OR(Dashboard!$B$8="All",Raw_data!$AP445=Dashboard!$B$8),OR(Dashboard!$B$9="All",Raw_data!$AQ445=Dashboard!$B$9),OR(Dashboard!$B$10="All",Raw_data!$AF445=Dashboard!$B$10),OR(Raw_data!$F445="",Raw_data!$F445&lt;=TODAY())))</f>
        <v/>
      </c>
      <c r="B445">
        <f>IFERROR(IF(Dashboard!$B$3="Weighted",Raw_data!$U445,Raw_data!$T445),"")</f>
        <v/>
      </c>
      <c r="C445">
        <f>IFERROR(IF(Dashboard!$B$3="Weighted",Raw_data!$AB445,Raw_data!$AA445),"")</f>
        <v/>
      </c>
      <c r="D445">
        <f>IF(OR(Raw_data!$J445="",Raw_data!$J445&lt;=0,Raw_data!$K445=""),"",IF(Raw_data!$K445&gt;TODAY(),0,DATEDIF(Raw_data!$K445,TODAY(),"M")))</f>
        <v/>
      </c>
      <c r="E445">
        <f>--(AND(Raw_data!$AF445="No",OR(Raw_data!$AG445&lt;&gt;"",Raw_data!$AJ445&gt;0,Raw_data!$AK445&lt;&gt;"")))</f>
        <v/>
      </c>
      <c r="F445">
        <f>--(OR(AND(ISNUMBER(B445),B445&lt;0.5,OR(D445&gt;=24,Raw_data!$I445&gt;0)),Raw_data!$AE445=TRUE))</f>
        <v/>
      </c>
      <c r="G445">
        <f>IF(Dashboard!$B$11="Department",Raw_data!$AL445,IF(Dashboard!$B$11="Team",Raw_data!$AM445,IF(Dashboard!$B$11="Unit",Raw_data!$AN445,IF(Dashboard!$B$11="Legal entity",Raw_data!$AO445,IF(Dashboard!$B$11="Location",Raw_data!$AP445,Raw_data!$AQ445)))))</f>
        <v/>
      </c>
      <c r="H445">
        <f>--(AND(ISNUMBER(B445),B445&lt;0.5))</f>
        <v/>
      </c>
      <c r="I445">
        <f>IFERROR(MAX(0,(0.5-B445)*100),0)+IF(D445&gt;=24,20,0)+IF(Raw_data!$I445&gt;0,20,0)+IF(Raw_data!$AE445=TRUE,10,0)</f>
        <v/>
      </c>
      <c r="J445">
        <f>IFERROR(CHOOSE(MATCH(Dashboard!$B$11,{"Department","Team","Unit","Legal entity","Location","Lead"},0),INDEX(Lists!$B$3:$B$20,ROW()-1),INDEX(Lists!$C$3:$C$146,ROW()-1),INDEX(Lists!$D$3:$D$67,ROW()-1),INDEX(Lists!$E$3:$E$5,ROW()-1),INDEX(Lists!$F$3:$F$12,ROW()-1),INDEX(Lists!$G$3:$G$126,ROW()-1)),"")</f>
        <v/>
      </c>
      <c r="K445">
        <f>IF(J445="","",SUMPRODUCT(($A$2:$A$636=1)*($G$2:$G$636=J445)))</f>
        <v/>
      </c>
      <c r="L445">
        <f>IF(J445="","",SUMPRODUCT(($A$2:$A$636=1)*($G$2:$G$636=J445)*(ISNUMBER($B$2:$B$636))*($B$2:$B$636&lt;0.5)))</f>
        <v/>
      </c>
      <c r="M445">
        <f>IFERROR(L445/K445,"")</f>
        <v/>
      </c>
      <c r="N445">
        <f>IF(K445="","",M445+K445/100000+ROW()/100000000)</f>
        <v/>
      </c>
      <c r="R445">
        <f>IF(A445=1,IFERROR(I445,0)+ROW()/100000000,-1E+99)</f>
        <v/>
      </c>
      <c r="S445">
        <f>IF(A445=1,IFERROR(Raw_data!$T445,""),"")</f>
        <v/>
      </c>
      <c r="T445">
        <f>IF(A445=1,IFERROR(Raw_data!$AA445,""),"")</f>
        <v/>
      </c>
      <c r="U445">
        <f>IF(A445=1,IFERROR(Raw_data!$U445,""),"")</f>
        <v/>
      </c>
      <c r="V445">
        <f>IF(A445=1,IFERROR(Raw_data!$AB445,""),"")</f>
        <v/>
      </c>
    </row>
    <row r="446">
      <c r="A446">
        <f>--(AND(OR(Dashboard!$B$4="All",Raw_data!$AL446=Dashboard!$B$4),OR(Dashboard!$B$5="All",Raw_data!$AM446=Dashboard!$B$5),OR(Dashboard!$B$6="All",Raw_data!$AN446=Dashboard!$B$6),OR(Dashboard!$B$7="All",Raw_data!$AO446=Dashboard!$B$7),OR(Dashboard!$B$8="All",Raw_data!$AP446=Dashboard!$B$8),OR(Dashboard!$B$9="All",Raw_data!$AQ446=Dashboard!$B$9),OR(Dashboard!$B$10="All",Raw_data!$AF446=Dashboard!$B$10),OR(Raw_data!$F446="",Raw_data!$F446&lt;=TODAY())))</f>
        <v/>
      </c>
      <c r="B446">
        <f>IFERROR(IF(Dashboard!$B$3="Weighted",Raw_data!$U446,Raw_data!$T446),"")</f>
        <v/>
      </c>
      <c r="C446">
        <f>IFERROR(IF(Dashboard!$B$3="Weighted",Raw_data!$AB446,Raw_data!$AA446),"")</f>
        <v/>
      </c>
      <c r="D446">
        <f>IF(OR(Raw_data!$J446="",Raw_data!$J446&lt;=0,Raw_data!$K446=""),"",IF(Raw_data!$K446&gt;TODAY(),0,DATEDIF(Raw_data!$K446,TODAY(),"M")))</f>
        <v/>
      </c>
      <c r="E446">
        <f>--(AND(Raw_data!$AF446="No",OR(Raw_data!$AG446&lt;&gt;"",Raw_data!$AJ446&gt;0,Raw_data!$AK446&lt;&gt;"")))</f>
        <v/>
      </c>
      <c r="F446">
        <f>--(OR(AND(ISNUMBER(B446),B446&lt;0.5,OR(D446&gt;=24,Raw_data!$I446&gt;0)),Raw_data!$AE446=TRUE))</f>
        <v/>
      </c>
      <c r="G446">
        <f>IF(Dashboard!$B$11="Department",Raw_data!$AL446,IF(Dashboard!$B$11="Team",Raw_data!$AM446,IF(Dashboard!$B$11="Unit",Raw_data!$AN446,IF(Dashboard!$B$11="Legal entity",Raw_data!$AO446,IF(Dashboard!$B$11="Location",Raw_data!$AP446,Raw_data!$AQ446)))))</f>
        <v/>
      </c>
      <c r="H446">
        <f>--(AND(ISNUMBER(B446),B446&lt;0.5))</f>
        <v/>
      </c>
      <c r="I446">
        <f>IFERROR(MAX(0,(0.5-B446)*100),0)+IF(D446&gt;=24,20,0)+IF(Raw_data!$I446&gt;0,20,0)+IF(Raw_data!$AE446=TRUE,10,0)</f>
        <v/>
      </c>
      <c r="J446">
        <f>IFERROR(CHOOSE(MATCH(Dashboard!$B$11,{"Department","Team","Unit","Legal entity","Location","Lead"},0),INDEX(Lists!$B$3:$B$20,ROW()-1),INDEX(Lists!$C$3:$C$146,ROW()-1),INDEX(Lists!$D$3:$D$67,ROW()-1),INDEX(Lists!$E$3:$E$5,ROW()-1),INDEX(Lists!$F$3:$F$12,ROW()-1),INDEX(Lists!$G$3:$G$126,ROW()-1)),"")</f>
        <v/>
      </c>
      <c r="K446">
        <f>IF(J446="","",SUMPRODUCT(($A$2:$A$636=1)*($G$2:$G$636=J446)))</f>
        <v/>
      </c>
      <c r="L446">
        <f>IF(J446="","",SUMPRODUCT(($A$2:$A$636=1)*($G$2:$G$636=J446)*(ISNUMBER($B$2:$B$636))*($B$2:$B$636&lt;0.5)))</f>
        <v/>
      </c>
      <c r="M446">
        <f>IFERROR(L446/K446,"")</f>
        <v/>
      </c>
      <c r="N446">
        <f>IF(K446="","",M446+K446/100000+ROW()/100000000)</f>
        <v/>
      </c>
      <c r="R446">
        <f>IF(A446=1,IFERROR(I446,0)+ROW()/100000000,-1E+99)</f>
        <v/>
      </c>
      <c r="S446">
        <f>IF(A446=1,IFERROR(Raw_data!$T446,""),"")</f>
        <v/>
      </c>
      <c r="T446">
        <f>IF(A446=1,IFERROR(Raw_data!$AA446,""),"")</f>
        <v/>
      </c>
      <c r="U446">
        <f>IF(A446=1,IFERROR(Raw_data!$U446,""),"")</f>
        <v/>
      </c>
      <c r="V446">
        <f>IF(A446=1,IFERROR(Raw_data!$AB446,""),"")</f>
        <v/>
      </c>
    </row>
    <row r="447">
      <c r="A447">
        <f>--(AND(OR(Dashboard!$B$4="All",Raw_data!$AL447=Dashboard!$B$4),OR(Dashboard!$B$5="All",Raw_data!$AM447=Dashboard!$B$5),OR(Dashboard!$B$6="All",Raw_data!$AN447=Dashboard!$B$6),OR(Dashboard!$B$7="All",Raw_data!$AO447=Dashboard!$B$7),OR(Dashboard!$B$8="All",Raw_data!$AP447=Dashboard!$B$8),OR(Dashboard!$B$9="All",Raw_data!$AQ447=Dashboard!$B$9),OR(Dashboard!$B$10="All",Raw_data!$AF447=Dashboard!$B$10),OR(Raw_data!$F447="",Raw_data!$F447&lt;=TODAY())))</f>
        <v/>
      </c>
      <c r="B447">
        <f>IFERROR(IF(Dashboard!$B$3="Weighted",Raw_data!$U447,Raw_data!$T447),"")</f>
        <v/>
      </c>
      <c r="C447">
        <f>IFERROR(IF(Dashboard!$B$3="Weighted",Raw_data!$AB447,Raw_data!$AA447),"")</f>
        <v/>
      </c>
      <c r="D447">
        <f>IF(OR(Raw_data!$J447="",Raw_data!$J447&lt;=0,Raw_data!$K447=""),"",IF(Raw_data!$K447&gt;TODAY(),0,DATEDIF(Raw_data!$K447,TODAY(),"M")))</f>
        <v/>
      </c>
      <c r="E447">
        <f>--(AND(Raw_data!$AF447="No",OR(Raw_data!$AG447&lt;&gt;"",Raw_data!$AJ447&gt;0,Raw_data!$AK447&lt;&gt;"")))</f>
        <v/>
      </c>
      <c r="F447">
        <f>--(OR(AND(ISNUMBER(B447),B447&lt;0.5,OR(D447&gt;=24,Raw_data!$I447&gt;0)),Raw_data!$AE447=TRUE))</f>
        <v/>
      </c>
      <c r="G447">
        <f>IF(Dashboard!$B$11="Department",Raw_data!$AL447,IF(Dashboard!$B$11="Team",Raw_data!$AM447,IF(Dashboard!$B$11="Unit",Raw_data!$AN447,IF(Dashboard!$B$11="Legal entity",Raw_data!$AO447,IF(Dashboard!$B$11="Location",Raw_data!$AP447,Raw_data!$AQ447)))))</f>
        <v/>
      </c>
      <c r="H447">
        <f>--(AND(ISNUMBER(B447),B447&lt;0.5))</f>
        <v/>
      </c>
      <c r="I447">
        <f>IFERROR(MAX(0,(0.5-B447)*100),0)+IF(D447&gt;=24,20,0)+IF(Raw_data!$I447&gt;0,20,0)+IF(Raw_data!$AE447=TRUE,10,0)</f>
        <v/>
      </c>
      <c r="J447">
        <f>IFERROR(CHOOSE(MATCH(Dashboard!$B$11,{"Department","Team","Unit","Legal entity","Location","Lead"},0),INDEX(Lists!$B$3:$B$20,ROW()-1),INDEX(Lists!$C$3:$C$146,ROW()-1),INDEX(Lists!$D$3:$D$67,ROW()-1),INDEX(Lists!$E$3:$E$5,ROW()-1),INDEX(Lists!$F$3:$F$12,ROW()-1),INDEX(Lists!$G$3:$G$126,ROW()-1)),"")</f>
        <v/>
      </c>
      <c r="K447">
        <f>IF(J447="","",SUMPRODUCT(($A$2:$A$636=1)*($G$2:$G$636=J447)))</f>
        <v/>
      </c>
      <c r="L447">
        <f>IF(J447="","",SUMPRODUCT(($A$2:$A$636=1)*($G$2:$G$636=J447)*(ISNUMBER($B$2:$B$636))*($B$2:$B$636&lt;0.5)))</f>
        <v/>
      </c>
      <c r="M447">
        <f>IFERROR(L447/K447,"")</f>
        <v/>
      </c>
      <c r="N447">
        <f>IF(K447="","",M447+K447/100000+ROW()/100000000)</f>
        <v/>
      </c>
      <c r="R447">
        <f>IF(A447=1,IFERROR(I447,0)+ROW()/100000000,-1E+99)</f>
        <v/>
      </c>
      <c r="S447">
        <f>IF(A447=1,IFERROR(Raw_data!$T447,""),"")</f>
        <v/>
      </c>
      <c r="T447">
        <f>IF(A447=1,IFERROR(Raw_data!$AA447,""),"")</f>
        <v/>
      </c>
      <c r="U447">
        <f>IF(A447=1,IFERROR(Raw_data!$U447,""),"")</f>
        <v/>
      </c>
      <c r="V447">
        <f>IF(A447=1,IFERROR(Raw_data!$AB447,""),"")</f>
        <v/>
      </c>
    </row>
    <row r="448">
      <c r="A448">
        <f>--(AND(OR(Dashboard!$B$4="All",Raw_data!$AL448=Dashboard!$B$4),OR(Dashboard!$B$5="All",Raw_data!$AM448=Dashboard!$B$5),OR(Dashboard!$B$6="All",Raw_data!$AN448=Dashboard!$B$6),OR(Dashboard!$B$7="All",Raw_data!$AO448=Dashboard!$B$7),OR(Dashboard!$B$8="All",Raw_data!$AP448=Dashboard!$B$8),OR(Dashboard!$B$9="All",Raw_data!$AQ448=Dashboard!$B$9),OR(Dashboard!$B$10="All",Raw_data!$AF448=Dashboard!$B$10),OR(Raw_data!$F448="",Raw_data!$F448&lt;=TODAY())))</f>
        <v/>
      </c>
      <c r="B448">
        <f>IFERROR(IF(Dashboard!$B$3="Weighted",Raw_data!$U448,Raw_data!$T448),"")</f>
        <v/>
      </c>
      <c r="C448">
        <f>IFERROR(IF(Dashboard!$B$3="Weighted",Raw_data!$AB448,Raw_data!$AA448),"")</f>
        <v/>
      </c>
      <c r="D448">
        <f>IF(OR(Raw_data!$J448="",Raw_data!$J448&lt;=0,Raw_data!$K448=""),"",IF(Raw_data!$K448&gt;TODAY(),0,DATEDIF(Raw_data!$K448,TODAY(),"M")))</f>
        <v/>
      </c>
      <c r="E448">
        <f>--(AND(Raw_data!$AF448="No",OR(Raw_data!$AG448&lt;&gt;"",Raw_data!$AJ448&gt;0,Raw_data!$AK448&lt;&gt;"")))</f>
        <v/>
      </c>
      <c r="F448">
        <f>--(OR(AND(ISNUMBER(B448),B448&lt;0.5,OR(D448&gt;=24,Raw_data!$I448&gt;0)),Raw_data!$AE448=TRUE))</f>
        <v/>
      </c>
      <c r="G448">
        <f>IF(Dashboard!$B$11="Department",Raw_data!$AL448,IF(Dashboard!$B$11="Team",Raw_data!$AM448,IF(Dashboard!$B$11="Unit",Raw_data!$AN448,IF(Dashboard!$B$11="Legal entity",Raw_data!$AO448,IF(Dashboard!$B$11="Location",Raw_data!$AP448,Raw_data!$AQ448)))))</f>
        <v/>
      </c>
      <c r="H448">
        <f>--(AND(ISNUMBER(B448),B448&lt;0.5))</f>
        <v/>
      </c>
      <c r="I448">
        <f>IFERROR(MAX(0,(0.5-B448)*100),0)+IF(D448&gt;=24,20,0)+IF(Raw_data!$I448&gt;0,20,0)+IF(Raw_data!$AE448=TRUE,10,0)</f>
        <v/>
      </c>
      <c r="J448">
        <f>IFERROR(CHOOSE(MATCH(Dashboard!$B$11,{"Department","Team","Unit","Legal entity","Location","Lead"},0),INDEX(Lists!$B$3:$B$20,ROW()-1),INDEX(Lists!$C$3:$C$146,ROW()-1),INDEX(Lists!$D$3:$D$67,ROW()-1),INDEX(Lists!$E$3:$E$5,ROW()-1),INDEX(Lists!$F$3:$F$12,ROW()-1),INDEX(Lists!$G$3:$G$126,ROW()-1)),"")</f>
        <v/>
      </c>
      <c r="K448">
        <f>IF(J448="","",SUMPRODUCT(($A$2:$A$636=1)*($G$2:$G$636=J448)))</f>
        <v/>
      </c>
      <c r="L448">
        <f>IF(J448="","",SUMPRODUCT(($A$2:$A$636=1)*($G$2:$G$636=J448)*(ISNUMBER($B$2:$B$636))*($B$2:$B$636&lt;0.5)))</f>
        <v/>
      </c>
      <c r="M448">
        <f>IFERROR(L448/K448,"")</f>
        <v/>
      </c>
      <c r="N448">
        <f>IF(K448="","",M448+K448/100000+ROW()/100000000)</f>
        <v/>
      </c>
      <c r="R448">
        <f>IF(A448=1,IFERROR(I448,0)+ROW()/100000000,-1E+99)</f>
        <v/>
      </c>
      <c r="S448">
        <f>IF(A448=1,IFERROR(Raw_data!$T448,""),"")</f>
        <v/>
      </c>
      <c r="T448">
        <f>IF(A448=1,IFERROR(Raw_data!$AA448,""),"")</f>
        <v/>
      </c>
      <c r="U448">
        <f>IF(A448=1,IFERROR(Raw_data!$U448,""),"")</f>
        <v/>
      </c>
      <c r="V448">
        <f>IF(A448=1,IFERROR(Raw_data!$AB448,""),"")</f>
        <v/>
      </c>
    </row>
    <row r="449">
      <c r="A449">
        <f>--(AND(OR(Dashboard!$B$4="All",Raw_data!$AL449=Dashboard!$B$4),OR(Dashboard!$B$5="All",Raw_data!$AM449=Dashboard!$B$5),OR(Dashboard!$B$6="All",Raw_data!$AN449=Dashboard!$B$6),OR(Dashboard!$B$7="All",Raw_data!$AO449=Dashboard!$B$7),OR(Dashboard!$B$8="All",Raw_data!$AP449=Dashboard!$B$8),OR(Dashboard!$B$9="All",Raw_data!$AQ449=Dashboard!$B$9),OR(Dashboard!$B$10="All",Raw_data!$AF449=Dashboard!$B$10),OR(Raw_data!$F449="",Raw_data!$F449&lt;=TODAY())))</f>
        <v/>
      </c>
      <c r="B449">
        <f>IFERROR(IF(Dashboard!$B$3="Weighted",Raw_data!$U449,Raw_data!$T449),"")</f>
        <v/>
      </c>
      <c r="C449">
        <f>IFERROR(IF(Dashboard!$B$3="Weighted",Raw_data!$AB449,Raw_data!$AA449),"")</f>
        <v/>
      </c>
      <c r="D449">
        <f>IF(OR(Raw_data!$J449="",Raw_data!$J449&lt;=0,Raw_data!$K449=""),"",IF(Raw_data!$K449&gt;TODAY(),0,DATEDIF(Raw_data!$K449,TODAY(),"M")))</f>
        <v/>
      </c>
      <c r="E449">
        <f>--(AND(Raw_data!$AF449="No",OR(Raw_data!$AG449&lt;&gt;"",Raw_data!$AJ449&gt;0,Raw_data!$AK449&lt;&gt;"")))</f>
        <v/>
      </c>
      <c r="F449">
        <f>--(OR(AND(ISNUMBER(B449),B449&lt;0.5,OR(D449&gt;=24,Raw_data!$I449&gt;0)),Raw_data!$AE449=TRUE))</f>
        <v/>
      </c>
      <c r="G449">
        <f>IF(Dashboard!$B$11="Department",Raw_data!$AL449,IF(Dashboard!$B$11="Team",Raw_data!$AM449,IF(Dashboard!$B$11="Unit",Raw_data!$AN449,IF(Dashboard!$B$11="Legal entity",Raw_data!$AO449,IF(Dashboard!$B$11="Location",Raw_data!$AP449,Raw_data!$AQ449)))))</f>
        <v/>
      </c>
      <c r="H449">
        <f>--(AND(ISNUMBER(B449),B449&lt;0.5))</f>
        <v/>
      </c>
      <c r="I449">
        <f>IFERROR(MAX(0,(0.5-B449)*100),0)+IF(D449&gt;=24,20,0)+IF(Raw_data!$I449&gt;0,20,0)+IF(Raw_data!$AE449=TRUE,10,0)</f>
        <v/>
      </c>
      <c r="J449">
        <f>IFERROR(CHOOSE(MATCH(Dashboard!$B$11,{"Department","Team","Unit","Legal entity","Location","Lead"},0),INDEX(Lists!$B$3:$B$20,ROW()-1),INDEX(Lists!$C$3:$C$146,ROW()-1),INDEX(Lists!$D$3:$D$67,ROW()-1),INDEX(Lists!$E$3:$E$5,ROW()-1),INDEX(Lists!$F$3:$F$12,ROW()-1),INDEX(Lists!$G$3:$G$126,ROW()-1)),"")</f>
        <v/>
      </c>
      <c r="K449">
        <f>IF(J449="","",SUMPRODUCT(($A$2:$A$636=1)*($G$2:$G$636=J449)))</f>
        <v/>
      </c>
      <c r="L449">
        <f>IF(J449="","",SUMPRODUCT(($A$2:$A$636=1)*($G$2:$G$636=J449)*(ISNUMBER($B$2:$B$636))*($B$2:$B$636&lt;0.5)))</f>
        <v/>
      </c>
      <c r="M449">
        <f>IFERROR(L449/K449,"")</f>
        <v/>
      </c>
      <c r="N449">
        <f>IF(K449="","",M449+K449/100000+ROW()/100000000)</f>
        <v/>
      </c>
      <c r="R449">
        <f>IF(A449=1,IFERROR(I449,0)+ROW()/100000000,-1E+99)</f>
        <v/>
      </c>
      <c r="S449">
        <f>IF(A449=1,IFERROR(Raw_data!$T449,""),"")</f>
        <v/>
      </c>
      <c r="T449">
        <f>IF(A449=1,IFERROR(Raw_data!$AA449,""),"")</f>
        <v/>
      </c>
      <c r="U449">
        <f>IF(A449=1,IFERROR(Raw_data!$U449,""),"")</f>
        <v/>
      </c>
      <c r="V449">
        <f>IF(A449=1,IFERROR(Raw_data!$AB449,""),"")</f>
        <v/>
      </c>
    </row>
    <row r="450">
      <c r="A450">
        <f>--(AND(OR(Dashboard!$B$4="All",Raw_data!$AL450=Dashboard!$B$4),OR(Dashboard!$B$5="All",Raw_data!$AM450=Dashboard!$B$5),OR(Dashboard!$B$6="All",Raw_data!$AN450=Dashboard!$B$6),OR(Dashboard!$B$7="All",Raw_data!$AO450=Dashboard!$B$7),OR(Dashboard!$B$8="All",Raw_data!$AP450=Dashboard!$B$8),OR(Dashboard!$B$9="All",Raw_data!$AQ450=Dashboard!$B$9),OR(Dashboard!$B$10="All",Raw_data!$AF450=Dashboard!$B$10),OR(Raw_data!$F450="",Raw_data!$F450&lt;=TODAY())))</f>
        <v/>
      </c>
      <c r="B450">
        <f>IFERROR(IF(Dashboard!$B$3="Weighted",Raw_data!$U450,Raw_data!$T450),"")</f>
        <v/>
      </c>
      <c r="C450">
        <f>IFERROR(IF(Dashboard!$B$3="Weighted",Raw_data!$AB450,Raw_data!$AA450),"")</f>
        <v/>
      </c>
      <c r="D450">
        <f>IF(OR(Raw_data!$J450="",Raw_data!$J450&lt;=0,Raw_data!$K450=""),"",IF(Raw_data!$K450&gt;TODAY(),0,DATEDIF(Raw_data!$K450,TODAY(),"M")))</f>
        <v/>
      </c>
      <c r="E450">
        <f>--(AND(Raw_data!$AF450="No",OR(Raw_data!$AG450&lt;&gt;"",Raw_data!$AJ450&gt;0,Raw_data!$AK450&lt;&gt;"")))</f>
        <v/>
      </c>
      <c r="F450">
        <f>--(OR(AND(ISNUMBER(B450),B450&lt;0.5,OR(D450&gt;=24,Raw_data!$I450&gt;0)),Raw_data!$AE450=TRUE))</f>
        <v/>
      </c>
      <c r="G450">
        <f>IF(Dashboard!$B$11="Department",Raw_data!$AL450,IF(Dashboard!$B$11="Team",Raw_data!$AM450,IF(Dashboard!$B$11="Unit",Raw_data!$AN450,IF(Dashboard!$B$11="Legal entity",Raw_data!$AO450,IF(Dashboard!$B$11="Location",Raw_data!$AP450,Raw_data!$AQ450)))))</f>
        <v/>
      </c>
      <c r="H450">
        <f>--(AND(ISNUMBER(B450),B450&lt;0.5))</f>
        <v/>
      </c>
      <c r="I450">
        <f>IFERROR(MAX(0,(0.5-B450)*100),0)+IF(D450&gt;=24,20,0)+IF(Raw_data!$I450&gt;0,20,0)+IF(Raw_data!$AE450=TRUE,10,0)</f>
        <v/>
      </c>
      <c r="J450">
        <f>IFERROR(CHOOSE(MATCH(Dashboard!$B$11,{"Department","Team","Unit","Legal entity","Location","Lead"},0),INDEX(Lists!$B$3:$B$20,ROW()-1),INDEX(Lists!$C$3:$C$146,ROW()-1),INDEX(Lists!$D$3:$D$67,ROW()-1),INDEX(Lists!$E$3:$E$5,ROW()-1),INDEX(Lists!$F$3:$F$12,ROW()-1),INDEX(Lists!$G$3:$G$126,ROW()-1)),"")</f>
        <v/>
      </c>
      <c r="K450">
        <f>IF(J450="","",SUMPRODUCT(($A$2:$A$636=1)*($G$2:$G$636=J450)))</f>
        <v/>
      </c>
      <c r="L450">
        <f>IF(J450="","",SUMPRODUCT(($A$2:$A$636=1)*($G$2:$G$636=J450)*(ISNUMBER($B$2:$B$636))*($B$2:$B$636&lt;0.5)))</f>
        <v/>
      </c>
      <c r="M450">
        <f>IFERROR(L450/K450,"")</f>
        <v/>
      </c>
      <c r="N450">
        <f>IF(K450="","",M450+K450/100000+ROW()/100000000)</f>
        <v/>
      </c>
      <c r="R450">
        <f>IF(A450=1,IFERROR(I450,0)+ROW()/100000000,-1E+99)</f>
        <v/>
      </c>
      <c r="S450">
        <f>IF(A450=1,IFERROR(Raw_data!$T450,""),"")</f>
        <v/>
      </c>
      <c r="T450">
        <f>IF(A450=1,IFERROR(Raw_data!$AA450,""),"")</f>
        <v/>
      </c>
      <c r="U450">
        <f>IF(A450=1,IFERROR(Raw_data!$U450,""),"")</f>
        <v/>
      </c>
      <c r="V450">
        <f>IF(A450=1,IFERROR(Raw_data!$AB450,""),"")</f>
        <v/>
      </c>
    </row>
    <row r="451">
      <c r="A451">
        <f>--(AND(OR(Dashboard!$B$4="All",Raw_data!$AL451=Dashboard!$B$4),OR(Dashboard!$B$5="All",Raw_data!$AM451=Dashboard!$B$5),OR(Dashboard!$B$6="All",Raw_data!$AN451=Dashboard!$B$6),OR(Dashboard!$B$7="All",Raw_data!$AO451=Dashboard!$B$7),OR(Dashboard!$B$8="All",Raw_data!$AP451=Dashboard!$B$8),OR(Dashboard!$B$9="All",Raw_data!$AQ451=Dashboard!$B$9),OR(Dashboard!$B$10="All",Raw_data!$AF451=Dashboard!$B$10),OR(Raw_data!$F451="",Raw_data!$F451&lt;=TODAY())))</f>
        <v/>
      </c>
      <c r="B451">
        <f>IFERROR(IF(Dashboard!$B$3="Weighted",Raw_data!$U451,Raw_data!$T451),"")</f>
        <v/>
      </c>
      <c r="C451">
        <f>IFERROR(IF(Dashboard!$B$3="Weighted",Raw_data!$AB451,Raw_data!$AA451),"")</f>
        <v/>
      </c>
      <c r="D451">
        <f>IF(OR(Raw_data!$J451="",Raw_data!$J451&lt;=0,Raw_data!$K451=""),"",IF(Raw_data!$K451&gt;TODAY(),0,DATEDIF(Raw_data!$K451,TODAY(),"M")))</f>
        <v/>
      </c>
      <c r="E451">
        <f>--(AND(Raw_data!$AF451="No",OR(Raw_data!$AG451&lt;&gt;"",Raw_data!$AJ451&gt;0,Raw_data!$AK451&lt;&gt;"")))</f>
        <v/>
      </c>
      <c r="F451">
        <f>--(OR(AND(ISNUMBER(B451),B451&lt;0.5,OR(D451&gt;=24,Raw_data!$I451&gt;0)),Raw_data!$AE451=TRUE))</f>
        <v/>
      </c>
      <c r="G451">
        <f>IF(Dashboard!$B$11="Department",Raw_data!$AL451,IF(Dashboard!$B$11="Team",Raw_data!$AM451,IF(Dashboard!$B$11="Unit",Raw_data!$AN451,IF(Dashboard!$B$11="Legal entity",Raw_data!$AO451,IF(Dashboard!$B$11="Location",Raw_data!$AP451,Raw_data!$AQ451)))))</f>
        <v/>
      </c>
      <c r="H451">
        <f>--(AND(ISNUMBER(B451),B451&lt;0.5))</f>
        <v/>
      </c>
      <c r="I451">
        <f>IFERROR(MAX(0,(0.5-B451)*100),0)+IF(D451&gt;=24,20,0)+IF(Raw_data!$I451&gt;0,20,0)+IF(Raw_data!$AE451=TRUE,10,0)</f>
        <v/>
      </c>
      <c r="J451">
        <f>IFERROR(CHOOSE(MATCH(Dashboard!$B$11,{"Department","Team","Unit","Legal entity","Location","Lead"},0),INDEX(Lists!$B$3:$B$20,ROW()-1),INDEX(Lists!$C$3:$C$146,ROW()-1),INDEX(Lists!$D$3:$D$67,ROW()-1),INDEX(Lists!$E$3:$E$5,ROW()-1),INDEX(Lists!$F$3:$F$12,ROW()-1),INDEX(Lists!$G$3:$G$126,ROW()-1)),"")</f>
        <v/>
      </c>
      <c r="K451">
        <f>IF(J451="","",SUMPRODUCT(($A$2:$A$636=1)*($G$2:$G$636=J451)))</f>
        <v/>
      </c>
      <c r="L451">
        <f>IF(J451="","",SUMPRODUCT(($A$2:$A$636=1)*($G$2:$G$636=J451)*(ISNUMBER($B$2:$B$636))*($B$2:$B$636&lt;0.5)))</f>
        <v/>
      </c>
      <c r="M451">
        <f>IFERROR(L451/K451,"")</f>
        <v/>
      </c>
      <c r="N451">
        <f>IF(K451="","",M451+K451/100000+ROW()/100000000)</f>
        <v/>
      </c>
      <c r="R451">
        <f>IF(A451=1,IFERROR(I451,0)+ROW()/100000000,-1E+99)</f>
        <v/>
      </c>
      <c r="S451">
        <f>IF(A451=1,IFERROR(Raw_data!$T451,""),"")</f>
        <v/>
      </c>
      <c r="T451">
        <f>IF(A451=1,IFERROR(Raw_data!$AA451,""),"")</f>
        <v/>
      </c>
      <c r="U451">
        <f>IF(A451=1,IFERROR(Raw_data!$U451,""),"")</f>
        <v/>
      </c>
      <c r="V451">
        <f>IF(A451=1,IFERROR(Raw_data!$AB451,""),"")</f>
        <v/>
      </c>
    </row>
    <row r="452">
      <c r="A452">
        <f>--(AND(OR(Dashboard!$B$4="All",Raw_data!$AL452=Dashboard!$B$4),OR(Dashboard!$B$5="All",Raw_data!$AM452=Dashboard!$B$5),OR(Dashboard!$B$6="All",Raw_data!$AN452=Dashboard!$B$6),OR(Dashboard!$B$7="All",Raw_data!$AO452=Dashboard!$B$7),OR(Dashboard!$B$8="All",Raw_data!$AP452=Dashboard!$B$8),OR(Dashboard!$B$9="All",Raw_data!$AQ452=Dashboard!$B$9),OR(Dashboard!$B$10="All",Raw_data!$AF452=Dashboard!$B$10),OR(Raw_data!$F452="",Raw_data!$F452&lt;=TODAY())))</f>
        <v/>
      </c>
      <c r="B452">
        <f>IFERROR(IF(Dashboard!$B$3="Weighted",Raw_data!$U452,Raw_data!$T452),"")</f>
        <v/>
      </c>
      <c r="C452">
        <f>IFERROR(IF(Dashboard!$B$3="Weighted",Raw_data!$AB452,Raw_data!$AA452),"")</f>
        <v/>
      </c>
      <c r="D452">
        <f>IF(OR(Raw_data!$J452="",Raw_data!$J452&lt;=0,Raw_data!$K452=""),"",IF(Raw_data!$K452&gt;TODAY(),0,DATEDIF(Raw_data!$K452,TODAY(),"M")))</f>
        <v/>
      </c>
      <c r="E452">
        <f>--(AND(Raw_data!$AF452="No",OR(Raw_data!$AG452&lt;&gt;"",Raw_data!$AJ452&gt;0,Raw_data!$AK452&lt;&gt;"")))</f>
        <v/>
      </c>
      <c r="F452">
        <f>--(OR(AND(ISNUMBER(B452),B452&lt;0.5,OR(D452&gt;=24,Raw_data!$I452&gt;0)),Raw_data!$AE452=TRUE))</f>
        <v/>
      </c>
      <c r="G452">
        <f>IF(Dashboard!$B$11="Department",Raw_data!$AL452,IF(Dashboard!$B$11="Team",Raw_data!$AM452,IF(Dashboard!$B$11="Unit",Raw_data!$AN452,IF(Dashboard!$B$11="Legal entity",Raw_data!$AO452,IF(Dashboard!$B$11="Location",Raw_data!$AP452,Raw_data!$AQ452)))))</f>
        <v/>
      </c>
      <c r="H452">
        <f>--(AND(ISNUMBER(B452),B452&lt;0.5))</f>
        <v/>
      </c>
      <c r="I452">
        <f>IFERROR(MAX(0,(0.5-B452)*100),0)+IF(D452&gt;=24,20,0)+IF(Raw_data!$I452&gt;0,20,0)+IF(Raw_data!$AE452=TRUE,10,0)</f>
        <v/>
      </c>
      <c r="J452">
        <f>IFERROR(CHOOSE(MATCH(Dashboard!$B$11,{"Department","Team","Unit","Legal entity","Location","Lead"},0),INDEX(Lists!$B$3:$B$20,ROW()-1),INDEX(Lists!$C$3:$C$146,ROW()-1),INDEX(Lists!$D$3:$D$67,ROW()-1),INDEX(Lists!$E$3:$E$5,ROW()-1),INDEX(Lists!$F$3:$F$12,ROW()-1),INDEX(Lists!$G$3:$G$126,ROW()-1)),"")</f>
        <v/>
      </c>
      <c r="K452">
        <f>IF(J452="","",SUMPRODUCT(($A$2:$A$636=1)*($G$2:$G$636=J452)))</f>
        <v/>
      </c>
      <c r="L452">
        <f>IF(J452="","",SUMPRODUCT(($A$2:$A$636=1)*($G$2:$G$636=J452)*(ISNUMBER($B$2:$B$636))*($B$2:$B$636&lt;0.5)))</f>
        <v/>
      </c>
      <c r="M452">
        <f>IFERROR(L452/K452,"")</f>
        <v/>
      </c>
      <c r="N452">
        <f>IF(K452="","",M452+K452/100000+ROW()/100000000)</f>
        <v/>
      </c>
      <c r="R452">
        <f>IF(A452=1,IFERROR(I452,0)+ROW()/100000000,-1E+99)</f>
        <v/>
      </c>
      <c r="S452">
        <f>IF(A452=1,IFERROR(Raw_data!$T452,""),"")</f>
        <v/>
      </c>
      <c r="T452">
        <f>IF(A452=1,IFERROR(Raw_data!$AA452,""),"")</f>
        <v/>
      </c>
      <c r="U452">
        <f>IF(A452=1,IFERROR(Raw_data!$U452,""),"")</f>
        <v/>
      </c>
      <c r="V452">
        <f>IF(A452=1,IFERROR(Raw_data!$AB452,""),"")</f>
        <v/>
      </c>
    </row>
    <row r="453">
      <c r="A453">
        <f>--(AND(OR(Dashboard!$B$4="All",Raw_data!$AL453=Dashboard!$B$4),OR(Dashboard!$B$5="All",Raw_data!$AM453=Dashboard!$B$5),OR(Dashboard!$B$6="All",Raw_data!$AN453=Dashboard!$B$6),OR(Dashboard!$B$7="All",Raw_data!$AO453=Dashboard!$B$7),OR(Dashboard!$B$8="All",Raw_data!$AP453=Dashboard!$B$8),OR(Dashboard!$B$9="All",Raw_data!$AQ453=Dashboard!$B$9),OR(Dashboard!$B$10="All",Raw_data!$AF453=Dashboard!$B$10),OR(Raw_data!$F453="",Raw_data!$F453&lt;=TODAY())))</f>
        <v/>
      </c>
      <c r="B453">
        <f>IFERROR(IF(Dashboard!$B$3="Weighted",Raw_data!$U453,Raw_data!$T453),"")</f>
        <v/>
      </c>
      <c r="C453">
        <f>IFERROR(IF(Dashboard!$B$3="Weighted",Raw_data!$AB453,Raw_data!$AA453),"")</f>
        <v/>
      </c>
      <c r="D453">
        <f>IF(OR(Raw_data!$J453="",Raw_data!$J453&lt;=0,Raw_data!$K453=""),"",IF(Raw_data!$K453&gt;TODAY(),0,DATEDIF(Raw_data!$K453,TODAY(),"M")))</f>
        <v/>
      </c>
      <c r="E453">
        <f>--(AND(Raw_data!$AF453="No",OR(Raw_data!$AG453&lt;&gt;"",Raw_data!$AJ453&gt;0,Raw_data!$AK453&lt;&gt;"")))</f>
        <v/>
      </c>
      <c r="F453">
        <f>--(OR(AND(ISNUMBER(B453),B453&lt;0.5,OR(D453&gt;=24,Raw_data!$I453&gt;0)),Raw_data!$AE453=TRUE))</f>
        <v/>
      </c>
      <c r="G453">
        <f>IF(Dashboard!$B$11="Department",Raw_data!$AL453,IF(Dashboard!$B$11="Team",Raw_data!$AM453,IF(Dashboard!$B$11="Unit",Raw_data!$AN453,IF(Dashboard!$B$11="Legal entity",Raw_data!$AO453,IF(Dashboard!$B$11="Location",Raw_data!$AP453,Raw_data!$AQ453)))))</f>
        <v/>
      </c>
      <c r="H453">
        <f>--(AND(ISNUMBER(B453),B453&lt;0.5))</f>
        <v/>
      </c>
      <c r="I453">
        <f>IFERROR(MAX(0,(0.5-B453)*100),0)+IF(D453&gt;=24,20,0)+IF(Raw_data!$I453&gt;0,20,0)+IF(Raw_data!$AE453=TRUE,10,0)</f>
        <v/>
      </c>
      <c r="J453">
        <f>IFERROR(CHOOSE(MATCH(Dashboard!$B$11,{"Department","Team","Unit","Legal entity","Location","Lead"},0),INDEX(Lists!$B$3:$B$20,ROW()-1),INDEX(Lists!$C$3:$C$146,ROW()-1),INDEX(Lists!$D$3:$D$67,ROW()-1),INDEX(Lists!$E$3:$E$5,ROW()-1),INDEX(Lists!$F$3:$F$12,ROW()-1),INDEX(Lists!$G$3:$G$126,ROW()-1)),"")</f>
        <v/>
      </c>
      <c r="K453">
        <f>IF(J453="","",SUMPRODUCT(($A$2:$A$636=1)*($G$2:$G$636=J453)))</f>
        <v/>
      </c>
      <c r="L453">
        <f>IF(J453="","",SUMPRODUCT(($A$2:$A$636=1)*($G$2:$G$636=J453)*(ISNUMBER($B$2:$B$636))*($B$2:$B$636&lt;0.5)))</f>
        <v/>
      </c>
      <c r="M453">
        <f>IFERROR(L453/K453,"")</f>
        <v/>
      </c>
      <c r="N453">
        <f>IF(K453="","",M453+K453/100000+ROW()/100000000)</f>
        <v/>
      </c>
      <c r="R453">
        <f>IF(A453=1,IFERROR(I453,0)+ROW()/100000000,-1E+99)</f>
        <v/>
      </c>
      <c r="S453">
        <f>IF(A453=1,IFERROR(Raw_data!$T453,""),"")</f>
        <v/>
      </c>
      <c r="T453">
        <f>IF(A453=1,IFERROR(Raw_data!$AA453,""),"")</f>
        <v/>
      </c>
      <c r="U453">
        <f>IF(A453=1,IFERROR(Raw_data!$U453,""),"")</f>
        <v/>
      </c>
      <c r="V453">
        <f>IF(A453=1,IFERROR(Raw_data!$AB453,""),"")</f>
        <v/>
      </c>
    </row>
    <row r="454">
      <c r="A454">
        <f>--(AND(OR(Dashboard!$B$4="All",Raw_data!$AL454=Dashboard!$B$4),OR(Dashboard!$B$5="All",Raw_data!$AM454=Dashboard!$B$5),OR(Dashboard!$B$6="All",Raw_data!$AN454=Dashboard!$B$6),OR(Dashboard!$B$7="All",Raw_data!$AO454=Dashboard!$B$7),OR(Dashboard!$B$8="All",Raw_data!$AP454=Dashboard!$B$8),OR(Dashboard!$B$9="All",Raw_data!$AQ454=Dashboard!$B$9),OR(Dashboard!$B$10="All",Raw_data!$AF454=Dashboard!$B$10),OR(Raw_data!$F454="",Raw_data!$F454&lt;=TODAY())))</f>
        <v/>
      </c>
      <c r="B454">
        <f>IFERROR(IF(Dashboard!$B$3="Weighted",Raw_data!$U454,Raw_data!$T454),"")</f>
        <v/>
      </c>
      <c r="C454">
        <f>IFERROR(IF(Dashboard!$B$3="Weighted",Raw_data!$AB454,Raw_data!$AA454),"")</f>
        <v/>
      </c>
      <c r="D454">
        <f>IF(OR(Raw_data!$J454="",Raw_data!$J454&lt;=0,Raw_data!$K454=""),"",IF(Raw_data!$K454&gt;TODAY(),0,DATEDIF(Raw_data!$K454,TODAY(),"M")))</f>
        <v/>
      </c>
      <c r="E454">
        <f>--(AND(Raw_data!$AF454="No",OR(Raw_data!$AG454&lt;&gt;"",Raw_data!$AJ454&gt;0,Raw_data!$AK454&lt;&gt;"")))</f>
        <v/>
      </c>
      <c r="F454">
        <f>--(OR(AND(ISNUMBER(B454),B454&lt;0.5,OR(D454&gt;=24,Raw_data!$I454&gt;0)),Raw_data!$AE454=TRUE))</f>
        <v/>
      </c>
      <c r="G454">
        <f>IF(Dashboard!$B$11="Department",Raw_data!$AL454,IF(Dashboard!$B$11="Team",Raw_data!$AM454,IF(Dashboard!$B$11="Unit",Raw_data!$AN454,IF(Dashboard!$B$11="Legal entity",Raw_data!$AO454,IF(Dashboard!$B$11="Location",Raw_data!$AP454,Raw_data!$AQ454)))))</f>
        <v/>
      </c>
      <c r="H454">
        <f>--(AND(ISNUMBER(B454),B454&lt;0.5))</f>
        <v/>
      </c>
      <c r="I454">
        <f>IFERROR(MAX(0,(0.5-B454)*100),0)+IF(D454&gt;=24,20,0)+IF(Raw_data!$I454&gt;0,20,0)+IF(Raw_data!$AE454=TRUE,10,0)</f>
        <v/>
      </c>
      <c r="J454">
        <f>IFERROR(CHOOSE(MATCH(Dashboard!$B$11,{"Department","Team","Unit","Legal entity","Location","Lead"},0),INDEX(Lists!$B$3:$B$20,ROW()-1),INDEX(Lists!$C$3:$C$146,ROW()-1),INDEX(Lists!$D$3:$D$67,ROW()-1),INDEX(Lists!$E$3:$E$5,ROW()-1),INDEX(Lists!$F$3:$F$12,ROW()-1),INDEX(Lists!$G$3:$G$126,ROW()-1)),"")</f>
        <v/>
      </c>
      <c r="K454">
        <f>IF(J454="","",SUMPRODUCT(($A$2:$A$636=1)*($G$2:$G$636=J454)))</f>
        <v/>
      </c>
      <c r="L454">
        <f>IF(J454="","",SUMPRODUCT(($A$2:$A$636=1)*($G$2:$G$636=J454)*(ISNUMBER($B$2:$B$636))*($B$2:$B$636&lt;0.5)))</f>
        <v/>
      </c>
      <c r="M454">
        <f>IFERROR(L454/K454,"")</f>
        <v/>
      </c>
      <c r="N454">
        <f>IF(K454="","",M454+K454/100000+ROW()/100000000)</f>
        <v/>
      </c>
      <c r="R454">
        <f>IF(A454=1,IFERROR(I454,0)+ROW()/100000000,-1E+99)</f>
        <v/>
      </c>
      <c r="S454">
        <f>IF(A454=1,IFERROR(Raw_data!$T454,""),"")</f>
        <v/>
      </c>
      <c r="T454">
        <f>IF(A454=1,IFERROR(Raw_data!$AA454,""),"")</f>
        <v/>
      </c>
      <c r="U454">
        <f>IF(A454=1,IFERROR(Raw_data!$U454,""),"")</f>
        <v/>
      </c>
      <c r="V454">
        <f>IF(A454=1,IFERROR(Raw_data!$AB454,""),"")</f>
        <v/>
      </c>
    </row>
    <row r="455">
      <c r="A455">
        <f>--(AND(OR(Dashboard!$B$4="All",Raw_data!$AL455=Dashboard!$B$4),OR(Dashboard!$B$5="All",Raw_data!$AM455=Dashboard!$B$5),OR(Dashboard!$B$6="All",Raw_data!$AN455=Dashboard!$B$6),OR(Dashboard!$B$7="All",Raw_data!$AO455=Dashboard!$B$7),OR(Dashboard!$B$8="All",Raw_data!$AP455=Dashboard!$B$8),OR(Dashboard!$B$9="All",Raw_data!$AQ455=Dashboard!$B$9),OR(Dashboard!$B$10="All",Raw_data!$AF455=Dashboard!$B$10),OR(Raw_data!$F455="",Raw_data!$F455&lt;=TODAY())))</f>
        <v/>
      </c>
      <c r="B455">
        <f>IFERROR(IF(Dashboard!$B$3="Weighted",Raw_data!$U455,Raw_data!$T455),"")</f>
        <v/>
      </c>
      <c r="C455">
        <f>IFERROR(IF(Dashboard!$B$3="Weighted",Raw_data!$AB455,Raw_data!$AA455),"")</f>
        <v/>
      </c>
      <c r="D455">
        <f>IF(OR(Raw_data!$J455="",Raw_data!$J455&lt;=0,Raw_data!$K455=""),"",IF(Raw_data!$K455&gt;TODAY(),0,DATEDIF(Raw_data!$K455,TODAY(),"M")))</f>
        <v/>
      </c>
      <c r="E455">
        <f>--(AND(Raw_data!$AF455="No",OR(Raw_data!$AG455&lt;&gt;"",Raw_data!$AJ455&gt;0,Raw_data!$AK455&lt;&gt;"")))</f>
        <v/>
      </c>
      <c r="F455">
        <f>--(OR(AND(ISNUMBER(B455),B455&lt;0.5,OR(D455&gt;=24,Raw_data!$I455&gt;0)),Raw_data!$AE455=TRUE))</f>
        <v/>
      </c>
      <c r="G455">
        <f>IF(Dashboard!$B$11="Department",Raw_data!$AL455,IF(Dashboard!$B$11="Team",Raw_data!$AM455,IF(Dashboard!$B$11="Unit",Raw_data!$AN455,IF(Dashboard!$B$11="Legal entity",Raw_data!$AO455,IF(Dashboard!$B$11="Location",Raw_data!$AP455,Raw_data!$AQ455)))))</f>
        <v/>
      </c>
      <c r="H455">
        <f>--(AND(ISNUMBER(B455),B455&lt;0.5))</f>
        <v/>
      </c>
      <c r="I455">
        <f>IFERROR(MAX(0,(0.5-B455)*100),0)+IF(D455&gt;=24,20,0)+IF(Raw_data!$I455&gt;0,20,0)+IF(Raw_data!$AE455=TRUE,10,0)</f>
        <v/>
      </c>
      <c r="J455">
        <f>IFERROR(CHOOSE(MATCH(Dashboard!$B$11,{"Department","Team","Unit","Legal entity","Location","Lead"},0),INDEX(Lists!$B$3:$B$20,ROW()-1),INDEX(Lists!$C$3:$C$146,ROW()-1),INDEX(Lists!$D$3:$D$67,ROW()-1),INDEX(Lists!$E$3:$E$5,ROW()-1),INDEX(Lists!$F$3:$F$12,ROW()-1),INDEX(Lists!$G$3:$G$126,ROW()-1)),"")</f>
        <v/>
      </c>
      <c r="K455">
        <f>IF(J455="","",SUMPRODUCT(($A$2:$A$636=1)*($G$2:$G$636=J455)))</f>
        <v/>
      </c>
      <c r="L455">
        <f>IF(J455="","",SUMPRODUCT(($A$2:$A$636=1)*($G$2:$G$636=J455)*(ISNUMBER($B$2:$B$636))*($B$2:$B$636&lt;0.5)))</f>
        <v/>
      </c>
      <c r="M455">
        <f>IFERROR(L455/K455,"")</f>
        <v/>
      </c>
      <c r="N455">
        <f>IF(K455="","",M455+K455/100000+ROW()/100000000)</f>
        <v/>
      </c>
      <c r="R455">
        <f>IF(A455=1,IFERROR(I455,0)+ROW()/100000000,-1E+99)</f>
        <v/>
      </c>
      <c r="S455">
        <f>IF(A455=1,IFERROR(Raw_data!$T455,""),"")</f>
        <v/>
      </c>
      <c r="T455">
        <f>IF(A455=1,IFERROR(Raw_data!$AA455,""),"")</f>
        <v/>
      </c>
      <c r="U455">
        <f>IF(A455=1,IFERROR(Raw_data!$U455,""),"")</f>
        <v/>
      </c>
      <c r="V455">
        <f>IF(A455=1,IFERROR(Raw_data!$AB455,""),"")</f>
        <v/>
      </c>
    </row>
    <row r="456">
      <c r="A456">
        <f>--(AND(OR(Dashboard!$B$4="All",Raw_data!$AL456=Dashboard!$B$4),OR(Dashboard!$B$5="All",Raw_data!$AM456=Dashboard!$B$5),OR(Dashboard!$B$6="All",Raw_data!$AN456=Dashboard!$B$6),OR(Dashboard!$B$7="All",Raw_data!$AO456=Dashboard!$B$7),OR(Dashboard!$B$8="All",Raw_data!$AP456=Dashboard!$B$8),OR(Dashboard!$B$9="All",Raw_data!$AQ456=Dashboard!$B$9),OR(Dashboard!$B$10="All",Raw_data!$AF456=Dashboard!$B$10),OR(Raw_data!$F456="",Raw_data!$F456&lt;=TODAY())))</f>
        <v/>
      </c>
      <c r="B456">
        <f>IFERROR(IF(Dashboard!$B$3="Weighted",Raw_data!$U456,Raw_data!$T456),"")</f>
        <v/>
      </c>
      <c r="C456">
        <f>IFERROR(IF(Dashboard!$B$3="Weighted",Raw_data!$AB456,Raw_data!$AA456),"")</f>
        <v/>
      </c>
      <c r="D456">
        <f>IF(OR(Raw_data!$J456="",Raw_data!$J456&lt;=0,Raw_data!$K456=""),"",IF(Raw_data!$K456&gt;TODAY(),0,DATEDIF(Raw_data!$K456,TODAY(),"M")))</f>
        <v/>
      </c>
      <c r="E456">
        <f>--(AND(Raw_data!$AF456="No",OR(Raw_data!$AG456&lt;&gt;"",Raw_data!$AJ456&gt;0,Raw_data!$AK456&lt;&gt;"")))</f>
        <v/>
      </c>
      <c r="F456">
        <f>--(OR(AND(ISNUMBER(B456),B456&lt;0.5,OR(D456&gt;=24,Raw_data!$I456&gt;0)),Raw_data!$AE456=TRUE))</f>
        <v/>
      </c>
      <c r="G456">
        <f>IF(Dashboard!$B$11="Department",Raw_data!$AL456,IF(Dashboard!$B$11="Team",Raw_data!$AM456,IF(Dashboard!$B$11="Unit",Raw_data!$AN456,IF(Dashboard!$B$11="Legal entity",Raw_data!$AO456,IF(Dashboard!$B$11="Location",Raw_data!$AP456,Raw_data!$AQ456)))))</f>
        <v/>
      </c>
      <c r="H456">
        <f>--(AND(ISNUMBER(B456),B456&lt;0.5))</f>
        <v/>
      </c>
      <c r="I456">
        <f>IFERROR(MAX(0,(0.5-B456)*100),0)+IF(D456&gt;=24,20,0)+IF(Raw_data!$I456&gt;0,20,0)+IF(Raw_data!$AE456=TRUE,10,0)</f>
        <v/>
      </c>
      <c r="J456">
        <f>IFERROR(CHOOSE(MATCH(Dashboard!$B$11,{"Department","Team","Unit","Legal entity","Location","Lead"},0),INDEX(Lists!$B$3:$B$20,ROW()-1),INDEX(Lists!$C$3:$C$146,ROW()-1),INDEX(Lists!$D$3:$D$67,ROW()-1),INDEX(Lists!$E$3:$E$5,ROW()-1),INDEX(Lists!$F$3:$F$12,ROW()-1),INDEX(Lists!$G$3:$G$126,ROW()-1)),"")</f>
        <v/>
      </c>
      <c r="K456">
        <f>IF(J456="","",SUMPRODUCT(($A$2:$A$636=1)*($G$2:$G$636=J456)))</f>
        <v/>
      </c>
      <c r="L456">
        <f>IF(J456="","",SUMPRODUCT(($A$2:$A$636=1)*($G$2:$G$636=J456)*(ISNUMBER($B$2:$B$636))*($B$2:$B$636&lt;0.5)))</f>
        <v/>
      </c>
      <c r="M456">
        <f>IFERROR(L456/K456,"")</f>
        <v/>
      </c>
      <c r="N456">
        <f>IF(K456="","",M456+K456/100000+ROW()/100000000)</f>
        <v/>
      </c>
      <c r="R456">
        <f>IF(A456=1,IFERROR(I456,0)+ROW()/100000000,-1E+99)</f>
        <v/>
      </c>
      <c r="S456">
        <f>IF(A456=1,IFERROR(Raw_data!$T456,""),"")</f>
        <v/>
      </c>
      <c r="T456">
        <f>IF(A456=1,IFERROR(Raw_data!$AA456,""),"")</f>
        <v/>
      </c>
      <c r="U456">
        <f>IF(A456=1,IFERROR(Raw_data!$U456,""),"")</f>
        <v/>
      </c>
      <c r="V456">
        <f>IF(A456=1,IFERROR(Raw_data!$AB456,""),"")</f>
        <v/>
      </c>
    </row>
    <row r="457">
      <c r="A457">
        <f>--(AND(OR(Dashboard!$B$4="All",Raw_data!$AL457=Dashboard!$B$4),OR(Dashboard!$B$5="All",Raw_data!$AM457=Dashboard!$B$5),OR(Dashboard!$B$6="All",Raw_data!$AN457=Dashboard!$B$6),OR(Dashboard!$B$7="All",Raw_data!$AO457=Dashboard!$B$7),OR(Dashboard!$B$8="All",Raw_data!$AP457=Dashboard!$B$8),OR(Dashboard!$B$9="All",Raw_data!$AQ457=Dashboard!$B$9),OR(Dashboard!$B$10="All",Raw_data!$AF457=Dashboard!$B$10),OR(Raw_data!$F457="",Raw_data!$F457&lt;=TODAY())))</f>
        <v/>
      </c>
      <c r="B457">
        <f>IFERROR(IF(Dashboard!$B$3="Weighted",Raw_data!$U457,Raw_data!$T457),"")</f>
        <v/>
      </c>
      <c r="C457">
        <f>IFERROR(IF(Dashboard!$B$3="Weighted",Raw_data!$AB457,Raw_data!$AA457),"")</f>
        <v/>
      </c>
      <c r="D457">
        <f>IF(OR(Raw_data!$J457="",Raw_data!$J457&lt;=0,Raw_data!$K457=""),"",IF(Raw_data!$K457&gt;TODAY(),0,DATEDIF(Raw_data!$K457,TODAY(),"M")))</f>
        <v/>
      </c>
      <c r="E457">
        <f>--(AND(Raw_data!$AF457="No",OR(Raw_data!$AG457&lt;&gt;"",Raw_data!$AJ457&gt;0,Raw_data!$AK457&lt;&gt;"")))</f>
        <v/>
      </c>
      <c r="F457">
        <f>--(OR(AND(ISNUMBER(B457),B457&lt;0.5,OR(D457&gt;=24,Raw_data!$I457&gt;0)),Raw_data!$AE457=TRUE))</f>
        <v/>
      </c>
      <c r="G457">
        <f>IF(Dashboard!$B$11="Department",Raw_data!$AL457,IF(Dashboard!$B$11="Team",Raw_data!$AM457,IF(Dashboard!$B$11="Unit",Raw_data!$AN457,IF(Dashboard!$B$11="Legal entity",Raw_data!$AO457,IF(Dashboard!$B$11="Location",Raw_data!$AP457,Raw_data!$AQ457)))))</f>
        <v/>
      </c>
      <c r="H457">
        <f>--(AND(ISNUMBER(B457),B457&lt;0.5))</f>
        <v/>
      </c>
      <c r="I457">
        <f>IFERROR(MAX(0,(0.5-B457)*100),0)+IF(D457&gt;=24,20,0)+IF(Raw_data!$I457&gt;0,20,0)+IF(Raw_data!$AE457=TRUE,10,0)</f>
        <v/>
      </c>
      <c r="J457">
        <f>IFERROR(CHOOSE(MATCH(Dashboard!$B$11,{"Department","Team","Unit","Legal entity","Location","Lead"},0),INDEX(Lists!$B$3:$B$20,ROW()-1),INDEX(Lists!$C$3:$C$146,ROW()-1),INDEX(Lists!$D$3:$D$67,ROW()-1),INDEX(Lists!$E$3:$E$5,ROW()-1),INDEX(Lists!$F$3:$F$12,ROW()-1),INDEX(Lists!$G$3:$G$126,ROW()-1)),"")</f>
        <v/>
      </c>
      <c r="K457">
        <f>IF(J457="","",SUMPRODUCT(($A$2:$A$636=1)*($G$2:$G$636=J457)))</f>
        <v/>
      </c>
      <c r="L457">
        <f>IF(J457="","",SUMPRODUCT(($A$2:$A$636=1)*($G$2:$G$636=J457)*(ISNUMBER($B$2:$B$636))*($B$2:$B$636&lt;0.5)))</f>
        <v/>
      </c>
      <c r="M457">
        <f>IFERROR(L457/K457,"")</f>
        <v/>
      </c>
      <c r="N457">
        <f>IF(K457="","",M457+K457/100000+ROW()/100000000)</f>
        <v/>
      </c>
      <c r="R457">
        <f>IF(A457=1,IFERROR(I457,0)+ROW()/100000000,-1E+99)</f>
        <v/>
      </c>
      <c r="S457">
        <f>IF(A457=1,IFERROR(Raw_data!$T457,""),"")</f>
        <v/>
      </c>
      <c r="T457">
        <f>IF(A457=1,IFERROR(Raw_data!$AA457,""),"")</f>
        <v/>
      </c>
      <c r="U457">
        <f>IF(A457=1,IFERROR(Raw_data!$U457,""),"")</f>
        <v/>
      </c>
      <c r="V457">
        <f>IF(A457=1,IFERROR(Raw_data!$AB457,""),"")</f>
        <v/>
      </c>
    </row>
    <row r="458">
      <c r="A458">
        <f>--(AND(OR(Dashboard!$B$4="All",Raw_data!$AL458=Dashboard!$B$4),OR(Dashboard!$B$5="All",Raw_data!$AM458=Dashboard!$B$5),OR(Dashboard!$B$6="All",Raw_data!$AN458=Dashboard!$B$6),OR(Dashboard!$B$7="All",Raw_data!$AO458=Dashboard!$B$7),OR(Dashboard!$B$8="All",Raw_data!$AP458=Dashboard!$B$8),OR(Dashboard!$B$9="All",Raw_data!$AQ458=Dashboard!$B$9),OR(Dashboard!$B$10="All",Raw_data!$AF458=Dashboard!$B$10),OR(Raw_data!$F458="",Raw_data!$F458&lt;=TODAY())))</f>
        <v/>
      </c>
      <c r="B458">
        <f>IFERROR(IF(Dashboard!$B$3="Weighted",Raw_data!$U458,Raw_data!$T458),"")</f>
        <v/>
      </c>
      <c r="C458">
        <f>IFERROR(IF(Dashboard!$B$3="Weighted",Raw_data!$AB458,Raw_data!$AA458),"")</f>
        <v/>
      </c>
      <c r="D458">
        <f>IF(OR(Raw_data!$J458="",Raw_data!$J458&lt;=0,Raw_data!$K458=""),"",IF(Raw_data!$K458&gt;TODAY(),0,DATEDIF(Raw_data!$K458,TODAY(),"M")))</f>
        <v/>
      </c>
      <c r="E458">
        <f>--(AND(Raw_data!$AF458="No",OR(Raw_data!$AG458&lt;&gt;"",Raw_data!$AJ458&gt;0,Raw_data!$AK458&lt;&gt;"")))</f>
        <v/>
      </c>
      <c r="F458">
        <f>--(OR(AND(ISNUMBER(B458),B458&lt;0.5,OR(D458&gt;=24,Raw_data!$I458&gt;0)),Raw_data!$AE458=TRUE))</f>
        <v/>
      </c>
      <c r="G458">
        <f>IF(Dashboard!$B$11="Department",Raw_data!$AL458,IF(Dashboard!$B$11="Team",Raw_data!$AM458,IF(Dashboard!$B$11="Unit",Raw_data!$AN458,IF(Dashboard!$B$11="Legal entity",Raw_data!$AO458,IF(Dashboard!$B$11="Location",Raw_data!$AP458,Raw_data!$AQ458)))))</f>
        <v/>
      </c>
      <c r="H458">
        <f>--(AND(ISNUMBER(B458),B458&lt;0.5))</f>
        <v/>
      </c>
      <c r="I458">
        <f>IFERROR(MAX(0,(0.5-B458)*100),0)+IF(D458&gt;=24,20,0)+IF(Raw_data!$I458&gt;0,20,0)+IF(Raw_data!$AE458=TRUE,10,0)</f>
        <v/>
      </c>
      <c r="J458">
        <f>IFERROR(CHOOSE(MATCH(Dashboard!$B$11,{"Department","Team","Unit","Legal entity","Location","Lead"},0),INDEX(Lists!$B$3:$B$20,ROW()-1),INDEX(Lists!$C$3:$C$146,ROW()-1),INDEX(Lists!$D$3:$D$67,ROW()-1),INDEX(Lists!$E$3:$E$5,ROW()-1),INDEX(Lists!$F$3:$F$12,ROW()-1),INDEX(Lists!$G$3:$G$126,ROW()-1)),"")</f>
        <v/>
      </c>
      <c r="K458">
        <f>IF(J458="","",SUMPRODUCT(($A$2:$A$636=1)*($G$2:$G$636=J458)))</f>
        <v/>
      </c>
      <c r="L458">
        <f>IF(J458="","",SUMPRODUCT(($A$2:$A$636=1)*($G$2:$G$636=J458)*(ISNUMBER($B$2:$B$636))*($B$2:$B$636&lt;0.5)))</f>
        <v/>
      </c>
      <c r="M458">
        <f>IFERROR(L458/K458,"")</f>
        <v/>
      </c>
      <c r="N458">
        <f>IF(K458="","",M458+K458/100000+ROW()/100000000)</f>
        <v/>
      </c>
      <c r="R458">
        <f>IF(A458=1,IFERROR(I458,0)+ROW()/100000000,-1E+99)</f>
        <v/>
      </c>
      <c r="S458">
        <f>IF(A458=1,IFERROR(Raw_data!$T458,""),"")</f>
        <v/>
      </c>
      <c r="T458">
        <f>IF(A458=1,IFERROR(Raw_data!$AA458,""),"")</f>
        <v/>
      </c>
      <c r="U458">
        <f>IF(A458=1,IFERROR(Raw_data!$U458,""),"")</f>
        <v/>
      </c>
      <c r="V458">
        <f>IF(A458=1,IFERROR(Raw_data!$AB458,""),"")</f>
        <v/>
      </c>
    </row>
    <row r="459">
      <c r="A459">
        <f>--(AND(OR(Dashboard!$B$4="All",Raw_data!$AL459=Dashboard!$B$4),OR(Dashboard!$B$5="All",Raw_data!$AM459=Dashboard!$B$5),OR(Dashboard!$B$6="All",Raw_data!$AN459=Dashboard!$B$6),OR(Dashboard!$B$7="All",Raw_data!$AO459=Dashboard!$B$7),OR(Dashboard!$B$8="All",Raw_data!$AP459=Dashboard!$B$8),OR(Dashboard!$B$9="All",Raw_data!$AQ459=Dashboard!$B$9),OR(Dashboard!$B$10="All",Raw_data!$AF459=Dashboard!$B$10),OR(Raw_data!$F459="",Raw_data!$F459&lt;=TODAY())))</f>
        <v/>
      </c>
      <c r="B459">
        <f>IFERROR(IF(Dashboard!$B$3="Weighted",Raw_data!$U459,Raw_data!$T459),"")</f>
        <v/>
      </c>
      <c r="C459">
        <f>IFERROR(IF(Dashboard!$B$3="Weighted",Raw_data!$AB459,Raw_data!$AA459),"")</f>
        <v/>
      </c>
      <c r="D459">
        <f>IF(OR(Raw_data!$J459="",Raw_data!$J459&lt;=0,Raw_data!$K459=""),"",IF(Raw_data!$K459&gt;TODAY(),0,DATEDIF(Raw_data!$K459,TODAY(),"M")))</f>
        <v/>
      </c>
      <c r="E459">
        <f>--(AND(Raw_data!$AF459="No",OR(Raw_data!$AG459&lt;&gt;"",Raw_data!$AJ459&gt;0,Raw_data!$AK459&lt;&gt;"")))</f>
        <v/>
      </c>
      <c r="F459">
        <f>--(OR(AND(ISNUMBER(B459),B459&lt;0.5,OR(D459&gt;=24,Raw_data!$I459&gt;0)),Raw_data!$AE459=TRUE))</f>
        <v/>
      </c>
      <c r="G459">
        <f>IF(Dashboard!$B$11="Department",Raw_data!$AL459,IF(Dashboard!$B$11="Team",Raw_data!$AM459,IF(Dashboard!$B$11="Unit",Raw_data!$AN459,IF(Dashboard!$B$11="Legal entity",Raw_data!$AO459,IF(Dashboard!$B$11="Location",Raw_data!$AP459,Raw_data!$AQ459)))))</f>
        <v/>
      </c>
      <c r="H459">
        <f>--(AND(ISNUMBER(B459),B459&lt;0.5))</f>
        <v/>
      </c>
      <c r="I459">
        <f>IFERROR(MAX(0,(0.5-B459)*100),0)+IF(D459&gt;=24,20,0)+IF(Raw_data!$I459&gt;0,20,0)+IF(Raw_data!$AE459=TRUE,10,0)</f>
        <v/>
      </c>
      <c r="J459">
        <f>IFERROR(CHOOSE(MATCH(Dashboard!$B$11,{"Department","Team","Unit","Legal entity","Location","Lead"},0),INDEX(Lists!$B$3:$B$20,ROW()-1),INDEX(Lists!$C$3:$C$146,ROW()-1),INDEX(Lists!$D$3:$D$67,ROW()-1),INDEX(Lists!$E$3:$E$5,ROW()-1),INDEX(Lists!$F$3:$F$12,ROW()-1),INDEX(Lists!$G$3:$G$126,ROW()-1)),"")</f>
        <v/>
      </c>
      <c r="K459">
        <f>IF(J459="","",SUMPRODUCT(($A$2:$A$636=1)*($G$2:$G$636=J459)))</f>
        <v/>
      </c>
      <c r="L459">
        <f>IF(J459="","",SUMPRODUCT(($A$2:$A$636=1)*($G$2:$G$636=J459)*(ISNUMBER($B$2:$B$636))*($B$2:$B$636&lt;0.5)))</f>
        <v/>
      </c>
      <c r="M459">
        <f>IFERROR(L459/K459,"")</f>
        <v/>
      </c>
      <c r="N459">
        <f>IF(K459="","",M459+K459/100000+ROW()/100000000)</f>
        <v/>
      </c>
      <c r="R459">
        <f>IF(A459=1,IFERROR(I459,0)+ROW()/100000000,-1E+99)</f>
        <v/>
      </c>
      <c r="S459">
        <f>IF(A459=1,IFERROR(Raw_data!$T459,""),"")</f>
        <v/>
      </c>
      <c r="T459">
        <f>IF(A459=1,IFERROR(Raw_data!$AA459,""),"")</f>
        <v/>
      </c>
      <c r="U459">
        <f>IF(A459=1,IFERROR(Raw_data!$U459,""),"")</f>
        <v/>
      </c>
      <c r="V459">
        <f>IF(A459=1,IFERROR(Raw_data!$AB459,""),"")</f>
        <v/>
      </c>
    </row>
    <row r="460">
      <c r="A460">
        <f>--(AND(OR(Dashboard!$B$4="All",Raw_data!$AL460=Dashboard!$B$4),OR(Dashboard!$B$5="All",Raw_data!$AM460=Dashboard!$B$5),OR(Dashboard!$B$6="All",Raw_data!$AN460=Dashboard!$B$6),OR(Dashboard!$B$7="All",Raw_data!$AO460=Dashboard!$B$7),OR(Dashboard!$B$8="All",Raw_data!$AP460=Dashboard!$B$8),OR(Dashboard!$B$9="All",Raw_data!$AQ460=Dashboard!$B$9),OR(Dashboard!$B$10="All",Raw_data!$AF460=Dashboard!$B$10),OR(Raw_data!$F460="",Raw_data!$F460&lt;=TODAY())))</f>
        <v/>
      </c>
      <c r="B460">
        <f>IFERROR(IF(Dashboard!$B$3="Weighted",Raw_data!$U460,Raw_data!$T460),"")</f>
        <v/>
      </c>
      <c r="C460">
        <f>IFERROR(IF(Dashboard!$B$3="Weighted",Raw_data!$AB460,Raw_data!$AA460),"")</f>
        <v/>
      </c>
      <c r="D460">
        <f>IF(OR(Raw_data!$J460="",Raw_data!$J460&lt;=0,Raw_data!$K460=""),"",IF(Raw_data!$K460&gt;TODAY(),0,DATEDIF(Raw_data!$K460,TODAY(),"M")))</f>
        <v/>
      </c>
      <c r="E460">
        <f>--(AND(Raw_data!$AF460="No",OR(Raw_data!$AG460&lt;&gt;"",Raw_data!$AJ460&gt;0,Raw_data!$AK460&lt;&gt;"")))</f>
        <v/>
      </c>
      <c r="F460">
        <f>--(OR(AND(ISNUMBER(B460),B460&lt;0.5,OR(D460&gt;=24,Raw_data!$I460&gt;0)),Raw_data!$AE460=TRUE))</f>
        <v/>
      </c>
      <c r="G460">
        <f>IF(Dashboard!$B$11="Department",Raw_data!$AL460,IF(Dashboard!$B$11="Team",Raw_data!$AM460,IF(Dashboard!$B$11="Unit",Raw_data!$AN460,IF(Dashboard!$B$11="Legal entity",Raw_data!$AO460,IF(Dashboard!$B$11="Location",Raw_data!$AP460,Raw_data!$AQ460)))))</f>
        <v/>
      </c>
      <c r="H460">
        <f>--(AND(ISNUMBER(B460),B460&lt;0.5))</f>
        <v/>
      </c>
      <c r="I460">
        <f>IFERROR(MAX(0,(0.5-B460)*100),0)+IF(D460&gt;=24,20,0)+IF(Raw_data!$I460&gt;0,20,0)+IF(Raw_data!$AE460=TRUE,10,0)</f>
        <v/>
      </c>
      <c r="J460">
        <f>IFERROR(CHOOSE(MATCH(Dashboard!$B$11,{"Department","Team","Unit","Legal entity","Location","Lead"},0),INDEX(Lists!$B$3:$B$20,ROW()-1),INDEX(Lists!$C$3:$C$146,ROW()-1),INDEX(Lists!$D$3:$D$67,ROW()-1),INDEX(Lists!$E$3:$E$5,ROW()-1),INDEX(Lists!$F$3:$F$12,ROW()-1),INDEX(Lists!$G$3:$G$126,ROW()-1)),"")</f>
        <v/>
      </c>
      <c r="K460">
        <f>IF(J460="","",SUMPRODUCT(($A$2:$A$636=1)*($G$2:$G$636=J460)))</f>
        <v/>
      </c>
      <c r="L460">
        <f>IF(J460="","",SUMPRODUCT(($A$2:$A$636=1)*($G$2:$G$636=J460)*(ISNUMBER($B$2:$B$636))*($B$2:$B$636&lt;0.5)))</f>
        <v/>
      </c>
      <c r="M460">
        <f>IFERROR(L460/K460,"")</f>
        <v/>
      </c>
      <c r="N460">
        <f>IF(K460="","",M460+K460/100000+ROW()/100000000)</f>
        <v/>
      </c>
      <c r="R460">
        <f>IF(A460=1,IFERROR(I460,0)+ROW()/100000000,-1E+99)</f>
        <v/>
      </c>
      <c r="S460">
        <f>IF(A460=1,IFERROR(Raw_data!$T460,""),"")</f>
        <v/>
      </c>
      <c r="T460">
        <f>IF(A460=1,IFERROR(Raw_data!$AA460,""),"")</f>
        <v/>
      </c>
      <c r="U460">
        <f>IF(A460=1,IFERROR(Raw_data!$U460,""),"")</f>
        <v/>
      </c>
      <c r="V460">
        <f>IF(A460=1,IFERROR(Raw_data!$AB460,""),"")</f>
        <v/>
      </c>
    </row>
    <row r="461">
      <c r="A461">
        <f>--(AND(OR(Dashboard!$B$4="All",Raw_data!$AL461=Dashboard!$B$4),OR(Dashboard!$B$5="All",Raw_data!$AM461=Dashboard!$B$5),OR(Dashboard!$B$6="All",Raw_data!$AN461=Dashboard!$B$6),OR(Dashboard!$B$7="All",Raw_data!$AO461=Dashboard!$B$7),OR(Dashboard!$B$8="All",Raw_data!$AP461=Dashboard!$B$8),OR(Dashboard!$B$9="All",Raw_data!$AQ461=Dashboard!$B$9),OR(Dashboard!$B$10="All",Raw_data!$AF461=Dashboard!$B$10),OR(Raw_data!$F461="",Raw_data!$F461&lt;=TODAY())))</f>
        <v/>
      </c>
      <c r="B461">
        <f>IFERROR(IF(Dashboard!$B$3="Weighted",Raw_data!$U461,Raw_data!$T461),"")</f>
        <v/>
      </c>
      <c r="C461">
        <f>IFERROR(IF(Dashboard!$B$3="Weighted",Raw_data!$AB461,Raw_data!$AA461),"")</f>
        <v/>
      </c>
      <c r="D461">
        <f>IF(OR(Raw_data!$J461="",Raw_data!$J461&lt;=0,Raw_data!$K461=""),"",IF(Raw_data!$K461&gt;TODAY(),0,DATEDIF(Raw_data!$K461,TODAY(),"M")))</f>
        <v/>
      </c>
      <c r="E461">
        <f>--(AND(Raw_data!$AF461="No",OR(Raw_data!$AG461&lt;&gt;"",Raw_data!$AJ461&gt;0,Raw_data!$AK461&lt;&gt;"")))</f>
        <v/>
      </c>
      <c r="F461">
        <f>--(OR(AND(ISNUMBER(B461),B461&lt;0.5,OR(D461&gt;=24,Raw_data!$I461&gt;0)),Raw_data!$AE461=TRUE))</f>
        <v/>
      </c>
      <c r="G461">
        <f>IF(Dashboard!$B$11="Department",Raw_data!$AL461,IF(Dashboard!$B$11="Team",Raw_data!$AM461,IF(Dashboard!$B$11="Unit",Raw_data!$AN461,IF(Dashboard!$B$11="Legal entity",Raw_data!$AO461,IF(Dashboard!$B$11="Location",Raw_data!$AP461,Raw_data!$AQ461)))))</f>
        <v/>
      </c>
      <c r="H461">
        <f>--(AND(ISNUMBER(B461),B461&lt;0.5))</f>
        <v/>
      </c>
      <c r="I461">
        <f>IFERROR(MAX(0,(0.5-B461)*100),0)+IF(D461&gt;=24,20,0)+IF(Raw_data!$I461&gt;0,20,0)+IF(Raw_data!$AE461=TRUE,10,0)</f>
        <v/>
      </c>
      <c r="J461">
        <f>IFERROR(CHOOSE(MATCH(Dashboard!$B$11,{"Department","Team","Unit","Legal entity","Location","Lead"},0),INDEX(Lists!$B$3:$B$20,ROW()-1),INDEX(Lists!$C$3:$C$146,ROW()-1),INDEX(Lists!$D$3:$D$67,ROW()-1),INDEX(Lists!$E$3:$E$5,ROW()-1),INDEX(Lists!$F$3:$F$12,ROW()-1),INDEX(Lists!$G$3:$G$126,ROW()-1)),"")</f>
        <v/>
      </c>
      <c r="K461">
        <f>IF(J461="","",SUMPRODUCT(($A$2:$A$636=1)*($G$2:$G$636=J461)))</f>
        <v/>
      </c>
      <c r="L461">
        <f>IF(J461="","",SUMPRODUCT(($A$2:$A$636=1)*($G$2:$G$636=J461)*(ISNUMBER($B$2:$B$636))*($B$2:$B$636&lt;0.5)))</f>
        <v/>
      </c>
      <c r="M461">
        <f>IFERROR(L461/K461,"")</f>
        <v/>
      </c>
      <c r="N461">
        <f>IF(K461="","",M461+K461/100000+ROW()/100000000)</f>
        <v/>
      </c>
      <c r="R461">
        <f>IF(A461=1,IFERROR(I461,0)+ROW()/100000000,-1E+99)</f>
        <v/>
      </c>
      <c r="S461">
        <f>IF(A461=1,IFERROR(Raw_data!$T461,""),"")</f>
        <v/>
      </c>
      <c r="T461">
        <f>IF(A461=1,IFERROR(Raw_data!$AA461,""),"")</f>
        <v/>
      </c>
      <c r="U461">
        <f>IF(A461=1,IFERROR(Raw_data!$U461,""),"")</f>
        <v/>
      </c>
      <c r="V461">
        <f>IF(A461=1,IFERROR(Raw_data!$AB461,""),"")</f>
        <v/>
      </c>
    </row>
    <row r="462">
      <c r="A462">
        <f>--(AND(OR(Dashboard!$B$4="All",Raw_data!$AL462=Dashboard!$B$4),OR(Dashboard!$B$5="All",Raw_data!$AM462=Dashboard!$B$5),OR(Dashboard!$B$6="All",Raw_data!$AN462=Dashboard!$B$6),OR(Dashboard!$B$7="All",Raw_data!$AO462=Dashboard!$B$7),OR(Dashboard!$B$8="All",Raw_data!$AP462=Dashboard!$B$8),OR(Dashboard!$B$9="All",Raw_data!$AQ462=Dashboard!$B$9),OR(Dashboard!$B$10="All",Raw_data!$AF462=Dashboard!$B$10),OR(Raw_data!$F462="",Raw_data!$F462&lt;=TODAY())))</f>
        <v/>
      </c>
      <c r="B462">
        <f>IFERROR(IF(Dashboard!$B$3="Weighted",Raw_data!$U462,Raw_data!$T462),"")</f>
        <v/>
      </c>
      <c r="C462">
        <f>IFERROR(IF(Dashboard!$B$3="Weighted",Raw_data!$AB462,Raw_data!$AA462),"")</f>
        <v/>
      </c>
      <c r="D462">
        <f>IF(OR(Raw_data!$J462="",Raw_data!$J462&lt;=0,Raw_data!$K462=""),"",IF(Raw_data!$K462&gt;TODAY(),0,DATEDIF(Raw_data!$K462,TODAY(),"M")))</f>
        <v/>
      </c>
      <c r="E462">
        <f>--(AND(Raw_data!$AF462="No",OR(Raw_data!$AG462&lt;&gt;"",Raw_data!$AJ462&gt;0,Raw_data!$AK462&lt;&gt;"")))</f>
        <v/>
      </c>
      <c r="F462">
        <f>--(OR(AND(ISNUMBER(B462),B462&lt;0.5,OR(D462&gt;=24,Raw_data!$I462&gt;0)),Raw_data!$AE462=TRUE))</f>
        <v/>
      </c>
      <c r="G462">
        <f>IF(Dashboard!$B$11="Department",Raw_data!$AL462,IF(Dashboard!$B$11="Team",Raw_data!$AM462,IF(Dashboard!$B$11="Unit",Raw_data!$AN462,IF(Dashboard!$B$11="Legal entity",Raw_data!$AO462,IF(Dashboard!$B$11="Location",Raw_data!$AP462,Raw_data!$AQ462)))))</f>
        <v/>
      </c>
      <c r="H462">
        <f>--(AND(ISNUMBER(B462),B462&lt;0.5))</f>
        <v/>
      </c>
      <c r="I462">
        <f>IFERROR(MAX(0,(0.5-B462)*100),0)+IF(D462&gt;=24,20,0)+IF(Raw_data!$I462&gt;0,20,0)+IF(Raw_data!$AE462=TRUE,10,0)</f>
        <v/>
      </c>
      <c r="J462">
        <f>IFERROR(CHOOSE(MATCH(Dashboard!$B$11,{"Department","Team","Unit","Legal entity","Location","Lead"},0),INDEX(Lists!$B$3:$B$20,ROW()-1),INDEX(Lists!$C$3:$C$146,ROW()-1),INDEX(Lists!$D$3:$D$67,ROW()-1),INDEX(Lists!$E$3:$E$5,ROW()-1),INDEX(Lists!$F$3:$F$12,ROW()-1),INDEX(Lists!$G$3:$G$126,ROW()-1)),"")</f>
        <v/>
      </c>
      <c r="K462">
        <f>IF(J462="","",SUMPRODUCT(($A$2:$A$636=1)*($G$2:$G$636=J462)))</f>
        <v/>
      </c>
      <c r="L462">
        <f>IF(J462="","",SUMPRODUCT(($A$2:$A$636=1)*($G$2:$G$636=J462)*(ISNUMBER($B$2:$B$636))*($B$2:$B$636&lt;0.5)))</f>
        <v/>
      </c>
      <c r="M462">
        <f>IFERROR(L462/K462,"")</f>
        <v/>
      </c>
      <c r="N462">
        <f>IF(K462="","",M462+K462/100000+ROW()/100000000)</f>
        <v/>
      </c>
      <c r="R462">
        <f>IF(A462=1,IFERROR(I462,0)+ROW()/100000000,-1E+99)</f>
        <v/>
      </c>
      <c r="S462">
        <f>IF(A462=1,IFERROR(Raw_data!$T462,""),"")</f>
        <v/>
      </c>
      <c r="T462">
        <f>IF(A462=1,IFERROR(Raw_data!$AA462,""),"")</f>
        <v/>
      </c>
      <c r="U462">
        <f>IF(A462=1,IFERROR(Raw_data!$U462,""),"")</f>
        <v/>
      </c>
      <c r="V462">
        <f>IF(A462=1,IFERROR(Raw_data!$AB462,""),"")</f>
        <v/>
      </c>
    </row>
    <row r="463">
      <c r="A463">
        <f>--(AND(OR(Dashboard!$B$4="All",Raw_data!$AL463=Dashboard!$B$4),OR(Dashboard!$B$5="All",Raw_data!$AM463=Dashboard!$B$5),OR(Dashboard!$B$6="All",Raw_data!$AN463=Dashboard!$B$6),OR(Dashboard!$B$7="All",Raw_data!$AO463=Dashboard!$B$7),OR(Dashboard!$B$8="All",Raw_data!$AP463=Dashboard!$B$8),OR(Dashboard!$B$9="All",Raw_data!$AQ463=Dashboard!$B$9),OR(Dashboard!$B$10="All",Raw_data!$AF463=Dashboard!$B$10),OR(Raw_data!$F463="",Raw_data!$F463&lt;=TODAY())))</f>
        <v/>
      </c>
      <c r="B463">
        <f>IFERROR(IF(Dashboard!$B$3="Weighted",Raw_data!$U463,Raw_data!$T463),"")</f>
        <v/>
      </c>
      <c r="C463">
        <f>IFERROR(IF(Dashboard!$B$3="Weighted",Raw_data!$AB463,Raw_data!$AA463),"")</f>
        <v/>
      </c>
      <c r="D463">
        <f>IF(OR(Raw_data!$J463="",Raw_data!$J463&lt;=0,Raw_data!$K463=""),"",IF(Raw_data!$K463&gt;TODAY(),0,DATEDIF(Raw_data!$K463,TODAY(),"M")))</f>
        <v/>
      </c>
      <c r="E463">
        <f>--(AND(Raw_data!$AF463="No",OR(Raw_data!$AG463&lt;&gt;"",Raw_data!$AJ463&gt;0,Raw_data!$AK463&lt;&gt;"")))</f>
        <v/>
      </c>
      <c r="F463">
        <f>--(OR(AND(ISNUMBER(B463),B463&lt;0.5,OR(D463&gt;=24,Raw_data!$I463&gt;0)),Raw_data!$AE463=TRUE))</f>
        <v/>
      </c>
      <c r="G463">
        <f>IF(Dashboard!$B$11="Department",Raw_data!$AL463,IF(Dashboard!$B$11="Team",Raw_data!$AM463,IF(Dashboard!$B$11="Unit",Raw_data!$AN463,IF(Dashboard!$B$11="Legal entity",Raw_data!$AO463,IF(Dashboard!$B$11="Location",Raw_data!$AP463,Raw_data!$AQ463)))))</f>
        <v/>
      </c>
      <c r="H463">
        <f>--(AND(ISNUMBER(B463),B463&lt;0.5))</f>
        <v/>
      </c>
      <c r="I463">
        <f>IFERROR(MAX(0,(0.5-B463)*100),0)+IF(D463&gt;=24,20,0)+IF(Raw_data!$I463&gt;0,20,0)+IF(Raw_data!$AE463=TRUE,10,0)</f>
        <v/>
      </c>
      <c r="J463">
        <f>IFERROR(CHOOSE(MATCH(Dashboard!$B$11,{"Department","Team","Unit","Legal entity","Location","Lead"},0),INDEX(Lists!$B$3:$B$20,ROW()-1),INDEX(Lists!$C$3:$C$146,ROW()-1),INDEX(Lists!$D$3:$D$67,ROW()-1),INDEX(Lists!$E$3:$E$5,ROW()-1),INDEX(Lists!$F$3:$F$12,ROW()-1),INDEX(Lists!$G$3:$G$126,ROW()-1)),"")</f>
        <v/>
      </c>
      <c r="K463">
        <f>IF(J463="","",SUMPRODUCT(($A$2:$A$636=1)*($G$2:$G$636=J463)))</f>
        <v/>
      </c>
      <c r="L463">
        <f>IF(J463="","",SUMPRODUCT(($A$2:$A$636=1)*($G$2:$G$636=J463)*(ISNUMBER($B$2:$B$636))*($B$2:$B$636&lt;0.5)))</f>
        <v/>
      </c>
      <c r="M463">
        <f>IFERROR(L463/K463,"")</f>
        <v/>
      </c>
      <c r="N463">
        <f>IF(K463="","",M463+K463/100000+ROW()/100000000)</f>
        <v/>
      </c>
      <c r="R463">
        <f>IF(A463=1,IFERROR(I463,0)+ROW()/100000000,-1E+99)</f>
        <v/>
      </c>
      <c r="S463">
        <f>IF(A463=1,IFERROR(Raw_data!$T463,""),"")</f>
        <v/>
      </c>
      <c r="T463">
        <f>IF(A463=1,IFERROR(Raw_data!$AA463,""),"")</f>
        <v/>
      </c>
      <c r="U463">
        <f>IF(A463=1,IFERROR(Raw_data!$U463,""),"")</f>
        <v/>
      </c>
      <c r="V463">
        <f>IF(A463=1,IFERROR(Raw_data!$AB463,""),"")</f>
        <v/>
      </c>
    </row>
    <row r="464">
      <c r="A464">
        <f>--(AND(OR(Dashboard!$B$4="All",Raw_data!$AL464=Dashboard!$B$4),OR(Dashboard!$B$5="All",Raw_data!$AM464=Dashboard!$B$5),OR(Dashboard!$B$6="All",Raw_data!$AN464=Dashboard!$B$6),OR(Dashboard!$B$7="All",Raw_data!$AO464=Dashboard!$B$7),OR(Dashboard!$B$8="All",Raw_data!$AP464=Dashboard!$B$8),OR(Dashboard!$B$9="All",Raw_data!$AQ464=Dashboard!$B$9),OR(Dashboard!$B$10="All",Raw_data!$AF464=Dashboard!$B$10),OR(Raw_data!$F464="",Raw_data!$F464&lt;=TODAY())))</f>
        <v/>
      </c>
      <c r="B464">
        <f>IFERROR(IF(Dashboard!$B$3="Weighted",Raw_data!$U464,Raw_data!$T464),"")</f>
        <v/>
      </c>
      <c r="C464">
        <f>IFERROR(IF(Dashboard!$B$3="Weighted",Raw_data!$AB464,Raw_data!$AA464),"")</f>
        <v/>
      </c>
      <c r="D464">
        <f>IF(OR(Raw_data!$J464="",Raw_data!$J464&lt;=0,Raw_data!$K464=""),"",IF(Raw_data!$K464&gt;TODAY(),0,DATEDIF(Raw_data!$K464,TODAY(),"M")))</f>
        <v/>
      </c>
      <c r="E464">
        <f>--(AND(Raw_data!$AF464="No",OR(Raw_data!$AG464&lt;&gt;"",Raw_data!$AJ464&gt;0,Raw_data!$AK464&lt;&gt;"")))</f>
        <v/>
      </c>
      <c r="F464">
        <f>--(OR(AND(ISNUMBER(B464),B464&lt;0.5,OR(D464&gt;=24,Raw_data!$I464&gt;0)),Raw_data!$AE464=TRUE))</f>
        <v/>
      </c>
      <c r="G464">
        <f>IF(Dashboard!$B$11="Department",Raw_data!$AL464,IF(Dashboard!$B$11="Team",Raw_data!$AM464,IF(Dashboard!$B$11="Unit",Raw_data!$AN464,IF(Dashboard!$B$11="Legal entity",Raw_data!$AO464,IF(Dashboard!$B$11="Location",Raw_data!$AP464,Raw_data!$AQ464)))))</f>
        <v/>
      </c>
      <c r="H464">
        <f>--(AND(ISNUMBER(B464),B464&lt;0.5))</f>
        <v/>
      </c>
      <c r="I464">
        <f>IFERROR(MAX(0,(0.5-B464)*100),0)+IF(D464&gt;=24,20,0)+IF(Raw_data!$I464&gt;0,20,0)+IF(Raw_data!$AE464=TRUE,10,0)</f>
        <v/>
      </c>
      <c r="J464">
        <f>IFERROR(CHOOSE(MATCH(Dashboard!$B$11,{"Department","Team","Unit","Legal entity","Location","Lead"},0),INDEX(Lists!$B$3:$B$20,ROW()-1),INDEX(Lists!$C$3:$C$146,ROW()-1),INDEX(Lists!$D$3:$D$67,ROW()-1),INDEX(Lists!$E$3:$E$5,ROW()-1),INDEX(Lists!$F$3:$F$12,ROW()-1),INDEX(Lists!$G$3:$G$126,ROW()-1)),"")</f>
        <v/>
      </c>
      <c r="K464">
        <f>IF(J464="","",SUMPRODUCT(($A$2:$A$636=1)*($G$2:$G$636=J464)))</f>
        <v/>
      </c>
      <c r="L464">
        <f>IF(J464="","",SUMPRODUCT(($A$2:$A$636=1)*($G$2:$G$636=J464)*(ISNUMBER($B$2:$B$636))*($B$2:$B$636&lt;0.5)))</f>
        <v/>
      </c>
      <c r="M464">
        <f>IFERROR(L464/K464,"")</f>
        <v/>
      </c>
      <c r="N464">
        <f>IF(K464="","",M464+K464/100000+ROW()/100000000)</f>
        <v/>
      </c>
      <c r="R464">
        <f>IF(A464=1,IFERROR(I464,0)+ROW()/100000000,-1E+99)</f>
        <v/>
      </c>
      <c r="S464">
        <f>IF(A464=1,IFERROR(Raw_data!$T464,""),"")</f>
        <v/>
      </c>
      <c r="T464">
        <f>IF(A464=1,IFERROR(Raw_data!$AA464,""),"")</f>
        <v/>
      </c>
      <c r="U464">
        <f>IF(A464=1,IFERROR(Raw_data!$U464,""),"")</f>
        <v/>
      </c>
      <c r="V464">
        <f>IF(A464=1,IFERROR(Raw_data!$AB464,""),"")</f>
        <v/>
      </c>
    </row>
    <row r="465">
      <c r="A465">
        <f>--(AND(OR(Dashboard!$B$4="All",Raw_data!$AL465=Dashboard!$B$4),OR(Dashboard!$B$5="All",Raw_data!$AM465=Dashboard!$B$5),OR(Dashboard!$B$6="All",Raw_data!$AN465=Dashboard!$B$6),OR(Dashboard!$B$7="All",Raw_data!$AO465=Dashboard!$B$7),OR(Dashboard!$B$8="All",Raw_data!$AP465=Dashboard!$B$8),OR(Dashboard!$B$9="All",Raw_data!$AQ465=Dashboard!$B$9),OR(Dashboard!$B$10="All",Raw_data!$AF465=Dashboard!$B$10),OR(Raw_data!$F465="",Raw_data!$F465&lt;=TODAY())))</f>
        <v/>
      </c>
      <c r="B465">
        <f>IFERROR(IF(Dashboard!$B$3="Weighted",Raw_data!$U465,Raw_data!$T465),"")</f>
        <v/>
      </c>
      <c r="C465">
        <f>IFERROR(IF(Dashboard!$B$3="Weighted",Raw_data!$AB465,Raw_data!$AA465),"")</f>
        <v/>
      </c>
      <c r="D465">
        <f>IF(OR(Raw_data!$J465="",Raw_data!$J465&lt;=0,Raw_data!$K465=""),"",IF(Raw_data!$K465&gt;TODAY(),0,DATEDIF(Raw_data!$K465,TODAY(),"M")))</f>
        <v/>
      </c>
      <c r="E465">
        <f>--(AND(Raw_data!$AF465="No",OR(Raw_data!$AG465&lt;&gt;"",Raw_data!$AJ465&gt;0,Raw_data!$AK465&lt;&gt;"")))</f>
        <v/>
      </c>
      <c r="F465">
        <f>--(OR(AND(ISNUMBER(B465),B465&lt;0.5,OR(D465&gt;=24,Raw_data!$I465&gt;0)),Raw_data!$AE465=TRUE))</f>
        <v/>
      </c>
      <c r="G465">
        <f>IF(Dashboard!$B$11="Department",Raw_data!$AL465,IF(Dashboard!$B$11="Team",Raw_data!$AM465,IF(Dashboard!$B$11="Unit",Raw_data!$AN465,IF(Dashboard!$B$11="Legal entity",Raw_data!$AO465,IF(Dashboard!$B$11="Location",Raw_data!$AP465,Raw_data!$AQ465)))))</f>
        <v/>
      </c>
      <c r="H465">
        <f>--(AND(ISNUMBER(B465),B465&lt;0.5))</f>
        <v/>
      </c>
      <c r="I465">
        <f>IFERROR(MAX(0,(0.5-B465)*100),0)+IF(D465&gt;=24,20,0)+IF(Raw_data!$I465&gt;0,20,0)+IF(Raw_data!$AE465=TRUE,10,0)</f>
        <v/>
      </c>
      <c r="J465">
        <f>IFERROR(CHOOSE(MATCH(Dashboard!$B$11,{"Department","Team","Unit","Legal entity","Location","Lead"},0),INDEX(Lists!$B$3:$B$20,ROW()-1),INDEX(Lists!$C$3:$C$146,ROW()-1),INDEX(Lists!$D$3:$D$67,ROW()-1),INDEX(Lists!$E$3:$E$5,ROW()-1),INDEX(Lists!$F$3:$F$12,ROW()-1),INDEX(Lists!$G$3:$G$126,ROW()-1)),"")</f>
        <v/>
      </c>
      <c r="K465">
        <f>IF(J465="","",SUMPRODUCT(($A$2:$A$636=1)*($G$2:$G$636=J465)))</f>
        <v/>
      </c>
      <c r="L465">
        <f>IF(J465="","",SUMPRODUCT(($A$2:$A$636=1)*($G$2:$G$636=J465)*(ISNUMBER($B$2:$B$636))*($B$2:$B$636&lt;0.5)))</f>
        <v/>
      </c>
      <c r="M465">
        <f>IFERROR(L465/K465,"")</f>
        <v/>
      </c>
      <c r="N465">
        <f>IF(K465="","",M465+K465/100000+ROW()/100000000)</f>
        <v/>
      </c>
      <c r="R465">
        <f>IF(A465=1,IFERROR(I465,0)+ROW()/100000000,-1E+99)</f>
        <v/>
      </c>
      <c r="S465">
        <f>IF(A465=1,IFERROR(Raw_data!$T465,""),"")</f>
        <v/>
      </c>
      <c r="T465">
        <f>IF(A465=1,IFERROR(Raw_data!$AA465,""),"")</f>
        <v/>
      </c>
      <c r="U465">
        <f>IF(A465=1,IFERROR(Raw_data!$U465,""),"")</f>
        <v/>
      </c>
      <c r="V465">
        <f>IF(A465=1,IFERROR(Raw_data!$AB465,""),"")</f>
        <v/>
      </c>
    </row>
    <row r="466">
      <c r="A466">
        <f>--(AND(OR(Dashboard!$B$4="All",Raw_data!$AL466=Dashboard!$B$4),OR(Dashboard!$B$5="All",Raw_data!$AM466=Dashboard!$B$5),OR(Dashboard!$B$6="All",Raw_data!$AN466=Dashboard!$B$6),OR(Dashboard!$B$7="All",Raw_data!$AO466=Dashboard!$B$7),OR(Dashboard!$B$8="All",Raw_data!$AP466=Dashboard!$B$8),OR(Dashboard!$B$9="All",Raw_data!$AQ466=Dashboard!$B$9),OR(Dashboard!$B$10="All",Raw_data!$AF466=Dashboard!$B$10),OR(Raw_data!$F466="",Raw_data!$F466&lt;=TODAY())))</f>
        <v/>
      </c>
      <c r="B466">
        <f>IFERROR(IF(Dashboard!$B$3="Weighted",Raw_data!$U466,Raw_data!$T466),"")</f>
        <v/>
      </c>
      <c r="C466">
        <f>IFERROR(IF(Dashboard!$B$3="Weighted",Raw_data!$AB466,Raw_data!$AA466),"")</f>
        <v/>
      </c>
      <c r="D466">
        <f>IF(OR(Raw_data!$J466="",Raw_data!$J466&lt;=0,Raw_data!$K466=""),"",IF(Raw_data!$K466&gt;TODAY(),0,DATEDIF(Raw_data!$K466,TODAY(),"M")))</f>
        <v/>
      </c>
      <c r="E466">
        <f>--(AND(Raw_data!$AF466="No",OR(Raw_data!$AG466&lt;&gt;"",Raw_data!$AJ466&gt;0,Raw_data!$AK466&lt;&gt;"")))</f>
        <v/>
      </c>
      <c r="F466">
        <f>--(OR(AND(ISNUMBER(B466),B466&lt;0.5,OR(D466&gt;=24,Raw_data!$I466&gt;0)),Raw_data!$AE466=TRUE))</f>
        <v/>
      </c>
      <c r="G466">
        <f>IF(Dashboard!$B$11="Department",Raw_data!$AL466,IF(Dashboard!$B$11="Team",Raw_data!$AM466,IF(Dashboard!$B$11="Unit",Raw_data!$AN466,IF(Dashboard!$B$11="Legal entity",Raw_data!$AO466,IF(Dashboard!$B$11="Location",Raw_data!$AP466,Raw_data!$AQ466)))))</f>
        <v/>
      </c>
      <c r="H466">
        <f>--(AND(ISNUMBER(B466),B466&lt;0.5))</f>
        <v/>
      </c>
      <c r="I466">
        <f>IFERROR(MAX(0,(0.5-B466)*100),0)+IF(D466&gt;=24,20,0)+IF(Raw_data!$I466&gt;0,20,0)+IF(Raw_data!$AE466=TRUE,10,0)</f>
        <v/>
      </c>
      <c r="J466">
        <f>IFERROR(CHOOSE(MATCH(Dashboard!$B$11,{"Department","Team","Unit","Legal entity","Location","Lead"},0),INDEX(Lists!$B$3:$B$20,ROW()-1),INDEX(Lists!$C$3:$C$146,ROW()-1),INDEX(Lists!$D$3:$D$67,ROW()-1),INDEX(Lists!$E$3:$E$5,ROW()-1),INDEX(Lists!$F$3:$F$12,ROW()-1),INDEX(Lists!$G$3:$G$126,ROW()-1)),"")</f>
        <v/>
      </c>
      <c r="K466">
        <f>IF(J466="","",SUMPRODUCT(($A$2:$A$636=1)*($G$2:$G$636=J466)))</f>
        <v/>
      </c>
      <c r="L466">
        <f>IF(J466="","",SUMPRODUCT(($A$2:$A$636=1)*($G$2:$G$636=J466)*(ISNUMBER($B$2:$B$636))*($B$2:$B$636&lt;0.5)))</f>
        <v/>
      </c>
      <c r="M466">
        <f>IFERROR(L466/K466,"")</f>
        <v/>
      </c>
      <c r="N466">
        <f>IF(K466="","",M466+K466/100000+ROW()/100000000)</f>
        <v/>
      </c>
      <c r="R466">
        <f>IF(A466=1,IFERROR(I466,0)+ROW()/100000000,-1E+99)</f>
        <v/>
      </c>
      <c r="S466">
        <f>IF(A466=1,IFERROR(Raw_data!$T466,""),"")</f>
        <v/>
      </c>
      <c r="T466">
        <f>IF(A466=1,IFERROR(Raw_data!$AA466,""),"")</f>
        <v/>
      </c>
      <c r="U466">
        <f>IF(A466=1,IFERROR(Raw_data!$U466,""),"")</f>
        <v/>
      </c>
      <c r="V466">
        <f>IF(A466=1,IFERROR(Raw_data!$AB466,""),"")</f>
        <v/>
      </c>
    </row>
    <row r="467">
      <c r="A467">
        <f>--(AND(OR(Dashboard!$B$4="All",Raw_data!$AL467=Dashboard!$B$4),OR(Dashboard!$B$5="All",Raw_data!$AM467=Dashboard!$B$5),OR(Dashboard!$B$6="All",Raw_data!$AN467=Dashboard!$B$6),OR(Dashboard!$B$7="All",Raw_data!$AO467=Dashboard!$B$7),OR(Dashboard!$B$8="All",Raw_data!$AP467=Dashboard!$B$8),OR(Dashboard!$B$9="All",Raw_data!$AQ467=Dashboard!$B$9),OR(Dashboard!$B$10="All",Raw_data!$AF467=Dashboard!$B$10),OR(Raw_data!$F467="",Raw_data!$F467&lt;=TODAY())))</f>
        <v/>
      </c>
      <c r="B467">
        <f>IFERROR(IF(Dashboard!$B$3="Weighted",Raw_data!$U467,Raw_data!$T467),"")</f>
        <v/>
      </c>
      <c r="C467">
        <f>IFERROR(IF(Dashboard!$B$3="Weighted",Raw_data!$AB467,Raw_data!$AA467),"")</f>
        <v/>
      </c>
      <c r="D467">
        <f>IF(OR(Raw_data!$J467="",Raw_data!$J467&lt;=0,Raw_data!$K467=""),"",IF(Raw_data!$K467&gt;TODAY(),0,DATEDIF(Raw_data!$K467,TODAY(),"M")))</f>
        <v/>
      </c>
      <c r="E467">
        <f>--(AND(Raw_data!$AF467="No",OR(Raw_data!$AG467&lt;&gt;"",Raw_data!$AJ467&gt;0,Raw_data!$AK467&lt;&gt;"")))</f>
        <v/>
      </c>
      <c r="F467">
        <f>--(OR(AND(ISNUMBER(B467),B467&lt;0.5,OR(D467&gt;=24,Raw_data!$I467&gt;0)),Raw_data!$AE467=TRUE))</f>
        <v/>
      </c>
      <c r="G467">
        <f>IF(Dashboard!$B$11="Department",Raw_data!$AL467,IF(Dashboard!$B$11="Team",Raw_data!$AM467,IF(Dashboard!$B$11="Unit",Raw_data!$AN467,IF(Dashboard!$B$11="Legal entity",Raw_data!$AO467,IF(Dashboard!$B$11="Location",Raw_data!$AP467,Raw_data!$AQ467)))))</f>
        <v/>
      </c>
      <c r="H467">
        <f>--(AND(ISNUMBER(B467),B467&lt;0.5))</f>
        <v/>
      </c>
      <c r="I467">
        <f>IFERROR(MAX(0,(0.5-B467)*100),0)+IF(D467&gt;=24,20,0)+IF(Raw_data!$I467&gt;0,20,0)+IF(Raw_data!$AE467=TRUE,10,0)</f>
        <v/>
      </c>
      <c r="J467">
        <f>IFERROR(CHOOSE(MATCH(Dashboard!$B$11,{"Department","Team","Unit","Legal entity","Location","Lead"},0),INDEX(Lists!$B$3:$B$20,ROW()-1),INDEX(Lists!$C$3:$C$146,ROW()-1),INDEX(Lists!$D$3:$D$67,ROW()-1),INDEX(Lists!$E$3:$E$5,ROW()-1),INDEX(Lists!$F$3:$F$12,ROW()-1),INDEX(Lists!$G$3:$G$126,ROW()-1)),"")</f>
        <v/>
      </c>
      <c r="K467">
        <f>IF(J467="","",SUMPRODUCT(($A$2:$A$636=1)*($G$2:$G$636=J467)))</f>
        <v/>
      </c>
      <c r="L467">
        <f>IF(J467="","",SUMPRODUCT(($A$2:$A$636=1)*($G$2:$G$636=J467)*(ISNUMBER($B$2:$B$636))*($B$2:$B$636&lt;0.5)))</f>
        <v/>
      </c>
      <c r="M467">
        <f>IFERROR(L467/K467,"")</f>
        <v/>
      </c>
      <c r="N467">
        <f>IF(K467="","",M467+K467/100000+ROW()/100000000)</f>
        <v/>
      </c>
      <c r="R467">
        <f>IF(A467=1,IFERROR(I467,0)+ROW()/100000000,-1E+99)</f>
        <v/>
      </c>
      <c r="S467">
        <f>IF(A467=1,IFERROR(Raw_data!$T467,""),"")</f>
        <v/>
      </c>
      <c r="T467">
        <f>IF(A467=1,IFERROR(Raw_data!$AA467,""),"")</f>
        <v/>
      </c>
      <c r="U467">
        <f>IF(A467=1,IFERROR(Raw_data!$U467,""),"")</f>
        <v/>
      </c>
      <c r="V467">
        <f>IF(A467=1,IFERROR(Raw_data!$AB467,""),"")</f>
        <v/>
      </c>
    </row>
    <row r="468">
      <c r="A468">
        <f>--(AND(OR(Dashboard!$B$4="All",Raw_data!$AL468=Dashboard!$B$4),OR(Dashboard!$B$5="All",Raw_data!$AM468=Dashboard!$B$5),OR(Dashboard!$B$6="All",Raw_data!$AN468=Dashboard!$B$6),OR(Dashboard!$B$7="All",Raw_data!$AO468=Dashboard!$B$7),OR(Dashboard!$B$8="All",Raw_data!$AP468=Dashboard!$B$8),OR(Dashboard!$B$9="All",Raw_data!$AQ468=Dashboard!$B$9),OR(Dashboard!$B$10="All",Raw_data!$AF468=Dashboard!$B$10),OR(Raw_data!$F468="",Raw_data!$F468&lt;=TODAY())))</f>
        <v/>
      </c>
      <c r="B468">
        <f>IFERROR(IF(Dashboard!$B$3="Weighted",Raw_data!$U468,Raw_data!$T468),"")</f>
        <v/>
      </c>
      <c r="C468">
        <f>IFERROR(IF(Dashboard!$B$3="Weighted",Raw_data!$AB468,Raw_data!$AA468),"")</f>
        <v/>
      </c>
      <c r="D468">
        <f>IF(OR(Raw_data!$J468="",Raw_data!$J468&lt;=0,Raw_data!$K468=""),"",IF(Raw_data!$K468&gt;TODAY(),0,DATEDIF(Raw_data!$K468,TODAY(),"M")))</f>
        <v/>
      </c>
      <c r="E468">
        <f>--(AND(Raw_data!$AF468="No",OR(Raw_data!$AG468&lt;&gt;"",Raw_data!$AJ468&gt;0,Raw_data!$AK468&lt;&gt;"")))</f>
        <v/>
      </c>
      <c r="F468">
        <f>--(OR(AND(ISNUMBER(B468),B468&lt;0.5,OR(D468&gt;=24,Raw_data!$I468&gt;0)),Raw_data!$AE468=TRUE))</f>
        <v/>
      </c>
      <c r="G468">
        <f>IF(Dashboard!$B$11="Department",Raw_data!$AL468,IF(Dashboard!$B$11="Team",Raw_data!$AM468,IF(Dashboard!$B$11="Unit",Raw_data!$AN468,IF(Dashboard!$B$11="Legal entity",Raw_data!$AO468,IF(Dashboard!$B$11="Location",Raw_data!$AP468,Raw_data!$AQ468)))))</f>
        <v/>
      </c>
      <c r="H468">
        <f>--(AND(ISNUMBER(B468),B468&lt;0.5))</f>
        <v/>
      </c>
      <c r="I468">
        <f>IFERROR(MAX(0,(0.5-B468)*100),0)+IF(D468&gt;=24,20,0)+IF(Raw_data!$I468&gt;0,20,0)+IF(Raw_data!$AE468=TRUE,10,0)</f>
        <v/>
      </c>
      <c r="J468">
        <f>IFERROR(CHOOSE(MATCH(Dashboard!$B$11,{"Department","Team","Unit","Legal entity","Location","Lead"},0),INDEX(Lists!$B$3:$B$20,ROW()-1),INDEX(Lists!$C$3:$C$146,ROW()-1),INDEX(Lists!$D$3:$D$67,ROW()-1),INDEX(Lists!$E$3:$E$5,ROW()-1),INDEX(Lists!$F$3:$F$12,ROW()-1),INDEX(Lists!$G$3:$G$126,ROW()-1)),"")</f>
        <v/>
      </c>
      <c r="K468">
        <f>IF(J468="","",SUMPRODUCT(($A$2:$A$636=1)*($G$2:$G$636=J468)))</f>
        <v/>
      </c>
      <c r="L468">
        <f>IF(J468="","",SUMPRODUCT(($A$2:$A$636=1)*($G$2:$G$636=J468)*(ISNUMBER($B$2:$B$636))*($B$2:$B$636&lt;0.5)))</f>
        <v/>
      </c>
      <c r="M468">
        <f>IFERROR(L468/K468,"")</f>
        <v/>
      </c>
      <c r="N468">
        <f>IF(K468="","",M468+K468/100000+ROW()/100000000)</f>
        <v/>
      </c>
      <c r="R468">
        <f>IF(A468=1,IFERROR(I468,0)+ROW()/100000000,-1E+99)</f>
        <v/>
      </c>
      <c r="S468">
        <f>IF(A468=1,IFERROR(Raw_data!$T468,""),"")</f>
        <v/>
      </c>
      <c r="T468">
        <f>IF(A468=1,IFERROR(Raw_data!$AA468,""),"")</f>
        <v/>
      </c>
      <c r="U468">
        <f>IF(A468=1,IFERROR(Raw_data!$U468,""),"")</f>
        <v/>
      </c>
      <c r="V468">
        <f>IF(A468=1,IFERROR(Raw_data!$AB468,""),"")</f>
        <v/>
      </c>
    </row>
    <row r="469">
      <c r="A469">
        <f>--(AND(OR(Dashboard!$B$4="All",Raw_data!$AL469=Dashboard!$B$4),OR(Dashboard!$B$5="All",Raw_data!$AM469=Dashboard!$B$5),OR(Dashboard!$B$6="All",Raw_data!$AN469=Dashboard!$B$6),OR(Dashboard!$B$7="All",Raw_data!$AO469=Dashboard!$B$7),OR(Dashboard!$B$8="All",Raw_data!$AP469=Dashboard!$B$8),OR(Dashboard!$B$9="All",Raw_data!$AQ469=Dashboard!$B$9),OR(Dashboard!$B$10="All",Raw_data!$AF469=Dashboard!$B$10),OR(Raw_data!$F469="",Raw_data!$F469&lt;=TODAY())))</f>
        <v/>
      </c>
      <c r="B469">
        <f>IFERROR(IF(Dashboard!$B$3="Weighted",Raw_data!$U469,Raw_data!$T469),"")</f>
        <v/>
      </c>
      <c r="C469">
        <f>IFERROR(IF(Dashboard!$B$3="Weighted",Raw_data!$AB469,Raw_data!$AA469),"")</f>
        <v/>
      </c>
      <c r="D469">
        <f>IF(OR(Raw_data!$J469="",Raw_data!$J469&lt;=0,Raw_data!$K469=""),"",IF(Raw_data!$K469&gt;TODAY(),0,DATEDIF(Raw_data!$K469,TODAY(),"M")))</f>
        <v/>
      </c>
      <c r="E469">
        <f>--(AND(Raw_data!$AF469="No",OR(Raw_data!$AG469&lt;&gt;"",Raw_data!$AJ469&gt;0,Raw_data!$AK469&lt;&gt;"")))</f>
        <v/>
      </c>
      <c r="F469">
        <f>--(OR(AND(ISNUMBER(B469),B469&lt;0.5,OR(D469&gt;=24,Raw_data!$I469&gt;0)),Raw_data!$AE469=TRUE))</f>
        <v/>
      </c>
      <c r="G469">
        <f>IF(Dashboard!$B$11="Department",Raw_data!$AL469,IF(Dashboard!$B$11="Team",Raw_data!$AM469,IF(Dashboard!$B$11="Unit",Raw_data!$AN469,IF(Dashboard!$B$11="Legal entity",Raw_data!$AO469,IF(Dashboard!$B$11="Location",Raw_data!$AP469,Raw_data!$AQ469)))))</f>
        <v/>
      </c>
      <c r="H469">
        <f>--(AND(ISNUMBER(B469),B469&lt;0.5))</f>
        <v/>
      </c>
      <c r="I469">
        <f>IFERROR(MAX(0,(0.5-B469)*100),0)+IF(D469&gt;=24,20,0)+IF(Raw_data!$I469&gt;0,20,0)+IF(Raw_data!$AE469=TRUE,10,0)</f>
        <v/>
      </c>
      <c r="J469">
        <f>IFERROR(CHOOSE(MATCH(Dashboard!$B$11,{"Department","Team","Unit","Legal entity","Location","Lead"},0),INDEX(Lists!$B$3:$B$20,ROW()-1),INDEX(Lists!$C$3:$C$146,ROW()-1),INDEX(Lists!$D$3:$D$67,ROW()-1),INDEX(Lists!$E$3:$E$5,ROW()-1),INDEX(Lists!$F$3:$F$12,ROW()-1),INDEX(Lists!$G$3:$G$126,ROW()-1)),"")</f>
        <v/>
      </c>
      <c r="K469">
        <f>IF(J469="","",SUMPRODUCT(($A$2:$A$636=1)*($G$2:$G$636=J469)))</f>
        <v/>
      </c>
      <c r="L469">
        <f>IF(J469="","",SUMPRODUCT(($A$2:$A$636=1)*($G$2:$G$636=J469)*(ISNUMBER($B$2:$B$636))*($B$2:$B$636&lt;0.5)))</f>
        <v/>
      </c>
      <c r="M469">
        <f>IFERROR(L469/K469,"")</f>
        <v/>
      </c>
      <c r="N469">
        <f>IF(K469="","",M469+K469/100000+ROW()/100000000)</f>
        <v/>
      </c>
      <c r="R469">
        <f>IF(A469=1,IFERROR(I469,0)+ROW()/100000000,-1E+99)</f>
        <v/>
      </c>
      <c r="S469">
        <f>IF(A469=1,IFERROR(Raw_data!$T469,""),"")</f>
        <v/>
      </c>
      <c r="T469">
        <f>IF(A469=1,IFERROR(Raw_data!$AA469,""),"")</f>
        <v/>
      </c>
      <c r="U469">
        <f>IF(A469=1,IFERROR(Raw_data!$U469,""),"")</f>
        <v/>
      </c>
      <c r="V469">
        <f>IF(A469=1,IFERROR(Raw_data!$AB469,""),"")</f>
        <v/>
      </c>
    </row>
    <row r="470">
      <c r="A470">
        <f>--(AND(OR(Dashboard!$B$4="All",Raw_data!$AL470=Dashboard!$B$4),OR(Dashboard!$B$5="All",Raw_data!$AM470=Dashboard!$B$5),OR(Dashboard!$B$6="All",Raw_data!$AN470=Dashboard!$B$6),OR(Dashboard!$B$7="All",Raw_data!$AO470=Dashboard!$B$7),OR(Dashboard!$B$8="All",Raw_data!$AP470=Dashboard!$B$8),OR(Dashboard!$B$9="All",Raw_data!$AQ470=Dashboard!$B$9),OR(Dashboard!$B$10="All",Raw_data!$AF470=Dashboard!$B$10),OR(Raw_data!$F470="",Raw_data!$F470&lt;=TODAY())))</f>
        <v/>
      </c>
      <c r="B470">
        <f>IFERROR(IF(Dashboard!$B$3="Weighted",Raw_data!$U470,Raw_data!$T470),"")</f>
        <v/>
      </c>
      <c r="C470">
        <f>IFERROR(IF(Dashboard!$B$3="Weighted",Raw_data!$AB470,Raw_data!$AA470),"")</f>
        <v/>
      </c>
      <c r="D470">
        <f>IF(OR(Raw_data!$J470="",Raw_data!$J470&lt;=0,Raw_data!$K470=""),"",IF(Raw_data!$K470&gt;TODAY(),0,DATEDIF(Raw_data!$K470,TODAY(),"M")))</f>
        <v/>
      </c>
      <c r="E470">
        <f>--(AND(Raw_data!$AF470="No",OR(Raw_data!$AG470&lt;&gt;"",Raw_data!$AJ470&gt;0,Raw_data!$AK470&lt;&gt;"")))</f>
        <v/>
      </c>
      <c r="F470">
        <f>--(OR(AND(ISNUMBER(B470),B470&lt;0.5,OR(D470&gt;=24,Raw_data!$I470&gt;0)),Raw_data!$AE470=TRUE))</f>
        <v/>
      </c>
      <c r="G470">
        <f>IF(Dashboard!$B$11="Department",Raw_data!$AL470,IF(Dashboard!$B$11="Team",Raw_data!$AM470,IF(Dashboard!$B$11="Unit",Raw_data!$AN470,IF(Dashboard!$B$11="Legal entity",Raw_data!$AO470,IF(Dashboard!$B$11="Location",Raw_data!$AP470,Raw_data!$AQ470)))))</f>
        <v/>
      </c>
      <c r="H470">
        <f>--(AND(ISNUMBER(B470),B470&lt;0.5))</f>
        <v/>
      </c>
      <c r="I470">
        <f>IFERROR(MAX(0,(0.5-B470)*100),0)+IF(D470&gt;=24,20,0)+IF(Raw_data!$I470&gt;0,20,0)+IF(Raw_data!$AE470=TRUE,10,0)</f>
        <v/>
      </c>
      <c r="J470">
        <f>IFERROR(CHOOSE(MATCH(Dashboard!$B$11,{"Department","Team","Unit","Legal entity","Location","Lead"},0),INDEX(Lists!$B$3:$B$20,ROW()-1),INDEX(Lists!$C$3:$C$146,ROW()-1),INDEX(Lists!$D$3:$D$67,ROW()-1),INDEX(Lists!$E$3:$E$5,ROW()-1),INDEX(Lists!$F$3:$F$12,ROW()-1),INDEX(Lists!$G$3:$G$126,ROW()-1)),"")</f>
        <v/>
      </c>
      <c r="K470">
        <f>IF(J470="","",SUMPRODUCT(($A$2:$A$636=1)*($G$2:$G$636=J470)))</f>
        <v/>
      </c>
      <c r="L470">
        <f>IF(J470="","",SUMPRODUCT(($A$2:$A$636=1)*($G$2:$G$636=J470)*(ISNUMBER($B$2:$B$636))*($B$2:$B$636&lt;0.5)))</f>
        <v/>
      </c>
      <c r="M470">
        <f>IFERROR(L470/K470,"")</f>
        <v/>
      </c>
      <c r="N470">
        <f>IF(K470="","",M470+K470/100000+ROW()/100000000)</f>
        <v/>
      </c>
      <c r="R470">
        <f>IF(A470=1,IFERROR(I470,0)+ROW()/100000000,-1E+99)</f>
        <v/>
      </c>
      <c r="S470">
        <f>IF(A470=1,IFERROR(Raw_data!$T470,""),"")</f>
        <v/>
      </c>
      <c r="T470">
        <f>IF(A470=1,IFERROR(Raw_data!$AA470,""),"")</f>
        <v/>
      </c>
      <c r="U470">
        <f>IF(A470=1,IFERROR(Raw_data!$U470,""),"")</f>
        <v/>
      </c>
      <c r="V470">
        <f>IF(A470=1,IFERROR(Raw_data!$AB470,""),"")</f>
        <v/>
      </c>
    </row>
    <row r="471">
      <c r="A471">
        <f>--(AND(OR(Dashboard!$B$4="All",Raw_data!$AL471=Dashboard!$B$4),OR(Dashboard!$B$5="All",Raw_data!$AM471=Dashboard!$B$5),OR(Dashboard!$B$6="All",Raw_data!$AN471=Dashboard!$B$6),OR(Dashboard!$B$7="All",Raw_data!$AO471=Dashboard!$B$7),OR(Dashboard!$B$8="All",Raw_data!$AP471=Dashboard!$B$8),OR(Dashboard!$B$9="All",Raw_data!$AQ471=Dashboard!$B$9),OR(Dashboard!$B$10="All",Raw_data!$AF471=Dashboard!$B$10),OR(Raw_data!$F471="",Raw_data!$F471&lt;=TODAY())))</f>
        <v/>
      </c>
      <c r="B471">
        <f>IFERROR(IF(Dashboard!$B$3="Weighted",Raw_data!$U471,Raw_data!$T471),"")</f>
        <v/>
      </c>
      <c r="C471">
        <f>IFERROR(IF(Dashboard!$B$3="Weighted",Raw_data!$AB471,Raw_data!$AA471),"")</f>
        <v/>
      </c>
      <c r="D471">
        <f>IF(OR(Raw_data!$J471="",Raw_data!$J471&lt;=0,Raw_data!$K471=""),"",IF(Raw_data!$K471&gt;TODAY(),0,DATEDIF(Raw_data!$K471,TODAY(),"M")))</f>
        <v/>
      </c>
      <c r="E471">
        <f>--(AND(Raw_data!$AF471="No",OR(Raw_data!$AG471&lt;&gt;"",Raw_data!$AJ471&gt;0,Raw_data!$AK471&lt;&gt;"")))</f>
        <v/>
      </c>
      <c r="F471">
        <f>--(OR(AND(ISNUMBER(B471),B471&lt;0.5,OR(D471&gt;=24,Raw_data!$I471&gt;0)),Raw_data!$AE471=TRUE))</f>
        <v/>
      </c>
      <c r="G471">
        <f>IF(Dashboard!$B$11="Department",Raw_data!$AL471,IF(Dashboard!$B$11="Team",Raw_data!$AM471,IF(Dashboard!$B$11="Unit",Raw_data!$AN471,IF(Dashboard!$B$11="Legal entity",Raw_data!$AO471,IF(Dashboard!$B$11="Location",Raw_data!$AP471,Raw_data!$AQ471)))))</f>
        <v/>
      </c>
      <c r="H471">
        <f>--(AND(ISNUMBER(B471),B471&lt;0.5))</f>
        <v/>
      </c>
      <c r="I471">
        <f>IFERROR(MAX(0,(0.5-B471)*100),0)+IF(D471&gt;=24,20,0)+IF(Raw_data!$I471&gt;0,20,0)+IF(Raw_data!$AE471=TRUE,10,0)</f>
        <v/>
      </c>
      <c r="J471">
        <f>IFERROR(CHOOSE(MATCH(Dashboard!$B$11,{"Department","Team","Unit","Legal entity","Location","Lead"},0),INDEX(Lists!$B$3:$B$20,ROW()-1),INDEX(Lists!$C$3:$C$146,ROW()-1),INDEX(Lists!$D$3:$D$67,ROW()-1),INDEX(Lists!$E$3:$E$5,ROW()-1),INDEX(Lists!$F$3:$F$12,ROW()-1),INDEX(Lists!$G$3:$G$126,ROW()-1)),"")</f>
        <v/>
      </c>
      <c r="K471">
        <f>IF(J471="","",SUMPRODUCT(($A$2:$A$636=1)*($G$2:$G$636=J471)))</f>
        <v/>
      </c>
      <c r="L471">
        <f>IF(J471="","",SUMPRODUCT(($A$2:$A$636=1)*($G$2:$G$636=J471)*(ISNUMBER($B$2:$B$636))*($B$2:$B$636&lt;0.5)))</f>
        <v/>
      </c>
      <c r="M471">
        <f>IFERROR(L471/K471,"")</f>
        <v/>
      </c>
      <c r="N471">
        <f>IF(K471="","",M471+K471/100000+ROW()/100000000)</f>
        <v/>
      </c>
      <c r="R471">
        <f>IF(A471=1,IFERROR(I471,0)+ROW()/100000000,-1E+99)</f>
        <v/>
      </c>
      <c r="S471">
        <f>IF(A471=1,IFERROR(Raw_data!$T471,""),"")</f>
        <v/>
      </c>
      <c r="T471">
        <f>IF(A471=1,IFERROR(Raw_data!$AA471,""),"")</f>
        <v/>
      </c>
      <c r="U471">
        <f>IF(A471=1,IFERROR(Raw_data!$U471,""),"")</f>
        <v/>
      </c>
      <c r="V471">
        <f>IF(A471=1,IFERROR(Raw_data!$AB471,""),"")</f>
        <v/>
      </c>
    </row>
    <row r="472">
      <c r="A472">
        <f>--(AND(OR(Dashboard!$B$4="All",Raw_data!$AL472=Dashboard!$B$4),OR(Dashboard!$B$5="All",Raw_data!$AM472=Dashboard!$B$5),OR(Dashboard!$B$6="All",Raw_data!$AN472=Dashboard!$B$6),OR(Dashboard!$B$7="All",Raw_data!$AO472=Dashboard!$B$7),OR(Dashboard!$B$8="All",Raw_data!$AP472=Dashboard!$B$8),OR(Dashboard!$B$9="All",Raw_data!$AQ472=Dashboard!$B$9),OR(Dashboard!$B$10="All",Raw_data!$AF472=Dashboard!$B$10),OR(Raw_data!$F472="",Raw_data!$F472&lt;=TODAY())))</f>
        <v/>
      </c>
      <c r="B472">
        <f>IFERROR(IF(Dashboard!$B$3="Weighted",Raw_data!$U472,Raw_data!$T472),"")</f>
        <v/>
      </c>
      <c r="C472">
        <f>IFERROR(IF(Dashboard!$B$3="Weighted",Raw_data!$AB472,Raw_data!$AA472),"")</f>
        <v/>
      </c>
      <c r="D472">
        <f>IF(OR(Raw_data!$J472="",Raw_data!$J472&lt;=0,Raw_data!$K472=""),"",IF(Raw_data!$K472&gt;TODAY(),0,DATEDIF(Raw_data!$K472,TODAY(),"M")))</f>
        <v/>
      </c>
      <c r="E472">
        <f>--(AND(Raw_data!$AF472="No",OR(Raw_data!$AG472&lt;&gt;"",Raw_data!$AJ472&gt;0,Raw_data!$AK472&lt;&gt;"")))</f>
        <v/>
      </c>
      <c r="F472">
        <f>--(OR(AND(ISNUMBER(B472),B472&lt;0.5,OR(D472&gt;=24,Raw_data!$I472&gt;0)),Raw_data!$AE472=TRUE))</f>
        <v/>
      </c>
      <c r="G472">
        <f>IF(Dashboard!$B$11="Department",Raw_data!$AL472,IF(Dashboard!$B$11="Team",Raw_data!$AM472,IF(Dashboard!$B$11="Unit",Raw_data!$AN472,IF(Dashboard!$B$11="Legal entity",Raw_data!$AO472,IF(Dashboard!$B$11="Location",Raw_data!$AP472,Raw_data!$AQ472)))))</f>
        <v/>
      </c>
      <c r="H472">
        <f>--(AND(ISNUMBER(B472),B472&lt;0.5))</f>
        <v/>
      </c>
      <c r="I472">
        <f>IFERROR(MAX(0,(0.5-B472)*100),0)+IF(D472&gt;=24,20,0)+IF(Raw_data!$I472&gt;0,20,0)+IF(Raw_data!$AE472=TRUE,10,0)</f>
        <v/>
      </c>
      <c r="J472">
        <f>IFERROR(CHOOSE(MATCH(Dashboard!$B$11,{"Department","Team","Unit","Legal entity","Location","Lead"},0),INDEX(Lists!$B$3:$B$20,ROW()-1),INDEX(Lists!$C$3:$C$146,ROW()-1),INDEX(Lists!$D$3:$D$67,ROW()-1),INDEX(Lists!$E$3:$E$5,ROW()-1),INDEX(Lists!$F$3:$F$12,ROW()-1),INDEX(Lists!$G$3:$G$126,ROW()-1)),"")</f>
        <v/>
      </c>
      <c r="K472">
        <f>IF(J472="","",SUMPRODUCT(($A$2:$A$636=1)*($G$2:$G$636=J472)))</f>
        <v/>
      </c>
      <c r="L472">
        <f>IF(J472="","",SUMPRODUCT(($A$2:$A$636=1)*($G$2:$G$636=J472)*(ISNUMBER($B$2:$B$636))*($B$2:$B$636&lt;0.5)))</f>
        <v/>
      </c>
      <c r="M472">
        <f>IFERROR(L472/K472,"")</f>
        <v/>
      </c>
      <c r="N472">
        <f>IF(K472="","",M472+K472/100000+ROW()/100000000)</f>
        <v/>
      </c>
      <c r="R472">
        <f>IF(A472=1,IFERROR(I472,0)+ROW()/100000000,-1E+99)</f>
        <v/>
      </c>
      <c r="S472">
        <f>IF(A472=1,IFERROR(Raw_data!$T472,""),"")</f>
        <v/>
      </c>
      <c r="T472">
        <f>IF(A472=1,IFERROR(Raw_data!$AA472,""),"")</f>
        <v/>
      </c>
      <c r="U472">
        <f>IF(A472=1,IFERROR(Raw_data!$U472,""),"")</f>
        <v/>
      </c>
      <c r="V472">
        <f>IF(A472=1,IFERROR(Raw_data!$AB472,""),"")</f>
        <v/>
      </c>
    </row>
    <row r="473">
      <c r="A473">
        <f>--(AND(OR(Dashboard!$B$4="All",Raw_data!$AL473=Dashboard!$B$4),OR(Dashboard!$B$5="All",Raw_data!$AM473=Dashboard!$B$5),OR(Dashboard!$B$6="All",Raw_data!$AN473=Dashboard!$B$6),OR(Dashboard!$B$7="All",Raw_data!$AO473=Dashboard!$B$7),OR(Dashboard!$B$8="All",Raw_data!$AP473=Dashboard!$B$8),OR(Dashboard!$B$9="All",Raw_data!$AQ473=Dashboard!$B$9),OR(Dashboard!$B$10="All",Raw_data!$AF473=Dashboard!$B$10),OR(Raw_data!$F473="",Raw_data!$F473&lt;=TODAY())))</f>
        <v/>
      </c>
      <c r="B473">
        <f>IFERROR(IF(Dashboard!$B$3="Weighted",Raw_data!$U473,Raw_data!$T473),"")</f>
        <v/>
      </c>
      <c r="C473">
        <f>IFERROR(IF(Dashboard!$B$3="Weighted",Raw_data!$AB473,Raw_data!$AA473),"")</f>
        <v/>
      </c>
      <c r="D473">
        <f>IF(OR(Raw_data!$J473="",Raw_data!$J473&lt;=0,Raw_data!$K473=""),"",IF(Raw_data!$K473&gt;TODAY(),0,DATEDIF(Raw_data!$K473,TODAY(),"M")))</f>
        <v/>
      </c>
      <c r="E473">
        <f>--(AND(Raw_data!$AF473="No",OR(Raw_data!$AG473&lt;&gt;"",Raw_data!$AJ473&gt;0,Raw_data!$AK473&lt;&gt;"")))</f>
        <v/>
      </c>
      <c r="F473">
        <f>--(OR(AND(ISNUMBER(B473),B473&lt;0.5,OR(D473&gt;=24,Raw_data!$I473&gt;0)),Raw_data!$AE473=TRUE))</f>
        <v/>
      </c>
      <c r="G473">
        <f>IF(Dashboard!$B$11="Department",Raw_data!$AL473,IF(Dashboard!$B$11="Team",Raw_data!$AM473,IF(Dashboard!$B$11="Unit",Raw_data!$AN473,IF(Dashboard!$B$11="Legal entity",Raw_data!$AO473,IF(Dashboard!$B$11="Location",Raw_data!$AP473,Raw_data!$AQ473)))))</f>
        <v/>
      </c>
      <c r="H473">
        <f>--(AND(ISNUMBER(B473),B473&lt;0.5))</f>
        <v/>
      </c>
      <c r="I473">
        <f>IFERROR(MAX(0,(0.5-B473)*100),0)+IF(D473&gt;=24,20,0)+IF(Raw_data!$I473&gt;0,20,0)+IF(Raw_data!$AE473=TRUE,10,0)</f>
        <v/>
      </c>
      <c r="J473">
        <f>IFERROR(CHOOSE(MATCH(Dashboard!$B$11,{"Department","Team","Unit","Legal entity","Location","Lead"},0),INDEX(Lists!$B$3:$B$20,ROW()-1),INDEX(Lists!$C$3:$C$146,ROW()-1),INDEX(Lists!$D$3:$D$67,ROW()-1),INDEX(Lists!$E$3:$E$5,ROW()-1),INDEX(Lists!$F$3:$F$12,ROW()-1),INDEX(Lists!$G$3:$G$126,ROW()-1)),"")</f>
        <v/>
      </c>
      <c r="K473">
        <f>IF(J473="","",SUMPRODUCT(($A$2:$A$636=1)*($G$2:$G$636=J473)))</f>
        <v/>
      </c>
      <c r="L473">
        <f>IF(J473="","",SUMPRODUCT(($A$2:$A$636=1)*($G$2:$G$636=J473)*(ISNUMBER($B$2:$B$636))*($B$2:$B$636&lt;0.5)))</f>
        <v/>
      </c>
      <c r="M473">
        <f>IFERROR(L473/K473,"")</f>
        <v/>
      </c>
      <c r="N473">
        <f>IF(K473="","",M473+K473/100000+ROW()/100000000)</f>
        <v/>
      </c>
      <c r="R473">
        <f>IF(A473=1,IFERROR(I473,0)+ROW()/100000000,-1E+99)</f>
        <v/>
      </c>
      <c r="S473">
        <f>IF(A473=1,IFERROR(Raw_data!$T473,""),"")</f>
        <v/>
      </c>
      <c r="T473">
        <f>IF(A473=1,IFERROR(Raw_data!$AA473,""),"")</f>
        <v/>
      </c>
      <c r="U473">
        <f>IF(A473=1,IFERROR(Raw_data!$U473,""),"")</f>
        <v/>
      </c>
      <c r="V473">
        <f>IF(A473=1,IFERROR(Raw_data!$AB473,""),"")</f>
        <v/>
      </c>
    </row>
    <row r="474">
      <c r="A474">
        <f>--(AND(OR(Dashboard!$B$4="All",Raw_data!$AL474=Dashboard!$B$4),OR(Dashboard!$B$5="All",Raw_data!$AM474=Dashboard!$B$5),OR(Dashboard!$B$6="All",Raw_data!$AN474=Dashboard!$B$6),OR(Dashboard!$B$7="All",Raw_data!$AO474=Dashboard!$B$7),OR(Dashboard!$B$8="All",Raw_data!$AP474=Dashboard!$B$8),OR(Dashboard!$B$9="All",Raw_data!$AQ474=Dashboard!$B$9),OR(Dashboard!$B$10="All",Raw_data!$AF474=Dashboard!$B$10),OR(Raw_data!$F474="",Raw_data!$F474&lt;=TODAY())))</f>
        <v/>
      </c>
      <c r="B474">
        <f>IFERROR(IF(Dashboard!$B$3="Weighted",Raw_data!$U474,Raw_data!$T474),"")</f>
        <v/>
      </c>
      <c r="C474">
        <f>IFERROR(IF(Dashboard!$B$3="Weighted",Raw_data!$AB474,Raw_data!$AA474),"")</f>
        <v/>
      </c>
      <c r="D474">
        <f>IF(OR(Raw_data!$J474="",Raw_data!$J474&lt;=0,Raw_data!$K474=""),"",IF(Raw_data!$K474&gt;TODAY(),0,DATEDIF(Raw_data!$K474,TODAY(),"M")))</f>
        <v/>
      </c>
      <c r="E474">
        <f>--(AND(Raw_data!$AF474="No",OR(Raw_data!$AG474&lt;&gt;"",Raw_data!$AJ474&gt;0,Raw_data!$AK474&lt;&gt;"")))</f>
        <v/>
      </c>
      <c r="F474">
        <f>--(OR(AND(ISNUMBER(B474),B474&lt;0.5,OR(D474&gt;=24,Raw_data!$I474&gt;0)),Raw_data!$AE474=TRUE))</f>
        <v/>
      </c>
      <c r="G474">
        <f>IF(Dashboard!$B$11="Department",Raw_data!$AL474,IF(Dashboard!$B$11="Team",Raw_data!$AM474,IF(Dashboard!$B$11="Unit",Raw_data!$AN474,IF(Dashboard!$B$11="Legal entity",Raw_data!$AO474,IF(Dashboard!$B$11="Location",Raw_data!$AP474,Raw_data!$AQ474)))))</f>
        <v/>
      </c>
      <c r="H474">
        <f>--(AND(ISNUMBER(B474),B474&lt;0.5))</f>
        <v/>
      </c>
      <c r="I474">
        <f>IFERROR(MAX(0,(0.5-B474)*100),0)+IF(D474&gt;=24,20,0)+IF(Raw_data!$I474&gt;0,20,0)+IF(Raw_data!$AE474=TRUE,10,0)</f>
        <v/>
      </c>
      <c r="J474">
        <f>IFERROR(CHOOSE(MATCH(Dashboard!$B$11,{"Department","Team","Unit","Legal entity","Location","Lead"},0),INDEX(Lists!$B$3:$B$20,ROW()-1),INDEX(Lists!$C$3:$C$146,ROW()-1),INDEX(Lists!$D$3:$D$67,ROW()-1),INDEX(Lists!$E$3:$E$5,ROW()-1),INDEX(Lists!$F$3:$F$12,ROW()-1),INDEX(Lists!$G$3:$G$126,ROW()-1)),"")</f>
        <v/>
      </c>
      <c r="K474">
        <f>IF(J474="","",SUMPRODUCT(($A$2:$A$636=1)*($G$2:$G$636=J474)))</f>
        <v/>
      </c>
      <c r="L474">
        <f>IF(J474="","",SUMPRODUCT(($A$2:$A$636=1)*($G$2:$G$636=J474)*(ISNUMBER($B$2:$B$636))*($B$2:$B$636&lt;0.5)))</f>
        <v/>
      </c>
      <c r="M474">
        <f>IFERROR(L474/K474,"")</f>
        <v/>
      </c>
      <c r="N474">
        <f>IF(K474="","",M474+K474/100000+ROW()/100000000)</f>
        <v/>
      </c>
      <c r="R474">
        <f>IF(A474=1,IFERROR(I474,0)+ROW()/100000000,-1E+99)</f>
        <v/>
      </c>
      <c r="S474">
        <f>IF(A474=1,IFERROR(Raw_data!$T474,""),"")</f>
        <v/>
      </c>
      <c r="T474">
        <f>IF(A474=1,IFERROR(Raw_data!$AA474,""),"")</f>
        <v/>
      </c>
      <c r="U474">
        <f>IF(A474=1,IFERROR(Raw_data!$U474,""),"")</f>
        <v/>
      </c>
      <c r="V474">
        <f>IF(A474=1,IFERROR(Raw_data!$AB474,""),"")</f>
        <v/>
      </c>
    </row>
    <row r="475">
      <c r="A475">
        <f>--(AND(OR(Dashboard!$B$4="All",Raw_data!$AL475=Dashboard!$B$4),OR(Dashboard!$B$5="All",Raw_data!$AM475=Dashboard!$B$5),OR(Dashboard!$B$6="All",Raw_data!$AN475=Dashboard!$B$6),OR(Dashboard!$B$7="All",Raw_data!$AO475=Dashboard!$B$7),OR(Dashboard!$B$8="All",Raw_data!$AP475=Dashboard!$B$8),OR(Dashboard!$B$9="All",Raw_data!$AQ475=Dashboard!$B$9),OR(Dashboard!$B$10="All",Raw_data!$AF475=Dashboard!$B$10),OR(Raw_data!$F475="",Raw_data!$F475&lt;=TODAY())))</f>
        <v/>
      </c>
      <c r="B475">
        <f>IFERROR(IF(Dashboard!$B$3="Weighted",Raw_data!$U475,Raw_data!$T475),"")</f>
        <v/>
      </c>
      <c r="C475">
        <f>IFERROR(IF(Dashboard!$B$3="Weighted",Raw_data!$AB475,Raw_data!$AA475),"")</f>
        <v/>
      </c>
      <c r="D475">
        <f>IF(OR(Raw_data!$J475="",Raw_data!$J475&lt;=0,Raw_data!$K475=""),"",IF(Raw_data!$K475&gt;TODAY(),0,DATEDIF(Raw_data!$K475,TODAY(),"M")))</f>
        <v/>
      </c>
      <c r="E475">
        <f>--(AND(Raw_data!$AF475="No",OR(Raw_data!$AG475&lt;&gt;"",Raw_data!$AJ475&gt;0,Raw_data!$AK475&lt;&gt;"")))</f>
        <v/>
      </c>
      <c r="F475">
        <f>--(OR(AND(ISNUMBER(B475),B475&lt;0.5,OR(D475&gt;=24,Raw_data!$I475&gt;0)),Raw_data!$AE475=TRUE))</f>
        <v/>
      </c>
      <c r="G475">
        <f>IF(Dashboard!$B$11="Department",Raw_data!$AL475,IF(Dashboard!$B$11="Team",Raw_data!$AM475,IF(Dashboard!$B$11="Unit",Raw_data!$AN475,IF(Dashboard!$B$11="Legal entity",Raw_data!$AO475,IF(Dashboard!$B$11="Location",Raw_data!$AP475,Raw_data!$AQ475)))))</f>
        <v/>
      </c>
      <c r="H475">
        <f>--(AND(ISNUMBER(B475),B475&lt;0.5))</f>
        <v/>
      </c>
      <c r="I475">
        <f>IFERROR(MAX(0,(0.5-B475)*100),0)+IF(D475&gt;=24,20,0)+IF(Raw_data!$I475&gt;0,20,0)+IF(Raw_data!$AE475=TRUE,10,0)</f>
        <v/>
      </c>
      <c r="J475">
        <f>IFERROR(CHOOSE(MATCH(Dashboard!$B$11,{"Department","Team","Unit","Legal entity","Location","Lead"},0),INDEX(Lists!$B$3:$B$20,ROW()-1),INDEX(Lists!$C$3:$C$146,ROW()-1),INDEX(Lists!$D$3:$D$67,ROW()-1),INDEX(Lists!$E$3:$E$5,ROW()-1),INDEX(Lists!$F$3:$F$12,ROW()-1),INDEX(Lists!$G$3:$G$126,ROW()-1)),"")</f>
        <v/>
      </c>
      <c r="K475">
        <f>IF(J475="","",SUMPRODUCT(($A$2:$A$636=1)*($G$2:$G$636=J475)))</f>
        <v/>
      </c>
      <c r="L475">
        <f>IF(J475="","",SUMPRODUCT(($A$2:$A$636=1)*($G$2:$G$636=J475)*(ISNUMBER($B$2:$B$636))*($B$2:$B$636&lt;0.5)))</f>
        <v/>
      </c>
      <c r="M475">
        <f>IFERROR(L475/K475,"")</f>
        <v/>
      </c>
      <c r="N475">
        <f>IF(K475="","",M475+K475/100000+ROW()/100000000)</f>
        <v/>
      </c>
      <c r="R475">
        <f>IF(A475=1,IFERROR(I475,0)+ROW()/100000000,-1E+99)</f>
        <v/>
      </c>
      <c r="S475">
        <f>IF(A475=1,IFERROR(Raw_data!$T475,""),"")</f>
        <v/>
      </c>
      <c r="T475">
        <f>IF(A475=1,IFERROR(Raw_data!$AA475,""),"")</f>
        <v/>
      </c>
      <c r="U475">
        <f>IF(A475=1,IFERROR(Raw_data!$U475,""),"")</f>
        <v/>
      </c>
      <c r="V475">
        <f>IF(A475=1,IFERROR(Raw_data!$AB475,""),"")</f>
        <v/>
      </c>
    </row>
    <row r="476">
      <c r="A476">
        <f>--(AND(OR(Dashboard!$B$4="All",Raw_data!$AL476=Dashboard!$B$4),OR(Dashboard!$B$5="All",Raw_data!$AM476=Dashboard!$B$5),OR(Dashboard!$B$6="All",Raw_data!$AN476=Dashboard!$B$6),OR(Dashboard!$B$7="All",Raw_data!$AO476=Dashboard!$B$7),OR(Dashboard!$B$8="All",Raw_data!$AP476=Dashboard!$B$8),OR(Dashboard!$B$9="All",Raw_data!$AQ476=Dashboard!$B$9),OR(Dashboard!$B$10="All",Raw_data!$AF476=Dashboard!$B$10),OR(Raw_data!$F476="",Raw_data!$F476&lt;=TODAY())))</f>
        <v/>
      </c>
      <c r="B476">
        <f>IFERROR(IF(Dashboard!$B$3="Weighted",Raw_data!$U476,Raw_data!$T476),"")</f>
        <v/>
      </c>
      <c r="C476">
        <f>IFERROR(IF(Dashboard!$B$3="Weighted",Raw_data!$AB476,Raw_data!$AA476),"")</f>
        <v/>
      </c>
      <c r="D476">
        <f>IF(OR(Raw_data!$J476="",Raw_data!$J476&lt;=0,Raw_data!$K476=""),"",IF(Raw_data!$K476&gt;TODAY(),0,DATEDIF(Raw_data!$K476,TODAY(),"M")))</f>
        <v/>
      </c>
      <c r="E476">
        <f>--(AND(Raw_data!$AF476="No",OR(Raw_data!$AG476&lt;&gt;"",Raw_data!$AJ476&gt;0,Raw_data!$AK476&lt;&gt;"")))</f>
        <v/>
      </c>
      <c r="F476">
        <f>--(OR(AND(ISNUMBER(B476),B476&lt;0.5,OR(D476&gt;=24,Raw_data!$I476&gt;0)),Raw_data!$AE476=TRUE))</f>
        <v/>
      </c>
      <c r="G476">
        <f>IF(Dashboard!$B$11="Department",Raw_data!$AL476,IF(Dashboard!$B$11="Team",Raw_data!$AM476,IF(Dashboard!$B$11="Unit",Raw_data!$AN476,IF(Dashboard!$B$11="Legal entity",Raw_data!$AO476,IF(Dashboard!$B$11="Location",Raw_data!$AP476,Raw_data!$AQ476)))))</f>
        <v/>
      </c>
      <c r="H476">
        <f>--(AND(ISNUMBER(B476),B476&lt;0.5))</f>
        <v/>
      </c>
      <c r="I476">
        <f>IFERROR(MAX(0,(0.5-B476)*100),0)+IF(D476&gt;=24,20,0)+IF(Raw_data!$I476&gt;0,20,0)+IF(Raw_data!$AE476=TRUE,10,0)</f>
        <v/>
      </c>
      <c r="J476">
        <f>IFERROR(CHOOSE(MATCH(Dashboard!$B$11,{"Department","Team","Unit","Legal entity","Location","Lead"},0),INDEX(Lists!$B$3:$B$20,ROW()-1),INDEX(Lists!$C$3:$C$146,ROW()-1),INDEX(Lists!$D$3:$D$67,ROW()-1),INDEX(Lists!$E$3:$E$5,ROW()-1),INDEX(Lists!$F$3:$F$12,ROW()-1),INDEX(Lists!$G$3:$G$126,ROW()-1)),"")</f>
        <v/>
      </c>
      <c r="K476">
        <f>IF(J476="","",SUMPRODUCT(($A$2:$A$636=1)*($G$2:$G$636=J476)))</f>
        <v/>
      </c>
      <c r="L476">
        <f>IF(J476="","",SUMPRODUCT(($A$2:$A$636=1)*($G$2:$G$636=J476)*(ISNUMBER($B$2:$B$636))*($B$2:$B$636&lt;0.5)))</f>
        <v/>
      </c>
      <c r="M476">
        <f>IFERROR(L476/K476,"")</f>
        <v/>
      </c>
      <c r="N476">
        <f>IF(K476="","",M476+K476/100000+ROW()/100000000)</f>
        <v/>
      </c>
      <c r="R476">
        <f>IF(A476=1,IFERROR(I476,0)+ROW()/100000000,-1E+99)</f>
        <v/>
      </c>
      <c r="S476">
        <f>IF(A476=1,IFERROR(Raw_data!$T476,""),"")</f>
        <v/>
      </c>
      <c r="T476">
        <f>IF(A476=1,IFERROR(Raw_data!$AA476,""),"")</f>
        <v/>
      </c>
      <c r="U476">
        <f>IF(A476=1,IFERROR(Raw_data!$U476,""),"")</f>
        <v/>
      </c>
      <c r="V476">
        <f>IF(A476=1,IFERROR(Raw_data!$AB476,""),"")</f>
        <v/>
      </c>
    </row>
    <row r="477">
      <c r="A477">
        <f>--(AND(OR(Dashboard!$B$4="All",Raw_data!$AL477=Dashboard!$B$4),OR(Dashboard!$B$5="All",Raw_data!$AM477=Dashboard!$B$5),OR(Dashboard!$B$6="All",Raw_data!$AN477=Dashboard!$B$6),OR(Dashboard!$B$7="All",Raw_data!$AO477=Dashboard!$B$7),OR(Dashboard!$B$8="All",Raw_data!$AP477=Dashboard!$B$8),OR(Dashboard!$B$9="All",Raw_data!$AQ477=Dashboard!$B$9),OR(Dashboard!$B$10="All",Raw_data!$AF477=Dashboard!$B$10),OR(Raw_data!$F477="",Raw_data!$F477&lt;=TODAY())))</f>
        <v/>
      </c>
      <c r="B477">
        <f>IFERROR(IF(Dashboard!$B$3="Weighted",Raw_data!$U477,Raw_data!$T477),"")</f>
        <v/>
      </c>
      <c r="C477">
        <f>IFERROR(IF(Dashboard!$B$3="Weighted",Raw_data!$AB477,Raw_data!$AA477),"")</f>
        <v/>
      </c>
      <c r="D477">
        <f>IF(OR(Raw_data!$J477="",Raw_data!$J477&lt;=0,Raw_data!$K477=""),"",IF(Raw_data!$K477&gt;TODAY(),0,DATEDIF(Raw_data!$K477,TODAY(),"M")))</f>
        <v/>
      </c>
      <c r="E477">
        <f>--(AND(Raw_data!$AF477="No",OR(Raw_data!$AG477&lt;&gt;"",Raw_data!$AJ477&gt;0,Raw_data!$AK477&lt;&gt;"")))</f>
        <v/>
      </c>
      <c r="F477">
        <f>--(OR(AND(ISNUMBER(B477),B477&lt;0.5,OR(D477&gt;=24,Raw_data!$I477&gt;0)),Raw_data!$AE477=TRUE))</f>
        <v/>
      </c>
      <c r="G477">
        <f>IF(Dashboard!$B$11="Department",Raw_data!$AL477,IF(Dashboard!$B$11="Team",Raw_data!$AM477,IF(Dashboard!$B$11="Unit",Raw_data!$AN477,IF(Dashboard!$B$11="Legal entity",Raw_data!$AO477,IF(Dashboard!$B$11="Location",Raw_data!$AP477,Raw_data!$AQ477)))))</f>
        <v/>
      </c>
      <c r="H477">
        <f>--(AND(ISNUMBER(B477),B477&lt;0.5))</f>
        <v/>
      </c>
      <c r="I477">
        <f>IFERROR(MAX(0,(0.5-B477)*100),0)+IF(D477&gt;=24,20,0)+IF(Raw_data!$I477&gt;0,20,0)+IF(Raw_data!$AE477=TRUE,10,0)</f>
        <v/>
      </c>
      <c r="J477">
        <f>IFERROR(CHOOSE(MATCH(Dashboard!$B$11,{"Department","Team","Unit","Legal entity","Location","Lead"},0),INDEX(Lists!$B$3:$B$20,ROW()-1),INDEX(Lists!$C$3:$C$146,ROW()-1),INDEX(Lists!$D$3:$D$67,ROW()-1),INDEX(Lists!$E$3:$E$5,ROW()-1),INDEX(Lists!$F$3:$F$12,ROW()-1),INDEX(Lists!$G$3:$G$126,ROW()-1)),"")</f>
        <v/>
      </c>
      <c r="K477">
        <f>IF(J477="","",SUMPRODUCT(($A$2:$A$636=1)*($G$2:$G$636=J477)))</f>
        <v/>
      </c>
      <c r="L477">
        <f>IF(J477="","",SUMPRODUCT(($A$2:$A$636=1)*($G$2:$G$636=J477)*(ISNUMBER($B$2:$B$636))*($B$2:$B$636&lt;0.5)))</f>
        <v/>
      </c>
      <c r="M477">
        <f>IFERROR(L477/K477,"")</f>
        <v/>
      </c>
      <c r="N477">
        <f>IF(K477="","",M477+K477/100000+ROW()/100000000)</f>
        <v/>
      </c>
      <c r="R477">
        <f>IF(A477=1,IFERROR(I477,0)+ROW()/100000000,-1E+99)</f>
        <v/>
      </c>
      <c r="S477">
        <f>IF(A477=1,IFERROR(Raw_data!$T477,""),"")</f>
        <v/>
      </c>
      <c r="T477">
        <f>IF(A477=1,IFERROR(Raw_data!$AA477,""),"")</f>
        <v/>
      </c>
      <c r="U477">
        <f>IF(A477=1,IFERROR(Raw_data!$U477,""),"")</f>
        <v/>
      </c>
      <c r="V477">
        <f>IF(A477=1,IFERROR(Raw_data!$AB477,""),"")</f>
        <v/>
      </c>
    </row>
    <row r="478">
      <c r="A478">
        <f>--(AND(OR(Dashboard!$B$4="All",Raw_data!$AL478=Dashboard!$B$4),OR(Dashboard!$B$5="All",Raw_data!$AM478=Dashboard!$B$5),OR(Dashboard!$B$6="All",Raw_data!$AN478=Dashboard!$B$6),OR(Dashboard!$B$7="All",Raw_data!$AO478=Dashboard!$B$7),OR(Dashboard!$B$8="All",Raw_data!$AP478=Dashboard!$B$8),OR(Dashboard!$B$9="All",Raw_data!$AQ478=Dashboard!$B$9),OR(Dashboard!$B$10="All",Raw_data!$AF478=Dashboard!$B$10),OR(Raw_data!$F478="",Raw_data!$F478&lt;=TODAY())))</f>
        <v/>
      </c>
      <c r="B478">
        <f>IFERROR(IF(Dashboard!$B$3="Weighted",Raw_data!$U478,Raw_data!$T478),"")</f>
        <v/>
      </c>
      <c r="C478">
        <f>IFERROR(IF(Dashboard!$B$3="Weighted",Raw_data!$AB478,Raw_data!$AA478),"")</f>
        <v/>
      </c>
      <c r="D478">
        <f>IF(OR(Raw_data!$J478="",Raw_data!$J478&lt;=0,Raw_data!$K478=""),"",IF(Raw_data!$K478&gt;TODAY(),0,DATEDIF(Raw_data!$K478,TODAY(),"M")))</f>
        <v/>
      </c>
      <c r="E478">
        <f>--(AND(Raw_data!$AF478="No",OR(Raw_data!$AG478&lt;&gt;"",Raw_data!$AJ478&gt;0,Raw_data!$AK478&lt;&gt;"")))</f>
        <v/>
      </c>
      <c r="F478">
        <f>--(OR(AND(ISNUMBER(B478),B478&lt;0.5,OR(D478&gt;=24,Raw_data!$I478&gt;0)),Raw_data!$AE478=TRUE))</f>
        <v/>
      </c>
      <c r="G478">
        <f>IF(Dashboard!$B$11="Department",Raw_data!$AL478,IF(Dashboard!$B$11="Team",Raw_data!$AM478,IF(Dashboard!$B$11="Unit",Raw_data!$AN478,IF(Dashboard!$B$11="Legal entity",Raw_data!$AO478,IF(Dashboard!$B$11="Location",Raw_data!$AP478,Raw_data!$AQ478)))))</f>
        <v/>
      </c>
      <c r="H478">
        <f>--(AND(ISNUMBER(B478),B478&lt;0.5))</f>
        <v/>
      </c>
      <c r="I478">
        <f>IFERROR(MAX(0,(0.5-B478)*100),0)+IF(D478&gt;=24,20,0)+IF(Raw_data!$I478&gt;0,20,0)+IF(Raw_data!$AE478=TRUE,10,0)</f>
        <v/>
      </c>
      <c r="J478">
        <f>IFERROR(CHOOSE(MATCH(Dashboard!$B$11,{"Department","Team","Unit","Legal entity","Location","Lead"},0),INDEX(Lists!$B$3:$B$20,ROW()-1),INDEX(Lists!$C$3:$C$146,ROW()-1),INDEX(Lists!$D$3:$D$67,ROW()-1),INDEX(Lists!$E$3:$E$5,ROW()-1),INDEX(Lists!$F$3:$F$12,ROW()-1),INDEX(Lists!$G$3:$G$126,ROW()-1)),"")</f>
        <v/>
      </c>
      <c r="K478">
        <f>IF(J478="","",SUMPRODUCT(($A$2:$A$636=1)*($G$2:$G$636=J478)))</f>
        <v/>
      </c>
      <c r="L478">
        <f>IF(J478="","",SUMPRODUCT(($A$2:$A$636=1)*($G$2:$G$636=J478)*(ISNUMBER($B$2:$B$636))*($B$2:$B$636&lt;0.5)))</f>
        <v/>
      </c>
      <c r="M478">
        <f>IFERROR(L478/K478,"")</f>
        <v/>
      </c>
      <c r="N478">
        <f>IF(K478="","",M478+K478/100000+ROW()/100000000)</f>
        <v/>
      </c>
      <c r="R478">
        <f>IF(A478=1,IFERROR(I478,0)+ROW()/100000000,-1E+99)</f>
        <v/>
      </c>
      <c r="S478">
        <f>IF(A478=1,IFERROR(Raw_data!$T478,""),"")</f>
        <v/>
      </c>
      <c r="T478">
        <f>IF(A478=1,IFERROR(Raw_data!$AA478,""),"")</f>
        <v/>
      </c>
      <c r="U478">
        <f>IF(A478=1,IFERROR(Raw_data!$U478,""),"")</f>
        <v/>
      </c>
      <c r="V478">
        <f>IF(A478=1,IFERROR(Raw_data!$AB478,""),"")</f>
        <v/>
      </c>
    </row>
    <row r="479">
      <c r="A479">
        <f>--(AND(OR(Dashboard!$B$4="All",Raw_data!$AL479=Dashboard!$B$4),OR(Dashboard!$B$5="All",Raw_data!$AM479=Dashboard!$B$5),OR(Dashboard!$B$6="All",Raw_data!$AN479=Dashboard!$B$6),OR(Dashboard!$B$7="All",Raw_data!$AO479=Dashboard!$B$7),OR(Dashboard!$B$8="All",Raw_data!$AP479=Dashboard!$B$8),OR(Dashboard!$B$9="All",Raw_data!$AQ479=Dashboard!$B$9),OR(Dashboard!$B$10="All",Raw_data!$AF479=Dashboard!$B$10),OR(Raw_data!$F479="",Raw_data!$F479&lt;=TODAY())))</f>
        <v/>
      </c>
      <c r="B479">
        <f>IFERROR(IF(Dashboard!$B$3="Weighted",Raw_data!$U479,Raw_data!$T479),"")</f>
        <v/>
      </c>
      <c r="C479">
        <f>IFERROR(IF(Dashboard!$B$3="Weighted",Raw_data!$AB479,Raw_data!$AA479),"")</f>
        <v/>
      </c>
      <c r="D479">
        <f>IF(OR(Raw_data!$J479="",Raw_data!$J479&lt;=0,Raw_data!$K479=""),"",IF(Raw_data!$K479&gt;TODAY(),0,DATEDIF(Raw_data!$K479,TODAY(),"M")))</f>
        <v/>
      </c>
      <c r="E479">
        <f>--(AND(Raw_data!$AF479="No",OR(Raw_data!$AG479&lt;&gt;"",Raw_data!$AJ479&gt;0,Raw_data!$AK479&lt;&gt;"")))</f>
        <v/>
      </c>
      <c r="F479">
        <f>--(OR(AND(ISNUMBER(B479),B479&lt;0.5,OR(D479&gt;=24,Raw_data!$I479&gt;0)),Raw_data!$AE479=TRUE))</f>
        <v/>
      </c>
      <c r="G479">
        <f>IF(Dashboard!$B$11="Department",Raw_data!$AL479,IF(Dashboard!$B$11="Team",Raw_data!$AM479,IF(Dashboard!$B$11="Unit",Raw_data!$AN479,IF(Dashboard!$B$11="Legal entity",Raw_data!$AO479,IF(Dashboard!$B$11="Location",Raw_data!$AP479,Raw_data!$AQ479)))))</f>
        <v/>
      </c>
      <c r="H479">
        <f>--(AND(ISNUMBER(B479),B479&lt;0.5))</f>
        <v/>
      </c>
      <c r="I479">
        <f>IFERROR(MAX(0,(0.5-B479)*100),0)+IF(D479&gt;=24,20,0)+IF(Raw_data!$I479&gt;0,20,0)+IF(Raw_data!$AE479=TRUE,10,0)</f>
        <v/>
      </c>
      <c r="J479">
        <f>IFERROR(CHOOSE(MATCH(Dashboard!$B$11,{"Department","Team","Unit","Legal entity","Location","Lead"},0),INDEX(Lists!$B$3:$B$20,ROW()-1),INDEX(Lists!$C$3:$C$146,ROW()-1),INDEX(Lists!$D$3:$D$67,ROW()-1),INDEX(Lists!$E$3:$E$5,ROW()-1),INDEX(Lists!$F$3:$F$12,ROW()-1),INDEX(Lists!$G$3:$G$126,ROW()-1)),"")</f>
        <v/>
      </c>
      <c r="K479">
        <f>IF(J479="","",SUMPRODUCT(($A$2:$A$636=1)*($G$2:$G$636=J479)))</f>
        <v/>
      </c>
      <c r="L479">
        <f>IF(J479="","",SUMPRODUCT(($A$2:$A$636=1)*($G$2:$G$636=J479)*(ISNUMBER($B$2:$B$636))*($B$2:$B$636&lt;0.5)))</f>
        <v/>
      </c>
      <c r="M479">
        <f>IFERROR(L479/K479,"")</f>
        <v/>
      </c>
      <c r="N479">
        <f>IF(K479="","",M479+K479/100000+ROW()/100000000)</f>
        <v/>
      </c>
      <c r="R479">
        <f>IF(A479=1,IFERROR(I479,0)+ROW()/100000000,-1E+99)</f>
        <v/>
      </c>
      <c r="S479">
        <f>IF(A479=1,IFERROR(Raw_data!$T479,""),"")</f>
        <v/>
      </c>
      <c r="T479">
        <f>IF(A479=1,IFERROR(Raw_data!$AA479,""),"")</f>
        <v/>
      </c>
      <c r="U479">
        <f>IF(A479=1,IFERROR(Raw_data!$U479,""),"")</f>
        <v/>
      </c>
      <c r="V479">
        <f>IF(A479=1,IFERROR(Raw_data!$AB479,""),"")</f>
        <v/>
      </c>
    </row>
    <row r="480">
      <c r="A480">
        <f>--(AND(OR(Dashboard!$B$4="All",Raw_data!$AL480=Dashboard!$B$4),OR(Dashboard!$B$5="All",Raw_data!$AM480=Dashboard!$B$5),OR(Dashboard!$B$6="All",Raw_data!$AN480=Dashboard!$B$6),OR(Dashboard!$B$7="All",Raw_data!$AO480=Dashboard!$B$7),OR(Dashboard!$B$8="All",Raw_data!$AP480=Dashboard!$B$8),OR(Dashboard!$B$9="All",Raw_data!$AQ480=Dashboard!$B$9),OR(Dashboard!$B$10="All",Raw_data!$AF480=Dashboard!$B$10),OR(Raw_data!$F480="",Raw_data!$F480&lt;=TODAY())))</f>
        <v/>
      </c>
      <c r="B480">
        <f>IFERROR(IF(Dashboard!$B$3="Weighted",Raw_data!$U480,Raw_data!$T480),"")</f>
        <v/>
      </c>
      <c r="C480">
        <f>IFERROR(IF(Dashboard!$B$3="Weighted",Raw_data!$AB480,Raw_data!$AA480),"")</f>
        <v/>
      </c>
      <c r="D480">
        <f>IF(OR(Raw_data!$J480="",Raw_data!$J480&lt;=0,Raw_data!$K480=""),"",IF(Raw_data!$K480&gt;TODAY(),0,DATEDIF(Raw_data!$K480,TODAY(),"M")))</f>
        <v/>
      </c>
      <c r="E480">
        <f>--(AND(Raw_data!$AF480="No",OR(Raw_data!$AG480&lt;&gt;"",Raw_data!$AJ480&gt;0,Raw_data!$AK480&lt;&gt;"")))</f>
        <v/>
      </c>
      <c r="F480">
        <f>--(OR(AND(ISNUMBER(B480),B480&lt;0.5,OR(D480&gt;=24,Raw_data!$I480&gt;0)),Raw_data!$AE480=TRUE))</f>
        <v/>
      </c>
      <c r="G480">
        <f>IF(Dashboard!$B$11="Department",Raw_data!$AL480,IF(Dashboard!$B$11="Team",Raw_data!$AM480,IF(Dashboard!$B$11="Unit",Raw_data!$AN480,IF(Dashboard!$B$11="Legal entity",Raw_data!$AO480,IF(Dashboard!$B$11="Location",Raw_data!$AP480,Raw_data!$AQ480)))))</f>
        <v/>
      </c>
      <c r="H480">
        <f>--(AND(ISNUMBER(B480),B480&lt;0.5))</f>
        <v/>
      </c>
      <c r="I480">
        <f>IFERROR(MAX(0,(0.5-B480)*100),0)+IF(D480&gt;=24,20,0)+IF(Raw_data!$I480&gt;0,20,0)+IF(Raw_data!$AE480=TRUE,10,0)</f>
        <v/>
      </c>
      <c r="J480">
        <f>IFERROR(CHOOSE(MATCH(Dashboard!$B$11,{"Department","Team","Unit","Legal entity","Location","Lead"},0),INDEX(Lists!$B$3:$B$20,ROW()-1),INDEX(Lists!$C$3:$C$146,ROW()-1),INDEX(Lists!$D$3:$D$67,ROW()-1),INDEX(Lists!$E$3:$E$5,ROW()-1),INDEX(Lists!$F$3:$F$12,ROW()-1),INDEX(Lists!$G$3:$G$126,ROW()-1)),"")</f>
        <v/>
      </c>
      <c r="K480">
        <f>IF(J480="","",SUMPRODUCT(($A$2:$A$636=1)*($G$2:$G$636=J480)))</f>
        <v/>
      </c>
      <c r="L480">
        <f>IF(J480="","",SUMPRODUCT(($A$2:$A$636=1)*($G$2:$G$636=J480)*(ISNUMBER($B$2:$B$636))*($B$2:$B$636&lt;0.5)))</f>
        <v/>
      </c>
      <c r="M480">
        <f>IFERROR(L480/K480,"")</f>
        <v/>
      </c>
      <c r="N480">
        <f>IF(K480="","",M480+K480/100000+ROW()/100000000)</f>
        <v/>
      </c>
      <c r="R480">
        <f>IF(A480=1,IFERROR(I480,0)+ROW()/100000000,-1E+99)</f>
        <v/>
      </c>
      <c r="S480">
        <f>IF(A480=1,IFERROR(Raw_data!$T480,""),"")</f>
        <v/>
      </c>
      <c r="T480">
        <f>IF(A480=1,IFERROR(Raw_data!$AA480,""),"")</f>
        <v/>
      </c>
      <c r="U480">
        <f>IF(A480=1,IFERROR(Raw_data!$U480,""),"")</f>
        <v/>
      </c>
      <c r="V480">
        <f>IF(A480=1,IFERROR(Raw_data!$AB480,""),"")</f>
        <v/>
      </c>
    </row>
    <row r="481">
      <c r="A481">
        <f>--(AND(OR(Dashboard!$B$4="All",Raw_data!$AL481=Dashboard!$B$4),OR(Dashboard!$B$5="All",Raw_data!$AM481=Dashboard!$B$5),OR(Dashboard!$B$6="All",Raw_data!$AN481=Dashboard!$B$6),OR(Dashboard!$B$7="All",Raw_data!$AO481=Dashboard!$B$7),OR(Dashboard!$B$8="All",Raw_data!$AP481=Dashboard!$B$8),OR(Dashboard!$B$9="All",Raw_data!$AQ481=Dashboard!$B$9),OR(Dashboard!$B$10="All",Raw_data!$AF481=Dashboard!$B$10),OR(Raw_data!$F481="",Raw_data!$F481&lt;=TODAY())))</f>
        <v/>
      </c>
      <c r="B481">
        <f>IFERROR(IF(Dashboard!$B$3="Weighted",Raw_data!$U481,Raw_data!$T481),"")</f>
        <v/>
      </c>
      <c r="C481">
        <f>IFERROR(IF(Dashboard!$B$3="Weighted",Raw_data!$AB481,Raw_data!$AA481),"")</f>
        <v/>
      </c>
      <c r="D481">
        <f>IF(OR(Raw_data!$J481="",Raw_data!$J481&lt;=0,Raw_data!$K481=""),"",IF(Raw_data!$K481&gt;TODAY(),0,DATEDIF(Raw_data!$K481,TODAY(),"M")))</f>
        <v/>
      </c>
      <c r="E481">
        <f>--(AND(Raw_data!$AF481="No",OR(Raw_data!$AG481&lt;&gt;"",Raw_data!$AJ481&gt;0,Raw_data!$AK481&lt;&gt;"")))</f>
        <v/>
      </c>
      <c r="F481">
        <f>--(OR(AND(ISNUMBER(B481),B481&lt;0.5,OR(D481&gt;=24,Raw_data!$I481&gt;0)),Raw_data!$AE481=TRUE))</f>
        <v/>
      </c>
      <c r="G481">
        <f>IF(Dashboard!$B$11="Department",Raw_data!$AL481,IF(Dashboard!$B$11="Team",Raw_data!$AM481,IF(Dashboard!$B$11="Unit",Raw_data!$AN481,IF(Dashboard!$B$11="Legal entity",Raw_data!$AO481,IF(Dashboard!$B$11="Location",Raw_data!$AP481,Raw_data!$AQ481)))))</f>
        <v/>
      </c>
      <c r="H481">
        <f>--(AND(ISNUMBER(B481),B481&lt;0.5))</f>
        <v/>
      </c>
      <c r="I481">
        <f>IFERROR(MAX(0,(0.5-B481)*100),0)+IF(D481&gt;=24,20,0)+IF(Raw_data!$I481&gt;0,20,0)+IF(Raw_data!$AE481=TRUE,10,0)</f>
        <v/>
      </c>
      <c r="J481">
        <f>IFERROR(CHOOSE(MATCH(Dashboard!$B$11,{"Department","Team","Unit","Legal entity","Location","Lead"},0),INDEX(Lists!$B$3:$B$20,ROW()-1),INDEX(Lists!$C$3:$C$146,ROW()-1),INDEX(Lists!$D$3:$D$67,ROW()-1),INDEX(Lists!$E$3:$E$5,ROW()-1),INDEX(Lists!$F$3:$F$12,ROW()-1),INDEX(Lists!$G$3:$G$126,ROW()-1)),"")</f>
        <v/>
      </c>
      <c r="K481">
        <f>IF(J481="","",SUMPRODUCT(($A$2:$A$636=1)*($G$2:$G$636=J481)))</f>
        <v/>
      </c>
      <c r="L481">
        <f>IF(J481="","",SUMPRODUCT(($A$2:$A$636=1)*($G$2:$G$636=J481)*(ISNUMBER($B$2:$B$636))*($B$2:$B$636&lt;0.5)))</f>
        <v/>
      </c>
      <c r="M481">
        <f>IFERROR(L481/K481,"")</f>
        <v/>
      </c>
      <c r="N481">
        <f>IF(K481="","",M481+K481/100000+ROW()/100000000)</f>
        <v/>
      </c>
      <c r="R481">
        <f>IF(A481=1,IFERROR(I481,0)+ROW()/100000000,-1E+99)</f>
        <v/>
      </c>
      <c r="S481">
        <f>IF(A481=1,IFERROR(Raw_data!$T481,""),"")</f>
        <v/>
      </c>
      <c r="T481">
        <f>IF(A481=1,IFERROR(Raw_data!$AA481,""),"")</f>
        <v/>
      </c>
      <c r="U481">
        <f>IF(A481=1,IFERROR(Raw_data!$U481,""),"")</f>
        <v/>
      </c>
      <c r="V481">
        <f>IF(A481=1,IFERROR(Raw_data!$AB481,""),"")</f>
        <v/>
      </c>
    </row>
    <row r="482">
      <c r="A482">
        <f>--(AND(OR(Dashboard!$B$4="All",Raw_data!$AL482=Dashboard!$B$4),OR(Dashboard!$B$5="All",Raw_data!$AM482=Dashboard!$B$5),OR(Dashboard!$B$6="All",Raw_data!$AN482=Dashboard!$B$6),OR(Dashboard!$B$7="All",Raw_data!$AO482=Dashboard!$B$7),OR(Dashboard!$B$8="All",Raw_data!$AP482=Dashboard!$B$8),OR(Dashboard!$B$9="All",Raw_data!$AQ482=Dashboard!$B$9),OR(Dashboard!$B$10="All",Raw_data!$AF482=Dashboard!$B$10),OR(Raw_data!$F482="",Raw_data!$F482&lt;=TODAY())))</f>
        <v/>
      </c>
      <c r="B482">
        <f>IFERROR(IF(Dashboard!$B$3="Weighted",Raw_data!$U482,Raw_data!$T482),"")</f>
        <v/>
      </c>
      <c r="C482">
        <f>IFERROR(IF(Dashboard!$B$3="Weighted",Raw_data!$AB482,Raw_data!$AA482),"")</f>
        <v/>
      </c>
      <c r="D482">
        <f>IF(OR(Raw_data!$J482="",Raw_data!$J482&lt;=0,Raw_data!$K482=""),"",IF(Raw_data!$K482&gt;TODAY(),0,DATEDIF(Raw_data!$K482,TODAY(),"M")))</f>
        <v/>
      </c>
      <c r="E482">
        <f>--(AND(Raw_data!$AF482="No",OR(Raw_data!$AG482&lt;&gt;"",Raw_data!$AJ482&gt;0,Raw_data!$AK482&lt;&gt;"")))</f>
        <v/>
      </c>
      <c r="F482">
        <f>--(OR(AND(ISNUMBER(B482),B482&lt;0.5,OR(D482&gt;=24,Raw_data!$I482&gt;0)),Raw_data!$AE482=TRUE))</f>
        <v/>
      </c>
      <c r="G482">
        <f>IF(Dashboard!$B$11="Department",Raw_data!$AL482,IF(Dashboard!$B$11="Team",Raw_data!$AM482,IF(Dashboard!$B$11="Unit",Raw_data!$AN482,IF(Dashboard!$B$11="Legal entity",Raw_data!$AO482,IF(Dashboard!$B$11="Location",Raw_data!$AP482,Raw_data!$AQ482)))))</f>
        <v/>
      </c>
      <c r="H482">
        <f>--(AND(ISNUMBER(B482),B482&lt;0.5))</f>
        <v/>
      </c>
      <c r="I482">
        <f>IFERROR(MAX(0,(0.5-B482)*100),0)+IF(D482&gt;=24,20,0)+IF(Raw_data!$I482&gt;0,20,0)+IF(Raw_data!$AE482=TRUE,10,0)</f>
        <v/>
      </c>
      <c r="J482">
        <f>IFERROR(CHOOSE(MATCH(Dashboard!$B$11,{"Department","Team","Unit","Legal entity","Location","Lead"},0),INDEX(Lists!$B$3:$B$20,ROW()-1),INDEX(Lists!$C$3:$C$146,ROW()-1),INDEX(Lists!$D$3:$D$67,ROW()-1),INDEX(Lists!$E$3:$E$5,ROW()-1),INDEX(Lists!$F$3:$F$12,ROW()-1),INDEX(Lists!$G$3:$G$126,ROW()-1)),"")</f>
        <v/>
      </c>
      <c r="K482">
        <f>IF(J482="","",SUMPRODUCT(($A$2:$A$636=1)*($G$2:$G$636=J482)))</f>
        <v/>
      </c>
      <c r="L482">
        <f>IF(J482="","",SUMPRODUCT(($A$2:$A$636=1)*($G$2:$G$636=J482)*(ISNUMBER($B$2:$B$636))*($B$2:$B$636&lt;0.5)))</f>
        <v/>
      </c>
      <c r="M482">
        <f>IFERROR(L482/K482,"")</f>
        <v/>
      </c>
      <c r="N482">
        <f>IF(K482="","",M482+K482/100000+ROW()/100000000)</f>
        <v/>
      </c>
      <c r="R482">
        <f>IF(A482=1,IFERROR(I482,0)+ROW()/100000000,-1E+99)</f>
        <v/>
      </c>
      <c r="S482">
        <f>IF(A482=1,IFERROR(Raw_data!$T482,""),"")</f>
        <v/>
      </c>
      <c r="T482">
        <f>IF(A482=1,IFERROR(Raw_data!$AA482,""),"")</f>
        <v/>
      </c>
      <c r="U482">
        <f>IF(A482=1,IFERROR(Raw_data!$U482,""),"")</f>
        <v/>
      </c>
      <c r="V482">
        <f>IF(A482=1,IFERROR(Raw_data!$AB482,""),"")</f>
        <v/>
      </c>
    </row>
    <row r="483">
      <c r="A483">
        <f>--(AND(OR(Dashboard!$B$4="All",Raw_data!$AL483=Dashboard!$B$4),OR(Dashboard!$B$5="All",Raw_data!$AM483=Dashboard!$B$5),OR(Dashboard!$B$6="All",Raw_data!$AN483=Dashboard!$B$6),OR(Dashboard!$B$7="All",Raw_data!$AO483=Dashboard!$B$7),OR(Dashboard!$B$8="All",Raw_data!$AP483=Dashboard!$B$8),OR(Dashboard!$B$9="All",Raw_data!$AQ483=Dashboard!$B$9),OR(Dashboard!$B$10="All",Raw_data!$AF483=Dashboard!$B$10),OR(Raw_data!$F483="",Raw_data!$F483&lt;=TODAY())))</f>
        <v/>
      </c>
      <c r="B483">
        <f>IFERROR(IF(Dashboard!$B$3="Weighted",Raw_data!$U483,Raw_data!$T483),"")</f>
        <v/>
      </c>
      <c r="C483">
        <f>IFERROR(IF(Dashboard!$B$3="Weighted",Raw_data!$AB483,Raw_data!$AA483),"")</f>
        <v/>
      </c>
      <c r="D483">
        <f>IF(OR(Raw_data!$J483="",Raw_data!$J483&lt;=0,Raw_data!$K483=""),"",IF(Raw_data!$K483&gt;TODAY(),0,DATEDIF(Raw_data!$K483,TODAY(),"M")))</f>
        <v/>
      </c>
      <c r="E483">
        <f>--(AND(Raw_data!$AF483="No",OR(Raw_data!$AG483&lt;&gt;"",Raw_data!$AJ483&gt;0,Raw_data!$AK483&lt;&gt;"")))</f>
        <v/>
      </c>
      <c r="F483">
        <f>--(OR(AND(ISNUMBER(B483),B483&lt;0.5,OR(D483&gt;=24,Raw_data!$I483&gt;0)),Raw_data!$AE483=TRUE))</f>
        <v/>
      </c>
      <c r="G483">
        <f>IF(Dashboard!$B$11="Department",Raw_data!$AL483,IF(Dashboard!$B$11="Team",Raw_data!$AM483,IF(Dashboard!$B$11="Unit",Raw_data!$AN483,IF(Dashboard!$B$11="Legal entity",Raw_data!$AO483,IF(Dashboard!$B$11="Location",Raw_data!$AP483,Raw_data!$AQ483)))))</f>
        <v/>
      </c>
      <c r="H483">
        <f>--(AND(ISNUMBER(B483),B483&lt;0.5))</f>
        <v/>
      </c>
      <c r="I483">
        <f>IFERROR(MAX(0,(0.5-B483)*100),0)+IF(D483&gt;=24,20,0)+IF(Raw_data!$I483&gt;0,20,0)+IF(Raw_data!$AE483=TRUE,10,0)</f>
        <v/>
      </c>
      <c r="J483">
        <f>IFERROR(CHOOSE(MATCH(Dashboard!$B$11,{"Department","Team","Unit","Legal entity","Location","Lead"},0),INDEX(Lists!$B$3:$B$20,ROW()-1),INDEX(Lists!$C$3:$C$146,ROW()-1),INDEX(Lists!$D$3:$D$67,ROW()-1),INDEX(Lists!$E$3:$E$5,ROW()-1),INDEX(Lists!$F$3:$F$12,ROW()-1),INDEX(Lists!$G$3:$G$126,ROW()-1)),"")</f>
        <v/>
      </c>
      <c r="K483">
        <f>IF(J483="","",SUMPRODUCT(($A$2:$A$636=1)*($G$2:$G$636=J483)))</f>
        <v/>
      </c>
      <c r="L483">
        <f>IF(J483="","",SUMPRODUCT(($A$2:$A$636=1)*($G$2:$G$636=J483)*(ISNUMBER($B$2:$B$636))*($B$2:$B$636&lt;0.5)))</f>
        <v/>
      </c>
      <c r="M483">
        <f>IFERROR(L483/K483,"")</f>
        <v/>
      </c>
      <c r="N483">
        <f>IF(K483="","",M483+K483/100000+ROW()/100000000)</f>
        <v/>
      </c>
      <c r="R483">
        <f>IF(A483=1,IFERROR(I483,0)+ROW()/100000000,-1E+99)</f>
        <v/>
      </c>
      <c r="S483">
        <f>IF(A483=1,IFERROR(Raw_data!$T483,""),"")</f>
        <v/>
      </c>
      <c r="T483">
        <f>IF(A483=1,IFERROR(Raw_data!$AA483,""),"")</f>
        <v/>
      </c>
      <c r="U483">
        <f>IF(A483=1,IFERROR(Raw_data!$U483,""),"")</f>
        <v/>
      </c>
      <c r="V483">
        <f>IF(A483=1,IFERROR(Raw_data!$AB483,""),"")</f>
        <v/>
      </c>
    </row>
    <row r="484">
      <c r="A484">
        <f>--(AND(OR(Dashboard!$B$4="All",Raw_data!$AL484=Dashboard!$B$4),OR(Dashboard!$B$5="All",Raw_data!$AM484=Dashboard!$B$5),OR(Dashboard!$B$6="All",Raw_data!$AN484=Dashboard!$B$6),OR(Dashboard!$B$7="All",Raw_data!$AO484=Dashboard!$B$7),OR(Dashboard!$B$8="All",Raw_data!$AP484=Dashboard!$B$8),OR(Dashboard!$B$9="All",Raw_data!$AQ484=Dashboard!$B$9),OR(Dashboard!$B$10="All",Raw_data!$AF484=Dashboard!$B$10),OR(Raw_data!$F484="",Raw_data!$F484&lt;=TODAY())))</f>
        <v/>
      </c>
      <c r="B484">
        <f>IFERROR(IF(Dashboard!$B$3="Weighted",Raw_data!$U484,Raw_data!$T484),"")</f>
        <v/>
      </c>
      <c r="C484">
        <f>IFERROR(IF(Dashboard!$B$3="Weighted",Raw_data!$AB484,Raw_data!$AA484),"")</f>
        <v/>
      </c>
      <c r="D484">
        <f>IF(OR(Raw_data!$J484="",Raw_data!$J484&lt;=0,Raw_data!$K484=""),"",IF(Raw_data!$K484&gt;TODAY(),0,DATEDIF(Raw_data!$K484,TODAY(),"M")))</f>
        <v/>
      </c>
      <c r="E484">
        <f>--(AND(Raw_data!$AF484="No",OR(Raw_data!$AG484&lt;&gt;"",Raw_data!$AJ484&gt;0,Raw_data!$AK484&lt;&gt;"")))</f>
        <v/>
      </c>
      <c r="F484">
        <f>--(OR(AND(ISNUMBER(B484),B484&lt;0.5,OR(D484&gt;=24,Raw_data!$I484&gt;0)),Raw_data!$AE484=TRUE))</f>
        <v/>
      </c>
      <c r="G484">
        <f>IF(Dashboard!$B$11="Department",Raw_data!$AL484,IF(Dashboard!$B$11="Team",Raw_data!$AM484,IF(Dashboard!$B$11="Unit",Raw_data!$AN484,IF(Dashboard!$B$11="Legal entity",Raw_data!$AO484,IF(Dashboard!$B$11="Location",Raw_data!$AP484,Raw_data!$AQ484)))))</f>
        <v/>
      </c>
      <c r="H484">
        <f>--(AND(ISNUMBER(B484),B484&lt;0.5))</f>
        <v/>
      </c>
      <c r="I484">
        <f>IFERROR(MAX(0,(0.5-B484)*100),0)+IF(D484&gt;=24,20,0)+IF(Raw_data!$I484&gt;0,20,0)+IF(Raw_data!$AE484=TRUE,10,0)</f>
        <v/>
      </c>
      <c r="J484">
        <f>IFERROR(CHOOSE(MATCH(Dashboard!$B$11,{"Department","Team","Unit","Legal entity","Location","Lead"},0),INDEX(Lists!$B$3:$B$20,ROW()-1),INDEX(Lists!$C$3:$C$146,ROW()-1),INDEX(Lists!$D$3:$D$67,ROW()-1),INDEX(Lists!$E$3:$E$5,ROW()-1),INDEX(Lists!$F$3:$F$12,ROW()-1),INDEX(Lists!$G$3:$G$126,ROW()-1)),"")</f>
        <v/>
      </c>
      <c r="K484">
        <f>IF(J484="","",SUMPRODUCT(($A$2:$A$636=1)*($G$2:$G$636=J484)))</f>
        <v/>
      </c>
      <c r="L484">
        <f>IF(J484="","",SUMPRODUCT(($A$2:$A$636=1)*($G$2:$G$636=J484)*(ISNUMBER($B$2:$B$636))*($B$2:$B$636&lt;0.5)))</f>
        <v/>
      </c>
      <c r="M484">
        <f>IFERROR(L484/K484,"")</f>
        <v/>
      </c>
      <c r="N484">
        <f>IF(K484="","",M484+K484/100000+ROW()/100000000)</f>
        <v/>
      </c>
      <c r="R484">
        <f>IF(A484=1,IFERROR(I484,0)+ROW()/100000000,-1E+99)</f>
        <v/>
      </c>
      <c r="S484">
        <f>IF(A484=1,IFERROR(Raw_data!$T484,""),"")</f>
        <v/>
      </c>
      <c r="T484">
        <f>IF(A484=1,IFERROR(Raw_data!$AA484,""),"")</f>
        <v/>
      </c>
      <c r="U484">
        <f>IF(A484=1,IFERROR(Raw_data!$U484,""),"")</f>
        <v/>
      </c>
      <c r="V484">
        <f>IF(A484=1,IFERROR(Raw_data!$AB484,""),"")</f>
        <v/>
      </c>
    </row>
    <row r="485">
      <c r="A485">
        <f>--(AND(OR(Dashboard!$B$4="All",Raw_data!$AL485=Dashboard!$B$4),OR(Dashboard!$B$5="All",Raw_data!$AM485=Dashboard!$B$5),OR(Dashboard!$B$6="All",Raw_data!$AN485=Dashboard!$B$6),OR(Dashboard!$B$7="All",Raw_data!$AO485=Dashboard!$B$7),OR(Dashboard!$B$8="All",Raw_data!$AP485=Dashboard!$B$8),OR(Dashboard!$B$9="All",Raw_data!$AQ485=Dashboard!$B$9),OR(Dashboard!$B$10="All",Raw_data!$AF485=Dashboard!$B$10),OR(Raw_data!$F485="",Raw_data!$F485&lt;=TODAY())))</f>
        <v/>
      </c>
      <c r="B485">
        <f>IFERROR(IF(Dashboard!$B$3="Weighted",Raw_data!$U485,Raw_data!$T485),"")</f>
        <v/>
      </c>
      <c r="C485">
        <f>IFERROR(IF(Dashboard!$B$3="Weighted",Raw_data!$AB485,Raw_data!$AA485),"")</f>
        <v/>
      </c>
      <c r="D485">
        <f>IF(OR(Raw_data!$J485="",Raw_data!$J485&lt;=0,Raw_data!$K485=""),"",IF(Raw_data!$K485&gt;TODAY(),0,DATEDIF(Raw_data!$K485,TODAY(),"M")))</f>
        <v/>
      </c>
      <c r="E485">
        <f>--(AND(Raw_data!$AF485="No",OR(Raw_data!$AG485&lt;&gt;"",Raw_data!$AJ485&gt;0,Raw_data!$AK485&lt;&gt;"")))</f>
        <v/>
      </c>
      <c r="F485">
        <f>--(OR(AND(ISNUMBER(B485),B485&lt;0.5,OR(D485&gt;=24,Raw_data!$I485&gt;0)),Raw_data!$AE485=TRUE))</f>
        <v/>
      </c>
      <c r="G485">
        <f>IF(Dashboard!$B$11="Department",Raw_data!$AL485,IF(Dashboard!$B$11="Team",Raw_data!$AM485,IF(Dashboard!$B$11="Unit",Raw_data!$AN485,IF(Dashboard!$B$11="Legal entity",Raw_data!$AO485,IF(Dashboard!$B$11="Location",Raw_data!$AP485,Raw_data!$AQ485)))))</f>
        <v/>
      </c>
      <c r="H485">
        <f>--(AND(ISNUMBER(B485),B485&lt;0.5))</f>
        <v/>
      </c>
      <c r="I485">
        <f>IFERROR(MAX(0,(0.5-B485)*100),0)+IF(D485&gt;=24,20,0)+IF(Raw_data!$I485&gt;0,20,0)+IF(Raw_data!$AE485=TRUE,10,0)</f>
        <v/>
      </c>
      <c r="J485">
        <f>IFERROR(CHOOSE(MATCH(Dashboard!$B$11,{"Department","Team","Unit","Legal entity","Location","Lead"},0),INDEX(Lists!$B$3:$B$20,ROW()-1),INDEX(Lists!$C$3:$C$146,ROW()-1),INDEX(Lists!$D$3:$D$67,ROW()-1),INDEX(Lists!$E$3:$E$5,ROW()-1),INDEX(Lists!$F$3:$F$12,ROW()-1),INDEX(Lists!$G$3:$G$126,ROW()-1)),"")</f>
        <v/>
      </c>
      <c r="K485">
        <f>IF(J485="","",SUMPRODUCT(($A$2:$A$636=1)*($G$2:$G$636=J485)))</f>
        <v/>
      </c>
      <c r="L485">
        <f>IF(J485="","",SUMPRODUCT(($A$2:$A$636=1)*($G$2:$G$636=J485)*(ISNUMBER($B$2:$B$636))*($B$2:$B$636&lt;0.5)))</f>
        <v/>
      </c>
      <c r="M485">
        <f>IFERROR(L485/K485,"")</f>
        <v/>
      </c>
      <c r="N485">
        <f>IF(K485="","",M485+K485/100000+ROW()/100000000)</f>
        <v/>
      </c>
      <c r="R485">
        <f>IF(A485=1,IFERROR(I485,0)+ROW()/100000000,-1E+99)</f>
        <v/>
      </c>
      <c r="S485">
        <f>IF(A485=1,IFERROR(Raw_data!$T485,""),"")</f>
        <v/>
      </c>
      <c r="T485">
        <f>IF(A485=1,IFERROR(Raw_data!$AA485,""),"")</f>
        <v/>
      </c>
      <c r="U485">
        <f>IF(A485=1,IFERROR(Raw_data!$U485,""),"")</f>
        <v/>
      </c>
      <c r="V485">
        <f>IF(A485=1,IFERROR(Raw_data!$AB485,""),"")</f>
        <v/>
      </c>
    </row>
    <row r="486">
      <c r="A486">
        <f>--(AND(OR(Dashboard!$B$4="All",Raw_data!$AL486=Dashboard!$B$4),OR(Dashboard!$B$5="All",Raw_data!$AM486=Dashboard!$B$5),OR(Dashboard!$B$6="All",Raw_data!$AN486=Dashboard!$B$6),OR(Dashboard!$B$7="All",Raw_data!$AO486=Dashboard!$B$7),OR(Dashboard!$B$8="All",Raw_data!$AP486=Dashboard!$B$8),OR(Dashboard!$B$9="All",Raw_data!$AQ486=Dashboard!$B$9),OR(Dashboard!$B$10="All",Raw_data!$AF486=Dashboard!$B$10),OR(Raw_data!$F486="",Raw_data!$F486&lt;=TODAY())))</f>
        <v/>
      </c>
      <c r="B486">
        <f>IFERROR(IF(Dashboard!$B$3="Weighted",Raw_data!$U486,Raw_data!$T486),"")</f>
        <v/>
      </c>
      <c r="C486">
        <f>IFERROR(IF(Dashboard!$B$3="Weighted",Raw_data!$AB486,Raw_data!$AA486),"")</f>
        <v/>
      </c>
      <c r="D486">
        <f>IF(OR(Raw_data!$J486="",Raw_data!$J486&lt;=0,Raw_data!$K486=""),"",IF(Raw_data!$K486&gt;TODAY(),0,DATEDIF(Raw_data!$K486,TODAY(),"M")))</f>
        <v/>
      </c>
      <c r="E486">
        <f>--(AND(Raw_data!$AF486="No",OR(Raw_data!$AG486&lt;&gt;"",Raw_data!$AJ486&gt;0,Raw_data!$AK486&lt;&gt;"")))</f>
        <v/>
      </c>
      <c r="F486">
        <f>--(OR(AND(ISNUMBER(B486),B486&lt;0.5,OR(D486&gt;=24,Raw_data!$I486&gt;0)),Raw_data!$AE486=TRUE))</f>
        <v/>
      </c>
      <c r="G486">
        <f>IF(Dashboard!$B$11="Department",Raw_data!$AL486,IF(Dashboard!$B$11="Team",Raw_data!$AM486,IF(Dashboard!$B$11="Unit",Raw_data!$AN486,IF(Dashboard!$B$11="Legal entity",Raw_data!$AO486,IF(Dashboard!$B$11="Location",Raw_data!$AP486,Raw_data!$AQ486)))))</f>
        <v/>
      </c>
      <c r="H486">
        <f>--(AND(ISNUMBER(B486),B486&lt;0.5))</f>
        <v/>
      </c>
      <c r="I486">
        <f>IFERROR(MAX(0,(0.5-B486)*100),0)+IF(D486&gt;=24,20,0)+IF(Raw_data!$I486&gt;0,20,0)+IF(Raw_data!$AE486=TRUE,10,0)</f>
        <v/>
      </c>
      <c r="J486">
        <f>IFERROR(CHOOSE(MATCH(Dashboard!$B$11,{"Department","Team","Unit","Legal entity","Location","Lead"},0),INDEX(Lists!$B$3:$B$20,ROW()-1),INDEX(Lists!$C$3:$C$146,ROW()-1),INDEX(Lists!$D$3:$D$67,ROW()-1),INDEX(Lists!$E$3:$E$5,ROW()-1),INDEX(Lists!$F$3:$F$12,ROW()-1),INDEX(Lists!$G$3:$G$126,ROW()-1)),"")</f>
        <v/>
      </c>
      <c r="K486">
        <f>IF(J486="","",SUMPRODUCT(($A$2:$A$636=1)*($G$2:$G$636=J486)))</f>
        <v/>
      </c>
      <c r="L486">
        <f>IF(J486="","",SUMPRODUCT(($A$2:$A$636=1)*($G$2:$G$636=J486)*(ISNUMBER($B$2:$B$636))*($B$2:$B$636&lt;0.5)))</f>
        <v/>
      </c>
      <c r="M486">
        <f>IFERROR(L486/K486,"")</f>
        <v/>
      </c>
      <c r="N486">
        <f>IF(K486="","",M486+K486/100000+ROW()/100000000)</f>
        <v/>
      </c>
      <c r="R486">
        <f>IF(A486=1,IFERROR(I486,0)+ROW()/100000000,-1E+99)</f>
        <v/>
      </c>
      <c r="S486">
        <f>IF(A486=1,IFERROR(Raw_data!$T486,""),"")</f>
        <v/>
      </c>
      <c r="T486">
        <f>IF(A486=1,IFERROR(Raw_data!$AA486,""),"")</f>
        <v/>
      </c>
      <c r="U486">
        <f>IF(A486=1,IFERROR(Raw_data!$U486,""),"")</f>
        <v/>
      </c>
      <c r="V486">
        <f>IF(A486=1,IFERROR(Raw_data!$AB486,""),"")</f>
        <v/>
      </c>
    </row>
    <row r="487">
      <c r="A487">
        <f>--(AND(OR(Dashboard!$B$4="All",Raw_data!$AL487=Dashboard!$B$4),OR(Dashboard!$B$5="All",Raw_data!$AM487=Dashboard!$B$5),OR(Dashboard!$B$6="All",Raw_data!$AN487=Dashboard!$B$6),OR(Dashboard!$B$7="All",Raw_data!$AO487=Dashboard!$B$7),OR(Dashboard!$B$8="All",Raw_data!$AP487=Dashboard!$B$8),OR(Dashboard!$B$9="All",Raw_data!$AQ487=Dashboard!$B$9),OR(Dashboard!$B$10="All",Raw_data!$AF487=Dashboard!$B$10),OR(Raw_data!$F487="",Raw_data!$F487&lt;=TODAY())))</f>
        <v/>
      </c>
      <c r="B487">
        <f>IFERROR(IF(Dashboard!$B$3="Weighted",Raw_data!$U487,Raw_data!$T487),"")</f>
        <v/>
      </c>
      <c r="C487">
        <f>IFERROR(IF(Dashboard!$B$3="Weighted",Raw_data!$AB487,Raw_data!$AA487),"")</f>
        <v/>
      </c>
      <c r="D487">
        <f>IF(OR(Raw_data!$J487="",Raw_data!$J487&lt;=0,Raw_data!$K487=""),"",IF(Raw_data!$K487&gt;TODAY(),0,DATEDIF(Raw_data!$K487,TODAY(),"M")))</f>
        <v/>
      </c>
      <c r="E487">
        <f>--(AND(Raw_data!$AF487="No",OR(Raw_data!$AG487&lt;&gt;"",Raw_data!$AJ487&gt;0,Raw_data!$AK487&lt;&gt;"")))</f>
        <v/>
      </c>
      <c r="F487">
        <f>--(OR(AND(ISNUMBER(B487),B487&lt;0.5,OR(D487&gt;=24,Raw_data!$I487&gt;0)),Raw_data!$AE487=TRUE))</f>
        <v/>
      </c>
      <c r="G487">
        <f>IF(Dashboard!$B$11="Department",Raw_data!$AL487,IF(Dashboard!$B$11="Team",Raw_data!$AM487,IF(Dashboard!$B$11="Unit",Raw_data!$AN487,IF(Dashboard!$B$11="Legal entity",Raw_data!$AO487,IF(Dashboard!$B$11="Location",Raw_data!$AP487,Raw_data!$AQ487)))))</f>
        <v/>
      </c>
      <c r="H487">
        <f>--(AND(ISNUMBER(B487),B487&lt;0.5))</f>
        <v/>
      </c>
      <c r="I487">
        <f>IFERROR(MAX(0,(0.5-B487)*100),0)+IF(D487&gt;=24,20,0)+IF(Raw_data!$I487&gt;0,20,0)+IF(Raw_data!$AE487=TRUE,10,0)</f>
        <v/>
      </c>
      <c r="J487">
        <f>IFERROR(CHOOSE(MATCH(Dashboard!$B$11,{"Department","Team","Unit","Legal entity","Location","Lead"},0),INDEX(Lists!$B$3:$B$20,ROW()-1),INDEX(Lists!$C$3:$C$146,ROW()-1),INDEX(Lists!$D$3:$D$67,ROW()-1),INDEX(Lists!$E$3:$E$5,ROW()-1),INDEX(Lists!$F$3:$F$12,ROW()-1),INDEX(Lists!$G$3:$G$126,ROW()-1)),"")</f>
        <v/>
      </c>
      <c r="K487">
        <f>IF(J487="","",SUMPRODUCT(($A$2:$A$636=1)*($G$2:$G$636=J487)))</f>
        <v/>
      </c>
      <c r="L487">
        <f>IF(J487="","",SUMPRODUCT(($A$2:$A$636=1)*($G$2:$G$636=J487)*(ISNUMBER($B$2:$B$636))*($B$2:$B$636&lt;0.5)))</f>
        <v/>
      </c>
      <c r="M487">
        <f>IFERROR(L487/K487,"")</f>
        <v/>
      </c>
      <c r="N487">
        <f>IF(K487="","",M487+K487/100000+ROW()/100000000)</f>
        <v/>
      </c>
      <c r="R487">
        <f>IF(A487=1,IFERROR(I487,0)+ROW()/100000000,-1E+99)</f>
        <v/>
      </c>
      <c r="S487">
        <f>IF(A487=1,IFERROR(Raw_data!$T487,""),"")</f>
        <v/>
      </c>
      <c r="T487">
        <f>IF(A487=1,IFERROR(Raw_data!$AA487,""),"")</f>
        <v/>
      </c>
      <c r="U487">
        <f>IF(A487=1,IFERROR(Raw_data!$U487,""),"")</f>
        <v/>
      </c>
      <c r="V487">
        <f>IF(A487=1,IFERROR(Raw_data!$AB487,""),"")</f>
        <v/>
      </c>
    </row>
    <row r="488">
      <c r="A488">
        <f>--(AND(OR(Dashboard!$B$4="All",Raw_data!$AL488=Dashboard!$B$4),OR(Dashboard!$B$5="All",Raw_data!$AM488=Dashboard!$B$5),OR(Dashboard!$B$6="All",Raw_data!$AN488=Dashboard!$B$6),OR(Dashboard!$B$7="All",Raw_data!$AO488=Dashboard!$B$7),OR(Dashboard!$B$8="All",Raw_data!$AP488=Dashboard!$B$8),OR(Dashboard!$B$9="All",Raw_data!$AQ488=Dashboard!$B$9),OR(Dashboard!$B$10="All",Raw_data!$AF488=Dashboard!$B$10),OR(Raw_data!$F488="",Raw_data!$F488&lt;=TODAY())))</f>
        <v/>
      </c>
      <c r="B488">
        <f>IFERROR(IF(Dashboard!$B$3="Weighted",Raw_data!$U488,Raw_data!$T488),"")</f>
        <v/>
      </c>
      <c r="C488">
        <f>IFERROR(IF(Dashboard!$B$3="Weighted",Raw_data!$AB488,Raw_data!$AA488),"")</f>
        <v/>
      </c>
      <c r="D488">
        <f>IF(OR(Raw_data!$J488="",Raw_data!$J488&lt;=0,Raw_data!$K488=""),"",IF(Raw_data!$K488&gt;TODAY(),0,DATEDIF(Raw_data!$K488,TODAY(),"M")))</f>
        <v/>
      </c>
      <c r="E488">
        <f>--(AND(Raw_data!$AF488="No",OR(Raw_data!$AG488&lt;&gt;"",Raw_data!$AJ488&gt;0,Raw_data!$AK488&lt;&gt;"")))</f>
        <v/>
      </c>
      <c r="F488">
        <f>--(OR(AND(ISNUMBER(B488),B488&lt;0.5,OR(D488&gt;=24,Raw_data!$I488&gt;0)),Raw_data!$AE488=TRUE))</f>
        <v/>
      </c>
      <c r="G488">
        <f>IF(Dashboard!$B$11="Department",Raw_data!$AL488,IF(Dashboard!$B$11="Team",Raw_data!$AM488,IF(Dashboard!$B$11="Unit",Raw_data!$AN488,IF(Dashboard!$B$11="Legal entity",Raw_data!$AO488,IF(Dashboard!$B$11="Location",Raw_data!$AP488,Raw_data!$AQ488)))))</f>
        <v/>
      </c>
      <c r="H488">
        <f>--(AND(ISNUMBER(B488),B488&lt;0.5))</f>
        <v/>
      </c>
      <c r="I488">
        <f>IFERROR(MAX(0,(0.5-B488)*100),0)+IF(D488&gt;=24,20,0)+IF(Raw_data!$I488&gt;0,20,0)+IF(Raw_data!$AE488=TRUE,10,0)</f>
        <v/>
      </c>
      <c r="J488">
        <f>IFERROR(CHOOSE(MATCH(Dashboard!$B$11,{"Department","Team","Unit","Legal entity","Location","Lead"},0),INDEX(Lists!$B$3:$B$20,ROW()-1),INDEX(Lists!$C$3:$C$146,ROW()-1),INDEX(Lists!$D$3:$D$67,ROW()-1),INDEX(Lists!$E$3:$E$5,ROW()-1),INDEX(Lists!$F$3:$F$12,ROW()-1),INDEX(Lists!$G$3:$G$126,ROW()-1)),"")</f>
        <v/>
      </c>
      <c r="K488">
        <f>IF(J488="","",SUMPRODUCT(($A$2:$A$636=1)*($G$2:$G$636=J488)))</f>
        <v/>
      </c>
      <c r="L488">
        <f>IF(J488="","",SUMPRODUCT(($A$2:$A$636=1)*($G$2:$G$636=J488)*(ISNUMBER($B$2:$B$636))*($B$2:$B$636&lt;0.5)))</f>
        <v/>
      </c>
      <c r="M488">
        <f>IFERROR(L488/K488,"")</f>
        <v/>
      </c>
      <c r="N488">
        <f>IF(K488="","",M488+K488/100000+ROW()/100000000)</f>
        <v/>
      </c>
      <c r="R488">
        <f>IF(A488=1,IFERROR(I488,0)+ROW()/100000000,-1E+99)</f>
        <v/>
      </c>
      <c r="S488">
        <f>IF(A488=1,IFERROR(Raw_data!$T488,""),"")</f>
        <v/>
      </c>
      <c r="T488">
        <f>IF(A488=1,IFERROR(Raw_data!$AA488,""),"")</f>
        <v/>
      </c>
      <c r="U488">
        <f>IF(A488=1,IFERROR(Raw_data!$U488,""),"")</f>
        <v/>
      </c>
      <c r="V488">
        <f>IF(A488=1,IFERROR(Raw_data!$AB488,""),"")</f>
        <v/>
      </c>
    </row>
    <row r="489">
      <c r="A489">
        <f>--(AND(OR(Dashboard!$B$4="All",Raw_data!$AL489=Dashboard!$B$4),OR(Dashboard!$B$5="All",Raw_data!$AM489=Dashboard!$B$5),OR(Dashboard!$B$6="All",Raw_data!$AN489=Dashboard!$B$6),OR(Dashboard!$B$7="All",Raw_data!$AO489=Dashboard!$B$7),OR(Dashboard!$B$8="All",Raw_data!$AP489=Dashboard!$B$8),OR(Dashboard!$B$9="All",Raw_data!$AQ489=Dashboard!$B$9),OR(Dashboard!$B$10="All",Raw_data!$AF489=Dashboard!$B$10),OR(Raw_data!$F489="",Raw_data!$F489&lt;=TODAY())))</f>
        <v/>
      </c>
      <c r="B489">
        <f>IFERROR(IF(Dashboard!$B$3="Weighted",Raw_data!$U489,Raw_data!$T489),"")</f>
        <v/>
      </c>
      <c r="C489">
        <f>IFERROR(IF(Dashboard!$B$3="Weighted",Raw_data!$AB489,Raw_data!$AA489),"")</f>
        <v/>
      </c>
      <c r="D489">
        <f>IF(OR(Raw_data!$J489="",Raw_data!$J489&lt;=0,Raw_data!$K489=""),"",IF(Raw_data!$K489&gt;TODAY(),0,DATEDIF(Raw_data!$K489,TODAY(),"M")))</f>
        <v/>
      </c>
      <c r="E489">
        <f>--(AND(Raw_data!$AF489="No",OR(Raw_data!$AG489&lt;&gt;"",Raw_data!$AJ489&gt;0,Raw_data!$AK489&lt;&gt;"")))</f>
        <v/>
      </c>
      <c r="F489">
        <f>--(OR(AND(ISNUMBER(B489),B489&lt;0.5,OR(D489&gt;=24,Raw_data!$I489&gt;0)),Raw_data!$AE489=TRUE))</f>
        <v/>
      </c>
      <c r="G489">
        <f>IF(Dashboard!$B$11="Department",Raw_data!$AL489,IF(Dashboard!$B$11="Team",Raw_data!$AM489,IF(Dashboard!$B$11="Unit",Raw_data!$AN489,IF(Dashboard!$B$11="Legal entity",Raw_data!$AO489,IF(Dashboard!$B$11="Location",Raw_data!$AP489,Raw_data!$AQ489)))))</f>
        <v/>
      </c>
      <c r="H489">
        <f>--(AND(ISNUMBER(B489),B489&lt;0.5))</f>
        <v/>
      </c>
      <c r="I489">
        <f>IFERROR(MAX(0,(0.5-B489)*100),0)+IF(D489&gt;=24,20,0)+IF(Raw_data!$I489&gt;0,20,0)+IF(Raw_data!$AE489=TRUE,10,0)</f>
        <v/>
      </c>
      <c r="J489">
        <f>IFERROR(CHOOSE(MATCH(Dashboard!$B$11,{"Department","Team","Unit","Legal entity","Location","Lead"},0),INDEX(Lists!$B$3:$B$20,ROW()-1),INDEX(Lists!$C$3:$C$146,ROW()-1),INDEX(Lists!$D$3:$D$67,ROW()-1),INDEX(Lists!$E$3:$E$5,ROW()-1),INDEX(Lists!$F$3:$F$12,ROW()-1),INDEX(Lists!$G$3:$G$126,ROW()-1)),"")</f>
        <v/>
      </c>
      <c r="K489">
        <f>IF(J489="","",SUMPRODUCT(($A$2:$A$636=1)*($G$2:$G$636=J489)))</f>
        <v/>
      </c>
      <c r="L489">
        <f>IF(J489="","",SUMPRODUCT(($A$2:$A$636=1)*($G$2:$G$636=J489)*(ISNUMBER($B$2:$B$636))*($B$2:$B$636&lt;0.5)))</f>
        <v/>
      </c>
      <c r="M489">
        <f>IFERROR(L489/K489,"")</f>
        <v/>
      </c>
      <c r="N489">
        <f>IF(K489="","",M489+K489/100000+ROW()/100000000)</f>
        <v/>
      </c>
      <c r="R489">
        <f>IF(A489=1,IFERROR(I489,0)+ROW()/100000000,-1E+99)</f>
        <v/>
      </c>
      <c r="S489">
        <f>IF(A489=1,IFERROR(Raw_data!$T489,""),"")</f>
        <v/>
      </c>
      <c r="T489">
        <f>IF(A489=1,IFERROR(Raw_data!$AA489,""),"")</f>
        <v/>
      </c>
      <c r="U489">
        <f>IF(A489=1,IFERROR(Raw_data!$U489,""),"")</f>
        <v/>
      </c>
      <c r="V489">
        <f>IF(A489=1,IFERROR(Raw_data!$AB489,""),"")</f>
        <v/>
      </c>
    </row>
    <row r="490">
      <c r="A490">
        <f>--(AND(OR(Dashboard!$B$4="All",Raw_data!$AL490=Dashboard!$B$4),OR(Dashboard!$B$5="All",Raw_data!$AM490=Dashboard!$B$5),OR(Dashboard!$B$6="All",Raw_data!$AN490=Dashboard!$B$6),OR(Dashboard!$B$7="All",Raw_data!$AO490=Dashboard!$B$7),OR(Dashboard!$B$8="All",Raw_data!$AP490=Dashboard!$B$8),OR(Dashboard!$B$9="All",Raw_data!$AQ490=Dashboard!$B$9),OR(Dashboard!$B$10="All",Raw_data!$AF490=Dashboard!$B$10),OR(Raw_data!$F490="",Raw_data!$F490&lt;=TODAY())))</f>
        <v/>
      </c>
      <c r="B490">
        <f>IFERROR(IF(Dashboard!$B$3="Weighted",Raw_data!$U490,Raw_data!$T490),"")</f>
        <v/>
      </c>
      <c r="C490">
        <f>IFERROR(IF(Dashboard!$B$3="Weighted",Raw_data!$AB490,Raw_data!$AA490),"")</f>
        <v/>
      </c>
      <c r="D490">
        <f>IF(OR(Raw_data!$J490="",Raw_data!$J490&lt;=0,Raw_data!$K490=""),"",IF(Raw_data!$K490&gt;TODAY(),0,DATEDIF(Raw_data!$K490,TODAY(),"M")))</f>
        <v/>
      </c>
      <c r="E490">
        <f>--(AND(Raw_data!$AF490="No",OR(Raw_data!$AG490&lt;&gt;"",Raw_data!$AJ490&gt;0,Raw_data!$AK490&lt;&gt;"")))</f>
        <v/>
      </c>
      <c r="F490">
        <f>--(OR(AND(ISNUMBER(B490),B490&lt;0.5,OR(D490&gt;=24,Raw_data!$I490&gt;0)),Raw_data!$AE490=TRUE))</f>
        <v/>
      </c>
      <c r="G490">
        <f>IF(Dashboard!$B$11="Department",Raw_data!$AL490,IF(Dashboard!$B$11="Team",Raw_data!$AM490,IF(Dashboard!$B$11="Unit",Raw_data!$AN490,IF(Dashboard!$B$11="Legal entity",Raw_data!$AO490,IF(Dashboard!$B$11="Location",Raw_data!$AP490,Raw_data!$AQ490)))))</f>
        <v/>
      </c>
      <c r="H490">
        <f>--(AND(ISNUMBER(B490),B490&lt;0.5))</f>
        <v/>
      </c>
      <c r="I490">
        <f>IFERROR(MAX(0,(0.5-B490)*100),0)+IF(D490&gt;=24,20,0)+IF(Raw_data!$I490&gt;0,20,0)+IF(Raw_data!$AE490=TRUE,10,0)</f>
        <v/>
      </c>
      <c r="J490">
        <f>IFERROR(CHOOSE(MATCH(Dashboard!$B$11,{"Department","Team","Unit","Legal entity","Location","Lead"},0),INDEX(Lists!$B$3:$B$20,ROW()-1),INDEX(Lists!$C$3:$C$146,ROW()-1),INDEX(Lists!$D$3:$D$67,ROW()-1),INDEX(Lists!$E$3:$E$5,ROW()-1),INDEX(Lists!$F$3:$F$12,ROW()-1),INDEX(Lists!$G$3:$G$126,ROW()-1)),"")</f>
        <v/>
      </c>
      <c r="K490">
        <f>IF(J490="","",SUMPRODUCT(($A$2:$A$636=1)*($G$2:$G$636=J490)))</f>
        <v/>
      </c>
      <c r="L490">
        <f>IF(J490="","",SUMPRODUCT(($A$2:$A$636=1)*($G$2:$G$636=J490)*(ISNUMBER($B$2:$B$636))*($B$2:$B$636&lt;0.5)))</f>
        <v/>
      </c>
      <c r="M490">
        <f>IFERROR(L490/K490,"")</f>
        <v/>
      </c>
      <c r="N490">
        <f>IF(K490="","",M490+K490/100000+ROW()/100000000)</f>
        <v/>
      </c>
      <c r="R490">
        <f>IF(A490=1,IFERROR(I490,0)+ROW()/100000000,-1E+99)</f>
        <v/>
      </c>
      <c r="S490">
        <f>IF(A490=1,IFERROR(Raw_data!$T490,""),"")</f>
        <v/>
      </c>
      <c r="T490">
        <f>IF(A490=1,IFERROR(Raw_data!$AA490,""),"")</f>
        <v/>
      </c>
      <c r="U490">
        <f>IF(A490=1,IFERROR(Raw_data!$U490,""),"")</f>
        <v/>
      </c>
      <c r="V490">
        <f>IF(A490=1,IFERROR(Raw_data!$AB490,""),"")</f>
        <v/>
      </c>
    </row>
    <row r="491">
      <c r="A491">
        <f>--(AND(OR(Dashboard!$B$4="All",Raw_data!$AL491=Dashboard!$B$4),OR(Dashboard!$B$5="All",Raw_data!$AM491=Dashboard!$B$5),OR(Dashboard!$B$6="All",Raw_data!$AN491=Dashboard!$B$6),OR(Dashboard!$B$7="All",Raw_data!$AO491=Dashboard!$B$7),OR(Dashboard!$B$8="All",Raw_data!$AP491=Dashboard!$B$8),OR(Dashboard!$B$9="All",Raw_data!$AQ491=Dashboard!$B$9),OR(Dashboard!$B$10="All",Raw_data!$AF491=Dashboard!$B$10),OR(Raw_data!$F491="",Raw_data!$F491&lt;=TODAY())))</f>
        <v/>
      </c>
      <c r="B491">
        <f>IFERROR(IF(Dashboard!$B$3="Weighted",Raw_data!$U491,Raw_data!$T491),"")</f>
        <v/>
      </c>
      <c r="C491">
        <f>IFERROR(IF(Dashboard!$B$3="Weighted",Raw_data!$AB491,Raw_data!$AA491),"")</f>
        <v/>
      </c>
      <c r="D491">
        <f>IF(OR(Raw_data!$J491="",Raw_data!$J491&lt;=0,Raw_data!$K491=""),"",IF(Raw_data!$K491&gt;TODAY(),0,DATEDIF(Raw_data!$K491,TODAY(),"M")))</f>
        <v/>
      </c>
      <c r="E491">
        <f>--(AND(Raw_data!$AF491="No",OR(Raw_data!$AG491&lt;&gt;"",Raw_data!$AJ491&gt;0,Raw_data!$AK491&lt;&gt;"")))</f>
        <v/>
      </c>
      <c r="F491">
        <f>--(OR(AND(ISNUMBER(B491),B491&lt;0.5,OR(D491&gt;=24,Raw_data!$I491&gt;0)),Raw_data!$AE491=TRUE))</f>
        <v/>
      </c>
      <c r="G491">
        <f>IF(Dashboard!$B$11="Department",Raw_data!$AL491,IF(Dashboard!$B$11="Team",Raw_data!$AM491,IF(Dashboard!$B$11="Unit",Raw_data!$AN491,IF(Dashboard!$B$11="Legal entity",Raw_data!$AO491,IF(Dashboard!$B$11="Location",Raw_data!$AP491,Raw_data!$AQ491)))))</f>
        <v/>
      </c>
      <c r="H491">
        <f>--(AND(ISNUMBER(B491),B491&lt;0.5))</f>
        <v/>
      </c>
      <c r="I491">
        <f>IFERROR(MAX(0,(0.5-B491)*100),0)+IF(D491&gt;=24,20,0)+IF(Raw_data!$I491&gt;0,20,0)+IF(Raw_data!$AE491=TRUE,10,0)</f>
        <v/>
      </c>
      <c r="J491">
        <f>IFERROR(CHOOSE(MATCH(Dashboard!$B$11,{"Department","Team","Unit","Legal entity","Location","Lead"},0),INDEX(Lists!$B$3:$B$20,ROW()-1),INDEX(Lists!$C$3:$C$146,ROW()-1),INDEX(Lists!$D$3:$D$67,ROW()-1),INDEX(Lists!$E$3:$E$5,ROW()-1),INDEX(Lists!$F$3:$F$12,ROW()-1),INDEX(Lists!$G$3:$G$126,ROW()-1)),"")</f>
        <v/>
      </c>
      <c r="K491">
        <f>IF(J491="","",SUMPRODUCT(($A$2:$A$636=1)*($G$2:$G$636=J491)))</f>
        <v/>
      </c>
      <c r="L491">
        <f>IF(J491="","",SUMPRODUCT(($A$2:$A$636=1)*($G$2:$G$636=J491)*(ISNUMBER($B$2:$B$636))*($B$2:$B$636&lt;0.5)))</f>
        <v/>
      </c>
      <c r="M491">
        <f>IFERROR(L491/K491,"")</f>
        <v/>
      </c>
      <c r="N491">
        <f>IF(K491="","",M491+K491/100000+ROW()/100000000)</f>
        <v/>
      </c>
      <c r="R491">
        <f>IF(A491=1,IFERROR(I491,0)+ROW()/100000000,-1E+99)</f>
        <v/>
      </c>
      <c r="S491">
        <f>IF(A491=1,IFERROR(Raw_data!$T491,""),"")</f>
        <v/>
      </c>
      <c r="T491">
        <f>IF(A491=1,IFERROR(Raw_data!$AA491,""),"")</f>
        <v/>
      </c>
      <c r="U491">
        <f>IF(A491=1,IFERROR(Raw_data!$U491,""),"")</f>
        <v/>
      </c>
      <c r="V491">
        <f>IF(A491=1,IFERROR(Raw_data!$AB491,""),"")</f>
        <v/>
      </c>
    </row>
    <row r="492">
      <c r="A492">
        <f>--(AND(OR(Dashboard!$B$4="All",Raw_data!$AL492=Dashboard!$B$4),OR(Dashboard!$B$5="All",Raw_data!$AM492=Dashboard!$B$5),OR(Dashboard!$B$6="All",Raw_data!$AN492=Dashboard!$B$6),OR(Dashboard!$B$7="All",Raw_data!$AO492=Dashboard!$B$7),OR(Dashboard!$B$8="All",Raw_data!$AP492=Dashboard!$B$8),OR(Dashboard!$B$9="All",Raw_data!$AQ492=Dashboard!$B$9),OR(Dashboard!$B$10="All",Raw_data!$AF492=Dashboard!$B$10),OR(Raw_data!$F492="",Raw_data!$F492&lt;=TODAY())))</f>
        <v/>
      </c>
      <c r="B492">
        <f>IFERROR(IF(Dashboard!$B$3="Weighted",Raw_data!$U492,Raw_data!$T492),"")</f>
        <v/>
      </c>
      <c r="C492">
        <f>IFERROR(IF(Dashboard!$B$3="Weighted",Raw_data!$AB492,Raw_data!$AA492),"")</f>
        <v/>
      </c>
      <c r="D492">
        <f>IF(OR(Raw_data!$J492="",Raw_data!$J492&lt;=0,Raw_data!$K492=""),"",IF(Raw_data!$K492&gt;TODAY(),0,DATEDIF(Raw_data!$K492,TODAY(),"M")))</f>
        <v/>
      </c>
      <c r="E492">
        <f>--(AND(Raw_data!$AF492="No",OR(Raw_data!$AG492&lt;&gt;"",Raw_data!$AJ492&gt;0,Raw_data!$AK492&lt;&gt;"")))</f>
        <v/>
      </c>
      <c r="F492">
        <f>--(OR(AND(ISNUMBER(B492),B492&lt;0.5,OR(D492&gt;=24,Raw_data!$I492&gt;0)),Raw_data!$AE492=TRUE))</f>
        <v/>
      </c>
      <c r="G492">
        <f>IF(Dashboard!$B$11="Department",Raw_data!$AL492,IF(Dashboard!$B$11="Team",Raw_data!$AM492,IF(Dashboard!$B$11="Unit",Raw_data!$AN492,IF(Dashboard!$B$11="Legal entity",Raw_data!$AO492,IF(Dashboard!$B$11="Location",Raw_data!$AP492,Raw_data!$AQ492)))))</f>
        <v/>
      </c>
      <c r="H492">
        <f>--(AND(ISNUMBER(B492),B492&lt;0.5))</f>
        <v/>
      </c>
      <c r="I492">
        <f>IFERROR(MAX(0,(0.5-B492)*100),0)+IF(D492&gt;=24,20,0)+IF(Raw_data!$I492&gt;0,20,0)+IF(Raw_data!$AE492=TRUE,10,0)</f>
        <v/>
      </c>
      <c r="J492">
        <f>IFERROR(CHOOSE(MATCH(Dashboard!$B$11,{"Department","Team","Unit","Legal entity","Location","Lead"},0),INDEX(Lists!$B$3:$B$20,ROW()-1),INDEX(Lists!$C$3:$C$146,ROW()-1),INDEX(Lists!$D$3:$D$67,ROW()-1),INDEX(Lists!$E$3:$E$5,ROW()-1),INDEX(Lists!$F$3:$F$12,ROW()-1),INDEX(Lists!$G$3:$G$126,ROW()-1)),"")</f>
        <v/>
      </c>
      <c r="K492">
        <f>IF(J492="","",SUMPRODUCT(($A$2:$A$636=1)*($G$2:$G$636=J492)))</f>
        <v/>
      </c>
      <c r="L492">
        <f>IF(J492="","",SUMPRODUCT(($A$2:$A$636=1)*($G$2:$G$636=J492)*(ISNUMBER($B$2:$B$636))*($B$2:$B$636&lt;0.5)))</f>
        <v/>
      </c>
      <c r="M492">
        <f>IFERROR(L492/K492,"")</f>
        <v/>
      </c>
      <c r="N492">
        <f>IF(K492="","",M492+K492/100000+ROW()/100000000)</f>
        <v/>
      </c>
      <c r="R492">
        <f>IF(A492=1,IFERROR(I492,0)+ROW()/100000000,-1E+99)</f>
        <v/>
      </c>
      <c r="S492">
        <f>IF(A492=1,IFERROR(Raw_data!$T492,""),"")</f>
        <v/>
      </c>
      <c r="T492">
        <f>IF(A492=1,IFERROR(Raw_data!$AA492,""),"")</f>
        <v/>
      </c>
      <c r="U492">
        <f>IF(A492=1,IFERROR(Raw_data!$U492,""),"")</f>
        <v/>
      </c>
      <c r="V492">
        <f>IF(A492=1,IFERROR(Raw_data!$AB492,""),"")</f>
        <v/>
      </c>
    </row>
    <row r="493">
      <c r="A493">
        <f>--(AND(OR(Dashboard!$B$4="All",Raw_data!$AL493=Dashboard!$B$4),OR(Dashboard!$B$5="All",Raw_data!$AM493=Dashboard!$B$5),OR(Dashboard!$B$6="All",Raw_data!$AN493=Dashboard!$B$6),OR(Dashboard!$B$7="All",Raw_data!$AO493=Dashboard!$B$7),OR(Dashboard!$B$8="All",Raw_data!$AP493=Dashboard!$B$8),OR(Dashboard!$B$9="All",Raw_data!$AQ493=Dashboard!$B$9),OR(Dashboard!$B$10="All",Raw_data!$AF493=Dashboard!$B$10),OR(Raw_data!$F493="",Raw_data!$F493&lt;=TODAY())))</f>
        <v/>
      </c>
      <c r="B493">
        <f>IFERROR(IF(Dashboard!$B$3="Weighted",Raw_data!$U493,Raw_data!$T493),"")</f>
        <v/>
      </c>
      <c r="C493">
        <f>IFERROR(IF(Dashboard!$B$3="Weighted",Raw_data!$AB493,Raw_data!$AA493),"")</f>
        <v/>
      </c>
      <c r="D493">
        <f>IF(OR(Raw_data!$J493="",Raw_data!$J493&lt;=0,Raw_data!$K493=""),"",IF(Raw_data!$K493&gt;TODAY(),0,DATEDIF(Raw_data!$K493,TODAY(),"M")))</f>
        <v/>
      </c>
      <c r="E493">
        <f>--(AND(Raw_data!$AF493="No",OR(Raw_data!$AG493&lt;&gt;"",Raw_data!$AJ493&gt;0,Raw_data!$AK493&lt;&gt;"")))</f>
        <v/>
      </c>
      <c r="F493">
        <f>--(OR(AND(ISNUMBER(B493),B493&lt;0.5,OR(D493&gt;=24,Raw_data!$I493&gt;0)),Raw_data!$AE493=TRUE))</f>
        <v/>
      </c>
      <c r="G493">
        <f>IF(Dashboard!$B$11="Department",Raw_data!$AL493,IF(Dashboard!$B$11="Team",Raw_data!$AM493,IF(Dashboard!$B$11="Unit",Raw_data!$AN493,IF(Dashboard!$B$11="Legal entity",Raw_data!$AO493,IF(Dashboard!$B$11="Location",Raw_data!$AP493,Raw_data!$AQ493)))))</f>
        <v/>
      </c>
      <c r="H493">
        <f>--(AND(ISNUMBER(B493),B493&lt;0.5))</f>
        <v/>
      </c>
      <c r="I493">
        <f>IFERROR(MAX(0,(0.5-B493)*100),0)+IF(D493&gt;=24,20,0)+IF(Raw_data!$I493&gt;0,20,0)+IF(Raw_data!$AE493=TRUE,10,0)</f>
        <v/>
      </c>
      <c r="J493">
        <f>IFERROR(CHOOSE(MATCH(Dashboard!$B$11,{"Department","Team","Unit","Legal entity","Location","Lead"},0),INDEX(Lists!$B$3:$B$20,ROW()-1),INDEX(Lists!$C$3:$C$146,ROW()-1),INDEX(Lists!$D$3:$D$67,ROW()-1),INDEX(Lists!$E$3:$E$5,ROW()-1),INDEX(Lists!$F$3:$F$12,ROW()-1),INDEX(Lists!$G$3:$G$126,ROW()-1)),"")</f>
        <v/>
      </c>
      <c r="K493">
        <f>IF(J493="","",SUMPRODUCT(($A$2:$A$636=1)*($G$2:$G$636=J493)))</f>
        <v/>
      </c>
      <c r="L493">
        <f>IF(J493="","",SUMPRODUCT(($A$2:$A$636=1)*($G$2:$G$636=J493)*(ISNUMBER($B$2:$B$636))*($B$2:$B$636&lt;0.5)))</f>
        <v/>
      </c>
      <c r="M493">
        <f>IFERROR(L493/K493,"")</f>
        <v/>
      </c>
      <c r="N493">
        <f>IF(K493="","",M493+K493/100000+ROW()/100000000)</f>
        <v/>
      </c>
      <c r="R493">
        <f>IF(A493=1,IFERROR(I493,0)+ROW()/100000000,-1E+99)</f>
        <v/>
      </c>
      <c r="S493">
        <f>IF(A493=1,IFERROR(Raw_data!$T493,""),"")</f>
        <v/>
      </c>
      <c r="T493">
        <f>IF(A493=1,IFERROR(Raw_data!$AA493,""),"")</f>
        <v/>
      </c>
      <c r="U493">
        <f>IF(A493=1,IFERROR(Raw_data!$U493,""),"")</f>
        <v/>
      </c>
      <c r="V493">
        <f>IF(A493=1,IFERROR(Raw_data!$AB493,""),"")</f>
        <v/>
      </c>
    </row>
    <row r="494">
      <c r="A494">
        <f>--(AND(OR(Dashboard!$B$4="All",Raw_data!$AL494=Dashboard!$B$4),OR(Dashboard!$B$5="All",Raw_data!$AM494=Dashboard!$B$5),OR(Dashboard!$B$6="All",Raw_data!$AN494=Dashboard!$B$6),OR(Dashboard!$B$7="All",Raw_data!$AO494=Dashboard!$B$7),OR(Dashboard!$B$8="All",Raw_data!$AP494=Dashboard!$B$8),OR(Dashboard!$B$9="All",Raw_data!$AQ494=Dashboard!$B$9),OR(Dashboard!$B$10="All",Raw_data!$AF494=Dashboard!$B$10),OR(Raw_data!$F494="",Raw_data!$F494&lt;=TODAY())))</f>
        <v/>
      </c>
      <c r="B494">
        <f>IFERROR(IF(Dashboard!$B$3="Weighted",Raw_data!$U494,Raw_data!$T494),"")</f>
        <v/>
      </c>
      <c r="C494">
        <f>IFERROR(IF(Dashboard!$B$3="Weighted",Raw_data!$AB494,Raw_data!$AA494),"")</f>
        <v/>
      </c>
      <c r="D494">
        <f>IF(OR(Raw_data!$J494="",Raw_data!$J494&lt;=0,Raw_data!$K494=""),"",IF(Raw_data!$K494&gt;TODAY(),0,DATEDIF(Raw_data!$K494,TODAY(),"M")))</f>
        <v/>
      </c>
      <c r="E494">
        <f>--(AND(Raw_data!$AF494="No",OR(Raw_data!$AG494&lt;&gt;"",Raw_data!$AJ494&gt;0,Raw_data!$AK494&lt;&gt;"")))</f>
        <v/>
      </c>
      <c r="F494">
        <f>--(OR(AND(ISNUMBER(B494),B494&lt;0.5,OR(D494&gt;=24,Raw_data!$I494&gt;0)),Raw_data!$AE494=TRUE))</f>
        <v/>
      </c>
      <c r="G494">
        <f>IF(Dashboard!$B$11="Department",Raw_data!$AL494,IF(Dashboard!$B$11="Team",Raw_data!$AM494,IF(Dashboard!$B$11="Unit",Raw_data!$AN494,IF(Dashboard!$B$11="Legal entity",Raw_data!$AO494,IF(Dashboard!$B$11="Location",Raw_data!$AP494,Raw_data!$AQ494)))))</f>
        <v/>
      </c>
      <c r="H494">
        <f>--(AND(ISNUMBER(B494),B494&lt;0.5))</f>
        <v/>
      </c>
      <c r="I494">
        <f>IFERROR(MAX(0,(0.5-B494)*100),0)+IF(D494&gt;=24,20,0)+IF(Raw_data!$I494&gt;0,20,0)+IF(Raw_data!$AE494=TRUE,10,0)</f>
        <v/>
      </c>
      <c r="J494">
        <f>IFERROR(CHOOSE(MATCH(Dashboard!$B$11,{"Department","Team","Unit","Legal entity","Location","Lead"},0),INDEX(Lists!$B$3:$B$20,ROW()-1),INDEX(Lists!$C$3:$C$146,ROW()-1),INDEX(Lists!$D$3:$D$67,ROW()-1),INDEX(Lists!$E$3:$E$5,ROW()-1),INDEX(Lists!$F$3:$F$12,ROW()-1),INDEX(Lists!$G$3:$G$126,ROW()-1)),"")</f>
        <v/>
      </c>
      <c r="K494">
        <f>IF(J494="","",SUMPRODUCT(($A$2:$A$636=1)*($G$2:$G$636=J494)))</f>
        <v/>
      </c>
      <c r="L494">
        <f>IF(J494="","",SUMPRODUCT(($A$2:$A$636=1)*($G$2:$G$636=J494)*(ISNUMBER($B$2:$B$636))*($B$2:$B$636&lt;0.5)))</f>
        <v/>
      </c>
      <c r="M494">
        <f>IFERROR(L494/K494,"")</f>
        <v/>
      </c>
      <c r="N494">
        <f>IF(K494="","",M494+K494/100000+ROW()/100000000)</f>
        <v/>
      </c>
      <c r="R494">
        <f>IF(A494=1,IFERROR(I494,0)+ROW()/100000000,-1E+99)</f>
        <v/>
      </c>
      <c r="S494">
        <f>IF(A494=1,IFERROR(Raw_data!$T494,""),"")</f>
        <v/>
      </c>
      <c r="T494">
        <f>IF(A494=1,IFERROR(Raw_data!$AA494,""),"")</f>
        <v/>
      </c>
      <c r="U494">
        <f>IF(A494=1,IFERROR(Raw_data!$U494,""),"")</f>
        <v/>
      </c>
      <c r="V494">
        <f>IF(A494=1,IFERROR(Raw_data!$AB494,""),"")</f>
        <v/>
      </c>
    </row>
    <row r="495">
      <c r="A495">
        <f>--(AND(OR(Dashboard!$B$4="All",Raw_data!$AL495=Dashboard!$B$4),OR(Dashboard!$B$5="All",Raw_data!$AM495=Dashboard!$B$5),OR(Dashboard!$B$6="All",Raw_data!$AN495=Dashboard!$B$6),OR(Dashboard!$B$7="All",Raw_data!$AO495=Dashboard!$B$7),OR(Dashboard!$B$8="All",Raw_data!$AP495=Dashboard!$B$8),OR(Dashboard!$B$9="All",Raw_data!$AQ495=Dashboard!$B$9),OR(Dashboard!$B$10="All",Raw_data!$AF495=Dashboard!$B$10),OR(Raw_data!$F495="",Raw_data!$F495&lt;=TODAY())))</f>
        <v/>
      </c>
      <c r="B495">
        <f>IFERROR(IF(Dashboard!$B$3="Weighted",Raw_data!$U495,Raw_data!$T495),"")</f>
        <v/>
      </c>
      <c r="C495">
        <f>IFERROR(IF(Dashboard!$B$3="Weighted",Raw_data!$AB495,Raw_data!$AA495),"")</f>
        <v/>
      </c>
      <c r="D495">
        <f>IF(OR(Raw_data!$J495="",Raw_data!$J495&lt;=0,Raw_data!$K495=""),"",IF(Raw_data!$K495&gt;TODAY(),0,DATEDIF(Raw_data!$K495,TODAY(),"M")))</f>
        <v/>
      </c>
      <c r="E495">
        <f>--(AND(Raw_data!$AF495="No",OR(Raw_data!$AG495&lt;&gt;"",Raw_data!$AJ495&gt;0,Raw_data!$AK495&lt;&gt;"")))</f>
        <v/>
      </c>
      <c r="F495">
        <f>--(OR(AND(ISNUMBER(B495),B495&lt;0.5,OR(D495&gt;=24,Raw_data!$I495&gt;0)),Raw_data!$AE495=TRUE))</f>
        <v/>
      </c>
      <c r="G495">
        <f>IF(Dashboard!$B$11="Department",Raw_data!$AL495,IF(Dashboard!$B$11="Team",Raw_data!$AM495,IF(Dashboard!$B$11="Unit",Raw_data!$AN495,IF(Dashboard!$B$11="Legal entity",Raw_data!$AO495,IF(Dashboard!$B$11="Location",Raw_data!$AP495,Raw_data!$AQ495)))))</f>
        <v/>
      </c>
      <c r="H495">
        <f>--(AND(ISNUMBER(B495),B495&lt;0.5))</f>
        <v/>
      </c>
      <c r="I495">
        <f>IFERROR(MAX(0,(0.5-B495)*100),0)+IF(D495&gt;=24,20,0)+IF(Raw_data!$I495&gt;0,20,0)+IF(Raw_data!$AE495=TRUE,10,0)</f>
        <v/>
      </c>
      <c r="J495">
        <f>IFERROR(CHOOSE(MATCH(Dashboard!$B$11,{"Department","Team","Unit","Legal entity","Location","Lead"},0),INDEX(Lists!$B$3:$B$20,ROW()-1),INDEX(Lists!$C$3:$C$146,ROW()-1),INDEX(Lists!$D$3:$D$67,ROW()-1),INDEX(Lists!$E$3:$E$5,ROW()-1),INDEX(Lists!$F$3:$F$12,ROW()-1),INDEX(Lists!$G$3:$G$126,ROW()-1)),"")</f>
        <v/>
      </c>
      <c r="K495">
        <f>IF(J495="","",SUMPRODUCT(($A$2:$A$636=1)*($G$2:$G$636=J495)))</f>
        <v/>
      </c>
      <c r="L495">
        <f>IF(J495="","",SUMPRODUCT(($A$2:$A$636=1)*($G$2:$G$636=J495)*(ISNUMBER($B$2:$B$636))*($B$2:$B$636&lt;0.5)))</f>
        <v/>
      </c>
      <c r="M495">
        <f>IFERROR(L495/K495,"")</f>
        <v/>
      </c>
      <c r="N495">
        <f>IF(K495="","",M495+K495/100000+ROW()/100000000)</f>
        <v/>
      </c>
      <c r="R495">
        <f>IF(A495=1,IFERROR(I495,0)+ROW()/100000000,-1E+99)</f>
        <v/>
      </c>
      <c r="S495">
        <f>IF(A495=1,IFERROR(Raw_data!$T495,""),"")</f>
        <v/>
      </c>
      <c r="T495">
        <f>IF(A495=1,IFERROR(Raw_data!$AA495,""),"")</f>
        <v/>
      </c>
      <c r="U495">
        <f>IF(A495=1,IFERROR(Raw_data!$U495,""),"")</f>
        <v/>
      </c>
      <c r="V495">
        <f>IF(A495=1,IFERROR(Raw_data!$AB495,""),"")</f>
        <v/>
      </c>
    </row>
    <row r="496">
      <c r="A496">
        <f>--(AND(OR(Dashboard!$B$4="All",Raw_data!$AL496=Dashboard!$B$4),OR(Dashboard!$B$5="All",Raw_data!$AM496=Dashboard!$B$5),OR(Dashboard!$B$6="All",Raw_data!$AN496=Dashboard!$B$6),OR(Dashboard!$B$7="All",Raw_data!$AO496=Dashboard!$B$7),OR(Dashboard!$B$8="All",Raw_data!$AP496=Dashboard!$B$8),OR(Dashboard!$B$9="All",Raw_data!$AQ496=Dashboard!$B$9),OR(Dashboard!$B$10="All",Raw_data!$AF496=Dashboard!$B$10),OR(Raw_data!$F496="",Raw_data!$F496&lt;=TODAY())))</f>
        <v/>
      </c>
      <c r="B496">
        <f>IFERROR(IF(Dashboard!$B$3="Weighted",Raw_data!$U496,Raw_data!$T496),"")</f>
        <v/>
      </c>
      <c r="C496">
        <f>IFERROR(IF(Dashboard!$B$3="Weighted",Raw_data!$AB496,Raw_data!$AA496),"")</f>
        <v/>
      </c>
      <c r="D496">
        <f>IF(OR(Raw_data!$J496="",Raw_data!$J496&lt;=0,Raw_data!$K496=""),"",IF(Raw_data!$K496&gt;TODAY(),0,DATEDIF(Raw_data!$K496,TODAY(),"M")))</f>
        <v/>
      </c>
      <c r="E496">
        <f>--(AND(Raw_data!$AF496="No",OR(Raw_data!$AG496&lt;&gt;"",Raw_data!$AJ496&gt;0,Raw_data!$AK496&lt;&gt;"")))</f>
        <v/>
      </c>
      <c r="F496">
        <f>--(OR(AND(ISNUMBER(B496),B496&lt;0.5,OR(D496&gt;=24,Raw_data!$I496&gt;0)),Raw_data!$AE496=TRUE))</f>
        <v/>
      </c>
      <c r="G496">
        <f>IF(Dashboard!$B$11="Department",Raw_data!$AL496,IF(Dashboard!$B$11="Team",Raw_data!$AM496,IF(Dashboard!$B$11="Unit",Raw_data!$AN496,IF(Dashboard!$B$11="Legal entity",Raw_data!$AO496,IF(Dashboard!$B$11="Location",Raw_data!$AP496,Raw_data!$AQ496)))))</f>
        <v/>
      </c>
      <c r="H496">
        <f>--(AND(ISNUMBER(B496),B496&lt;0.5))</f>
        <v/>
      </c>
      <c r="I496">
        <f>IFERROR(MAX(0,(0.5-B496)*100),0)+IF(D496&gt;=24,20,0)+IF(Raw_data!$I496&gt;0,20,0)+IF(Raw_data!$AE496=TRUE,10,0)</f>
        <v/>
      </c>
      <c r="J496">
        <f>IFERROR(CHOOSE(MATCH(Dashboard!$B$11,{"Department","Team","Unit","Legal entity","Location","Lead"},0),INDEX(Lists!$B$3:$B$20,ROW()-1),INDEX(Lists!$C$3:$C$146,ROW()-1),INDEX(Lists!$D$3:$D$67,ROW()-1),INDEX(Lists!$E$3:$E$5,ROW()-1),INDEX(Lists!$F$3:$F$12,ROW()-1),INDEX(Lists!$G$3:$G$126,ROW()-1)),"")</f>
        <v/>
      </c>
      <c r="K496">
        <f>IF(J496="","",SUMPRODUCT(($A$2:$A$636=1)*($G$2:$G$636=J496)))</f>
        <v/>
      </c>
      <c r="L496">
        <f>IF(J496="","",SUMPRODUCT(($A$2:$A$636=1)*($G$2:$G$636=J496)*(ISNUMBER($B$2:$B$636))*($B$2:$B$636&lt;0.5)))</f>
        <v/>
      </c>
      <c r="M496">
        <f>IFERROR(L496/K496,"")</f>
        <v/>
      </c>
      <c r="N496">
        <f>IF(K496="","",M496+K496/100000+ROW()/100000000)</f>
        <v/>
      </c>
      <c r="R496">
        <f>IF(A496=1,IFERROR(I496,0)+ROW()/100000000,-1E+99)</f>
        <v/>
      </c>
      <c r="S496">
        <f>IF(A496=1,IFERROR(Raw_data!$T496,""),"")</f>
        <v/>
      </c>
      <c r="T496">
        <f>IF(A496=1,IFERROR(Raw_data!$AA496,""),"")</f>
        <v/>
      </c>
      <c r="U496">
        <f>IF(A496=1,IFERROR(Raw_data!$U496,""),"")</f>
        <v/>
      </c>
      <c r="V496">
        <f>IF(A496=1,IFERROR(Raw_data!$AB496,""),"")</f>
        <v/>
      </c>
    </row>
    <row r="497">
      <c r="A497">
        <f>--(AND(OR(Dashboard!$B$4="All",Raw_data!$AL497=Dashboard!$B$4),OR(Dashboard!$B$5="All",Raw_data!$AM497=Dashboard!$B$5),OR(Dashboard!$B$6="All",Raw_data!$AN497=Dashboard!$B$6),OR(Dashboard!$B$7="All",Raw_data!$AO497=Dashboard!$B$7),OR(Dashboard!$B$8="All",Raw_data!$AP497=Dashboard!$B$8),OR(Dashboard!$B$9="All",Raw_data!$AQ497=Dashboard!$B$9),OR(Dashboard!$B$10="All",Raw_data!$AF497=Dashboard!$B$10),OR(Raw_data!$F497="",Raw_data!$F497&lt;=TODAY())))</f>
        <v/>
      </c>
      <c r="B497">
        <f>IFERROR(IF(Dashboard!$B$3="Weighted",Raw_data!$U497,Raw_data!$T497),"")</f>
        <v/>
      </c>
      <c r="C497">
        <f>IFERROR(IF(Dashboard!$B$3="Weighted",Raw_data!$AB497,Raw_data!$AA497),"")</f>
        <v/>
      </c>
      <c r="D497">
        <f>IF(OR(Raw_data!$J497="",Raw_data!$J497&lt;=0,Raw_data!$K497=""),"",IF(Raw_data!$K497&gt;TODAY(),0,DATEDIF(Raw_data!$K497,TODAY(),"M")))</f>
        <v/>
      </c>
      <c r="E497">
        <f>--(AND(Raw_data!$AF497="No",OR(Raw_data!$AG497&lt;&gt;"",Raw_data!$AJ497&gt;0,Raw_data!$AK497&lt;&gt;"")))</f>
        <v/>
      </c>
      <c r="F497">
        <f>--(OR(AND(ISNUMBER(B497),B497&lt;0.5,OR(D497&gt;=24,Raw_data!$I497&gt;0)),Raw_data!$AE497=TRUE))</f>
        <v/>
      </c>
      <c r="G497">
        <f>IF(Dashboard!$B$11="Department",Raw_data!$AL497,IF(Dashboard!$B$11="Team",Raw_data!$AM497,IF(Dashboard!$B$11="Unit",Raw_data!$AN497,IF(Dashboard!$B$11="Legal entity",Raw_data!$AO497,IF(Dashboard!$B$11="Location",Raw_data!$AP497,Raw_data!$AQ497)))))</f>
        <v/>
      </c>
      <c r="H497">
        <f>--(AND(ISNUMBER(B497),B497&lt;0.5))</f>
        <v/>
      </c>
      <c r="I497">
        <f>IFERROR(MAX(0,(0.5-B497)*100),0)+IF(D497&gt;=24,20,0)+IF(Raw_data!$I497&gt;0,20,0)+IF(Raw_data!$AE497=TRUE,10,0)</f>
        <v/>
      </c>
      <c r="J497">
        <f>IFERROR(CHOOSE(MATCH(Dashboard!$B$11,{"Department","Team","Unit","Legal entity","Location","Lead"},0),INDEX(Lists!$B$3:$B$20,ROW()-1),INDEX(Lists!$C$3:$C$146,ROW()-1),INDEX(Lists!$D$3:$D$67,ROW()-1),INDEX(Lists!$E$3:$E$5,ROW()-1),INDEX(Lists!$F$3:$F$12,ROW()-1),INDEX(Lists!$G$3:$G$126,ROW()-1)),"")</f>
        <v/>
      </c>
      <c r="K497">
        <f>IF(J497="","",SUMPRODUCT(($A$2:$A$636=1)*($G$2:$G$636=J497)))</f>
        <v/>
      </c>
      <c r="L497">
        <f>IF(J497="","",SUMPRODUCT(($A$2:$A$636=1)*($G$2:$G$636=J497)*(ISNUMBER($B$2:$B$636))*($B$2:$B$636&lt;0.5)))</f>
        <v/>
      </c>
      <c r="M497">
        <f>IFERROR(L497/K497,"")</f>
        <v/>
      </c>
      <c r="N497">
        <f>IF(K497="","",M497+K497/100000+ROW()/100000000)</f>
        <v/>
      </c>
      <c r="R497">
        <f>IF(A497=1,IFERROR(I497,0)+ROW()/100000000,-1E+99)</f>
        <v/>
      </c>
      <c r="S497">
        <f>IF(A497=1,IFERROR(Raw_data!$T497,""),"")</f>
        <v/>
      </c>
      <c r="T497">
        <f>IF(A497=1,IFERROR(Raw_data!$AA497,""),"")</f>
        <v/>
      </c>
      <c r="U497">
        <f>IF(A497=1,IFERROR(Raw_data!$U497,""),"")</f>
        <v/>
      </c>
      <c r="V497">
        <f>IF(A497=1,IFERROR(Raw_data!$AB497,""),"")</f>
        <v/>
      </c>
    </row>
    <row r="498">
      <c r="A498">
        <f>--(AND(OR(Dashboard!$B$4="All",Raw_data!$AL498=Dashboard!$B$4),OR(Dashboard!$B$5="All",Raw_data!$AM498=Dashboard!$B$5),OR(Dashboard!$B$6="All",Raw_data!$AN498=Dashboard!$B$6),OR(Dashboard!$B$7="All",Raw_data!$AO498=Dashboard!$B$7),OR(Dashboard!$B$8="All",Raw_data!$AP498=Dashboard!$B$8),OR(Dashboard!$B$9="All",Raw_data!$AQ498=Dashboard!$B$9),OR(Dashboard!$B$10="All",Raw_data!$AF498=Dashboard!$B$10),OR(Raw_data!$F498="",Raw_data!$F498&lt;=TODAY())))</f>
        <v/>
      </c>
      <c r="B498">
        <f>IFERROR(IF(Dashboard!$B$3="Weighted",Raw_data!$U498,Raw_data!$T498),"")</f>
        <v/>
      </c>
      <c r="C498">
        <f>IFERROR(IF(Dashboard!$B$3="Weighted",Raw_data!$AB498,Raw_data!$AA498),"")</f>
        <v/>
      </c>
      <c r="D498">
        <f>IF(OR(Raw_data!$J498="",Raw_data!$J498&lt;=0,Raw_data!$K498=""),"",IF(Raw_data!$K498&gt;TODAY(),0,DATEDIF(Raw_data!$K498,TODAY(),"M")))</f>
        <v/>
      </c>
      <c r="E498">
        <f>--(AND(Raw_data!$AF498="No",OR(Raw_data!$AG498&lt;&gt;"",Raw_data!$AJ498&gt;0,Raw_data!$AK498&lt;&gt;"")))</f>
        <v/>
      </c>
      <c r="F498">
        <f>--(OR(AND(ISNUMBER(B498),B498&lt;0.5,OR(D498&gt;=24,Raw_data!$I498&gt;0)),Raw_data!$AE498=TRUE))</f>
        <v/>
      </c>
      <c r="G498">
        <f>IF(Dashboard!$B$11="Department",Raw_data!$AL498,IF(Dashboard!$B$11="Team",Raw_data!$AM498,IF(Dashboard!$B$11="Unit",Raw_data!$AN498,IF(Dashboard!$B$11="Legal entity",Raw_data!$AO498,IF(Dashboard!$B$11="Location",Raw_data!$AP498,Raw_data!$AQ498)))))</f>
        <v/>
      </c>
      <c r="H498">
        <f>--(AND(ISNUMBER(B498),B498&lt;0.5))</f>
        <v/>
      </c>
      <c r="I498">
        <f>IFERROR(MAX(0,(0.5-B498)*100),0)+IF(D498&gt;=24,20,0)+IF(Raw_data!$I498&gt;0,20,0)+IF(Raw_data!$AE498=TRUE,10,0)</f>
        <v/>
      </c>
      <c r="J498">
        <f>IFERROR(CHOOSE(MATCH(Dashboard!$B$11,{"Department","Team","Unit","Legal entity","Location","Lead"},0),INDEX(Lists!$B$3:$B$20,ROW()-1),INDEX(Lists!$C$3:$C$146,ROW()-1),INDEX(Lists!$D$3:$D$67,ROW()-1),INDEX(Lists!$E$3:$E$5,ROW()-1),INDEX(Lists!$F$3:$F$12,ROW()-1),INDEX(Lists!$G$3:$G$126,ROW()-1)),"")</f>
        <v/>
      </c>
      <c r="K498">
        <f>IF(J498="","",SUMPRODUCT(($A$2:$A$636=1)*($G$2:$G$636=J498)))</f>
        <v/>
      </c>
      <c r="L498">
        <f>IF(J498="","",SUMPRODUCT(($A$2:$A$636=1)*($G$2:$G$636=J498)*(ISNUMBER($B$2:$B$636))*($B$2:$B$636&lt;0.5)))</f>
        <v/>
      </c>
      <c r="M498">
        <f>IFERROR(L498/K498,"")</f>
        <v/>
      </c>
      <c r="N498">
        <f>IF(K498="","",M498+K498/100000+ROW()/100000000)</f>
        <v/>
      </c>
      <c r="R498">
        <f>IF(A498=1,IFERROR(I498,0)+ROW()/100000000,-1E+99)</f>
        <v/>
      </c>
      <c r="S498">
        <f>IF(A498=1,IFERROR(Raw_data!$T498,""),"")</f>
        <v/>
      </c>
      <c r="T498">
        <f>IF(A498=1,IFERROR(Raw_data!$AA498,""),"")</f>
        <v/>
      </c>
      <c r="U498">
        <f>IF(A498=1,IFERROR(Raw_data!$U498,""),"")</f>
        <v/>
      </c>
      <c r="V498">
        <f>IF(A498=1,IFERROR(Raw_data!$AB498,""),"")</f>
        <v/>
      </c>
    </row>
    <row r="499">
      <c r="A499">
        <f>--(AND(OR(Dashboard!$B$4="All",Raw_data!$AL499=Dashboard!$B$4),OR(Dashboard!$B$5="All",Raw_data!$AM499=Dashboard!$B$5),OR(Dashboard!$B$6="All",Raw_data!$AN499=Dashboard!$B$6),OR(Dashboard!$B$7="All",Raw_data!$AO499=Dashboard!$B$7),OR(Dashboard!$B$8="All",Raw_data!$AP499=Dashboard!$B$8),OR(Dashboard!$B$9="All",Raw_data!$AQ499=Dashboard!$B$9),OR(Dashboard!$B$10="All",Raw_data!$AF499=Dashboard!$B$10),OR(Raw_data!$F499="",Raw_data!$F499&lt;=TODAY())))</f>
        <v/>
      </c>
      <c r="B499">
        <f>IFERROR(IF(Dashboard!$B$3="Weighted",Raw_data!$U499,Raw_data!$T499),"")</f>
        <v/>
      </c>
      <c r="C499">
        <f>IFERROR(IF(Dashboard!$B$3="Weighted",Raw_data!$AB499,Raw_data!$AA499),"")</f>
        <v/>
      </c>
      <c r="D499">
        <f>IF(OR(Raw_data!$J499="",Raw_data!$J499&lt;=0,Raw_data!$K499=""),"",IF(Raw_data!$K499&gt;TODAY(),0,DATEDIF(Raw_data!$K499,TODAY(),"M")))</f>
        <v/>
      </c>
      <c r="E499">
        <f>--(AND(Raw_data!$AF499="No",OR(Raw_data!$AG499&lt;&gt;"",Raw_data!$AJ499&gt;0,Raw_data!$AK499&lt;&gt;"")))</f>
        <v/>
      </c>
      <c r="F499">
        <f>--(OR(AND(ISNUMBER(B499),B499&lt;0.5,OR(D499&gt;=24,Raw_data!$I499&gt;0)),Raw_data!$AE499=TRUE))</f>
        <v/>
      </c>
      <c r="G499">
        <f>IF(Dashboard!$B$11="Department",Raw_data!$AL499,IF(Dashboard!$B$11="Team",Raw_data!$AM499,IF(Dashboard!$B$11="Unit",Raw_data!$AN499,IF(Dashboard!$B$11="Legal entity",Raw_data!$AO499,IF(Dashboard!$B$11="Location",Raw_data!$AP499,Raw_data!$AQ499)))))</f>
        <v/>
      </c>
      <c r="H499">
        <f>--(AND(ISNUMBER(B499),B499&lt;0.5))</f>
        <v/>
      </c>
      <c r="I499">
        <f>IFERROR(MAX(0,(0.5-B499)*100),0)+IF(D499&gt;=24,20,0)+IF(Raw_data!$I499&gt;0,20,0)+IF(Raw_data!$AE499=TRUE,10,0)</f>
        <v/>
      </c>
      <c r="J499">
        <f>IFERROR(CHOOSE(MATCH(Dashboard!$B$11,{"Department","Team","Unit","Legal entity","Location","Lead"},0),INDEX(Lists!$B$3:$B$20,ROW()-1),INDEX(Lists!$C$3:$C$146,ROW()-1),INDEX(Lists!$D$3:$D$67,ROW()-1),INDEX(Lists!$E$3:$E$5,ROW()-1),INDEX(Lists!$F$3:$F$12,ROW()-1),INDEX(Lists!$G$3:$G$126,ROW()-1)),"")</f>
        <v/>
      </c>
      <c r="K499">
        <f>IF(J499="","",SUMPRODUCT(($A$2:$A$636=1)*($G$2:$G$636=J499)))</f>
        <v/>
      </c>
      <c r="L499">
        <f>IF(J499="","",SUMPRODUCT(($A$2:$A$636=1)*($G$2:$G$636=J499)*(ISNUMBER($B$2:$B$636))*($B$2:$B$636&lt;0.5)))</f>
        <v/>
      </c>
      <c r="M499">
        <f>IFERROR(L499/K499,"")</f>
        <v/>
      </c>
      <c r="N499">
        <f>IF(K499="","",M499+K499/100000+ROW()/100000000)</f>
        <v/>
      </c>
      <c r="R499">
        <f>IF(A499=1,IFERROR(I499,0)+ROW()/100000000,-1E+99)</f>
        <v/>
      </c>
      <c r="S499">
        <f>IF(A499=1,IFERROR(Raw_data!$T499,""),"")</f>
        <v/>
      </c>
      <c r="T499">
        <f>IF(A499=1,IFERROR(Raw_data!$AA499,""),"")</f>
        <v/>
      </c>
      <c r="U499">
        <f>IF(A499=1,IFERROR(Raw_data!$U499,""),"")</f>
        <v/>
      </c>
      <c r="V499">
        <f>IF(A499=1,IFERROR(Raw_data!$AB499,""),"")</f>
        <v/>
      </c>
    </row>
    <row r="500">
      <c r="A500">
        <f>--(AND(OR(Dashboard!$B$4="All",Raw_data!$AL500=Dashboard!$B$4),OR(Dashboard!$B$5="All",Raw_data!$AM500=Dashboard!$B$5),OR(Dashboard!$B$6="All",Raw_data!$AN500=Dashboard!$B$6),OR(Dashboard!$B$7="All",Raw_data!$AO500=Dashboard!$B$7),OR(Dashboard!$B$8="All",Raw_data!$AP500=Dashboard!$B$8),OR(Dashboard!$B$9="All",Raw_data!$AQ500=Dashboard!$B$9),OR(Dashboard!$B$10="All",Raw_data!$AF500=Dashboard!$B$10),OR(Raw_data!$F500="",Raw_data!$F500&lt;=TODAY())))</f>
        <v/>
      </c>
      <c r="B500">
        <f>IFERROR(IF(Dashboard!$B$3="Weighted",Raw_data!$U500,Raw_data!$T500),"")</f>
        <v/>
      </c>
      <c r="C500">
        <f>IFERROR(IF(Dashboard!$B$3="Weighted",Raw_data!$AB500,Raw_data!$AA500),"")</f>
        <v/>
      </c>
      <c r="D500">
        <f>IF(OR(Raw_data!$J500="",Raw_data!$J500&lt;=0,Raw_data!$K500=""),"",IF(Raw_data!$K500&gt;TODAY(),0,DATEDIF(Raw_data!$K500,TODAY(),"M")))</f>
        <v/>
      </c>
      <c r="E500">
        <f>--(AND(Raw_data!$AF500="No",OR(Raw_data!$AG500&lt;&gt;"",Raw_data!$AJ500&gt;0,Raw_data!$AK500&lt;&gt;"")))</f>
        <v/>
      </c>
      <c r="F500">
        <f>--(OR(AND(ISNUMBER(B500),B500&lt;0.5,OR(D500&gt;=24,Raw_data!$I500&gt;0)),Raw_data!$AE500=TRUE))</f>
        <v/>
      </c>
      <c r="G500">
        <f>IF(Dashboard!$B$11="Department",Raw_data!$AL500,IF(Dashboard!$B$11="Team",Raw_data!$AM500,IF(Dashboard!$B$11="Unit",Raw_data!$AN500,IF(Dashboard!$B$11="Legal entity",Raw_data!$AO500,IF(Dashboard!$B$11="Location",Raw_data!$AP500,Raw_data!$AQ500)))))</f>
        <v/>
      </c>
      <c r="H500">
        <f>--(AND(ISNUMBER(B500),B500&lt;0.5))</f>
        <v/>
      </c>
      <c r="I500">
        <f>IFERROR(MAX(0,(0.5-B500)*100),0)+IF(D500&gt;=24,20,0)+IF(Raw_data!$I500&gt;0,20,0)+IF(Raw_data!$AE500=TRUE,10,0)</f>
        <v/>
      </c>
      <c r="J500">
        <f>IFERROR(CHOOSE(MATCH(Dashboard!$B$11,{"Department","Team","Unit","Legal entity","Location","Lead"},0),INDEX(Lists!$B$3:$B$20,ROW()-1),INDEX(Lists!$C$3:$C$146,ROW()-1),INDEX(Lists!$D$3:$D$67,ROW()-1),INDEX(Lists!$E$3:$E$5,ROW()-1),INDEX(Lists!$F$3:$F$12,ROW()-1),INDEX(Lists!$G$3:$G$126,ROW()-1)),"")</f>
        <v/>
      </c>
      <c r="K500">
        <f>IF(J500="","",SUMPRODUCT(($A$2:$A$636=1)*($G$2:$G$636=J500)))</f>
        <v/>
      </c>
      <c r="L500">
        <f>IF(J500="","",SUMPRODUCT(($A$2:$A$636=1)*($G$2:$G$636=J500)*(ISNUMBER($B$2:$B$636))*($B$2:$B$636&lt;0.5)))</f>
        <v/>
      </c>
      <c r="M500">
        <f>IFERROR(L500/K500,"")</f>
        <v/>
      </c>
      <c r="N500">
        <f>IF(K500="","",M500+K500/100000+ROW()/100000000)</f>
        <v/>
      </c>
      <c r="R500">
        <f>IF(A500=1,IFERROR(I500,0)+ROW()/100000000,-1E+99)</f>
        <v/>
      </c>
      <c r="S500">
        <f>IF(A500=1,IFERROR(Raw_data!$T500,""),"")</f>
        <v/>
      </c>
      <c r="T500">
        <f>IF(A500=1,IFERROR(Raw_data!$AA500,""),"")</f>
        <v/>
      </c>
      <c r="U500">
        <f>IF(A500=1,IFERROR(Raw_data!$U500,""),"")</f>
        <v/>
      </c>
      <c r="V500">
        <f>IF(A500=1,IFERROR(Raw_data!$AB500,""),"")</f>
        <v/>
      </c>
    </row>
    <row r="501">
      <c r="A501">
        <f>--(AND(OR(Dashboard!$B$4="All",Raw_data!$AL501=Dashboard!$B$4),OR(Dashboard!$B$5="All",Raw_data!$AM501=Dashboard!$B$5),OR(Dashboard!$B$6="All",Raw_data!$AN501=Dashboard!$B$6),OR(Dashboard!$B$7="All",Raw_data!$AO501=Dashboard!$B$7),OR(Dashboard!$B$8="All",Raw_data!$AP501=Dashboard!$B$8),OR(Dashboard!$B$9="All",Raw_data!$AQ501=Dashboard!$B$9),OR(Dashboard!$B$10="All",Raw_data!$AF501=Dashboard!$B$10),OR(Raw_data!$F501="",Raw_data!$F501&lt;=TODAY())))</f>
        <v/>
      </c>
      <c r="B501">
        <f>IFERROR(IF(Dashboard!$B$3="Weighted",Raw_data!$U501,Raw_data!$T501),"")</f>
        <v/>
      </c>
      <c r="C501">
        <f>IFERROR(IF(Dashboard!$B$3="Weighted",Raw_data!$AB501,Raw_data!$AA501),"")</f>
        <v/>
      </c>
      <c r="D501">
        <f>IF(OR(Raw_data!$J501="",Raw_data!$J501&lt;=0,Raw_data!$K501=""),"",IF(Raw_data!$K501&gt;TODAY(),0,DATEDIF(Raw_data!$K501,TODAY(),"M")))</f>
        <v/>
      </c>
      <c r="E501">
        <f>--(AND(Raw_data!$AF501="No",OR(Raw_data!$AG501&lt;&gt;"",Raw_data!$AJ501&gt;0,Raw_data!$AK501&lt;&gt;"")))</f>
        <v/>
      </c>
      <c r="F501">
        <f>--(OR(AND(ISNUMBER(B501),B501&lt;0.5,OR(D501&gt;=24,Raw_data!$I501&gt;0)),Raw_data!$AE501=TRUE))</f>
        <v/>
      </c>
      <c r="G501">
        <f>IF(Dashboard!$B$11="Department",Raw_data!$AL501,IF(Dashboard!$B$11="Team",Raw_data!$AM501,IF(Dashboard!$B$11="Unit",Raw_data!$AN501,IF(Dashboard!$B$11="Legal entity",Raw_data!$AO501,IF(Dashboard!$B$11="Location",Raw_data!$AP501,Raw_data!$AQ501)))))</f>
        <v/>
      </c>
      <c r="H501">
        <f>--(AND(ISNUMBER(B501),B501&lt;0.5))</f>
        <v/>
      </c>
      <c r="I501">
        <f>IFERROR(MAX(0,(0.5-B501)*100),0)+IF(D501&gt;=24,20,0)+IF(Raw_data!$I501&gt;0,20,0)+IF(Raw_data!$AE501=TRUE,10,0)</f>
        <v/>
      </c>
      <c r="J501">
        <f>IFERROR(CHOOSE(MATCH(Dashboard!$B$11,{"Department","Team","Unit","Legal entity","Location","Lead"},0),INDEX(Lists!$B$3:$B$20,ROW()-1),INDEX(Lists!$C$3:$C$146,ROW()-1),INDEX(Lists!$D$3:$D$67,ROW()-1),INDEX(Lists!$E$3:$E$5,ROW()-1),INDEX(Lists!$F$3:$F$12,ROW()-1),INDEX(Lists!$G$3:$G$126,ROW()-1)),"")</f>
        <v/>
      </c>
      <c r="K501">
        <f>IF(J501="","",SUMPRODUCT(($A$2:$A$636=1)*($G$2:$G$636=J501)))</f>
        <v/>
      </c>
      <c r="L501">
        <f>IF(J501="","",SUMPRODUCT(($A$2:$A$636=1)*($G$2:$G$636=J501)*(ISNUMBER($B$2:$B$636))*($B$2:$B$636&lt;0.5)))</f>
        <v/>
      </c>
      <c r="M501">
        <f>IFERROR(L501/K501,"")</f>
        <v/>
      </c>
      <c r="N501">
        <f>IF(K501="","",M501+K501/100000+ROW()/100000000)</f>
        <v/>
      </c>
      <c r="R501">
        <f>IF(A501=1,IFERROR(I501,0)+ROW()/100000000,-1E+99)</f>
        <v/>
      </c>
      <c r="S501">
        <f>IF(A501=1,IFERROR(Raw_data!$T501,""),"")</f>
        <v/>
      </c>
      <c r="T501">
        <f>IF(A501=1,IFERROR(Raw_data!$AA501,""),"")</f>
        <v/>
      </c>
      <c r="U501">
        <f>IF(A501=1,IFERROR(Raw_data!$U501,""),"")</f>
        <v/>
      </c>
      <c r="V501">
        <f>IF(A501=1,IFERROR(Raw_data!$AB501,""),"")</f>
        <v/>
      </c>
    </row>
    <row r="502">
      <c r="A502">
        <f>--(AND(OR(Dashboard!$B$4="All",Raw_data!$AL502=Dashboard!$B$4),OR(Dashboard!$B$5="All",Raw_data!$AM502=Dashboard!$B$5),OR(Dashboard!$B$6="All",Raw_data!$AN502=Dashboard!$B$6),OR(Dashboard!$B$7="All",Raw_data!$AO502=Dashboard!$B$7),OR(Dashboard!$B$8="All",Raw_data!$AP502=Dashboard!$B$8),OR(Dashboard!$B$9="All",Raw_data!$AQ502=Dashboard!$B$9),OR(Dashboard!$B$10="All",Raw_data!$AF502=Dashboard!$B$10),OR(Raw_data!$F502="",Raw_data!$F502&lt;=TODAY())))</f>
        <v/>
      </c>
      <c r="B502">
        <f>IFERROR(IF(Dashboard!$B$3="Weighted",Raw_data!$U502,Raw_data!$T502),"")</f>
        <v/>
      </c>
      <c r="C502">
        <f>IFERROR(IF(Dashboard!$B$3="Weighted",Raw_data!$AB502,Raw_data!$AA502),"")</f>
        <v/>
      </c>
      <c r="D502">
        <f>IF(OR(Raw_data!$J502="",Raw_data!$J502&lt;=0,Raw_data!$K502=""),"",IF(Raw_data!$K502&gt;TODAY(),0,DATEDIF(Raw_data!$K502,TODAY(),"M")))</f>
        <v/>
      </c>
      <c r="E502">
        <f>--(AND(Raw_data!$AF502="No",OR(Raw_data!$AG502&lt;&gt;"",Raw_data!$AJ502&gt;0,Raw_data!$AK502&lt;&gt;"")))</f>
        <v/>
      </c>
      <c r="F502">
        <f>--(OR(AND(ISNUMBER(B502),B502&lt;0.5,OR(D502&gt;=24,Raw_data!$I502&gt;0)),Raw_data!$AE502=TRUE))</f>
        <v/>
      </c>
      <c r="G502">
        <f>IF(Dashboard!$B$11="Department",Raw_data!$AL502,IF(Dashboard!$B$11="Team",Raw_data!$AM502,IF(Dashboard!$B$11="Unit",Raw_data!$AN502,IF(Dashboard!$B$11="Legal entity",Raw_data!$AO502,IF(Dashboard!$B$11="Location",Raw_data!$AP502,Raw_data!$AQ502)))))</f>
        <v/>
      </c>
      <c r="H502">
        <f>--(AND(ISNUMBER(B502),B502&lt;0.5))</f>
        <v/>
      </c>
      <c r="I502">
        <f>IFERROR(MAX(0,(0.5-B502)*100),0)+IF(D502&gt;=24,20,0)+IF(Raw_data!$I502&gt;0,20,0)+IF(Raw_data!$AE502=TRUE,10,0)</f>
        <v/>
      </c>
      <c r="J502">
        <f>IFERROR(CHOOSE(MATCH(Dashboard!$B$11,{"Department","Team","Unit","Legal entity","Location","Lead"},0),INDEX(Lists!$B$3:$B$20,ROW()-1),INDEX(Lists!$C$3:$C$146,ROW()-1),INDEX(Lists!$D$3:$D$67,ROW()-1),INDEX(Lists!$E$3:$E$5,ROW()-1),INDEX(Lists!$F$3:$F$12,ROW()-1),INDEX(Lists!$G$3:$G$126,ROW()-1)),"")</f>
        <v/>
      </c>
      <c r="K502">
        <f>IF(J502="","",SUMPRODUCT(($A$2:$A$636=1)*($G$2:$G$636=J502)))</f>
        <v/>
      </c>
      <c r="L502">
        <f>IF(J502="","",SUMPRODUCT(($A$2:$A$636=1)*($G$2:$G$636=J502)*(ISNUMBER($B$2:$B$636))*($B$2:$B$636&lt;0.5)))</f>
        <v/>
      </c>
      <c r="M502">
        <f>IFERROR(L502/K502,"")</f>
        <v/>
      </c>
      <c r="N502">
        <f>IF(K502="","",M502+K502/100000+ROW()/100000000)</f>
        <v/>
      </c>
      <c r="R502">
        <f>IF(A502=1,IFERROR(I502,0)+ROW()/100000000,-1E+99)</f>
        <v/>
      </c>
      <c r="S502">
        <f>IF(A502=1,IFERROR(Raw_data!$T502,""),"")</f>
        <v/>
      </c>
      <c r="T502">
        <f>IF(A502=1,IFERROR(Raw_data!$AA502,""),"")</f>
        <v/>
      </c>
      <c r="U502">
        <f>IF(A502=1,IFERROR(Raw_data!$U502,""),"")</f>
        <v/>
      </c>
      <c r="V502">
        <f>IF(A502=1,IFERROR(Raw_data!$AB502,""),"")</f>
        <v/>
      </c>
    </row>
    <row r="503">
      <c r="A503">
        <f>--(AND(OR(Dashboard!$B$4="All",Raw_data!$AL503=Dashboard!$B$4),OR(Dashboard!$B$5="All",Raw_data!$AM503=Dashboard!$B$5),OR(Dashboard!$B$6="All",Raw_data!$AN503=Dashboard!$B$6),OR(Dashboard!$B$7="All",Raw_data!$AO503=Dashboard!$B$7),OR(Dashboard!$B$8="All",Raw_data!$AP503=Dashboard!$B$8),OR(Dashboard!$B$9="All",Raw_data!$AQ503=Dashboard!$B$9),OR(Dashboard!$B$10="All",Raw_data!$AF503=Dashboard!$B$10),OR(Raw_data!$F503="",Raw_data!$F503&lt;=TODAY())))</f>
        <v/>
      </c>
      <c r="B503">
        <f>IFERROR(IF(Dashboard!$B$3="Weighted",Raw_data!$U503,Raw_data!$T503),"")</f>
        <v/>
      </c>
      <c r="C503">
        <f>IFERROR(IF(Dashboard!$B$3="Weighted",Raw_data!$AB503,Raw_data!$AA503),"")</f>
        <v/>
      </c>
      <c r="D503">
        <f>IF(OR(Raw_data!$J503="",Raw_data!$J503&lt;=0,Raw_data!$K503=""),"",IF(Raw_data!$K503&gt;TODAY(),0,DATEDIF(Raw_data!$K503,TODAY(),"M")))</f>
        <v/>
      </c>
      <c r="E503">
        <f>--(AND(Raw_data!$AF503="No",OR(Raw_data!$AG503&lt;&gt;"",Raw_data!$AJ503&gt;0,Raw_data!$AK503&lt;&gt;"")))</f>
        <v/>
      </c>
      <c r="F503">
        <f>--(OR(AND(ISNUMBER(B503),B503&lt;0.5,OR(D503&gt;=24,Raw_data!$I503&gt;0)),Raw_data!$AE503=TRUE))</f>
        <v/>
      </c>
      <c r="G503">
        <f>IF(Dashboard!$B$11="Department",Raw_data!$AL503,IF(Dashboard!$B$11="Team",Raw_data!$AM503,IF(Dashboard!$B$11="Unit",Raw_data!$AN503,IF(Dashboard!$B$11="Legal entity",Raw_data!$AO503,IF(Dashboard!$B$11="Location",Raw_data!$AP503,Raw_data!$AQ503)))))</f>
        <v/>
      </c>
      <c r="H503">
        <f>--(AND(ISNUMBER(B503),B503&lt;0.5))</f>
        <v/>
      </c>
      <c r="I503">
        <f>IFERROR(MAX(0,(0.5-B503)*100),0)+IF(D503&gt;=24,20,0)+IF(Raw_data!$I503&gt;0,20,0)+IF(Raw_data!$AE503=TRUE,10,0)</f>
        <v/>
      </c>
      <c r="J503">
        <f>IFERROR(CHOOSE(MATCH(Dashboard!$B$11,{"Department","Team","Unit","Legal entity","Location","Lead"},0),INDEX(Lists!$B$3:$B$20,ROW()-1),INDEX(Lists!$C$3:$C$146,ROW()-1),INDEX(Lists!$D$3:$D$67,ROW()-1),INDEX(Lists!$E$3:$E$5,ROW()-1),INDEX(Lists!$F$3:$F$12,ROW()-1),INDEX(Lists!$G$3:$G$126,ROW()-1)),"")</f>
        <v/>
      </c>
      <c r="K503">
        <f>IF(J503="","",SUMPRODUCT(($A$2:$A$636=1)*($G$2:$G$636=J503)))</f>
        <v/>
      </c>
      <c r="L503">
        <f>IF(J503="","",SUMPRODUCT(($A$2:$A$636=1)*($G$2:$G$636=J503)*(ISNUMBER($B$2:$B$636))*($B$2:$B$636&lt;0.5)))</f>
        <v/>
      </c>
      <c r="M503">
        <f>IFERROR(L503/K503,"")</f>
        <v/>
      </c>
      <c r="N503">
        <f>IF(K503="","",M503+K503/100000+ROW()/100000000)</f>
        <v/>
      </c>
      <c r="R503">
        <f>IF(A503=1,IFERROR(I503,0)+ROW()/100000000,-1E+99)</f>
        <v/>
      </c>
      <c r="S503">
        <f>IF(A503=1,IFERROR(Raw_data!$T503,""),"")</f>
        <v/>
      </c>
      <c r="T503">
        <f>IF(A503=1,IFERROR(Raw_data!$AA503,""),"")</f>
        <v/>
      </c>
      <c r="U503">
        <f>IF(A503=1,IFERROR(Raw_data!$U503,""),"")</f>
        <v/>
      </c>
      <c r="V503">
        <f>IF(A503=1,IFERROR(Raw_data!$AB503,""),"")</f>
        <v/>
      </c>
    </row>
    <row r="504">
      <c r="A504">
        <f>--(AND(OR(Dashboard!$B$4="All",Raw_data!$AL504=Dashboard!$B$4),OR(Dashboard!$B$5="All",Raw_data!$AM504=Dashboard!$B$5),OR(Dashboard!$B$6="All",Raw_data!$AN504=Dashboard!$B$6),OR(Dashboard!$B$7="All",Raw_data!$AO504=Dashboard!$B$7),OR(Dashboard!$B$8="All",Raw_data!$AP504=Dashboard!$B$8),OR(Dashboard!$B$9="All",Raw_data!$AQ504=Dashboard!$B$9),OR(Dashboard!$B$10="All",Raw_data!$AF504=Dashboard!$B$10),OR(Raw_data!$F504="",Raw_data!$F504&lt;=TODAY())))</f>
        <v/>
      </c>
      <c r="B504">
        <f>IFERROR(IF(Dashboard!$B$3="Weighted",Raw_data!$U504,Raw_data!$T504),"")</f>
        <v/>
      </c>
      <c r="C504">
        <f>IFERROR(IF(Dashboard!$B$3="Weighted",Raw_data!$AB504,Raw_data!$AA504),"")</f>
        <v/>
      </c>
      <c r="D504">
        <f>IF(OR(Raw_data!$J504="",Raw_data!$J504&lt;=0,Raw_data!$K504=""),"",IF(Raw_data!$K504&gt;TODAY(),0,DATEDIF(Raw_data!$K504,TODAY(),"M")))</f>
        <v/>
      </c>
      <c r="E504">
        <f>--(AND(Raw_data!$AF504="No",OR(Raw_data!$AG504&lt;&gt;"",Raw_data!$AJ504&gt;0,Raw_data!$AK504&lt;&gt;"")))</f>
        <v/>
      </c>
      <c r="F504">
        <f>--(OR(AND(ISNUMBER(B504),B504&lt;0.5,OR(D504&gt;=24,Raw_data!$I504&gt;0)),Raw_data!$AE504=TRUE))</f>
        <v/>
      </c>
      <c r="G504">
        <f>IF(Dashboard!$B$11="Department",Raw_data!$AL504,IF(Dashboard!$B$11="Team",Raw_data!$AM504,IF(Dashboard!$B$11="Unit",Raw_data!$AN504,IF(Dashboard!$B$11="Legal entity",Raw_data!$AO504,IF(Dashboard!$B$11="Location",Raw_data!$AP504,Raw_data!$AQ504)))))</f>
        <v/>
      </c>
      <c r="H504">
        <f>--(AND(ISNUMBER(B504),B504&lt;0.5))</f>
        <v/>
      </c>
      <c r="I504">
        <f>IFERROR(MAX(0,(0.5-B504)*100),0)+IF(D504&gt;=24,20,0)+IF(Raw_data!$I504&gt;0,20,0)+IF(Raw_data!$AE504=TRUE,10,0)</f>
        <v/>
      </c>
      <c r="J504">
        <f>IFERROR(CHOOSE(MATCH(Dashboard!$B$11,{"Department","Team","Unit","Legal entity","Location","Lead"},0),INDEX(Lists!$B$3:$B$20,ROW()-1),INDEX(Lists!$C$3:$C$146,ROW()-1),INDEX(Lists!$D$3:$D$67,ROW()-1),INDEX(Lists!$E$3:$E$5,ROW()-1),INDEX(Lists!$F$3:$F$12,ROW()-1),INDEX(Lists!$G$3:$G$126,ROW()-1)),"")</f>
        <v/>
      </c>
      <c r="K504">
        <f>IF(J504="","",SUMPRODUCT(($A$2:$A$636=1)*($G$2:$G$636=J504)))</f>
        <v/>
      </c>
      <c r="L504">
        <f>IF(J504="","",SUMPRODUCT(($A$2:$A$636=1)*($G$2:$G$636=J504)*(ISNUMBER($B$2:$B$636))*($B$2:$B$636&lt;0.5)))</f>
        <v/>
      </c>
      <c r="M504">
        <f>IFERROR(L504/K504,"")</f>
        <v/>
      </c>
      <c r="N504">
        <f>IF(K504="","",M504+K504/100000+ROW()/100000000)</f>
        <v/>
      </c>
      <c r="R504">
        <f>IF(A504=1,IFERROR(I504,0)+ROW()/100000000,-1E+99)</f>
        <v/>
      </c>
      <c r="S504">
        <f>IF(A504=1,IFERROR(Raw_data!$T504,""),"")</f>
        <v/>
      </c>
      <c r="T504">
        <f>IF(A504=1,IFERROR(Raw_data!$AA504,""),"")</f>
        <v/>
      </c>
      <c r="U504">
        <f>IF(A504=1,IFERROR(Raw_data!$U504,""),"")</f>
        <v/>
      </c>
      <c r="V504">
        <f>IF(A504=1,IFERROR(Raw_data!$AB504,""),"")</f>
        <v/>
      </c>
    </row>
    <row r="505">
      <c r="A505">
        <f>--(AND(OR(Dashboard!$B$4="All",Raw_data!$AL505=Dashboard!$B$4),OR(Dashboard!$B$5="All",Raw_data!$AM505=Dashboard!$B$5),OR(Dashboard!$B$6="All",Raw_data!$AN505=Dashboard!$B$6),OR(Dashboard!$B$7="All",Raw_data!$AO505=Dashboard!$B$7),OR(Dashboard!$B$8="All",Raw_data!$AP505=Dashboard!$B$8),OR(Dashboard!$B$9="All",Raw_data!$AQ505=Dashboard!$B$9),OR(Dashboard!$B$10="All",Raw_data!$AF505=Dashboard!$B$10),OR(Raw_data!$F505="",Raw_data!$F505&lt;=TODAY())))</f>
        <v/>
      </c>
      <c r="B505">
        <f>IFERROR(IF(Dashboard!$B$3="Weighted",Raw_data!$U505,Raw_data!$T505),"")</f>
        <v/>
      </c>
      <c r="C505">
        <f>IFERROR(IF(Dashboard!$B$3="Weighted",Raw_data!$AB505,Raw_data!$AA505),"")</f>
        <v/>
      </c>
      <c r="D505">
        <f>IF(OR(Raw_data!$J505="",Raw_data!$J505&lt;=0,Raw_data!$K505=""),"",IF(Raw_data!$K505&gt;TODAY(),0,DATEDIF(Raw_data!$K505,TODAY(),"M")))</f>
        <v/>
      </c>
      <c r="E505">
        <f>--(AND(Raw_data!$AF505="No",OR(Raw_data!$AG505&lt;&gt;"",Raw_data!$AJ505&gt;0,Raw_data!$AK505&lt;&gt;"")))</f>
        <v/>
      </c>
      <c r="F505">
        <f>--(OR(AND(ISNUMBER(B505),B505&lt;0.5,OR(D505&gt;=24,Raw_data!$I505&gt;0)),Raw_data!$AE505=TRUE))</f>
        <v/>
      </c>
      <c r="G505">
        <f>IF(Dashboard!$B$11="Department",Raw_data!$AL505,IF(Dashboard!$B$11="Team",Raw_data!$AM505,IF(Dashboard!$B$11="Unit",Raw_data!$AN505,IF(Dashboard!$B$11="Legal entity",Raw_data!$AO505,IF(Dashboard!$B$11="Location",Raw_data!$AP505,Raw_data!$AQ505)))))</f>
        <v/>
      </c>
      <c r="H505">
        <f>--(AND(ISNUMBER(B505),B505&lt;0.5))</f>
        <v/>
      </c>
      <c r="I505">
        <f>IFERROR(MAX(0,(0.5-B505)*100),0)+IF(D505&gt;=24,20,0)+IF(Raw_data!$I505&gt;0,20,0)+IF(Raw_data!$AE505=TRUE,10,0)</f>
        <v/>
      </c>
      <c r="J505">
        <f>IFERROR(CHOOSE(MATCH(Dashboard!$B$11,{"Department","Team","Unit","Legal entity","Location","Lead"},0),INDEX(Lists!$B$3:$B$20,ROW()-1),INDEX(Lists!$C$3:$C$146,ROW()-1),INDEX(Lists!$D$3:$D$67,ROW()-1),INDEX(Lists!$E$3:$E$5,ROW()-1),INDEX(Lists!$F$3:$F$12,ROW()-1),INDEX(Lists!$G$3:$G$126,ROW()-1)),"")</f>
        <v/>
      </c>
      <c r="K505">
        <f>IF(J505="","",SUMPRODUCT(($A$2:$A$636=1)*($G$2:$G$636=J505)))</f>
        <v/>
      </c>
      <c r="L505">
        <f>IF(J505="","",SUMPRODUCT(($A$2:$A$636=1)*($G$2:$G$636=J505)*(ISNUMBER($B$2:$B$636))*($B$2:$B$636&lt;0.5)))</f>
        <v/>
      </c>
      <c r="M505">
        <f>IFERROR(L505/K505,"")</f>
        <v/>
      </c>
      <c r="N505">
        <f>IF(K505="","",M505+K505/100000+ROW()/100000000)</f>
        <v/>
      </c>
      <c r="R505">
        <f>IF(A505=1,IFERROR(I505,0)+ROW()/100000000,-1E+99)</f>
        <v/>
      </c>
      <c r="S505">
        <f>IF(A505=1,IFERROR(Raw_data!$T505,""),"")</f>
        <v/>
      </c>
      <c r="T505">
        <f>IF(A505=1,IFERROR(Raw_data!$AA505,""),"")</f>
        <v/>
      </c>
      <c r="U505">
        <f>IF(A505=1,IFERROR(Raw_data!$U505,""),"")</f>
        <v/>
      </c>
      <c r="V505">
        <f>IF(A505=1,IFERROR(Raw_data!$AB505,""),"")</f>
        <v/>
      </c>
    </row>
    <row r="506">
      <c r="A506">
        <f>--(AND(OR(Dashboard!$B$4="All",Raw_data!$AL506=Dashboard!$B$4),OR(Dashboard!$B$5="All",Raw_data!$AM506=Dashboard!$B$5),OR(Dashboard!$B$6="All",Raw_data!$AN506=Dashboard!$B$6),OR(Dashboard!$B$7="All",Raw_data!$AO506=Dashboard!$B$7),OR(Dashboard!$B$8="All",Raw_data!$AP506=Dashboard!$B$8),OR(Dashboard!$B$9="All",Raw_data!$AQ506=Dashboard!$B$9),OR(Dashboard!$B$10="All",Raw_data!$AF506=Dashboard!$B$10),OR(Raw_data!$F506="",Raw_data!$F506&lt;=TODAY())))</f>
        <v/>
      </c>
      <c r="B506">
        <f>IFERROR(IF(Dashboard!$B$3="Weighted",Raw_data!$U506,Raw_data!$T506),"")</f>
        <v/>
      </c>
      <c r="C506">
        <f>IFERROR(IF(Dashboard!$B$3="Weighted",Raw_data!$AB506,Raw_data!$AA506),"")</f>
        <v/>
      </c>
      <c r="D506">
        <f>IF(OR(Raw_data!$J506="",Raw_data!$J506&lt;=0,Raw_data!$K506=""),"",IF(Raw_data!$K506&gt;TODAY(),0,DATEDIF(Raw_data!$K506,TODAY(),"M")))</f>
        <v/>
      </c>
      <c r="E506">
        <f>--(AND(Raw_data!$AF506="No",OR(Raw_data!$AG506&lt;&gt;"",Raw_data!$AJ506&gt;0,Raw_data!$AK506&lt;&gt;"")))</f>
        <v/>
      </c>
      <c r="F506">
        <f>--(OR(AND(ISNUMBER(B506),B506&lt;0.5,OR(D506&gt;=24,Raw_data!$I506&gt;0)),Raw_data!$AE506=TRUE))</f>
        <v/>
      </c>
      <c r="G506">
        <f>IF(Dashboard!$B$11="Department",Raw_data!$AL506,IF(Dashboard!$B$11="Team",Raw_data!$AM506,IF(Dashboard!$B$11="Unit",Raw_data!$AN506,IF(Dashboard!$B$11="Legal entity",Raw_data!$AO506,IF(Dashboard!$B$11="Location",Raw_data!$AP506,Raw_data!$AQ506)))))</f>
        <v/>
      </c>
      <c r="H506">
        <f>--(AND(ISNUMBER(B506),B506&lt;0.5))</f>
        <v/>
      </c>
      <c r="I506">
        <f>IFERROR(MAX(0,(0.5-B506)*100),0)+IF(D506&gt;=24,20,0)+IF(Raw_data!$I506&gt;0,20,0)+IF(Raw_data!$AE506=TRUE,10,0)</f>
        <v/>
      </c>
      <c r="J506">
        <f>IFERROR(CHOOSE(MATCH(Dashboard!$B$11,{"Department","Team","Unit","Legal entity","Location","Lead"},0),INDEX(Lists!$B$3:$B$20,ROW()-1),INDEX(Lists!$C$3:$C$146,ROW()-1),INDEX(Lists!$D$3:$D$67,ROW()-1),INDEX(Lists!$E$3:$E$5,ROW()-1),INDEX(Lists!$F$3:$F$12,ROW()-1),INDEX(Lists!$G$3:$G$126,ROW()-1)),"")</f>
        <v/>
      </c>
      <c r="K506">
        <f>IF(J506="","",SUMPRODUCT(($A$2:$A$636=1)*($G$2:$G$636=J506)))</f>
        <v/>
      </c>
      <c r="L506">
        <f>IF(J506="","",SUMPRODUCT(($A$2:$A$636=1)*($G$2:$G$636=J506)*(ISNUMBER($B$2:$B$636))*($B$2:$B$636&lt;0.5)))</f>
        <v/>
      </c>
      <c r="M506">
        <f>IFERROR(L506/K506,"")</f>
        <v/>
      </c>
      <c r="N506">
        <f>IF(K506="","",M506+K506/100000+ROW()/100000000)</f>
        <v/>
      </c>
      <c r="R506">
        <f>IF(A506=1,IFERROR(I506,0)+ROW()/100000000,-1E+99)</f>
        <v/>
      </c>
      <c r="S506">
        <f>IF(A506=1,IFERROR(Raw_data!$T506,""),"")</f>
        <v/>
      </c>
      <c r="T506">
        <f>IF(A506=1,IFERROR(Raw_data!$AA506,""),"")</f>
        <v/>
      </c>
      <c r="U506">
        <f>IF(A506=1,IFERROR(Raw_data!$U506,""),"")</f>
        <v/>
      </c>
      <c r="V506">
        <f>IF(A506=1,IFERROR(Raw_data!$AB506,""),"")</f>
        <v/>
      </c>
    </row>
    <row r="507">
      <c r="A507">
        <f>--(AND(OR(Dashboard!$B$4="All",Raw_data!$AL507=Dashboard!$B$4),OR(Dashboard!$B$5="All",Raw_data!$AM507=Dashboard!$B$5),OR(Dashboard!$B$6="All",Raw_data!$AN507=Dashboard!$B$6),OR(Dashboard!$B$7="All",Raw_data!$AO507=Dashboard!$B$7),OR(Dashboard!$B$8="All",Raw_data!$AP507=Dashboard!$B$8),OR(Dashboard!$B$9="All",Raw_data!$AQ507=Dashboard!$B$9),OR(Dashboard!$B$10="All",Raw_data!$AF507=Dashboard!$B$10),OR(Raw_data!$F507="",Raw_data!$F507&lt;=TODAY())))</f>
        <v/>
      </c>
      <c r="B507">
        <f>IFERROR(IF(Dashboard!$B$3="Weighted",Raw_data!$U507,Raw_data!$T507),"")</f>
        <v/>
      </c>
      <c r="C507">
        <f>IFERROR(IF(Dashboard!$B$3="Weighted",Raw_data!$AB507,Raw_data!$AA507),"")</f>
        <v/>
      </c>
      <c r="D507">
        <f>IF(OR(Raw_data!$J507="",Raw_data!$J507&lt;=0,Raw_data!$K507=""),"",IF(Raw_data!$K507&gt;TODAY(),0,DATEDIF(Raw_data!$K507,TODAY(),"M")))</f>
        <v/>
      </c>
      <c r="E507">
        <f>--(AND(Raw_data!$AF507="No",OR(Raw_data!$AG507&lt;&gt;"",Raw_data!$AJ507&gt;0,Raw_data!$AK507&lt;&gt;"")))</f>
        <v/>
      </c>
      <c r="F507">
        <f>--(OR(AND(ISNUMBER(B507),B507&lt;0.5,OR(D507&gt;=24,Raw_data!$I507&gt;0)),Raw_data!$AE507=TRUE))</f>
        <v/>
      </c>
      <c r="G507">
        <f>IF(Dashboard!$B$11="Department",Raw_data!$AL507,IF(Dashboard!$B$11="Team",Raw_data!$AM507,IF(Dashboard!$B$11="Unit",Raw_data!$AN507,IF(Dashboard!$B$11="Legal entity",Raw_data!$AO507,IF(Dashboard!$B$11="Location",Raw_data!$AP507,Raw_data!$AQ507)))))</f>
        <v/>
      </c>
      <c r="H507">
        <f>--(AND(ISNUMBER(B507),B507&lt;0.5))</f>
        <v/>
      </c>
      <c r="I507">
        <f>IFERROR(MAX(0,(0.5-B507)*100),0)+IF(D507&gt;=24,20,0)+IF(Raw_data!$I507&gt;0,20,0)+IF(Raw_data!$AE507=TRUE,10,0)</f>
        <v/>
      </c>
      <c r="J507">
        <f>IFERROR(CHOOSE(MATCH(Dashboard!$B$11,{"Department","Team","Unit","Legal entity","Location","Lead"},0),INDEX(Lists!$B$3:$B$20,ROW()-1),INDEX(Lists!$C$3:$C$146,ROW()-1),INDEX(Lists!$D$3:$D$67,ROW()-1),INDEX(Lists!$E$3:$E$5,ROW()-1),INDEX(Lists!$F$3:$F$12,ROW()-1),INDEX(Lists!$G$3:$G$126,ROW()-1)),"")</f>
        <v/>
      </c>
      <c r="K507">
        <f>IF(J507="","",SUMPRODUCT(($A$2:$A$636=1)*($G$2:$G$636=J507)))</f>
        <v/>
      </c>
      <c r="L507">
        <f>IF(J507="","",SUMPRODUCT(($A$2:$A$636=1)*($G$2:$G$636=J507)*(ISNUMBER($B$2:$B$636))*($B$2:$B$636&lt;0.5)))</f>
        <v/>
      </c>
      <c r="M507">
        <f>IFERROR(L507/K507,"")</f>
        <v/>
      </c>
      <c r="N507">
        <f>IF(K507="","",M507+K507/100000+ROW()/100000000)</f>
        <v/>
      </c>
      <c r="R507">
        <f>IF(A507=1,IFERROR(I507,0)+ROW()/100000000,-1E+99)</f>
        <v/>
      </c>
      <c r="S507">
        <f>IF(A507=1,IFERROR(Raw_data!$T507,""),"")</f>
        <v/>
      </c>
      <c r="T507">
        <f>IF(A507=1,IFERROR(Raw_data!$AA507,""),"")</f>
        <v/>
      </c>
      <c r="U507">
        <f>IF(A507=1,IFERROR(Raw_data!$U507,""),"")</f>
        <v/>
      </c>
      <c r="V507">
        <f>IF(A507=1,IFERROR(Raw_data!$AB507,""),"")</f>
        <v/>
      </c>
    </row>
    <row r="508">
      <c r="A508">
        <f>--(AND(OR(Dashboard!$B$4="All",Raw_data!$AL508=Dashboard!$B$4),OR(Dashboard!$B$5="All",Raw_data!$AM508=Dashboard!$B$5),OR(Dashboard!$B$6="All",Raw_data!$AN508=Dashboard!$B$6),OR(Dashboard!$B$7="All",Raw_data!$AO508=Dashboard!$B$7),OR(Dashboard!$B$8="All",Raw_data!$AP508=Dashboard!$B$8),OR(Dashboard!$B$9="All",Raw_data!$AQ508=Dashboard!$B$9),OR(Dashboard!$B$10="All",Raw_data!$AF508=Dashboard!$B$10),OR(Raw_data!$F508="",Raw_data!$F508&lt;=TODAY())))</f>
        <v/>
      </c>
      <c r="B508">
        <f>IFERROR(IF(Dashboard!$B$3="Weighted",Raw_data!$U508,Raw_data!$T508),"")</f>
        <v/>
      </c>
      <c r="C508">
        <f>IFERROR(IF(Dashboard!$B$3="Weighted",Raw_data!$AB508,Raw_data!$AA508),"")</f>
        <v/>
      </c>
      <c r="D508">
        <f>IF(OR(Raw_data!$J508="",Raw_data!$J508&lt;=0,Raw_data!$K508=""),"",IF(Raw_data!$K508&gt;TODAY(),0,DATEDIF(Raw_data!$K508,TODAY(),"M")))</f>
        <v/>
      </c>
      <c r="E508">
        <f>--(AND(Raw_data!$AF508="No",OR(Raw_data!$AG508&lt;&gt;"",Raw_data!$AJ508&gt;0,Raw_data!$AK508&lt;&gt;"")))</f>
        <v/>
      </c>
      <c r="F508">
        <f>--(OR(AND(ISNUMBER(B508),B508&lt;0.5,OR(D508&gt;=24,Raw_data!$I508&gt;0)),Raw_data!$AE508=TRUE))</f>
        <v/>
      </c>
      <c r="G508">
        <f>IF(Dashboard!$B$11="Department",Raw_data!$AL508,IF(Dashboard!$B$11="Team",Raw_data!$AM508,IF(Dashboard!$B$11="Unit",Raw_data!$AN508,IF(Dashboard!$B$11="Legal entity",Raw_data!$AO508,IF(Dashboard!$B$11="Location",Raw_data!$AP508,Raw_data!$AQ508)))))</f>
        <v/>
      </c>
      <c r="H508">
        <f>--(AND(ISNUMBER(B508),B508&lt;0.5))</f>
        <v/>
      </c>
      <c r="I508">
        <f>IFERROR(MAX(0,(0.5-B508)*100),0)+IF(D508&gt;=24,20,0)+IF(Raw_data!$I508&gt;0,20,0)+IF(Raw_data!$AE508=TRUE,10,0)</f>
        <v/>
      </c>
      <c r="J508">
        <f>IFERROR(CHOOSE(MATCH(Dashboard!$B$11,{"Department","Team","Unit","Legal entity","Location","Lead"},0),INDEX(Lists!$B$3:$B$20,ROW()-1),INDEX(Lists!$C$3:$C$146,ROW()-1),INDEX(Lists!$D$3:$D$67,ROW()-1),INDEX(Lists!$E$3:$E$5,ROW()-1),INDEX(Lists!$F$3:$F$12,ROW()-1),INDEX(Lists!$G$3:$G$126,ROW()-1)),"")</f>
        <v/>
      </c>
      <c r="K508">
        <f>IF(J508="","",SUMPRODUCT(($A$2:$A$636=1)*($G$2:$G$636=J508)))</f>
        <v/>
      </c>
      <c r="L508">
        <f>IF(J508="","",SUMPRODUCT(($A$2:$A$636=1)*($G$2:$G$636=J508)*(ISNUMBER($B$2:$B$636))*($B$2:$B$636&lt;0.5)))</f>
        <v/>
      </c>
      <c r="M508">
        <f>IFERROR(L508/K508,"")</f>
        <v/>
      </c>
      <c r="N508">
        <f>IF(K508="","",M508+K508/100000+ROW()/100000000)</f>
        <v/>
      </c>
      <c r="R508">
        <f>IF(A508=1,IFERROR(I508,0)+ROW()/100000000,-1E+99)</f>
        <v/>
      </c>
      <c r="S508">
        <f>IF(A508=1,IFERROR(Raw_data!$T508,""),"")</f>
        <v/>
      </c>
      <c r="T508">
        <f>IF(A508=1,IFERROR(Raw_data!$AA508,""),"")</f>
        <v/>
      </c>
      <c r="U508">
        <f>IF(A508=1,IFERROR(Raw_data!$U508,""),"")</f>
        <v/>
      </c>
      <c r="V508">
        <f>IF(A508=1,IFERROR(Raw_data!$AB508,""),"")</f>
        <v/>
      </c>
    </row>
    <row r="509">
      <c r="A509">
        <f>--(AND(OR(Dashboard!$B$4="All",Raw_data!$AL509=Dashboard!$B$4),OR(Dashboard!$B$5="All",Raw_data!$AM509=Dashboard!$B$5),OR(Dashboard!$B$6="All",Raw_data!$AN509=Dashboard!$B$6),OR(Dashboard!$B$7="All",Raw_data!$AO509=Dashboard!$B$7),OR(Dashboard!$B$8="All",Raw_data!$AP509=Dashboard!$B$8),OR(Dashboard!$B$9="All",Raw_data!$AQ509=Dashboard!$B$9),OR(Dashboard!$B$10="All",Raw_data!$AF509=Dashboard!$B$10),OR(Raw_data!$F509="",Raw_data!$F509&lt;=TODAY())))</f>
        <v/>
      </c>
      <c r="B509">
        <f>IFERROR(IF(Dashboard!$B$3="Weighted",Raw_data!$U509,Raw_data!$T509),"")</f>
        <v/>
      </c>
      <c r="C509">
        <f>IFERROR(IF(Dashboard!$B$3="Weighted",Raw_data!$AB509,Raw_data!$AA509),"")</f>
        <v/>
      </c>
      <c r="D509">
        <f>IF(OR(Raw_data!$J509="",Raw_data!$J509&lt;=0,Raw_data!$K509=""),"",IF(Raw_data!$K509&gt;TODAY(),0,DATEDIF(Raw_data!$K509,TODAY(),"M")))</f>
        <v/>
      </c>
      <c r="E509">
        <f>--(AND(Raw_data!$AF509="No",OR(Raw_data!$AG509&lt;&gt;"",Raw_data!$AJ509&gt;0,Raw_data!$AK509&lt;&gt;"")))</f>
        <v/>
      </c>
      <c r="F509">
        <f>--(OR(AND(ISNUMBER(B509),B509&lt;0.5,OR(D509&gt;=24,Raw_data!$I509&gt;0)),Raw_data!$AE509=TRUE))</f>
        <v/>
      </c>
      <c r="G509">
        <f>IF(Dashboard!$B$11="Department",Raw_data!$AL509,IF(Dashboard!$B$11="Team",Raw_data!$AM509,IF(Dashboard!$B$11="Unit",Raw_data!$AN509,IF(Dashboard!$B$11="Legal entity",Raw_data!$AO509,IF(Dashboard!$B$11="Location",Raw_data!$AP509,Raw_data!$AQ509)))))</f>
        <v/>
      </c>
      <c r="H509">
        <f>--(AND(ISNUMBER(B509),B509&lt;0.5))</f>
        <v/>
      </c>
      <c r="I509">
        <f>IFERROR(MAX(0,(0.5-B509)*100),0)+IF(D509&gt;=24,20,0)+IF(Raw_data!$I509&gt;0,20,0)+IF(Raw_data!$AE509=TRUE,10,0)</f>
        <v/>
      </c>
      <c r="J509">
        <f>IFERROR(CHOOSE(MATCH(Dashboard!$B$11,{"Department","Team","Unit","Legal entity","Location","Lead"},0),INDEX(Lists!$B$3:$B$20,ROW()-1),INDEX(Lists!$C$3:$C$146,ROW()-1),INDEX(Lists!$D$3:$D$67,ROW()-1),INDEX(Lists!$E$3:$E$5,ROW()-1),INDEX(Lists!$F$3:$F$12,ROW()-1),INDEX(Lists!$G$3:$G$126,ROW()-1)),"")</f>
        <v/>
      </c>
      <c r="K509">
        <f>IF(J509="","",SUMPRODUCT(($A$2:$A$636=1)*($G$2:$G$636=J509)))</f>
        <v/>
      </c>
      <c r="L509">
        <f>IF(J509="","",SUMPRODUCT(($A$2:$A$636=1)*($G$2:$G$636=J509)*(ISNUMBER($B$2:$B$636))*($B$2:$B$636&lt;0.5)))</f>
        <v/>
      </c>
      <c r="M509">
        <f>IFERROR(L509/K509,"")</f>
        <v/>
      </c>
      <c r="N509">
        <f>IF(K509="","",M509+K509/100000+ROW()/100000000)</f>
        <v/>
      </c>
      <c r="R509">
        <f>IF(A509=1,IFERROR(I509,0)+ROW()/100000000,-1E+99)</f>
        <v/>
      </c>
      <c r="S509">
        <f>IF(A509=1,IFERROR(Raw_data!$T509,""),"")</f>
        <v/>
      </c>
      <c r="T509">
        <f>IF(A509=1,IFERROR(Raw_data!$AA509,""),"")</f>
        <v/>
      </c>
      <c r="U509">
        <f>IF(A509=1,IFERROR(Raw_data!$U509,""),"")</f>
        <v/>
      </c>
      <c r="V509">
        <f>IF(A509=1,IFERROR(Raw_data!$AB509,""),"")</f>
        <v/>
      </c>
    </row>
    <row r="510">
      <c r="A510">
        <f>--(AND(OR(Dashboard!$B$4="All",Raw_data!$AL510=Dashboard!$B$4),OR(Dashboard!$B$5="All",Raw_data!$AM510=Dashboard!$B$5),OR(Dashboard!$B$6="All",Raw_data!$AN510=Dashboard!$B$6),OR(Dashboard!$B$7="All",Raw_data!$AO510=Dashboard!$B$7),OR(Dashboard!$B$8="All",Raw_data!$AP510=Dashboard!$B$8),OR(Dashboard!$B$9="All",Raw_data!$AQ510=Dashboard!$B$9),OR(Dashboard!$B$10="All",Raw_data!$AF510=Dashboard!$B$10),OR(Raw_data!$F510="",Raw_data!$F510&lt;=TODAY())))</f>
        <v/>
      </c>
      <c r="B510">
        <f>IFERROR(IF(Dashboard!$B$3="Weighted",Raw_data!$U510,Raw_data!$T510),"")</f>
        <v/>
      </c>
      <c r="C510">
        <f>IFERROR(IF(Dashboard!$B$3="Weighted",Raw_data!$AB510,Raw_data!$AA510),"")</f>
        <v/>
      </c>
      <c r="D510">
        <f>IF(OR(Raw_data!$J510="",Raw_data!$J510&lt;=0,Raw_data!$K510=""),"",IF(Raw_data!$K510&gt;TODAY(),0,DATEDIF(Raw_data!$K510,TODAY(),"M")))</f>
        <v/>
      </c>
      <c r="E510">
        <f>--(AND(Raw_data!$AF510="No",OR(Raw_data!$AG510&lt;&gt;"",Raw_data!$AJ510&gt;0,Raw_data!$AK510&lt;&gt;"")))</f>
        <v/>
      </c>
      <c r="F510">
        <f>--(OR(AND(ISNUMBER(B510),B510&lt;0.5,OR(D510&gt;=24,Raw_data!$I510&gt;0)),Raw_data!$AE510=TRUE))</f>
        <v/>
      </c>
      <c r="G510">
        <f>IF(Dashboard!$B$11="Department",Raw_data!$AL510,IF(Dashboard!$B$11="Team",Raw_data!$AM510,IF(Dashboard!$B$11="Unit",Raw_data!$AN510,IF(Dashboard!$B$11="Legal entity",Raw_data!$AO510,IF(Dashboard!$B$11="Location",Raw_data!$AP510,Raw_data!$AQ510)))))</f>
        <v/>
      </c>
      <c r="H510">
        <f>--(AND(ISNUMBER(B510),B510&lt;0.5))</f>
        <v/>
      </c>
      <c r="I510">
        <f>IFERROR(MAX(0,(0.5-B510)*100),0)+IF(D510&gt;=24,20,0)+IF(Raw_data!$I510&gt;0,20,0)+IF(Raw_data!$AE510=TRUE,10,0)</f>
        <v/>
      </c>
      <c r="J510">
        <f>IFERROR(CHOOSE(MATCH(Dashboard!$B$11,{"Department","Team","Unit","Legal entity","Location","Lead"},0),INDEX(Lists!$B$3:$B$20,ROW()-1),INDEX(Lists!$C$3:$C$146,ROW()-1),INDEX(Lists!$D$3:$D$67,ROW()-1),INDEX(Lists!$E$3:$E$5,ROW()-1),INDEX(Lists!$F$3:$F$12,ROW()-1),INDEX(Lists!$G$3:$G$126,ROW()-1)),"")</f>
        <v/>
      </c>
      <c r="K510">
        <f>IF(J510="","",SUMPRODUCT(($A$2:$A$636=1)*($G$2:$G$636=J510)))</f>
        <v/>
      </c>
      <c r="L510">
        <f>IF(J510="","",SUMPRODUCT(($A$2:$A$636=1)*($G$2:$G$636=J510)*(ISNUMBER($B$2:$B$636))*($B$2:$B$636&lt;0.5)))</f>
        <v/>
      </c>
      <c r="M510">
        <f>IFERROR(L510/K510,"")</f>
        <v/>
      </c>
      <c r="N510">
        <f>IF(K510="","",M510+K510/100000+ROW()/100000000)</f>
        <v/>
      </c>
      <c r="R510">
        <f>IF(A510=1,IFERROR(I510,0)+ROW()/100000000,-1E+99)</f>
        <v/>
      </c>
      <c r="S510">
        <f>IF(A510=1,IFERROR(Raw_data!$T510,""),"")</f>
        <v/>
      </c>
      <c r="T510">
        <f>IF(A510=1,IFERROR(Raw_data!$AA510,""),"")</f>
        <v/>
      </c>
      <c r="U510">
        <f>IF(A510=1,IFERROR(Raw_data!$U510,""),"")</f>
        <v/>
      </c>
      <c r="V510">
        <f>IF(A510=1,IFERROR(Raw_data!$AB510,""),"")</f>
        <v/>
      </c>
    </row>
    <row r="511">
      <c r="A511">
        <f>--(AND(OR(Dashboard!$B$4="All",Raw_data!$AL511=Dashboard!$B$4),OR(Dashboard!$B$5="All",Raw_data!$AM511=Dashboard!$B$5),OR(Dashboard!$B$6="All",Raw_data!$AN511=Dashboard!$B$6),OR(Dashboard!$B$7="All",Raw_data!$AO511=Dashboard!$B$7),OR(Dashboard!$B$8="All",Raw_data!$AP511=Dashboard!$B$8),OR(Dashboard!$B$9="All",Raw_data!$AQ511=Dashboard!$B$9),OR(Dashboard!$B$10="All",Raw_data!$AF511=Dashboard!$B$10),OR(Raw_data!$F511="",Raw_data!$F511&lt;=TODAY())))</f>
        <v/>
      </c>
      <c r="B511">
        <f>IFERROR(IF(Dashboard!$B$3="Weighted",Raw_data!$U511,Raw_data!$T511),"")</f>
        <v/>
      </c>
      <c r="C511">
        <f>IFERROR(IF(Dashboard!$B$3="Weighted",Raw_data!$AB511,Raw_data!$AA511),"")</f>
        <v/>
      </c>
      <c r="D511">
        <f>IF(OR(Raw_data!$J511="",Raw_data!$J511&lt;=0,Raw_data!$K511=""),"",IF(Raw_data!$K511&gt;TODAY(),0,DATEDIF(Raw_data!$K511,TODAY(),"M")))</f>
        <v/>
      </c>
      <c r="E511">
        <f>--(AND(Raw_data!$AF511="No",OR(Raw_data!$AG511&lt;&gt;"",Raw_data!$AJ511&gt;0,Raw_data!$AK511&lt;&gt;"")))</f>
        <v/>
      </c>
      <c r="F511">
        <f>--(OR(AND(ISNUMBER(B511),B511&lt;0.5,OR(D511&gt;=24,Raw_data!$I511&gt;0)),Raw_data!$AE511=TRUE))</f>
        <v/>
      </c>
      <c r="G511">
        <f>IF(Dashboard!$B$11="Department",Raw_data!$AL511,IF(Dashboard!$B$11="Team",Raw_data!$AM511,IF(Dashboard!$B$11="Unit",Raw_data!$AN511,IF(Dashboard!$B$11="Legal entity",Raw_data!$AO511,IF(Dashboard!$B$11="Location",Raw_data!$AP511,Raw_data!$AQ511)))))</f>
        <v/>
      </c>
      <c r="H511">
        <f>--(AND(ISNUMBER(B511),B511&lt;0.5))</f>
        <v/>
      </c>
      <c r="I511">
        <f>IFERROR(MAX(0,(0.5-B511)*100),0)+IF(D511&gt;=24,20,0)+IF(Raw_data!$I511&gt;0,20,0)+IF(Raw_data!$AE511=TRUE,10,0)</f>
        <v/>
      </c>
      <c r="J511">
        <f>IFERROR(CHOOSE(MATCH(Dashboard!$B$11,{"Department","Team","Unit","Legal entity","Location","Lead"},0),INDEX(Lists!$B$3:$B$20,ROW()-1),INDEX(Lists!$C$3:$C$146,ROW()-1),INDEX(Lists!$D$3:$D$67,ROW()-1),INDEX(Lists!$E$3:$E$5,ROW()-1),INDEX(Lists!$F$3:$F$12,ROW()-1),INDEX(Lists!$G$3:$G$126,ROW()-1)),"")</f>
        <v/>
      </c>
      <c r="K511">
        <f>IF(J511="","",SUMPRODUCT(($A$2:$A$636=1)*($G$2:$G$636=J511)))</f>
        <v/>
      </c>
      <c r="L511">
        <f>IF(J511="","",SUMPRODUCT(($A$2:$A$636=1)*($G$2:$G$636=J511)*(ISNUMBER($B$2:$B$636))*($B$2:$B$636&lt;0.5)))</f>
        <v/>
      </c>
      <c r="M511">
        <f>IFERROR(L511/K511,"")</f>
        <v/>
      </c>
      <c r="N511">
        <f>IF(K511="","",M511+K511/100000+ROW()/100000000)</f>
        <v/>
      </c>
      <c r="R511">
        <f>IF(A511=1,IFERROR(I511,0)+ROW()/100000000,-1E+99)</f>
        <v/>
      </c>
      <c r="S511">
        <f>IF(A511=1,IFERROR(Raw_data!$T511,""),"")</f>
        <v/>
      </c>
      <c r="T511">
        <f>IF(A511=1,IFERROR(Raw_data!$AA511,""),"")</f>
        <v/>
      </c>
      <c r="U511">
        <f>IF(A511=1,IFERROR(Raw_data!$U511,""),"")</f>
        <v/>
      </c>
      <c r="V511">
        <f>IF(A511=1,IFERROR(Raw_data!$AB511,""),"")</f>
        <v/>
      </c>
    </row>
    <row r="512">
      <c r="A512">
        <f>--(AND(OR(Dashboard!$B$4="All",Raw_data!$AL512=Dashboard!$B$4),OR(Dashboard!$B$5="All",Raw_data!$AM512=Dashboard!$B$5),OR(Dashboard!$B$6="All",Raw_data!$AN512=Dashboard!$B$6),OR(Dashboard!$B$7="All",Raw_data!$AO512=Dashboard!$B$7),OR(Dashboard!$B$8="All",Raw_data!$AP512=Dashboard!$B$8),OR(Dashboard!$B$9="All",Raw_data!$AQ512=Dashboard!$B$9),OR(Dashboard!$B$10="All",Raw_data!$AF512=Dashboard!$B$10),OR(Raw_data!$F512="",Raw_data!$F512&lt;=TODAY())))</f>
        <v/>
      </c>
      <c r="B512">
        <f>IFERROR(IF(Dashboard!$B$3="Weighted",Raw_data!$U512,Raw_data!$T512),"")</f>
        <v/>
      </c>
      <c r="C512">
        <f>IFERROR(IF(Dashboard!$B$3="Weighted",Raw_data!$AB512,Raw_data!$AA512),"")</f>
        <v/>
      </c>
      <c r="D512">
        <f>IF(OR(Raw_data!$J512="",Raw_data!$J512&lt;=0,Raw_data!$K512=""),"",IF(Raw_data!$K512&gt;TODAY(),0,DATEDIF(Raw_data!$K512,TODAY(),"M")))</f>
        <v/>
      </c>
      <c r="E512">
        <f>--(AND(Raw_data!$AF512="No",OR(Raw_data!$AG512&lt;&gt;"",Raw_data!$AJ512&gt;0,Raw_data!$AK512&lt;&gt;"")))</f>
        <v/>
      </c>
      <c r="F512">
        <f>--(OR(AND(ISNUMBER(B512),B512&lt;0.5,OR(D512&gt;=24,Raw_data!$I512&gt;0)),Raw_data!$AE512=TRUE))</f>
        <v/>
      </c>
      <c r="G512">
        <f>IF(Dashboard!$B$11="Department",Raw_data!$AL512,IF(Dashboard!$B$11="Team",Raw_data!$AM512,IF(Dashboard!$B$11="Unit",Raw_data!$AN512,IF(Dashboard!$B$11="Legal entity",Raw_data!$AO512,IF(Dashboard!$B$11="Location",Raw_data!$AP512,Raw_data!$AQ512)))))</f>
        <v/>
      </c>
      <c r="H512">
        <f>--(AND(ISNUMBER(B512),B512&lt;0.5))</f>
        <v/>
      </c>
      <c r="I512">
        <f>IFERROR(MAX(0,(0.5-B512)*100),0)+IF(D512&gt;=24,20,0)+IF(Raw_data!$I512&gt;0,20,0)+IF(Raw_data!$AE512=TRUE,10,0)</f>
        <v/>
      </c>
      <c r="J512">
        <f>IFERROR(CHOOSE(MATCH(Dashboard!$B$11,{"Department","Team","Unit","Legal entity","Location","Lead"},0),INDEX(Lists!$B$3:$B$20,ROW()-1),INDEX(Lists!$C$3:$C$146,ROW()-1),INDEX(Lists!$D$3:$D$67,ROW()-1),INDEX(Lists!$E$3:$E$5,ROW()-1),INDEX(Lists!$F$3:$F$12,ROW()-1),INDEX(Lists!$G$3:$G$126,ROW()-1)),"")</f>
        <v/>
      </c>
      <c r="K512">
        <f>IF(J512="","",SUMPRODUCT(($A$2:$A$636=1)*($G$2:$G$636=J512)))</f>
        <v/>
      </c>
      <c r="L512">
        <f>IF(J512="","",SUMPRODUCT(($A$2:$A$636=1)*($G$2:$G$636=J512)*(ISNUMBER($B$2:$B$636))*($B$2:$B$636&lt;0.5)))</f>
        <v/>
      </c>
      <c r="M512">
        <f>IFERROR(L512/K512,"")</f>
        <v/>
      </c>
      <c r="N512">
        <f>IF(K512="","",M512+K512/100000+ROW()/100000000)</f>
        <v/>
      </c>
      <c r="R512">
        <f>IF(A512=1,IFERROR(I512,0)+ROW()/100000000,-1E+99)</f>
        <v/>
      </c>
      <c r="S512">
        <f>IF(A512=1,IFERROR(Raw_data!$T512,""),"")</f>
        <v/>
      </c>
      <c r="T512">
        <f>IF(A512=1,IFERROR(Raw_data!$AA512,""),"")</f>
        <v/>
      </c>
      <c r="U512">
        <f>IF(A512=1,IFERROR(Raw_data!$U512,""),"")</f>
        <v/>
      </c>
      <c r="V512">
        <f>IF(A512=1,IFERROR(Raw_data!$AB512,""),"")</f>
        <v/>
      </c>
    </row>
    <row r="513">
      <c r="A513">
        <f>--(AND(OR(Dashboard!$B$4="All",Raw_data!$AL513=Dashboard!$B$4),OR(Dashboard!$B$5="All",Raw_data!$AM513=Dashboard!$B$5),OR(Dashboard!$B$6="All",Raw_data!$AN513=Dashboard!$B$6),OR(Dashboard!$B$7="All",Raw_data!$AO513=Dashboard!$B$7),OR(Dashboard!$B$8="All",Raw_data!$AP513=Dashboard!$B$8),OR(Dashboard!$B$9="All",Raw_data!$AQ513=Dashboard!$B$9),OR(Dashboard!$B$10="All",Raw_data!$AF513=Dashboard!$B$10),OR(Raw_data!$F513="",Raw_data!$F513&lt;=TODAY())))</f>
        <v/>
      </c>
      <c r="B513">
        <f>IFERROR(IF(Dashboard!$B$3="Weighted",Raw_data!$U513,Raw_data!$T513),"")</f>
        <v/>
      </c>
      <c r="C513">
        <f>IFERROR(IF(Dashboard!$B$3="Weighted",Raw_data!$AB513,Raw_data!$AA513),"")</f>
        <v/>
      </c>
      <c r="D513">
        <f>IF(OR(Raw_data!$J513="",Raw_data!$J513&lt;=0,Raw_data!$K513=""),"",IF(Raw_data!$K513&gt;TODAY(),0,DATEDIF(Raw_data!$K513,TODAY(),"M")))</f>
        <v/>
      </c>
      <c r="E513">
        <f>--(AND(Raw_data!$AF513="No",OR(Raw_data!$AG513&lt;&gt;"",Raw_data!$AJ513&gt;0,Raw_data!$AK513&lt;&gt;"")))</f>
        <v/>
      </c>
      <c r="F513">
        <f>--(OR(AND(ISNUMBER(B513),B513&lt;0.5,OR(D513&gt;=24,Raw_data!$I513&gt;0)),Raw_data!$AE513=TRUE))</f>
        <v/>
      </c>
      <c r="G513">
        <f>IF(Dashboard!$B$11="Department",Raw_data!$AL513,IF(Dashboard!$B$11="Team",Raw_data!$AM513,IF(Dashboard!$B$11="Unit",Raw_data!$AN513,IF(Dashboard!$B$11="Legal entity",Raw_data!$AO513,IF(Dashboard!$B$11="Location",Raw_data!$AP513,Raw_data!$AQ513)))))</f>
        <v/>
      </c>
      <c r="H513">
        <f>--(AND(ISNUMBER(B513),B513&lt;0.5))</f>
        <v/>
      </c>
      <c r="I513">
        <f>IFERROR(MAX(0,(0.5-B513)*100),0)+IF(D513&gt;=24,20,0)+IF(Raw_data!$I513&gt;0,20,0)+IF(Raw_data!$AE513=TRUE,10,0)</f>
        <v/>
      </c>
      <c r="J513">
        <f>IFERROR(CHOOSE(MATCH(Dashboard!$B$11,{"Department","Team","Unit","Legal entity","Location","Lead"},0),INDEX(Lists!$B$3:$B$20,ROW()-1),INDEX(Lists!$C$3:$C$146,ROW()-1),INDEX(Lists!$D$3:$D$67,ROW()-1),INDEX(Lists!$E$3:$E$5,ROW()-1),INDEX(Lists!$F$3:$F$12,ROW()-1),INDEX(Lists!$G$3:$G$126,ROW()-1)),"")</f>
        <v/>
      </c>
      <c r="K513">
        <f>IF(J513="","",SUMPRODUCT(($A$2:$A$636=1)*($G$2:$G$636=J513)))</f>
        <v/>
      </c>
      <c r="L513">
        <f>IF(J513="","",SUMPRODUCT(($A$2:$A$636=1)*($G$2:$G$636=J513)*(ISNUMBER($B$2:$B$636))*($B$2:$B$636&lt;0.5)))</f>
        <v/>
      </c>
      <c r="M513">
        <f>IFERROR(L513/K513,"")</f>
        <v/>
      </c>
      <c r="N513">
        <f>IF(K513="","",M513+K513/100000+ROW()/100000000)</f>
        <v/>
      </c>
      <c r="R513">
        <f>IF(A513=1,IFERROR(I513,0)+ROW()/100000000,-1E+99)</f>
        <v/>
      </c>
      <c r="S513">
        <f>IF(A513=1,IFERROR(Raw_data!$T513,""),"")</f>
        <v/>
      </c>
      <c r="T513">
        <f>IF(A513=1,IFERROR(Raw_data!$AA513,""),"")</f>
        <v/>
      </c>
      <c r="U513">
        <f>IF(A513=1,IFERROR(Raw_data!$U513,""),"")</f>
        <v/>
      </c>
      <c r="V513">
        <f>IF(A513=1,IFERROR(Raw_data!$AB513,""),"")</f>
        <v/>
      </c>
    </row>
    <row r="514">
      <c r="A514">
        <f>--(AND(OR(Dashboard!$B$4="All",Raw_data!$AL514=Dashboard!$B$4),OR(Dashboard!$B$5="All",Raw_data!$AM514=Dashboard!$B$5),OR(Dashboard!$B$6="All",Raw_data!$AN514=Dashboard!$B$6),OR(Dashboard!$B$7="All",Raw_data!$AO514=Dashboard!$B$7),OR(Dashboard!$B$8="All",Raw_data!$AP514=Dashboard!$B$8),OR(Dashboard!$B$9="All",Raw_data!$AQ514=Dashboard!$B$9),OR(Dashboard!$B$10="All",Raw_data!$AF514=Dashboard!$B$10),OR(Raw_data!$F514="",Raw_data!$F514&lt;=TODAY())))</f>
        <v/>
      </c>
      <c r="B514">
        <f>IFERROR(IF(Dashboard!$B$3="Weighted",Raw_data!$U514,Raw_data!$T514),"")</f>
        <v/>
      </c>
      <c r="C514">
        <f>IFERROR(IF(Dashboard!$B$3="Weighted",Raw_data!$AB514,Raw_data!$AA514),"")</f>
        <v/>
      </c>
      <c r="D514">
        <f>IF(OR(Raw_data!$J514="",Raw_data!$J514&lt;=0,Raw_data!$K514=""),"",IF(Raw_data!$K514&gt;TODAY(),0,DATEDIF(Raw_data!$K514,TODAY(),"M")))</f>
        <v/>
      </c>
      <c r="E514">
        <f>--(AND(Raw_data!$AF514="No",OR(Raw_data!$AG514&lt;&gt;"",Raw_data!$AJ514&gt;0,Raw_data!$AK514&lt;&gt;"")))</f>
        <v/>
      </c>
      <c r="F514">
        <f>--(OR(AND(ISNUMBER(B514),B514&lt;0.5,OR(D514&gt;=24,Raw_data!$I514&gt;0)),Raw_data!$AE514=TRUE))</f>
        <v/>
      </c>
      <c r="G514">
        <f>IF(Dashboard!$B$11="Department",Raw_data!$AL514,IF(Dashboard!$B$11="Team",Raw_data!$AM514,IF(Dashboard!$B$11="Unit",Raw_data!$AN514,IF(Dashboard!$B$11="Legal entity",Raw_data!$AO514,IF(Dashboard!$B$11="Location",Raw_data!$AP514,Raw_data!$AQ514)))))</f>
        <v/>
      </c>
      <c r="H514">
        <f>--(AND(ISNUMBER(B514),B514&lt;0.5))</f>
        <v/>
      </c>
      <c r="I514">
        <f>IFERROR(MAX(0,(0.5-B514)*100),0)+IF(D514&gt;=24,20,0)+IF(Raw_data!$I514&gt;0,20,0)+IF(Raw_data!$AE514=TRUE,10,0)</f>
        <v/>
      </c>
      <c r="J514">
        <f>IFERROR(CHOOSE(MATCH(Dashboard!$B$11,{"Department","Team","Unit","Legal entity","Location","Lead"},0),INDEX(Lists!$B$3:$B$20,ROW()-1),INDEX(Lists!$C$3:$C$146,ROW()-1),INDEX(Lists!$D$3:$D$67,ROW()-1),INDEX(Lists!$E$3:$E$5,ROW()-1),INDEX(Lists!$F$3:$F$12,ROW()-1),INDEX(Lists!$G$3:$G$126,ROW()-1)),"")</f>
        <v/>
      </c>
      <c r="K514">
        <f>IF(J514="","",SUMPRODUCT(($A$2:$A$636=1)*($G$2:$G$636=J514)))</f>
        <v/>
      </c>
      <c r="L514">
        <f>IF(J514="","",SUMPRODUCT(($A$2:$A$636=1)*($G$2:$G$636=J514)*(ISNUMBER($B$2:$B$636))*($B$2:$B$636&lt;0.5)))</f>
        <v/>
      </c>
      <c r="M514">
        <f>IFERROR(L514/K514,"")</f>
        <v/>
      </c>
      <c r="N514">
        <f>IF(K514="","",M514+K514/100000+ROW()/100000000)</f>
        <v/>
      </c>
      <c r="R514">
        <f>IF(A514=1,IFERROR(I514,0)+ROW()/100000000,-1E+99)</f>
        <v/>
      </c>
      <c r="S514">
        <f>IF(A514=1,IFERROR(Raw_data!$T514,""),"")</f>
        <v/>
      </c>
      <c r="T514">
        <f>IF(A514=1,IFERROR(Raw_data!$AA514,""),"")</f>
        <v/>
      </c>
      <c r="U514">
        <f>IF(A514=1,IFERROR(Raw_data!$U514,""),"")</f>
        <v/>
      </c>
      <c r="V514">
        <f>IF(A514=1,IFERROR(Raw_data!$AB514,""),"")</f>
        <v/>
      </c>
    </row>
    <row r="515">
      <c r="A515">
        <f>--(AND(OR(Dashboard!$B$4="All",Raw_data!$AL515=Dashboard!$B$4),OR(Dashboard!$B$5="All",Raw_data!$AM515=Dashboard!$B$5),OR(Dashboard!$B$6="All",Raw_data!$AN515=Dashboard!$B$6),OR(Dashboard!$B$7="All",Raw_data!$AO515=Dashboard!$B$7),OR(Dashboard!$B$8="All",Raw_data!$AP515=Dashboard!$B$8),OR(Dashboard!$B$9="All",Raw_data!$AQ515=Dashboard!$B$9),OR(Dashboard!$B$10="All",Raw_data!$AF515=Dashboard!$B$10),OR(Raw_data!$F515="",Raw_data!$F515&lt;=TODAY())))</f>
        <v/>
      </c>
      <c r="B515">
        <f>IFERROR(IF(Dashboard!$B$3="Weighted",Raw_data!$U515,Raw_data!$T515),"")</f>
        <v/>
      </c>
      <c r="C515">
        <f>IFERROR(IF(Dashboard!$B$3="Weighted",Raw_data!$AB515,Raw_data!$AA515),"")</f>
        <v/>
      </c>
      <c r="D515">
        <f>IF(OR(Raw_data!$J515="",Raw_data!$J515&lt;=0,Raw_data!$K515=""),"",IF(Raw_data!$K515&gt;TODAY(),0,DATEDIF(Raw_data!$K515,TODAY(),"M")))</f>
        <v/>
      </c>
      <c r="E515">
        <f>--(AND(Raw_data!$AF515="No",OR(Raw_data!$AG515&lt;&gt;"",Raw_data!$AJ515&gt;0,Raw_data!$AK515&lt;&gt;"")))</f>
        <v/>
      </c>
      <c r="F515">
        <f>--(OR(AND(ISNUMBER(B515),B515&lt;0.5,OR(D515&gt;=24,Raw_data!$I515&gt;0)),Raw_data!$AE515=TRUE))</f>
        <v/>
      </c>
      <c r="G515">
        <f>IF(Dashboard!$B$11="Department",Raw_data!$AL515,IF(Dashboard!$B$11="Team",Raw_data!$AM515,IF(Dashboard!$B$11="Unit",Raw_data!$AN515,IF(Dashboard!$B$11="Legal entity",Raw_data!$AO515,IF(Dashboard!$B$11="Location",Raw_data!$AP515,Raw_data!$AQ515)))))</f>
        <v/>
      </c>
      <c r="H515">
        <f>--(AND(ISNUMBER(B515),B515&lt;0.5))</f>
        <v/>
      </c>
      <c r="I515">
        <f>IFERROR(MAX(0,(0.5-B515)*100),0)+IF(D515&gt;=24,20,0)+IF(Raw_data!$I515&gt;0,20,0)+IF(Raw_data!$AE515=TRUE,10,0)</f>
        <v/>
      </c>
      <c r="J515">
        <f>IFERROR(CHOOSE(MATCH(Dashboard!$B$11,{"Department","Team","Unit","Legal entity","Location","Lead"},0),INDEX(Lists!$B$3:$B$20,ROW()-1),INDEX(Lists!$C$3:$C$146,ROW()-1),INDEX(Lists!$D$3:$D$67,ROW()-1),INDEX(Lists!$E$3:$E$5,ROW()-1),INDEX(Lists!$F$3:$F$12,ROW()-1),INDEX(Lists!$G$3:$G$126,ROW()-1)),"")</f>
        <v/>
      </c>
      <c r="K515">
        <f>IF(J515="","",SUMPRODUCT(($A$2:$A$636=1)*($G$2:$G$636=J515)))</f>
        <v/>
      </c>
      <c r="L515">
        <f>IF(J515="","",SUMPRODUCT(($A$2:$A$636=1)*($G$2:$G$636=J515)*(ISNUMBER($B$2:$B$636))*($B$2:$B$636&lt;0.5)))</f>
        <v/>
      </c>
      <c r="M515">
        <f>IFERROR(L515/K515,"")</f>
        <v/>
      </c>
      <c r="N515">
        <f>IF(K515="","",M515+K515/100000+ROW()/100000000)</f>
        <v/>
      </c>
      <c r="R515">
        <f>IF(A515=1,IFERROR(I515,0)+ROW()/100000000,-1E+99)</f>
        <v/>
      </c>
      <c r="S515">
        <f>IF(A515=1,IFERROR(Raw_data!$T515,""),"")</f>
        <v/>
      </c>
      <c r="T515">
        <f>IF(A515=1,IFERROR(Raw_data!$AA515,""),"")</f>
        <v/>
      </c>
      <c r="U515">
        <f>IF(A515=1,IFERROR(Raw_data!$U515,""),"")</f>
        <v/>
      </c>
      <c r="V515">
        <f>IF(A515=1,IFERROR(Raw_data!$AB515,""),"")</f>
        <v/>
      </c>
    </row>
    <row r="516">
      <c r="A516">
        <f>--(AND(OR(Dashboard!$B$4="All",Raw_data!$AL516=Dashboard!$B$4),OR(Dashboard!$B$5="All",Raw_data!$AM516=Dashboard!$B$5),OR(Dashboard!$B$6="All",Raw_data!$AN516=Dashboard!$B$6),OR(Dashboard!$B$7="All",Raw_data!$AO516=Dashboard!$B$7),OR(Dashboard!$B$8="All",Raw_data!$AP516=Dashboard!$B$8),OR(Dashboard!$B$9="All",Raw_data!$AQ516=Dashboard!$B$9),OR(Dashboard!$B$10="All",Raw_data!$AF516=Dashboard!$B$10),OR(Raw_data!$F516="",Raw_data!$F516&lt;=TODAY())))</f>
        <v/>
      </c>
      <c r="B516">
        <f>IFERROR(IF(Dashboard!$B$3="Weighted",Raw_data!$U516,Raw_data!$T516),"")</f>
        <v/>
      </c>
      <c r="C516">
        <f>IFERROR(IF(Dashboard!$B$3="Weighted",Raw_data!$AB516,Raw_data!$AA516),"")</f>
        <v/>
      </c>
      <c r="D516">
        <f>IF(OR(Raw_data!$J516="",Raw_data!$J516&lt;=0,Raw_data!$K516=""),"",IF(Raw_data!$K516&gt;TODAY(),0,DATEDIF(Raw_data!$K516,TODAY(),"M")))</f>
        <v/>
      </c>
      <c r="E516">
        <f>--(AND(Raw_data!$AF516="No",OR(Raw_data!$AG516&lt;&gt;"",Raw_data!$AJ516&gt;0,Raw_data!$AK516&lt;&gt;"")))</f>
        <v/>
      </c>
      <c r="F516">
        <f>--(OR(AND(ISNUMBER(B516),B516&lt;0.5,OR(D516&gt;=24,Raw_data!$I516&gt;0)),Raw_data!$AE516=TRUE))</f>
        <v/>
      </c>
      <c r="G516">
        <f>IF(Dashboard!$B$11="Department",Raw_data!$AL516,IF(Dashboard!$B$11="Team",Raw_data!$AM516,IF(Dashboard!$B$11="Unit",Raw_data!$AN516,IF(Dashboard!$B$11="Legal entity",Raw_data!$AO516,IF(Dashboard!$B$11="Location",Raw_data!$AP516,Raw_data!$AQ516)))))</f>
        <v/>
      </c>
      <c r="H516">
        <f>--(AND(ISNUMBER(B516),B516&lt;0.5))</f>
        <v/>
      </c>
      <c r="I516">
        <f>IFERROR(MAX(0,(0.5-B516)*100),0)+IF(D516&gt;=24,20,0)+IF(Raw_data!$I516&gt;0,20,0)+IF(Raw_data!$AE516=TRUE,10,0)</f>
        <v/>
      </c>
      <c r="J516">
        <f>IFERROR(CHOOSE(MATCH(Dashboard!$B$11,{"Department","Team","Unit","Legal entity","Location","Lead"},0),INDEX(Lists!$B$3:$B$20,ROW()-1),INDEX(Lists!$C$3:$C$146,ROW()-1),INDEX(Lists!$D$3:$D$67,ROW()-1),INDEX(Lists!$E$3:$E$5,ROW()-1),INDEX(Lists!$F$3:$F$12,ROW()-1),INDEX(Lists!$G$3:$G$126,ROW()-1)),"")</f>
        <v/>
      </c>
      <c r="K516">
        <f>IF(J516="","",SUMPRODUCT(($A$2:$A$636=1)*($G$2:$G$636=J516)))</f>
        <v/>
      </c>
      <c r="L516">
        <f>IF(J516="","",SUMPRODUCT(($A$2:$A$636=1)*($G$2:$G$636=J516)*(ISNUMBER($B$2:$B$636))*($B$2:$B$636&lt;0.5)))</f>
        <v/>
      </c>
      <c r="M516">
        <f>IFERROR(L516/K516,"")</f>
        <v/>
      </c>
      <c r="N516">
        <f>IF(K516="","",M516+K516/100000+ROW()/100000000)</f>
        <v/>
      </c>
      <c r="R516">
        <f>IF(A516=1,IFERROR(I516,0)+ROW()/100000000,-1E+99)</f>
        <v/>
      </c>
      <c r="S516">
        <f>IF(A516=1,IFERROR(Raw_data!$T516,""),"")</f>
        <v/>
      </c>
      <c r="T516">
        <f>IF(A516=1,IFERROR(Raw_data!$AA516,""),"")</f>
        <v/>
      </c>
      <c r="U516">
        <f>IF(A516=1,IFERROR(Raw_data!$U516,""),"")</f>
        <v/>
      </c>
      <c r="V516">
        <f>IF(A516=1,IFERROR(Raw_data!$AB516,""),"")</f>
        <v/>
      </c>
    </row>
    <row r="517">
      <c r="A517">
        <f>--(AND(OR(Dashboard!$B$4="All",Raw_data!$AL517=Dashboard!$B$4),OR(Dashboard!$B$5="All",Raw_data!$AM517=Dashboard!$B$5),OR(Dashboard!$B$6="All",Raw_data!$AN517=Dashboard!$B$6),OR(Dashboard!$B$7="All",Raw_data!$AO517=Dashboard!$B$7),OR(Dashboard!$B$8="All",Raw_data!$AP517=Dashboard!$B$8),OR(Dashboard!$B$9="All",Raw_data!$AQ517=Dashboard!$B$9),OR(Dashboard!$B$10="All",Raw_data!$AF517=Dashboard!$B$10),OR(Raw_data!$F517="",Raw_data!$F517&lt;=TODAY())))</f>
        <v/>
      </c>
      <c r="B517">
        <f>IFERROR(IF(Dashboard!$B$3="Weighted",Raw_data!$U517,Raw_data!$T517),"")</f>
        <v/>
      </c>
      <c r="C517">
        <f>IFERROR(IF(Dashboard!$B$3="Weighted",Raw_data!$AB517,Raw_data!$AA517),"")</f>
        <v/>
      </c>
      <c r="D517">
        <f>IF(OR(Raw_data!$J517="",Raw_data!$J517&lt;=0,Raw_data!$K517=""),"",IF(Raw_data!$K517&gt;TODAY(),0,DATEDIF(Raw_data!$K517,TODAY(),"M")))</f>
        <v/>
      </c>
      <c r="E517">
        <f>--(AND(Raw_data!$AF517="No",OR(Raw_data!$AG517&lt;&gt;"",Raw_data!$AJ517&gt;0,Raw_data!$AK517&lt;&gt;"")))</f>
        <v/>
      </c>
      <c r="F517">
        <f>--(OR(AND(ISNUMBER(B517),B517&lt;0.5,OR(D517&gt;=24,Raw_data!$I517&gt;0)),Raw_data!$AE517=TRUE))</f>
        <v/>
      </c>
      <c r="G517">
        <f>IF(Dashboard!$B$11="Department",Raw_data!$AL517,IF(Dashboard!$B$11="Team",Raw_data!$AM517,IF(Dashboard!$B$11="Unit",Raw_data!$AN517,IF(Dashboard!$B$11="Legal entity",Raw_data!$AO517,IF(Dashboard!$B$11="Location",Raw_data!$AP517,Raw_data!$AQ517)))))</f>
        <v/>
      </c>
      <c r="H517">
        <f>--(AND(ISNUMBER(B517),B517&lt;0.5))</f>
        <v/>
      </c>
      <c r="I517">
        <f>IFERROR(MAX(0,(0.5-B517)*100),0)+IF(D517&gt;=24,20,0)+IF(Raw_data!$I517&gt;0,20,0)+IF(Raw_data!$AE517=TRUE,10,0)</f>
        <v/>
      </c>
      <c r="J517">
        <f>IFERROR(CHOOSE(MATCH(Dashboard!$B$11,{"Department","Team","Unit","Legal entity","Location","Lead"},0),INDEX(Lists!$B$3:$B$20,ROW()-1),INDEX(Lists!$C$3:$C$146,ROW()-1),INDEX(Lists!$D$3:$D$67,ROW()-1),INDEX(Lists!$E$3:$E$5,ROW()-1),INDEX(Lists!$F$3:$F$12,ROW()-1),INDEX(Lists!$G$3:$G$126,ROW()-1)),"")</f>
        <v/>
      </c>
      <c r="K517">
        <f>IF(J517="","",SUMPRODUCT(($A$2:$A$636=1)*($G$2:$G$636=J517)))</f>
        <v/>
      </c>
      <c r="L517">
        <f>IF(J517="","",SUMPRODUCT(($A$2:$A$636=1)*($G$2:$G$636=J517)*(ISNUMBER($B$2:$B$636))*($B$2:$B$636&lt;0.5)))</f>
        <v/>
      </c>
      <c r="M517">
        <f>IFERROR(L517/K517,"")</f>
        <v/>
      </c>
      <c r="N517">
        <f>IF(K517="","",M517+K517/100000+ROW()/100000000)</f>
        <v/>
      </c>
      <c r="R517">
        <f>IF(A517=1,IFERROR(I517,0)+ROW()/100000000,-1E+99)</f>
        <v/>
      </c>
      <c r="S517">
        <f>IF(A517=1,IFERROR(Raw_data!$T517,""),"")</f>
        <v/>
      </c>
      <c r="T517">
        <f>IF(A517=1,IFERROR(Raw_data!$AA517,""),"")</f>
        <v/>
      </c>
      <c r="U517">
        <f>IF(A517=1,IFERROR(Raw_data!$U517,""),"")</f>
        <v/>
      </c>
      <c r="V517">
        <f>IF(A517=1,IFERROR(Raw_data!$AB517,""),"")</f>
        <v/>
      </c>
    </row>
    <row r="518">
      <c r="A518">
        <f>--(AND(OR(Dashboard!$B$4="All",Raw_data!$AL518=Dashboard!$B$4),OR(Dashboard!$B$5="All",Raw_data!$AM518=Dashboard!$B$5),OR(Dashboard!$B$6="All",Raw_data!$AN518=Dashboard!$B$6),OR(Dashboard!$B$7="All",Raw_data!$AO518=Dashboard!$B$7),OR(Dashboard!$B$8="All",Raw_data!$AP518=Dashboard!$B$8),OR(Dashboard!$B$9="All",Raw_data!$AQ518=Dashboard!$B$9),OR(Dashboard!$B$10="All",Raw_data!$AF518=Dashboard!$B$10),OR(Raw_data!$F518="",Raw_data!$F518&lt;=TODAY())))</f>
        <v/>
      </c>
      <c r="B518">
        <f>IFERROR(IF(Dashboard!$B$3="Weighted",Raw_data!$U518,Raw_data!$T518),"")</f>
        <v/>
      </c>
      <c r="C518">
        <f>IFERROR(IF(Dashboard!$B$3="Weighted",Raw_data!$AB518,Raw_data!$AA518),"")</f>
        <v/>
      </c>
      <c r="D518">
        <f>IF(OR(Raw_data!$J518="",Raw_data!$J518&lt;=0,Raw_data!$K518=""),"",IF(Raw_data!$K518&gt;TODAY(),0,DATEDIF(Raw_data!$K518,TODAY(),"M")))</f>
        <v/>
      </c>
      <c r="E518">
        <f>--(AND(Raw_data!$AF518="No",OR(Raw_data!$AG518&lt;&gt;"",Raw_data!$AJ518&gt;0,Raw_data!$AK518&lt;&gt;"")))</f>
        <v/>
      </c>
      <c r="F518">
        <f>--(OR(AND(ISNUMBER(B518),B518&lt;0.5,OR(D518&gt;=24,Raw_data!$I518&gt;0)),Raw_data!$AE518=TRUE))</f>
        <v/>
      </c>
      <c r="G518">
        <f>IF(Dashboard!$B$11="Department",Raw_data!$AL518,IF(Dashboard!$B$11="Team",Raw_data!$AM518,IF(Dashboard!$B$11="Unit",Raw_data!$AN518,IF(Dashboard!$B$11="Legal entity",Raw_data!$AO518,IF(Dashboard!$B$11="Location",Raw_data!$AP518,Raw_data!$AQ518)))))</f>
        <v/>
      </c>
      <c r="H518">
        <f>--(AND(ISNUMBER(B518),B518&lt;0.5))</f>
        <v/>
      </c>
      <c r="I518">
        <f>IFERROR(MAX(0,(0.5-B518)*100),0)+IF(D518&gt;=24,20,0)+IF(Raw_data!$I518&gt;0,20,0)+IF(Raw_data!$AE518=TRUE,10,0)</f>
        <v/>
      </c>
      <c r="J518">
        <f>IFERROR(CHOOSE(MATCH(Dashboard!$B$11,{"Department","Team","Unit","Legal entity","Location","Lead"},0),INDEX(Lists!$B$3:$B$20,ROW()-1),INDEX(Lists!$C$3:$C$146,ROW()-1),INDEX(Lists!$D$3:$D$67,ROW()-1),INDEX(Lists!$E$3:$E$5,ROW()-1),INDEX(Lists!$F$3:$F$12,ROW()-1),INDEX(Lists!$G$3:$G$126,ROW()-1)),"")</f>
        <v/>
      </c>
      <c r="K518">
        <f>IF(J518="","",SUMPRODUCT(($A$2:$A$636=1)*($G$2:$G$636=J518)))</f>
        <v/>
      </c>
      <c r="L518">
        <f>IF(J518="","",SUMPRODUCT(($A$2:$A$636=1)*($G$2:$G$636=J518)*(ISNUMBER($B$2:$B$636))*($B$2:$B$636&lt;0.5)))</f>
        <v/>
      </c>
      <c r="M518">
        <f>IFERROR(L518/K518,"")</f>
        <v/>
      </c>
      <c r="N518">
        <f>IF(K518="","",M518+K518/100000+ROW()/100000000)</f>
        <v/>
      </c>
      <c r="R518">
        <f>IF(A518=1,IFERROR(I518,0)+ROW()/100000000,-1E+99)</f>
        <v/>
      </c>
      <c r="S518">
        <f>IF(A518=1,IFERROR(Raw_data!$T518,""),"")</f>
        <v/>
      </c>
      <c r="T518">
        <f>IF(A518=1,IFERROR(Raw_data!$AA518,""),"")</f>
        <v/>
      </c>
      <c r="U518">
        <f>IF(A518=1,IFERROR(Raw_data!$U518,""),"")</f>
        <v/>
      </c>
      <c r="V518">
        <f>IF(A518=1,IFERROR(Raw_data!$AB518,""),"")</f>
        <v/>
      </c>
    </row>
    <row r="519">
      <c r="A519">
        <f>--(AND(OR(Dashboard!$B$4="All",Raw_data!$AL519=Dashboard!$B$4),OR(Dashboard!$B$5="All",Raw_data!$AM519=Dashboard!$B$5),OR(Dashboard!$B$6="All",Raw_data!$AN519=Dashboard!$B$6),OR(Dashboard!$B$7="All",Raw_data!$AO519=Dashboard!$B$7),OR(Dashboard!$B$8="All",Raw_data!$AP519=Dashboard!$B$8),OR(Dashboard!$B$9="All",Raw_data!$AQ519=Dashboard!$B$9),OR(Dashboard!$B$10="All",Raw_data!$AF519=Dashboard!$B$10),OR(Raw_data!$F519="",Raw_data!$F519&lt;=TODAY())))</f>
        <v/>
      </c>
      <c r="B519">
        <f>IFERROR(IF(Dashboard!$B$3="Weighted",Raw_data!$U519,Raw_data!$T519),"")</f>
        <v/>
      </c>
      <c r="C519">
        <f>IFERROR(IF(Dashboard!$B$3="Weighted",Raw_data!$AB519,Raw_data!$AA519),"")</f>
        <v/>
      </c>
      <c r="D519">
        <f>IF(OR(Raw_data!$J519="",Raw_data!$J519&lt;=0,Raw_data!$K519=""),"",IF(Raw_data!$K519&gt;TODAY(),0,DATEDIF(Raw_data!$K519,TODAY(),"M")))</f>
        <v/>
      </c>
      <c r="E519">
        <f>--(AND(Raw_data!$AF519="No",OR(Raw_data!$AG519&lt;&gt;"",Raw_data!$AJ519&gt;0,Raw_data!$AK519&lt;&gt;"")))</f>
        <v/>
      </c>
      <c r="F519">
        <f>--(OR(AND(ISNUMBER(B519),B519&lt;0.5,OR(D519&gt;=24,Raw_data!$I519&gt;0)),Raw_data!$AE519=TRUE))</f>
        <v/>
      </c>
      <c r="G519">
        <f>IF(Dashboard!$B$11="Department",Raw_data!$AL519,IF(Dashboard!$B$11="Team",Raw_data!$AM519,IF(Dashboard!$B$11="Unit",Raw_data!$AN519,IF(Dashboard!$B$11="Legal entity",Raw_data!$AO519,IF(Dashboard!$B$11="Location",Raw_data!$AP519,Raw_data!$AQ519)))))</f>
        <v/>
      </c>
      <c r="H519">
        <f>--(AND(ISNUMBER(B519),B519&lt;0.5))</f>
        <v/>
      </c>
      <c r="I519">
        <f>IFERROR(MAX(0,(0.5-B519)*100),0)+IF(D519&gt;=24,20,0)+IF(Raw_data!$I519&gt;0,20,0)+IF(Raw_data!$AE519=TRUE,10,0)</f>
        <v/>
      </c>
      <c r="J519">
        <f>IFERROR(CHOOSE(MATCH(Dashboard!$B$11,{"Department","Team","Unit","Legal entity","Location","Lead"},0),INDEX(Lists!$B$3:$B$20,ROW()-1),INDEX(Lists!$C$3:$C$146,ROW()-1),INDEX(Lists!$D$3:$D$67,ROW()-1),INDEX(Lists!$E$3:$E$5,ROW()-1),INDEX(Lists!$F$3:$F$12,ROW()-1),INDEX(Lists!$G$3:$G$126,ROW()-1)),"")</f>
        <v/>
      </c>
      <c r="K519">
        <f>IF(J519="","",SUMPRODUCT(($A$2:$A$636=1)*($G$2:$G$636=J519)))</f>
        <v/>
      </c>
      <c r="L519">
        <f>IF(J519="","",SUMPRODUCT(($A$2:$A$636=1)*($G$2:$G$636=J519)*(ISNUMBER($B$2:$B$636))*($B$2:$B$636&lt;0.5)))</f>
        <v/>
      </c>
      <c r="M519">
        <f>IFERROR(L519/K519,"")</f>
        <v/>
      </c>
      <c r="N519">
        <f>IF(K519="","",M519+K519/100000+ROW()/100000000)</f>
        <v/>
      </c>
      <c r="R519">
        <f>IF(A519=1,IFERROR(I519,0)+ROW()/100000000,-1E+99)</f>
        <v/>
      </c>
      <c r="S519">
        <f>IF(A519=1,IFERROR(Raw_data!$T519,""),"")</f>
        <v/>
      </c>
      <c r="T519">
        <f>IF(A519=1,IFERROR(Raw_data!$AA519,""),"")</f>
        <v/>
      </c>
      <c r="U519">
        <f>IF(A519=1,IFERROR(Raw_data!$U519,""),"")</f>
        <v/>
      </c>
      <c r="V519">
        <f>IF(A519=1,IFERROR(Raw_data!$AB519,""),"")</f>
        <v/>
      </c>
    </row>
    <row r="520">
      <c r="A520">
        <f>--(AND(OR(Dashboard!$B$4="All",Raw_data!$AL520=Dashboard!$B$4),OR(Dashboard!$B$5="All",Raw_data!$AM520=Dashboard!$B$5),OR(Dashboard!$B$6="All",Raw_data!$AN520=Dashboard!$B$6),OR(Dashboard!$B$7="All",Raw_data!$AO520=Dashboard!$B$7),OR(Dashboard!$B$8="All",Raw_data!$AP520=Dashboard!$B$8),OR(Dashboard!$B$9="All",Raw_data!$AQ520=Dashboard!$B$9),OR(Dashboard!$B$10="All",Raw_data!$AF520=Dashboard!$B$10),OR(Raw_data!$F520="",Raw_data!$F520&lt;=TODAY())))</f>
        <v/>
      </c>
      <c r="B520">
        <f>IFERROR(IF(Dashboard!$B$3="Weighted",Raw_data!$U520,Raw_data!$T520),"")</f>
        <v/>
      </c>
      <c r="C520">
        <f>IFERROR(IF(Dashboard!$B$3="Weighted",Raw_data!$AB520,Raw_data!$AA520),"")</f>
        <v/>
      </c>
      <c r="D520">
        <f>IF(OR(Raw_data!$J520="",Raw_data!$J520&lt;=0,Raw_data!$K520=""),"",IF(Raw_data!$K520&gt;TODAY(),0,DATEDIF(Raw_data!$K520,TODAY(),"M")))</f>
        <v/>
      </c>
      <c r="E520">
        <f>--(AND(Raw_data!$AF520="No",OR(Raw_data!$AG520&lt;&gt;"",Raw_data!$AJ520&gt;0,Raw_data!$AK520&lt;&gt;"")))</f>
        <v/>
      </c>
      <c r="F520">
        <f>--(OR(AND(ISNUMBER(B520),B520&lt;0.5,OR(D520&gt;=24,Raw_data!$I520&gt;0)),Raw_data!$AE520=TRUE))</f>
        <v/>
      </c>
      <c r="G520">
        <f>IF(Dashboard!$B$11="Department",Raw_data!$AL520,IF(Dashboard!$B$11="Team",Raw_data!$AM520,IF(Dashboard!$B$11="Unit",Raw_data!$AN520,IF(Dashboard!$B$11="Legal entity",Raw_data!$AO520,IF(Dashboard!$B$11="Location",Raw_data!$AP520,Raw_data!$AQ520)))))</f>
        <v/>
      </c>
      <c r="H520">
        <f>--(AND(ISNUMBER(B520),B520&lt;0.5))</f>
        <v/>
      </c>
      <c r="I520">
        <f>IFERROR(MAX(0,(0.5-B520)*100),0)+IF(D520&gt;=24,20,0)+IF(Raw_data!$I520&gt;0,20,0)+IF(Raw_data!$AE520=TRUE,10,0)</f>
        <v/>
      </c>
      <c r="J520">
        <f>IFERROR(CHOOSE(MATCH(Dashboard!$B$11,{"Department","Team","Unit","Legal entity","Location","Lead"},0),INDEX(Lists!$B$3:$B$20,ROW()-1),INDEX(Lists!$C$3:$C$146,ROW()-1),INDEX(Lists!$D$3:$D$67,ROW()-1),INDEX(Lists!$E$3:$E$5,ROW()-1),INDEX(Lists!$F$3:$F$12,ROW()-1),INDEX(Lists!$G$3:$G$126,ROW()-1)),"")</f>
        <v/>
      </c>
      <c r="K520">
        <f>IF(J520="","",SUMPRODUCT(($A$2:$A$636=1)*($G$2:$G$636=J520)))</f>
        <v/>
      </c>
      <c r="L520">
        <f>IF(J520="","",SUMPRODUCT(($A$2:$A$636=1)*($G$2:$G$636=J520)*(ISNUMBER($B$2:$B$636))*($B$2:$B$636&lt;0.5)))</f>
        <v/>
      </c>
      <c r="M520">
        <f>IFERROR(L520/K520,"")</f>
        <v/>
      </c>
      <c r="N520">
        <f>IF(K520="","",M520+K520/100000+ROW()/100000000)</f>
        <v/>
      </c>
      <c r="R520">
        <f>IF(A520=1,IFERROR(I520,0)+ROW()/100000000,-1E+99)</f>
        <v/>
      </c>
      <c r="S520">
        <f>IF(A520=1,IFERROR(Raw_data!$T520,""),"")</f>
        <v/>
      </c>
      <c r="T520">
        <f>IF(A520=1,IFERROR(Raw_data!$AA520,""),"")</f>
        <v/>
      </c>
      <c r="U520">
        <f>IF(A520=1,IFERROR(Raw_data!$U520,""),"")</f>
        <v/>
      </c>
      <c r="V520">
        <f>IF(A520=1,IFERROR(Raw_data!$AB520,""),"")</f>
        <v/>
      </c>
    </row>
    <row r="521">
      <c r="A521">
        <f>--(AND(OR(Dashboard!$B$4="All",Raw_data!$AL521=Dashboard!$B$4),OR(Dashboard!$B$5="All",Raw_data!$AM521=Dashboard!$B$5),OR(Dashboard!$B$6="All",Raw_data!$AN521=Dashboard!$B$6),OR(Dashboard!$B$7="All",Raw_data!$AO521=Dashboard!$B$7),OR(Dashboard!$B$8="All",Raw_data!$AP521=Dashboard!$B$8),OR(Dashboard!$B$9="All",Raw_data!$AQ521=Dashboard!$B$9),OR(Dashboard!$B$10="All",Raw_data!$AF521=Dashboard!$B$10),OR(Raw_data!$F521="",Raw_data!$F521&lt;=TODAY())))</f>
        <v/>
      </c>
      <c r="B521">
        <f>IFERROR(IF(Dashboard!$B$3="Weighted",Raw_data!$U521,Raw_data!$T521),"")</f>
        <v/>
      </c>
      <c r="C521">
        <f>IFERROR(IF(Dashboard!$B$3="Weighted",Raw_data!$AB521,Raw_data!$AA521),"")</f>
        <v/>
      </c>
      <c r="D521">
        <f>IF(OR(Raw_data!$J521="",Raw_data!$J521&lt;=0,Raw_data!$K521=""),"",IF(Raw_data!$K521&gt;TODAY(),0,DATEDIF(Raw_data!$K521,TODAY(),"M")))</f>
        <v/>
      </c>
      <c r="E521">
        <f>--(AND(Raw_data!$AF521="No",OR(Raw_data!$AG521&lt;&gt;"",Raw_data!$AJ521&gt;0,Raw_data!$AK521&lt;&gt;"")))</f>
        <v/>
      </c>
      <c r="F521">
        <f>--(OR(AND(ISNUMBER(B521),B521&lt;0.5,OR(D521&gt;=24,Raw_data!$I521&gt;0)),Raw_data!$AE521=TRUE))</f>
        <v/>
      </c>
      <c r="G521">
        <f>IF(Dashboard!$B$11="Department",Raw_data!$AL521,IF(Dashboard!$B$11="Team",Raw_data!$AM521,IF(Dashboard!$B$11="Unit",Raw_data!$AN521,IF(Dashboard!$B$11="Legal entity",Raw_data!$AO521,IF(Dashboard!$B$11="Location",Raw_data!$AP521,Raw_data!$AQ521)))))</f>
        <v/>
      </c>
      <c r="H521">
        <f>--(AND(ISNUMBER(B521),B521&lt;0.5))</f>
        <v/>
      </c>
      <c r="I521">
        <f>IFERROR(MAX(0,(0.5-B521)*100),0)+IF(D521&gt;=24,20,0)+IF(Raw_data!$I521&gt;0,20,0)+IF(Raw_data!$AE521=TRUE,10,0)</f>
        <v/>
      </c>
      <c r="J521">
        <f>IFERROR(CHOOSE(MATCH(Dashboard!$B$11,{"Department","Team","Unit","Legal entity","Location","Lead"},0),INDEX(Lists!$B$3:$B$20,ROW()-1),INDEX(Lists!$C$3:$C$146,ROW()-1),INDEX(Lists!$D$3:$D$67,ROW()-1),INDEX(Lists!$E$3:$E$5,ROW()-1),INDEX(Lists!$F$3:$F$12,ROW()-1),INDEX(Lists!$G$3:$G$126,ROW()-1)),"")</f>
        <v/>
      </c>
      <c r="K521">
        <f>IF(J521="","",SUMPRODUCT(($A$2:$A$636=1)*($G$2:$G$636=J521)))</f>
        <v/>
      </c>
      <c r="L521">
        <f>IF(J521="","",SUMPRODUCT(($A$2:$A$636=1)*($G$2:$G$636=J521)*(ISNUMBER($B$2:$B$636))*($B$2:$B$636&lt;0.5)))</f>
        <v/>
      </c>
      <c r="M521">
        <f>IFERROR(L521/K521,"")</f>
        <v/>
      </c>
      <c r="N521">
        <f>IF(K521="","",M521+K521/100000+ROW()/100000000)</f>
        <v/>
      </c>
      <c r="R521">
        <f>IF(A521=1,IFERROR(I521,0)+ROW()/100000000,-1E+99)</f>
        <v/>
      </c>
      <c r="S521">
        <f>IF(A521=1,IFERROR(Raw_data!$T521,""),"")</f>
        <v/>
      </c>
      <c r="T521">
        <f>IF(A521=1,IFERROR(Raw_data!$AA521,""),"")</f>
        <v/>
      </c>
      <c r="U521">
        <f>IF(A521=1,IFERROR(Raw_data!$U521,""),"")</f>
        <v/>
      </c>
      <c r="V521">
        <f>IF(A521=1,IFERROR(Raw_data!$AB521,""),"")</f>
        <v/>
      </c>
    </row>
    <row r="522">
      <c r="A522">
        <f>--(AND(OR(Dashboard!$B$4="All",Raw_data!$AL522=Dashboard!$B$4),OR(Dashboard!$B$5="All",Raw_data!$AM522=Dashboard!$B$5),OR(Dashboard!$B$6="All",Raw_data!$AN522=Dashboard!$B$6),OR(Dashboard!$B$7="All",Raw_data!$AO522=Dashboard!$B$7),OR(Dashboard!$B$8="All",Raw_data!$AP522=Dashboard!$B$8),OR(Dashboard!$B$9="All",Raw_data!$AQ522=Dashboard!$B$9),OR(Dashboard!$B$10="All",Raw_data!$AF522=Dashboard!$B$10),OR(Raw_data!$F522="",Raw_data!$F522&lt;=TODAY())))</f>
        <v/>
      </c>
      <c r="B522">
        <f>IFERROR(IF(Dashboard!$B$3="Weighted",Raw_data!$U522,Raw_data!$T522),"")</f>
        <v/>
      </c>
      <c r="C522">
        <f>IFERROR(IF(Dashboard!$B$3="Weighted",Raw_data!$AB522,Raw_data!$AA522),"")</f>
        <v/>
      </c>
      <c r="D522">
        <f>IF(OR(Raw_data!$J522="",Raw_data!$J522&lt;=0,Raw_data!$K522=""),"",IF(Raw_data!$K522&gt;TODAY(),0,DATEDIF(Raw_data!$K522,TODAY(),"M")))</f>
        <v/>
      </c>
      <c r="E522">
        <f>--(AND(Raw_data!$AF522="No",OR(Raw_data!$AG522&lt;&gt;"",Raw_data!$AJ522&gt;0,Raw_data!$AK522&lt;&gt;"")))</f>
        <v/>
      </c>
      <c r="F522">
        <f>--(OR(AND(ISNUMBER(B522),B522&lt;0.5,OR(D522&gt;=24,Raw_data!$I522&gt;0)),Raw_data!$AE522=TRUE))</f>
        <v/>
      </c>
      <c r="G522">
        <f>IF(Dashboard!$B$11="Department",Raw_data!$AL522,IF(Dashboard!$B$11="Team",Raw_data!$AM522,IF(Dashboard!$B$11="Unit",Raw_data!$AN522,IF(Dashboard!$B$11="Legal entity",Raw_data!$AO522,IF(Dashboard!$B$11="Location",Raw_data!$AP522,Raw_data!$AQ522)))))</f>
        <v/>
      </c>
      <c r="H522">
        <f>--(AND(ISNUMBER(B522),B522&lt;0.5))</f>
        <v/>
      </c>
      <c r="I522">
        <f>IFERROR(MAX(0,(0.5-B522)*100),0)+IF(D522&gt;=24,20,0)+IF(Raw_data!$I522&gt;0,20,0)+IF(Raw_data!$AE522=TRUE,10,0)</f>
        <v/>
      </c>
      <c r="J522">
        <f>IFERROR(CHOOSE(MATCH(Dashboard!$B$11,{"Department","Team","Unit","Legal entity","Location","Lead"},0),INDEX(Lists!$B$3:$B$20,ROW()-1),INDEX(Lists!$C$3:$C$146,ROW()-1),INDEX(Lists!$D$3:$D$67,ROW()-1),INDEX(Lists!$E$3:$E$5,ROW()-1),INDEX(Lists!$F$3:$F$12,ROW()-1),INDEX(Lists!$G$3:$G$126,ROW()-1)),"")</f>
        <v/>
      </c>
      <c r="K522">
        <f>IF(J522="","",SUMPRODUCT(($A$2:$A$636=1)*($G$2:$G$636=J522)))</f>
        <v/>
      </c>
      <c r="L522">
        <f>IF(J522="","",SUMPRODUCT(($A$2:$A$636=1)*($G$2:$G$636=J522)*(ISNUMBER($B$2:$B$636))*($B$2:$B$636&lt;0.5)))</f>
        <v/>
      </c>
      <c r="M522">
        <f>IFERROR(L522/K522,"")</f>
        <v/>
      </c>
      <c r="N522">
        <f>IF(K522="","",M522+K522/100000+ROW()/100000000)</f>
        <v/>
      </c>
      <c r="R522">
        <f>IF(A522=1,IFERROR(I522,0)+ROW()/100000000,-1E+99)</f>
        <v/>
      </c>
      <c r="S522">
        <f>IF(A522=1,IFERROR(Raw_data!$T522,""),"")</f>
        <v/>
      </c>
      <c r="T522">
        <f>IF(A522=1,IFERROR(Raw_data!$AA522,""),"")</f>
        <v/>
      </c>
      <c r="U522">
        <f>IF(A522=1,IFERROR(Raw_data!$U522,""),"")</f>
        <v/>
      </c>
      <c r="V522">
        <f>IF(A522=1,IFERROR(Raw_data!$AB522,""),"")</f>
        <v/>
      </c>
    </row>
    <row r="523">
      <c r="A523">
        <f>--(AND(OR(Dashboard!$B$4="All",Raw_data!$AL523=Dashboard!$B$4),OR(Dashboard!$B$5="All",Raw_data!$AM523=Dashboard!$B$5),OR(Dashboard!$B$6="All",Raw_data!$AN523=Dashboard!$B$6),OR(Dashboard!$B$7="All",Raw_data!$AO523=Dashboard!$B$7),OR(Dashboard!$B$8="All",Raw_data!$AP523=Dashboard!$B$8),OR(Dashboard!$B$9="All",Raw_data!$AQ523=Dashboard!$B$9),OR(Dashboard!$B$10="All",Raw_data!$AF523=Dashboard!$B$10),OR(Raw_data!$F523="",Raw_data!$F523&lt;=TODAY())))</f>
        <v/>
      </c>
      <c r="B523">
        <f>IFERROR(IF(Dashboard!$B$3="Weighted",Raw_data!$U523,Raw_data!$T523),"")</f>
        <v/>
      </c>
      <c r="C523">
        <f>IFERROR(IF(Dashboard!$B$3="Weighted",Raw_data!$AB523,Raw_data!$AA523),"")</f>
        <v/>
      </c>
      <c r="D523">
        <f>IF(OR(Raw_data!$J523="",Raw_data!$J523&lt;=0,Raw_data!$K523=""),"",IF(Raw_data!$K523&gt;TODAY(),0,DATEDIF(Raw_data!$K523,TODAY(),"M")))</f>
        <v/>
      </c>
      <c r="E523">
        <f>--(AND(Raw_data!$AF523="No",OR(Raw_data!$AG523&lt;&gt;"",Raw_data!$AJ523&gt;0,Raw_data!$AK523&lt;&gt;"")))</f>
        <v/>
      </c>
      <c r="F523">
        <f>--(OR(AND(ISNUMBER(B523),B523&lt;0.5,OR(D523&gt;=24,Raw_data!$I523&gt;0)),Raw_data!$AE523=TRUE))</f>
        <v/>
      </c>
      <c r="G523">
        <f>IF(Dashboard!$B$11="Department",Raw_data!$AL523,IF(Dashboard!$B$11="Team",Raw_data!$AM523,IF(Dashboard!$B$11="Unit",Raw_data!$AN523,IF(Dashboard!$B$11="Legal entity",Raw_data!$AO523,IF(Dashboard!$B$11="Location",Raw_data!$AP523,Raw_data!$AQ523)))))</f>
        <v/>
      </c>
      <c r="H523">
        <f>--(AND(ISNUMBER(B523),B523&lt;0.5))</f>
        <v/>
      </c>
      <c r="I523">
        <f>IFERROR(MAX(0,(0.5-B523)*100),0)+IF(D523&gt;=24,20,0)+IF(Raw_data!$I523&gt;0,20,0)+IF(Raw_data!$AE523=TRUE,10,0)</f>
        <v/>
      </c>
      <c r="J523">
        <f>IFERROR(CHOOSE(MATCH(Dashboard!$B$11,{"Department","Team","Unit","Legal entity","Location","Lead"},0),INDEX(Lists!$B$3:$B$20,ROW()-1),INDEX(Lists!$C$3:$C$146,ROW()-1),INDEX(Lists!$D$3:$D$67,ROW()-1),INDEX(Lists!$E$3:$E$5,ROW()-1),INDEX(Lists!$F$3:$F$12,ROW()-1),INDEX(Lists!$G$3:$G$126,ROW()-1)),"")</f>
        <v/>
      </c>
      <c r="K523">
        <f>IF(J523="","",SUMPRODUCT(($A$2:$A$636=1)*($G$2:$G$636=J523)))</f>
        <v/>
      </c>
      <c r="L523">
        <f>IF(J523="","",SUMPRODUCT(($A$2:$A$636=1)*($G$2:$G$636=J523)*(ISNUMBER($B$2:$B$636))*($B$2:$B$636&lt;0.5)))</f>
        <v/>
      </c>
      <c r="M523">
        <f>IFERROR(L523/K523,"")</f>
        <v/>
      </c>
      <c r="N523">
        <f>IF(K523="","",M523+K523/100000+ROW()/100000000)</f>
        <v/>
      </c>
      <c r="R523">
        <f>IF(A523=1,IFERROR(I523,0)+ROW()/100000000,-1E+99)</f>
        <v/>
      </c>
      <c r="S523">
        <f>IF(A523=1,IFERROR(Raw_data!$T523,""),"")</f>
        <v/>
      </c>
      <c r="T523">
        <f>IF(A523=1,IFERROR(Raw_data!$AA523,""),"")</f>
        <v/>
      </c>
      <c r="U523">
        <f>IF(A523=1,IFERROR(Raw_data!$U523,""),"")</f>
        <v/>
      </c>
      <c r="V523">
        <f>IF(A523=1,IFERROR(Raw_data!$AB523,""),"")</f>
        <v/>
      </c>
    </row>
    <row r="524">
      <c r="A524">
        <f>--(AND(OR(Dashboard!$B$4="All",Raw_data!$AL524=Dashboard!$B$4),OR(Dashboard!$B$5="All",Raw_data!$AM524=Dashboard!$B$5),OR(Dashboard!$B$6="All",Raw_data!$AN524=Dashboard!$B$6),OR(Dashboard!$B$7="All",Raw_data!$AO524=Dashboard!$B$7),OR(Dashboard!$B$8="All",Raw_data!$AP524=Dashboard!$B$8),OR(Dashboard!$B$9="All",Raw_data!$AQ524=Dashboard!$B$9),OR(Dashboard!$B$10="All",Raw_data!$AF524=Dashboard!$B$10),OR(Raw_data!$F524="",Raw_data!$F524&lt;=TODAY())))</f>
        <v/>
      </c>
      <c r="B524">
        <f>IFERROR(IF(Dashboard!$B$3="Weighted",Raw_data!$U524,Raw_data!$T524),"")</f>
        <v/>
      </c>
      <c r="C524">
        <f>IFERROR(IF(Dashboard!$B$3="Weighted",Raw_data!$AB524,Raw_data!$AA524),"")</f>
        <v/>
      </c>
      <c r="D524">
        <f>IF(OR(Raw_data!$J524="",Raw_data!$J524&lt;=0,Raw_data!$K524=""),"",IF(Raw_data!$K524&gt;TODAY(),0,DATEDIF(Raw_data!$K524,TODAY(),"M")))</f>
        <v/>
      </c>
      <c r="E524">
        <f>--(AND(Raw_data!$AF524="No",OR(Raw_data!$AG524&lt;&gt;"",Raw_data!$AJ524&gt;0,Raw_data!$AK524&lt;&gt;"")))</f>
        <v/>
      </c>
      <c r="F524">
        <f>--(OR(AND(ISNUMBER(B524),B524&lt;0.5,OR(D524&gt;=24,Raw_data!$I524&gt;0)),Raw_data!$AE524=TRUE))</f>
        <v/>
      </c>
      <c r="G524">
        <f>IF(Dashboard!$B$11="Department",Raw_data!$AL524,IF(Dashboard!$B$11="Team",Raw_data!$AM524,IF(Dashboard!$B$11="Unit",Raw_data!$AN524,IF(Dashboard!$B$11="Legal entity",Raw_data!$AO524,IF(Dashboard!$B$11="Location",Raw_data!$AP524,Raw_data!$AQ524)))))</f>
        <v/>
      </c>
      <c r="H524">
        <f>--(AND(ISNUMBER(B524),B524&lt;0.5))</f>
        <v/>
      </c>
      <c r="I524">
        <f>IFERROR(MAX(0,(0.5-B524)*100),0)+IF(D524&gt;=24,20,0)+IF(Raw_data!$I524&gt;0,20,0)+IF(Raw_data!$AE524=TRUE,10,0)</f>
        <v/>
      </c>
      <c r="J524">
        <f>IFERROR(CHOOSE(MATCH(Dashboard!$B$11,{"Department","Team","Unit","Legal entity","Location","Lead"},0),INDEX(Lists!$B$3:$B$20,ROW()-1),INDEX(Lists!$C$3:$C$146,ROW()-1),INDEX(Lists!$D$3:$D$67,ROW()-1),INDEX(Lists!$E$3:$E$5,ROW()-1),INDEX(Lists!$F$3:$F$12,ROW()-1),INDEX(Lists!$G$3:$G$126,ROW()-1)),"")</f>
        <v/>
      </c>
      <c r="K524">
        <f>IF(J524="","",SUMPRODUCT(($A$2:$A$636=1)*($G$2:$G$636=J524)))</f>
        <v/>
      </c>
      <c r="L524">
        <f>IF(J524="","",SUMPRODUCT(($A$2:$A$636=1)*($G$2:$G$636=J524)*(ISNUMBER($B$2:$B$636))*($B$2:$B$636&lt;0.5)))</f>
        <v/>
      </c>
      <c r="M524">
        <f>IFERROR(L524/K524,"")</f>
        <v/>
      </c>
      <c r="N524">
        <f>IF(K524="","",M524+K524/100000+ROW()/100000000)</f>
        <v/>
      </c>
      <c r="R524">
        <f>IF(A524=1,IFERROR(I524,0)+ROW()/100000000,-1E+99)</f>
        <v/>
      </c>
      <c r="S524">
        <f>IF(A524=1,IFERROR(Raw_data!$T524,""),"")</f>
        <v/>
      </c>
      <c r="T524">
        <f>IF(A524=1,IFERROR(Raw_data!$AA524,""),"")</f>
        <v/>
      </c>
      <c r="U524">
        <f>IF(A524=1,IFERROR(Raw_data!$U524,""),"")</f>
        <v/>
      </c>
      <c r="V524">
        <f>IF(A524=1,IFERROR(Raw_data!$AB524,""),"")</f>
        <v/>
      </c>
    </row>
    <row r="525">
      <c r="A525">
        <f>--(AND(OR(Dashboard!$B$4="All",Raw_data!$AL525=Dashboard!$B$4),OR(Dashboard!$B$5="All",Raw_data!$AM525=Dashboard!$B$5),OR(Dashboard!$B$6="All",Raw_data!$AN525=Dashboard!$B$6),OR(Dashboard!$B$7="All",Raw_data!$AO525=Dashboard!$B$7),OR(Dashboard!$B$8="All",Raw_data!$AP525=Dashboard!$B$8),OR(Dashboard!$B$9="All",Raw_data!$AQ525=Dashboard!$B$9),OR(Dashboard!$B$10="All",Raw_data!$AF525=Dashboard!$B$10),OR(Raw_data!$F525="",Raw_data!$F525&lt;=TODAY())))</f>
        <v/>
      </c>
      <c r="B525">
        <f>IFERROR(IF(Dashboard!$B$3="Weighted",Raw_data!$U525,Raw_data!$T525),"")</f>
        <v/>
      </c>
      <c r="C525">
        <f>IFERROR(IF(Dashboard!$B$3="Weighted",Raw_data!$AB525,Raw_data!$AA525),"")</f>
        <v/>
      </c>
      <c r="D525">
        <f>IF(OR(Raw_data!$J525="",Raw_data!$J525&lt;=0,Raw_data!$K525=""),"",IF(Raw_data!$K525&gt;TODAY(),0,DATEDIF(Raw_data!$K525,TODAY(),"M")))</f>
        <v/>
      </c>
      <c r="E525">
        <f>--(AND(Raw_data!$AF525="No",OR(Raw_data!$AG525&lt;&gt;"",Raw_data!$AJ525&gt;0,Raw_data!$AK525&lt;&gt;"")))</f>
        <v/>
      </c>
      <c r="F525">
        <f>--(OR(AND(ISNUMBER(B525),B525&lt;0.5,OR(D525&gt;=24,Raw_data!$I525&gt;0)),Raw_data!$AE525=TRUE))</f>
        <v/>
      </c>
      <c r="G525">
        <f>IF(Dashboard!$B$11="Department",Raw_data!$AL525,IF(Dashboard!$B$11="Team",Raw_data!$AM525,IF(Dashboard!$B$11="Unit",Raw_data!$AN525,IF(Dashboard!$B$11="Legal entity",Raw_data!$AO525,IF(Dashboard!$B$11="Location",Raw_data!$AP525,Raw_data!$AQ525)))))</f>
        <v/>
      </c>
      <c r="H525">
        <f>--(AND(ISNUMBER(B525),B525&lt;0.5))</f>
        <v/>
      </c>
      <c r="I525">
        <f>IFERROR(MAX(0,(0.5-B525)*100),0)+IF(D525&gt;=24,20,0)+IF(Raw_data!$I525&gt;0,20,0)+IF(Raw_data!$AE525=TRUE,10,0)</f>
        <v/>
      </c>
      <c r="J525">
        <f>IFERROR(CHOOSE(MATCH(Dashboard!$B$11,{"Department","Team","Unit","Legal entity","Location","Lead"},0),INDEX(Lists!$B$3:$B$20,ROW()-1),INDEX(Lists!$C$3:$C$146,ROW()-1),INDEX(Lists!$D$3:$D$67,ROW()-1),INDEX(Lists!$E$3:$E$5,ROW()-1),INDEX(Lists!$F$3:$F$12,ROW()-1),INDEX(Lists!$G$3:$G$126,ROW()-1)),"")</f>
        <v/>
      </c>
      <c r="K525">
        <f>IF(J525="","",SUMPRODUCT(($A$2:$A$636=1)*($G$2:$G$636=J525)))</f>
        <v/>
      </c>
      <c r="L525">
        <f>IF(J525="","",SUMPRODUCT(($A$2:$A$636=1)*($G$2:$G$636=J525)*(ISNUMBER($B$2:$B$636))*($B$2:$B$636&lt;0.5)))</f>
        <v/>
      </c>
      <c r="M525">
        <f>IFERROR(L525/K525,"")</f>
        <v/>
      </c>
      <c r="N525">
        <f>IF(K525="","",M525+K525/100000+ROW()/100000000)</f>
        <v/>
      </c>
      <c r="R525">
        <f>IF(A525=1,IFERROR(I525,0)+ROW()/100000000,-1E+99)</f>
        <v/>
      </c>
      <c r="S525">
        <f>IF(A525=1,IFERROR(Raw_data!$T525,""),"")</f>
        <v/>
      </c>
      <c r="T525">
        <f>IF(A525=1,IFERROR(Raw_data!$AA525,""),"")</f>
        <v/>
      </c>
      <c r="U525">
        <f>IF(A525=1,IFERROR(Raw_data!$U525,""),"")</f>
        <v/>
      </c>
      <c r="V525">
        <f>IF(A525=1,IFERROR(Raw_data!$AB525,""),"")</f>
        <v/>
      </c>
    </row>
    <row r="526">
      <c r="A526">
        <f>--(AND(OR(Dashboard!$B$4="All",Raw_data!$AL526=Dashboard!$B$4),OR(Dashboard!$B$5="All",Raw_data!$AM526=Dashboard!$B$5),OR(Dashboard!$B$6="All",Raw_data!$AN526=Dashboard!$B$6),OR(Dashboard!$B$7="All",Raw_data!$AO526=Dashboard!$B$7),OR(Dashboard!$B$8="All",Raw_data!$AP526=Dashboard!$B$8),OR(Dashboard!$B$9="All",Raw_data!$AQ526=Dashboard!$B$9),OR(Dashboard!$B$10="All",Raw_data!$AF526=Dashboard!$B$10),OR(Raw_data!$F526="",Raw_data!$F526&lt;=TODAY())))</f>
        <v/>
      </c>
      <c r="B526">
        <f>IFERROR(IF(Dashboard!$B$3="Weighted",Raw_data!$U526,Raw_data!$T526),"")</f>
        <v/>
      </c>
      <c r="C526">
        <f>IFERROR(IF(Dashboard!$B$3="Weighted",Raw_data!$AB526,Raw_data!$AA526),"")</f>
        <v/>
      </c>
      <c r="D526">
        <f>IF(OR(Raw_data!$J526="",Raw_data!$J526&lt;=0,Raw_data!$K526=""),"",IF(Raw_data!$K526&gt;TODAY(),0,DATEDIF(Raw_data!$K526,TODAY(),"M")))</f>
        <v/>
      </c>
      <c r="E526">
        <f>--(AND(Raw_data!$AF526="No",OR(Raw_data!$AG526&lt;&gt;"",Raw_data!$AJ526&gt;0,Raw_data!$AK526&lt;&gt;"")))</f>
        <v/>
      </c>
      <c r="F526">
        <f>--(OR(AND(ISNUMBER(B526),B526&lt;0.5,OR(D526&gt;=24,Raw_data!$I526&gt;0)),Raw_data!$AE526=TRUE))</f>
        <v/>
      </c>
      <c r="G526">
        <f>IF(Dashboard!$B$11="Department",Raw_data!$AL526,IF(Dashboard!$B$11="Team",Raw_data!$AM526,IF(Dashboard!$B$11="Unit",Raw_data!$AN526,IF(Dashboard!$B$11="Legal entity",Raw_data!$AO526,IF(Dashboard!$B$11="Location",Raw_data!$AP526,Raw_data!$AQ526)))))</f>
        <v/>
      </c>
      <c r="H526">
        <f>--(AND(ISNUMBER(B526),B526&lt;0.5))</f>
        <v/>
      </c>
      <c r="I526">
        <f>IFERROR(MAX(0,(0.5-B526)*100),0)+IF(D526&gt;=24,20,0)+IF(Raw_data!$I526&gt;0,20,0)+IF(Raw_data!$AE526=TRUE,10,0)</f>
        <v/>
      </c>
      <c r="J526">
        <f>IFERROR(CHOOSE(MATCH(Dashboard!$B$11,{"Department","Team","Unit","Legal entity","Location","Lead"},0),INDEX(Lists!$B$3:$B$20,ROW()-1),INDEX(Lists!$C$3:$C$146,ROW()-1),INDEX(Lists!$D$3:$D$67,ROW()-1),INDEX(Lists!$E$3:$E$5,ROW()-1),INDEX(Lists!$F$3:$F$12,ROW()-1),INDEX(Lists!$G$3:$G$126,ROW()-1)),"")</f>
        <v/>
      </c>
      <c r="K526">
        <f>IF(J526="","",SUMPRODUCT(($A$2:$A$636=1)*($G$2:$G$636=J526)))</f>
        <v/>
      </c>
      <c r="L526">
        <f>IF(J526="","",SUMPRODUCT(($A$2:$A$636=1)*($G$2:$G$636=J526)*(ISNUMBER($B$2:$B$636))*($B$2:$B$636&lt;0.5)))</f>
        <v/>
      </c>
      <c r="M526">
        <f>IFERROR(L526/K526,"")</f>
        <v/>
      </c>
      <c r="N526">
        <f>IF(K526="","",M526+K526/100000+ROW()/100000000)</f>
        <v/>
      </c>
      <c r="R526">
        <f>IF(A526=1,IFERROR(I526,0)+ROW()/100000000,-1E+99)</f>
        <v/>
      </c>
      <c r="S526">
        <f>IF(A526=1,IFERROR(Raw_data!$T526,""),"")</f>
        <v/>
      </c>
      <c r="T526">
        <f>IF(A526=1,IFERROR(Raw_data!$AA526,""),"")</f>
        <v/>
      </c>
      <c r="U526">
        <f>IF(A526=1,IFERROR(Raw_data!$U526,""),"")</f>
        <v/>
      </c>
      <c r="V526">
        <f>IF(A526=1,IFERROR(Raw_data!$AB526,""),"")</f>
        <v/>
      </c>
    </row>
    <row r="527">
      <c r="A527">
        <f>--(AND(OR(Dashboard!$B$4="All",Raw_data!$AL527=Dashboard!$B$4),OR(Dashboard!$B$5="All",Raw_data!$AM527=Dashboard!$B$5),OR(Dashboard!$B$6="All",Raw_data!$AN527=Dashboard!$B$6),OR(Dashboard!$B$7="All",Raw_data!$AO527=Dashboard!$B$7),OR(Dashboard!$B$8="All",Raw_data!$AP527=Dashboard!$B$8),OR(Dashboard!$B$9="All",Raw_data!$AQ527=Dashboard!$B$9),OR(Dashboard!$B$10="All",Raw_data!$AF527=Dashboard!$B$10),OR(Raw_data!$F527="",Raw_data!$F527&lt;=TODAY())))</f>
        <v/>
      </c>
      <c r="B527">
        <f>IFERROR(IF(Dashboard!$B$3="Weighted",Raw_data!$U527,Raw_data!$T527),"")</f>
        <v/>
      </c>
      <c r="C527">
        <f>IFERROR(IF(Dashboard!$B$3="Weighted",Raw_data!$AB527,Raw_data!$AA527),"")</f>
        <v/>
      </c>
      <c r="D527">
        <f>IF(OR(Raw_data!$J527="",Raw_data!$J527&lt;=0,Raw_data!$K527=""),"",IF(Raw_data!$K527&gt;TODAY(),0,DATEDIF(Raw_data!$K527,TODAY(),"M")))</f>
        <v/>
      </c>
      <c r="E527">
        <f>--(AND(Raw_data!$AF527="No",OR(Raw_data!$AG527&lt;&gt;"",Raw_data!$AJ527&gt;0,Raw_data!$AK527&lt;&gt;"")))</f>
        <v/>
      </c>
      <c r="F527">
        <f>--(OR(AND(ISNUMBER(B527),B527&lt;0.5,OR(D527&gt;=24,Raw_data!$I527&gt;0)),Raw_data!$AE527=TRUE))</f>
        <v/>
      </c>
      <c r="G527">
        <f>IF(Dashboard!$B$11="Department",Raw_data!$AL527,IF(Dashboard!$B$11="Team",Raw_data!$AM527,IF(Dashboard!$B$11="Unit",Raw_data!$AN527,IF(Dashboard!$B$11="Legal entity",Raw_data!$AO527,IF(Dashboard!$B$11="Location",Raw_data!$AP527,Raw_data!$AQ527)))))</f>
        <v/>
      </c>
      <c r="H527">
        <f>--(AND(ISNUMBER(B527),B527&lt;0.5))</f>
        <v/>
      </c>
      <c r="I527">
        <f>IFERROR(MAX(0,(0.5-B527)*100),0)+IF(D527&gt;=24,20,0)+IF(Raw_data!$I527&gt;0,20,0)+IF(Raw_data!$AE527=TRUE,10,0)</f>
        <v/>
      </c>
      <c r="J527">
        <f>IFERROR(CHOOSE(MATCH(Dashboard!$B$11,{"Department","Team","Unit","Legal entity","Location","Lead"},0),INDEX(Lists!$B$3:$B$20,ROW()-1),INDEX(Lists!$C$3:$C$146,ROW()-1),INDEX(Lists!$D$3:$D$67,ROW()-1),INDEX(Lists!$E$3:$E$5,ROW()-1),INDEX(Lists!$F$3:$F$12,ROW()-1),INDEX(Lists!$G$3:$G$126,ROW()-1)),"")</f>
        <v/>
      </c>
      <c r="K527">
        <f>IF(J527="","",SUMPRODUCT(($A$2:$A$636=1)*($G$2:$G$636=J527)))</f>
        <v/>
      </c>
      <c r="L527">
        <f>IF(J527="","",SUMPRODUCT(($A$2:$A$636=1)*($G$2:$G$636=J527)*(ISNUMBER($B$2:$B$636))*($B$2:$B$636&lt;0.5)))</f>
        <v/>
      </c>
      <c r="M527">
        <f>IFERROR(L527/K527,"")</f>
        <v/>
      </c>
      <c r="N527">
        <f>IF(K527="","",M527+K527/100000+ROW()/100000000)</f>
        <v/>
      </c>
      <c r="R527">
        <f>IF(A527=1,IFERROR(I527,0)+ROW()/100000000,-1E+99)</f>
        <v/>
      </c>
      <c r="S527">
        <f>IF(A527=1,IFERROR(Raw_data!$T527,""),"")</f>
        <v/>
      </c>
      <c r="T527">
        <f>IF(A527=1,IFERROR(Raw_data!$AA527,""),"")</f>
        <v/>
      </c>
      <c r="U527">
        <f>IF(A527=1,IFERROR(Raw_data!$U527,""),"")</f>
        <v/>
      </c>
      <c r="V527">
        <f>IF(A527=1,IFERROR(Raw_data!$AB527,""),"")</f>
        <v/>
      </c>
    </row>
    <row r="528">
      <c r="A528">
        <f>--(AND(OR(Dashboard!$B$4="All",Raw_data!$AL528=Dashboard!$B$4),OR(Dashboard!$B$5="All",Raw_data!$AM528=Dashboard!$B$5),OR(Dashboard!$B$6="All",Raw_data!$AN528=Dashboard!$B$6),OR(Dashboard!$B$7="All",Raw_data!$AO528=Dashboard!$B$7),OR(Dashboard!$B$8="All",Raw_data!$AP528=Dashboard!$B$8),OR(Dashboard!$B$9="All",Raw_data!$AQ528=Dashboard!$B$9),OR(Dashboard!$B$10="All",Raw_data!$AF528=Dashboard!$B$10),OR(Raw_data!$F528="",Raw_data!$F528&lt;=TODAY())))</f>
        <v/>
      </c>
      <c r="B528">
        <f>IFERROR(IF(Dashboard!$B$3="Weighted",Raw_data!$U528,Raw_data!$T528),"")</f>
        <v/>
      </c>
      <c r="C528">
        <f>IFERROR(IF(Dashboard!$B$3="Weighted",Raw_data!$AB528,Raw_data!$AA528),"")</f>
        <v/>
      </c>
      <c r="D528">
        <f>IF(OR(Raw_data!$J528="",Raw_data!$J528&lt;=0,Raw_data!$K528=""),"",IF(Raw_data!$K528&gt;TODAY(),0,DATEDIF(Raw_data!$K528,TODAY(),"M")))</f>
        <v/>
      </c>
      <c r="E528">
        <f>--(AND(Raw_data!$AF528="No",OR(Raw_data!$AG528&lt;&gt;"",Raw_data!$AJ528&gt;0,Raw_data!$AK528&lt;&gt;"")))</f>
        <v/>
      </c>
      <c r="F528">
        <f>--(OR(AND(ISNUMBER(B528),B528&lt;0.5,OR(D528&gt;=24,Raw_data!$I528&gt;0)),Raw_data!$AE528=TRUE))</f>
        <v/>
      </c>
      <c r="G528">
        <f>IF(Dashboard!$B$11="Department",Raw_data!$AL528,IF(Dashboard!$B$11="Team",Raw_data!$AM528,IF(Dashboard!$B$11="Unit",Raw_data!$AN528,IF(Dashboard!$B$11="Legal entity",Raw_data!$AO528,IF(Dashboard!$B$11="Location",Raw_data!$AP528,Raw_data!$AQ528)))))</f>
        <v/>
      </c>
      <c r="H528">
        <f>--(AND(ISNUMBER(B528),B528&lt;0.5))</f>
        <v/>
      </c>
      <c r="I528">
        <f>IFERROR(MAX(0,(0.5-B528)*100),0)+IF(D528&gt;=24,20,0)+IF(Raw_data!$I528&gt;0,20,0)+IF(Raw_data!$AE528=TRUE,10,0)</f>
        <v/>
      </c>
      <c r="J528">
        <f>IFERROR(CHOOSE(MATCH(Dashboard!$B$11,{"Department","Team","Unit","Legal entity","Location","Lead"},0),INDEX(Lists!$B$3:$B$20,ROW()-1),INDEX(Lists!$C$3:$C$146,ROW()-1),INDEX(Lists!$D$3:$D$67,ROW()-1),INDEX(Lists!$E$3:$E$5,ROW()-1),INDEX(Lists!$F$3:$F$12,ROW()-1),INDEX(Lists!$G$3:$G$126,ROW()-1)),"")</f>
        <v/>
      </c>
      <c r="K528">
        <f>IF(J528="","",SUMPRODUCT(($A$2:$A$636=1)*($G$2:$G$636=J528)))</f>
        <v/>
      </c>
      <c r="L528">
        <f>IF(J528="","",SUMPRODUCT(($A$2:$A$636=1)*($G$2:$G$636=J528)*(ISNUMBER($B$2:$B$636))*($B$2:$B$636&lt;0.5)))</f>
        <v/>
      </c>
      <c r="M528">
        <f>IFERROR(L528/K528,"")</f>
        <v/>
      </c>
      <c r="N528">
        <f>IF(K528="","",M528+K528/100000+ROW()/100000000)</f>
        <v/>
      </c>
      <c r="R528">
        <f>IF(A528=1,IFERROR(I528,0)+ROW()/100000000,-1E+99)</f>
        <v/>
      </c>
      <c r="S528">
        <f>IF(A528=1,IFERROR(Raw_data!$T528,""),"")</f>
        <v/>
      </c>
      <c r="T528">
        <f>IF(A528=1,IFERROR(Raw_data!$AA528,""),"")</f>
        <v/>
      </c>
      <c r="U528">
        <f>IF(A528=1,IFERROR(Raw_data!$U528,""),"")</f>
        <v/>
      </c>
      <c r="V528">
        <f>IF(A528=1,IFERROR(Raw_data!$AB528,""),"")</f>
        <v/>
      </c>
    </row>
    <row r="529">
      <c r="A529">
        <f>--(AND(OR(Dashboard!$B$4="All",Raw_data!$AL529=Dashboard!$B$4),OR(Dashboard!$B$5="All",Raw_data!$AM529=Dashboard!$B$5),OR(Dashboard!$B$6="All",Raw_data!$AN529=Dashboard!$B$6),OR(Dashboard!$B$7="All",Raw_data!$AO529=Dashboard!$B$7),OR(Dashboard!$B$8="All",Raw_data!$AP529=Dashboard!$B$8),OR(Dashboard!$B$9="All",Raw_data!$AQ529=Dashboard!$B$9),OR(Dashboard!$B$10="All",Raw_data!$AF529=Dashboard!$B$10),OR(Raw_data!$F529="",Raw_data!$F529&lt;=TODAY())))</f>
        <v/>
      </c>
      <c r="B529">
        <f>IFERROR(IF(Dashboard!$B$3="Weighted",Raw_data!$U529,Raw_data!$T529),"")</f>
        <v/>
      </c>
      <c r="C529">
        <f>IFERROR(IF(Dashboard!$B$3="Weighted",Raw_data!$AB529,Raw_data!$AA529),"")</f>
        <v/>
      </c>
      <c r="D529">
        <f>IF(OR(Raw_data!$J529="",Raw_data!$J529&lt;=0,Raw_data!$K529=""),"",IF(Raw_data!$K529&gt;TODAY(),0,DATEDIF(Raw_data!$K529,TODAY(),"M")))</f>
        <v/>
      </c>
      <c r="E529">
        <f>--(AND(Raw_data!$AF529="No",OR(Raw_data!$AG529&lt;&gt;"",Raw_data!$AJ529&gt;0,Raw_data!$AK529&lt;&gt;"")))</f>
        <v/>
      </c>
      <c r="F529">
        <f>--(OR(AND(ISNUMBER(B529),B529&lt;0.5,OR(D529&gt;=24,Raw_data!$I529&gt;0)),Raw_data!$AE529=TRUE))</f>
        <v/>
      </c>
      <c r="G529">
        <f>IF(Dashboard!$B$11="Department",Raw_data!$AL529,IF(Dashboard!$B$11="Team",Raw_data!$AM529,IF(Dashboard!$B$11="Unit",Raw_data!$AN529,IF(Dashboard!$B$11="Legal entity",Raw_data!$AO529,IF(Dashboard!$B$11="Location",Raw_data!$AP529,Raw_data!$AQ529)))))</f>
        <v/>
      </c>
      <c r="H529">
        <f>--(AND(ISNUMBER(B529),B529&lt;0.5))</f>
        <v/>
      </c>
      <c r="I529">
        <f>IFERROR(MAX(0,(0.5-B529)*100),0)+IF(D529&gt;=24,20,0)+IF(Raw_data!$I529&gt;0,20,0)+IF(Raw_data!$AE529=TRUE,10,0)</f>
        <v/>
      </c>
      <c r="J529">
        <f>IFERROR(CHOOSE(MATCH(Dashboard!$B$11,{"Department","Team","Unit","Legal entity","Location","Lead"},0),INDEX(Lists!$B$3:$B$20,ROW()-1),INDEX(Lists!$C$3:$C$146,ROW()-1),INDEX(Lists!$D$3:$D$67,ROW()-1),INDEX(Lists!$E$3:$E$5,ROW()-1),INDEX(Lists!$F$3:$F$12,ROW()-1),INDEX(Lists!$G$3:$G$126,ROW()-1)),"")</f>
        <v/>
      </c>
      <c r="K529">
        <f>IF(J529="","",SUMPRODUCT(($A$2:$A$636=1)*($G$2:$G$636=J529)))</f>
        <v/>
      </c>
      <c r="L529">
        <f>IF(J529="","",SUMPRODUCT(($A$2:$A$636=1)*($G$2:$G$636=J529)*(ISNUMBER($B$2:$B$636))*($B$2:$B$636&lt;0.5)))</f>
        <v/>
      </c>
      <c r="M529">
        <f>IFERROR(L529/K529,"")</f>
        <v/>
      </c>
      <c r="N529">
        <f>IF(K529="","",M529+K529/100000+ROW()/100000000)</f>
        <v/>
      </c>
      <c r="R529">
        <f>IF(A529=1,IFERROR(I529,0)+ROW()/100000000,-1E+99)</f>
        <v/>
      </c>
      <c r="S529">
        <f>IF(A529=1,IFERROR(Raw_data!$T529,""),"")</f>
        <v/>
      </c>
      <c r="T529">
        <f>IF(A529=1,IFERROR(Raw_data!$AA529,""),"")</f>
        <v/>
      </c>
      <c r="U529">
        <f>IF(A529=1,IFERROR(Raw_data!$U529,""),"")</f>
        <v/>
      </c>
      <c r="V529">
        <f>IF(A529=1,IFERROR(Raw_data!$AB529,""),"")</f>
        <v/>
      </c>
    </row>
    <row r="530">
      <c r="A530">
        <f>--(AND(OR(Dashboard!$B$4="All",Raw_data!$AL530=Dashboard!$B$4),OR(Dashboard!$B$5="All",Raw_data!$AM530=Dashboard!$B$5),OR(Dashboard!$B$6="All",Raw_data!$AN530=Dashboard!$B$6),OR(Dashboard!$B$7="All",Raw_data!$AO530=Dashboard!$B$7),OR(Dashboard!$B$8="All",Raw_data!$AP530=Dashboard!$B$8),OR(Dashboard!$B$9="All",Raw_data!$AQ530=Dashboard!$B$9),OR(Dashboard!$B$10="All",Raw_data!$AF530=Dashboard!$B$10),OR(Raw_data!$F530="",Raw_data!$F530&lt;=TODAY())))</f>
        <v/>
      </c>
      <c r="B530">
        <f>IFERROR(IF(Dashboard!$B$3="Weighted",Raw_data!$U530,Raw_data!$T530),"")</f>
        <v/>
      </c>
      <c r="C530">
        <f>IFERROR(IF(Dashboard!$B$3="Weighted",Raw_data!$AB530,Raw_data!$AA530),"")</f>
        <v/>
      </c>
      <c r="D530">
        <f>IF(OR(Raw_data!$J530="",Raw_data!$J530&lt;=0,Raw_data!$K530=""),"",IF(Raw_data!$K530&gt;TODAY(),0,DATEDIF(Raw_data!$K530,TODAY(),"M")))</f>
        <v/>
      </c>
      <c r="E530">
        <f>--(AND(Raw_data!$AF530="No",OR(Raw_data!$AG530&lt;&gt;"",Raw_data!$AJ530&gt;0,Raw_data!$AK530&lt;&gt;"")))</f>
        <v/>
      </c>
      <c r="F530">
        <f>--(OR(AND(ISNUMBER(B530),B530&lt;0.5,OR(D530&gt;=24,Raw_data!$I530&gt;0)),Raw_data!$AE530=TRUE))</f>
        <v/>
      </c>
      <c r="G530">
        <f>IF(Dashboard!$B$11="Department",Raw_data!$AL530,IF(Dashboard!$B$11="Team",Raw_data!$AM530,IF(Dashboard!$B$11="Unit",Raw_data!$AN530,IF(Dashboard!$B$11="Legal entity",Raw_data!$AO530,IF(Dashboard!$B$11="Location",Raw_data!$AP530,Raw_data!$AQ530)))))</f>
        <v/>
      </c>
      <c r="H530">
        <f>--(AND(ISNUMBER(B530),B530&lt;0.5))</f>
        <v/>
      </c>
      <c r="I530">
        <f>IFERROR(MAX(0,(0.5-B530)*100),0)+IF(D530&gt;=24,20,0)+IF(Raw_data!$I530&gt;0,20,0)+IF(Raw_data!$AE530=TRUE,10,0)</f>
        <v/>
      </c>
      <c r="J530">
        <f>IFERROR(CHOOSE(MATCH(Dashboard!$B$11,{"Department","Team","Unit","Legal entity","Location","Lead"},0),INDEX(Lists!$B$3:$B$20,ROW()-1),INDEX(Lists!$C$3:$C$146,ROW()-1),INDEX(Lists!$D$3:$D$67,ROW()-1),INDEX(Lists!$E$3:$E$5,ROW()-1),INDEX(Lists!$F$3:$F$12,ROW()-1),INDEX(Lists!$G$3:$G$126,ROW()-1)),"")</f>
        <v/>
      </c>
      <c r="K530">
        <f>IF(J530="","",SUMPRODUCT(($A$2:$A$636=1)*($G$2:$G$636=J530)))</f>
        <v/>
      </c>
      <c r="L530">
        <f>IF(J530="","",SUMPRODUCT(($A$2:$A$636=1)*($G$2:$G$636=J530)*(ISNUMBER($B$2:$B$636))*($B$2:$B$636&lt;0.5)))</f>
        <v/>
      </c>
      <c r="M530">
        <f>IFERROR(L530/K530,"")</f>
        <v/>
      </c>
      <c r="N530">
        <f>IF(K530="","",M530+K530/100000+ROW()/100000000)</f>
        <v/>
      </c>
      <c r="R530">
        <f>IF(A530=1,IFERROR(I530,0)+ROW()/100000000,-1E+99)</f>
        <v/>
      </c>
      <c r="S530">
        <f>IF(A530=1,IFERROR(Raw_data!$T530,""),"")</f>
        <v/>
      </c>
      <c r="T530">
        <f>IF(A530=1,IFERROR(Raw_data!$AA530,""),"")</f>
        <v/>
      </c>
      <c r="U530">
        <f>IF(A530=1,IFERROR(Raw_data!$U530,""),"")</f>
        <v/>
      </c>
      <c r="V530">
        <f>IF(A530=1,IFERROR(Raw_data!$AB530,""),"")</f>
        <v/>
      </c>
    </row>
    <row r="531">
      <c r="A531">
        <f>--(AND(OR(Dashboard!$B$4="All",Raw_data!$AL531=Dashboard!$B$4),OR(Dashboard!$B$5="All",Raw_data!$AM531=Dashboard!$B$5),OR(Dashboard!$B$6="All",Raw_data!$AN531=Dashboard!$B$6),OR(Dashboard!$B$7="All",Raw_data!$AO531=Dashboard!$B$7),OR(Dashboard!$B$8="All",Raw_data!$AP531=Dashboard!$B$8),OR(Dashboard!$B$9="All",Raw_data!$AQ531=Dashboard!$B$9),OR(Dashboard!$B$10="All",Raw_data!$AF531=Dashboard!$B$10),OR(Raw_data!$F531="",Raw_data!$F531&lt;=TODAY())))</f>
        <v/>
      </c>
      <c r="B531">
        <f>IFERROR(IF(Dashboard!$B$3="Weighted",Raw_data!$U531,Raw_data!$T531),"")</f>
        <v/>
      </c>
      <c r="C531">
        <f>IFERROR(IF(Dashboard!$B$3="Weighted",Raw_data!$AB531,Raw_data!$AA531),"")</f>
        <v/>
      </c>
      <c r="D531">
        <f>IF(OR(Raw_data!$J531="",Raw_data!$J531&lt;=0,Raw_data!$K531=""),"",IF(Raw_data!$K531&gt;TODAY(),0,DATEDIF(Raw_data!$K531,TODAY(),"M")))</f>
        <v/>
      </c>
      <c r="E531">
        <f>--(AND(Raw_data!$AF531="No",OR(Raw_data!$AG531&lt;&gt;"",Raw_data!$AJ531&gt;0,Raw_data!$AK531&lt;&gt;"")))</f>
        <v/>
      </c>
      <c r="F531">
        <f>--(OR(AND(ISNUMBER(B531),B531&lt;0.5,OR(D531&gt;=24,Raw_data!$I531&gt;0)),Raw_data!$AE531=TRUE))</f>
        <v/>
      </c>
      <c r="G531">
        <f>IF(Dashboard!$B$11="Department",Raw_data!$AL531,IF(Dashboard!$B$11="Team",Raw_data!$AM531,IF(Dashboard!$B$11="Unit",Raw_data!$AN531,IF(Dashboard!$B$11="Legal entity",Raw_data!$AO531,IF(Dashboard!$B$11="Location",Raw_data!$AP531,Raw_data!$AQ531)))))</f>
        <v/>
      </c>
      <c r="H531">
        <f>--(AND(ISNUMBER(B531),B531&lt;0.5))</f>
        <v/>
      </c>
      <c r="I531">
        <f>IFERROR(MAX(0,(0.5-B531)*100),0)+IF(D531&gt;=24,20,0)+IF(Raw_data!$I531&gt;0,20,0)+IF(Raw_data!$AE531=TRUE,10,0)</f>
        <v/>
      </c>
      <c r="J531">
        <f>IFERROR(CHOOSE(MATCH(Dashboard!$B$11,{"Department","Team","Unit","Legal entity","Location","Lead"},0),INDEX(Lists!$B$3:$B$20,ROW()-1),INDEX(Lists!$C$3:$C$146,ROW()-1),INDEX(Lists!$D$3:$D$67,ROW()-1),INDEX(Lists!$E$3:$E$5,ROW()-1),INDEX(Lists!$F$3:$F$12,ROW()-1),INDEX(Lists!$G$3:$G$126,ROW()-1)),"")</f>
        <v/>
      </c>
      <c r="K531">
        <f>IF(J531="","",SUMPRODUCT(($A$2:$A$636=1)*($G$2:$G$636=J531)))</f>
        <v/>
      </c>
      <c r="L531">
        <f>IF(J531="","",SUMPRODUCT(($A$2:$A$636=1)*($G$2:$G$636=J531)*(ISNUMBER($B$2:$B$636))*($B$2:$B$636&lt;0.5)))</f>
        <v/>
      </c>
      <c r="M531">
        <f>IFERROR(L531/K531,"")</f>
        <v/>
      </c>
      <c r="N531">
        <f>IF(K531="","",M531+K531/100000+ROW()/100000000)</f>
        <v/>
      </c>
      <c r="R531">
        <f>IF(A531=1,IFERROR(I531,0)+ROW()/100000000,-1E+99)</f>
        <v/>
      </c>
      <c r="S531">
        <f>IF(A531=1,IFERROR(Raw_data!$T531,""),"")</f>
        <v/>
      </c>
      <c r="T531">
        <f>IF(A531=1,IFERROR(Raw_data!$AA531,""),"")</f>
        <v/>
      </c>
      <c r="U531">
        <f>IF(A531=1,IFERROR(Raw_data!$U531,""),"")</f>
        <v/>
      </c>
      <c r="V531">
        <f>IF(A531=1,IFERROR(Raw_data!$AB531,""),"")</f>
        <v/>
      </c>
    </row>
    <row r="532">
      <c r="A532">
        <f>--(AND(OR(Dashboard!$B$4="All",Raw_data!$AL532=Dashboard!$B$4),OR(Dashboard!$B$5="All",Raw_data!$AM532=Dashboard!$B$5),OR(Dashboard!$B$6="All",Raw_data!$AN532=Dashboard!$B$6),OR(Dashboard!$B$7="All",Raw_data!$AO532=Dashboard!$B$7),OR(Dashboard!$B$8="All",Raw_data!$AP532=Dashboard!$B$8),OR(Dashboard!$B$9="All",Raw_data!$AQ532=Dashboard!$B$9),OR(Dashboard!$B$10="All",Raw_data!$AF532=Dashboard!$B$10),OR(Raw_data!$F532="",Raw_data!$F532&lt;=TODAY())))</f>
        <v/>
      </c>
      <c r="B532">
        <f>IFERROR(IF(Dashboard!$B$3="Weighted",Raw_data!$U532,Raw_data!$T532),"")</f>
        <v/>
      </c>
      <c r="C532">
        <f>IFERROR(IF(Dashboard!$B$3="Weighted",Raw_data!$AB532,Raw_data!$AA532),"")</f>
        <v/>
      </c>
      <c r="D532">
        <f>IF(OR(Raw_data!$J532="",Raw_data!$J532&lt;=0,Raw_data!$K532=""),"",IF(Raw_data!$K532&gt;TODAY(),0,DATEDIF(Raw_data!$K532,TODAY(),"M")))</f>
        <v/>
      </c>
      <c r="E532">
        <f>--(AND(Raw_data!$AF532="No",OR(Raw_data!$AG532&lt;&gt;"",Raw_data!$AJ532&gt;0,Raw_data!$AK532&lt;&gt;"")))</f>
        <v/>
      </c>
      <c r="F532">
        <f>--(OR(AND(ISNUMBER(B532),B532&lt;0.5,OR(D532&gt;=24,Raw_data!$I532&gt;0)),Raw_data!$AE532=TRUE))</f>
        <v/>
      </c>
      <c r="G532">
        <f>IF(Dashboard!$B$11="Department",Raw_data!$AL532,IF(Dashboard!$B$11="Team",Raw_data!$AM532,IF(Dashboard!$B$11="Unit",Raw_data!$AN532,IF(Dashboard!$B$11="Legal entity",Raw_data!$AO532,IF(Dashboard!$B$11="Location",Raw_data!$AP532,Raw_data!$AQ532)))))</f>
        <v/>
      </c>
      <c r="H532">
        <f>--(AND(ISNUMBER(B532),B532&lt;0.5))</f>
        <v/>
      </c>
      <c r="I532">
        <f>IFERROR(MAX(0,(0.5-B532)*100),0)+IF(D532&gt;=24,20,0)+IF(Raw_data!$I532&gt;0,20,0)+IF(Raw_data!$AE532=TRUE,10,0)</f>
        <v/>
      </c>
      <c r="J532">
        <f>IFERROR(CHOOSE(MATCH(Dashboard!$B$11,{"Department","Team","Unit","Legal entity","Location","Lead"},0),INDEX(Lists!$B$3:$B$20,ROW()-1),INDEX(Lists!$C$3:$C$146,ROW()-1),INDEX(Lists!$D$3:$D$67,ROW()-1),INDEX(Lists!$E$3:$E$5,ROW()-1),INDEX(Lists!$F$3:$F$12,ROW()-1),INDEX(Lists!$G$3:$G$126,ROW()-1)),"")</f>
        <v/>
      </c>
      <c r="K532">
        <f>IF(J532="","",SUMPRODUCT(($A$2:$A$636=1)*($G$2:$G$636=J532)))</f>
        <v/>
      </c>
      <c r="L532">
        <f>IF(J532="","",SUMPRODUCT(($A$2:$A$636=1)*($G$2:$G$636=J532)*(ISNUMBER($B$2:$B$636))*($B$2:$B$636&lt;0.5)))</f>
        <v/>
      </c>
      <c r="M532">
        <f>IFERROR(L532/K532,"")</f>
        <v/>
      </c>
      <c r="N532">
        <f>IF(K532="","",M532+K532/100000+ROW()/100000000)</f>
        <v/>
      </c>
      <c r="R532">
        <f>IF(A532=1,IFERROR(I532,0)+ROW()/100000000,-1E+99)</f>
        <v/>
      </c>
      <c r="S532">
        <f>IF(A532=1,IFERROR(Raw_data!$T532,""),"")</f>
        <v/>
      </c>
      <c r="T532">
        <f>IF(A532=1,IFERROR(Raw_data!$AA532,""),"")</f>
        <v/>
      </c>
      <c r="U532">
        <f>IF(A532=1,IFERROR(Raw_data!$U532,""),"")</f>
        <v/>
      </c>
      <c r="V532">
        <f>IF(A532=1,IFERROR(Raw_data!$AB532,""),"")</f>
        <v/>
      </c>
    </row>
    <row r="533">
      <c r="A533">
        <f>--(AND(OR(Dashboard!$B$4="All",Raw_data!$AL533=Dashboard!$B$4),OR(Dashboard!$B$5="All",Raw_data!$AM533=Dashboard!$B$5),OR(Dashboard!$B$6="All",Raw_data!$AN533=Dashboard!$B$6),OR(Dashboard!$B$7="All",Raw_data!$AO533=Dashboard!$B$7),OR(Dashboard!$B$8="All",Raw_data!$AP533=Dashboard!$B$8),OR(Dashboard!$B$9="All",Raw_data!$AQ533=Dashboard!$B$9),OR(Dashboard!$B$10="All",Raw_data!$AF533=Dashboard!$B$10),OR(Raw_data!$F533="",Raw_data!$F533&lt;=TODAY())))</f>
        <v/>
      </c>
      <c r="B533">
        <f>IFERROR(IF(Dashboard!$B$3="Weighted",Raw_data!$U533,Raw_data!$T533),"")</f>
        <v/>
      </c>
      <c r="C533">
        <f>IFERROR(IF(Dashboard!$B$3="Weighted",Raw_data!$AB533,Raw_data!$AA533),"")</f>
        <v/>
      </c>
      <c r="D533">
        <f>IF(OR(Raw_data!$J533="",Raw_data!$J533&lt;=0,Raw_data!$K533=""),"",IF(Raw_data!$K533&gt;TODAY(),0,DATEDIF(Raw_data!$K533,TODAY(),"M")))</f>
        <v/>
      </c>
      <c r="E533">
        <f>--(AND(Raw_data!$AF533="No",OR(Raw_data!$AG533&lt;&gt;"",Raw_data!$AJ533&gt;0,Raw_data!$AK533&lt;&gt;"")))</f>
        <v/>
      </c>
      <c r="F533">
        <f>--(OR(AND(ISNUMBER(B533),B533&lt;0.5,OR(D533&gt;=24,Raw_data!$I533&gt;0)),Raw_data!$AE533=TRUE))</f>
        <v/>
      </c>
      <c r="G533">
        <f>IF(Dashboard!$B$11="Department",Raw_data!$AL533,IF(Dashboard!$B$11="Team",Raw_data!$AM533,IF(Dashboard!$B$11="Unit",Raw_data!$AN533,IF(Dashboard!$B$11="Legal entity",Raw_data!$AO533,IF(Dashboard!$B$11="Location",Raw_data!$AP533,Raw_data!$AQ533)))))</f>
        <v/>
      </c>
      <c r="H533">
        <f>--(AND(ISNUMBER(B533),B533&lt;0.5))</f>
        <v/>
      </c>
      <c r="I533">
        <f>IFERROR(MAX(0,(0.5-B533)*100),0)+IF(D533&gt;=24,20,0)+IF(Raw_data!$I533&gt;0,20,0)+IF(Raw_data!$AE533=TRUE,10,0)</f>
        <v/>
      </c>
      <c r="J533">
        <f>IFERROR(CHOOSE(MATCH(Dashboard!$B$11,{"Department","Team","Unit","Legal entity","Location","Lead"},0),INDEX(Lists!$B$3:$B$20,ROW()-1),INDEX(Lists!$C$3:$C$146,ROW()-1),INDEX(Lists!$D$3:$D$67,ROW()-1),INDEX(Lists!$E$3:$E$5,ROW()-1),INDEX(Lists!$F$3:$F$12,ROW()-1),INDEX(Lists!$G$3:$G$126,ROW()-1)),"")</f>
        <v/>
      </c>
      <c r="K533">
        <f>IF(J533="","",SUMPRODUCT(($A$2:$A$636=1)*($G$2:$G$636=J533)))</f>
        <v/>
      </c>
      <c r="L533">
        <f>IF(J533="","",SUMPRODUCT(($A$2:$A$636=1)*($G$2:$G$636=J533)*(ISNUMBER($B$2:$B$636))*($B$2:$B$636&lt;0.5)))</f>
        <v/>
      </c>
      <c r="M533">
        <f>IFERROR(L533/K533,"")</f>
        <v/>
      </c>
      <c r="N533">
        <f>IF(K533="","",M533+K533/100000+ROW()/100000000)</f>
        <v/>
      </c>
      <c r="R533">
        <f>IF(A533=1,IFERROR(I533,0)+ROW()/100000000,-1E+99)</f>
        <v/>
      </c>
      <c r="S533">
        <f>IF(A533=1,IFERROR(Raw_data!$T533,""),"")</f>
        <v/>
      </c>
      <c r="T533">
        <f>IF(A533=1,IFERROR(Raw_data!$AA533,""),"")</f>
        <v/>
      </c>
      <c r="U533">
        <f>IF(A533=1,IFERROR(Raw_data!$U533,""),"")</f>
        <v/>
      </c>
      <c r="V533">
        <f>IF(A533=1,IFERROR(Raw_data!$AB533,""),"")</f>
        <v/>
      </c>
    </row>
    <row r="534">
      <c r="A534">
        <f>--(AND(OR(Dashboard!$B$4="All",Raw_data!$AL534=Dashboard!$B$4),OR(Dashboard!$B$5="All",Raw_data!$AM534=Dashboard!$B$5),OR(Dashboard!$B$6="All",Raw_data!$AN534=Dashboard!$B$6),OR(Dashboard!$B$7="All",Raw_data!$AO534=Dashboard!$B$7),OR(Dashboard!$B$8="All",Raw_data!$AP534=Dashboard!$B$8),OR(Dashboard!$B$9="All",Raw_data!$AQ534=Dashboard!$B$9),OR(Dashboard!$B$10="All",Raw_data!$AF534=Dashboard!$B$10),OR(Raw_data!$F534="",Raw_data!$F534&lt;=TODAY())))</f>
        <v/>
      </c>
      <c r="B534">
        <f>IFERROR(IF(Dashboard!$B$3="Weighted",Raw_data!$U534,Raw_data!$T534),"")</f>
        <v/>
      </c>
      <c r="C534">
        <f>IFERROR(IF(Dashboard!$B$3="Weighted",Raw_data!$AB534,Raw_data!$AA534),"")</f>
        <v/>
      </c>
      <c r="D534">
        <f>IF(OR(Raw_data!$J534="",Raw_data!$J534&lt;=0,Raw_data!$K534=""),"",IF(Raw_data!$K534&gt;TODAY(),0,DATEDIF(Raw_data!$K534,TODAY(),"M")))</f>
        <v/>
      </c>
      <c r="E534">
        <f>--(AND(Raw_data!$AF534="No",OR(Raw_data!$AG534&lt;&gt;"",Raw_data!$AJ534&gt;0,Raw_data!$AK534&lt;&gt;"")))</f>
        <v/>
      </c>
      <c r="F534">
        <f>--(OR(AND(ISNUMBER(B534),B534&lt;0.5,OR(D534&gt;=24,Raw_data!$I534&gt;0)),Raw_data!$AE534=TRUE))</f>
        <v/>
      </c>
      <c r="G534">
        <f>IF(Dashboard!$B$11="Department",Raw_data!$AL534,IF(Dashboard!$B$11="Team",Raw_data!$AM534,IF(Dashboard!$B$11="Unit",Raw_data!$AN534,IF(Dashboard!$B$11="Legal entity",Raw_data!$AO534,IF(Dashboard!$B$11="Location",Raw_data!$AP534,Raw_data!$AQ534)))))</f>
        <v/>
      </c>
      <c r="H534">
        <f>--(AND(ISNUMBER(B534),B534&lt;0.5))</f>
        <v/>
      </c>
      <c r="I534">
        <f>IFERROR(MAX(0,(0.5-B534)*100),0)+IF(D534&gt;=24,20,0)+IF(Raw_data!$I534&gt;0,20,0)+IF(Raw_data!$AE534=TRUE,10,0)</f>
        <v/>
      </c>
      <c r="J534">
        <f>IFERROR(CHOOSE(MATCH(Dashboard!$B$11,{"Department","Team","Unit","Legal entity","Location","Lead"},0),INDEX(Lists!$B$3:$B$20,ROW()-1),INDEX(Lists!$C$3:$C$146,ROW()-1),INDEX(Lists!$D$3:$D$67,ROW()-1),INDEX(Lists!$E$3:$E$5,ROW()-1),INDEX(Lists!$F$3:$F$12,ROW()-1),INDEX(Lists!$G$3:$G$126,ROW()-1)),"")</f>
        <v/>
      </c>
      <c r="K534">
        <f>IF(J534="","",SUMPRODUCT(($A$2:$A$636=1)*($G$2:$G$636=J534)))</f>
        <v/>
      </c>
      <c r="L534">
        <f>IF(J534="","",SUMPRODUCT(($A$2:$A$636=1)*($G$2:$G$636=J534)*(ISNUMBER($B$2:$B$636))*($B$2:$B$636&lt;0.5)))</f>
        <v/>
      </c>
      <c r="M534">
        <f>IFERROR(L534/K534,"")</f>
        <v/>
      </c>
      <c r="N534">
        <f>IF(K534="","",M534+K534/100000+ROW()/100000000)</f>
        <v/>
      </c>
      <c r="R534">
        <f>IF(A534=1,IFERROR(I534,0)+ROW()/100000000,-1E+99)</f>
        <v/>
      </c>
      <c r="S534">
        <f>IF(A534=1,IFERROR(Raw_data!$T534,""),"")</f>
        <v/>
      </c>
      <c r="T534">
        <f>IF(A534=1,IFERROR(Raw_data!$AA534,""),"")</f>
        <v/>
      </c>
      <c r="U534">
        <f>IF(A534=1,IFERROR(Raw_data!$U534,""),"")</f>
        <v/>
      </c>
      <c r="V534">
        <f>IF(A534=1,IFERROR(Raw_data!$AB534,""),"")</f>
        <v/>
      </c>
    </row>
    <row r="535">
      <c r="A535">
        <f>--(AND(OR(Dashboard!$B$4="All",Raw_data!$AL535=Dashboard!$B$4),OR(Dashboard!$B$5="All",Raw_data!$AM535=Dashboard!$B$5),OR(Dashboard!$B$6="All",Raw_data!$AN535=Dashboard!$B$6),OR(Dashboard!$B$7="All",Raw_data!$AO535=Dashboard!$B$7),OR(Dashboard!$B$8="All",Raw_data!$AP535=Dashboard!$B$8),OR(Dashboard!$B$9="All",Raw_data!$AQ535=Dashboard!$B$9),OR(Dashboard!$B$10="All",Raw_data!$AF535=Dashboard!$B$10),OR(Raw_data!$F535="",Raw_data!$F535&lt;=TODAY())))</f>
        <v/>
      </c>
      <c r="B535">
        <f>IFERROR(IF(Dashboard!$B$3="Weighted",Raw_data!$U535,Raw_data!$T535),"")</f>
        <v/>
      </c>
      <c r="C535">
        <f>IFERROR(IF(Dashboard!$B$3="Weighted",Raw_data!$AB535,Raw_data!$AA535),"")</f>
        <v/>
      </c>
      <c r="D535">
        <f>IF(OR(Raw_data!$J535="",Raw_data!$J535&lt;=0,Raw_data!$K535=""),"",IF(Raw_data!$K535&gt;TODAY(),0,DATEDIF(Raw_data!$K535,TODAY(),"M")))</f>
        <v/>
      </c>
      <c r="E535">
        <f>--(AND(Raw_data!$AF535="No",OR(Raw_data!$AG535&lt;&gt;"",Raw_data!$AJ535&gt;0,Raw_data!$AK535&lt;&gt;"")))</f>
        <v/>
      </c>
      <c r="F535">
        <f>--(OR(AND(ISNUMBER(B535),B535&lt;0.5,OR(D535&gt;=24,Raw_data!$I535&gt;0)),Raw_data!$AE535=TRUE))</f>
        <v/>
      </c>
      <c r="G535">
        <f>IF(Dashboard!$B$11="Department",Raw_data!$AL535,IF(Dashboard!$B$11="Team",Raw_data!$AM535,IF(Dashboard!$B$11="Unit",Raw_data!$AN535,IF(Dashboard!$B$11="Legal entity",Raw_data!$AO535,IF(Dashboard!$B$11="Location",Raw_data!$AP535,Raw_data!$AQ535)))))</f>
        <v/>
      </c>
      <c r="H535">
        <f>--(AND(ISNUMBER(B535),B535&lt;0.5))</f>
        <v/>
      </c>
      <c r="I535">
        <f>IFERROR(MAX(0,(0.5-B535)*100),0)+IF(D535&gt;=24,20,0)+IF(Raw_data!$I535&gt;0,20,0)+IF(Raw_data!$AE535=TRUE,10,0)</f>
        <v/>
      </c>
      <c r="J535">
        <f>IFERROR(CHOOSE(MATCH(Dashboard!$B$11,{"Department","Team","Unit","Legal entity","Location","Lead"},0),INDEX(Lists!$B$3:$B$20,ROW()-1),INDEX(Lists!$C$3:$C$146,ROW()-1),INDEX(Lists!$D$3:$D$67,ROW()-1),INDEX(Lists!$E$3:$E$5,ROW()-1),INDEX(Lists!$F$3:$F$12,ROW()-1),INDEX(Lists!$G$3:$G$126,ROW()-1)),"")</f>
        <v/>
      </c>
      <c r="K535">
        <f>IF(J535="","",SUMPRODUCT(($A$2:$A$636=1)*($G$2:$G$636=J535)))</f>
        <v/>
      </c>
      <c r="L535">
        <f>IF(J535="","",SUMPRODUCT(($A$2:$A$636=1)*($G$2:$G$636=J535)*(ISNUMBER($B$2:$B$636))*($B$2:$B$636&lt;0.5)))</f>
        <v/>
      </c>
      <c r="M535">
        <f>IFERROR(L535/K535,"")</f>
        <v/>
      </c>
      <c r="N535">
        <f>IF(K535="","",M535+K535/100000+ROW()/100000000)</f>
        <v/>
      </c>
      <c r="R535">
        <f>IF(A535=1,IFERROR(I535,0)+ROW()/100000000,-1E+99)</f>
        <v/>
      </c>
      <c r="S535">
        <f>IF(A535=1,IFERROR(Raw_data!$T535,""),"")</f>
        <v/>
      </c>
      <c r="T535">
        <f>IF(A535=1,IFERROR(Raw_data!$AA535,""),"")</f>
        <v/>
      </c>
      <c r="U535">
        <f>IF(A535=1,IFERROR(Raw_data!$U535,""),"")</f>
        <v/>
      </c>
      <c r="V535">
        <f>IF(A535=1,IFERROR(Raw_data!$AB535,""),"")</f>
        <v/>
      </c>
    </row>
    <row r="536">
      <c r="A536">
        <f>--(AND(OR(Dashboard!$B$4="All",Raw_data!$AL536=Dashboard!$B$4),OR(Dashboard!$B$5="All",Raw_data!$AM536=Dashboard!$B$5),OR(Dashboard!$B$6="All",Raw_data!$AN536=Dashboard!$B$6),OR(Dashboard!$B$7="All",Raw_data!$AO536=Dashboard!$B$7),OR(Dashboard!$B$8="All",Raw_data!$AP536=Dashboard!$B$8),OR(Dashboard!$B$9="All",Raw_data!$AQ536=Dashboard!$B$9),OR(Dashboard!$B$10="All",Raw_data!$AF536=Dashboard!$B$10),OR(Raw_data!$F536="",Raw_data!$F536&lt;=TODAY())))</f>
        <v/>
      </c>
      <c r="B536">
        <f>IFERROR(IF(Dashboard!$B$3="Weighted",Raw_data!$U536,Raw_data!$T536),"")</f>
        <v/>
      </c>
      <c r="C536">
        <f>IFERROR(IF(Dashboard!$B$3="Weighted",Raw_data!$AB536,Raw_data!$AA536),"")</f>
        <v/>
      </c>
      <c r="D536">
        <f>IF(OR(Raw_data!$J536="",Raw_data!$J536&lt;=0,Raw_data!$K536=""),"",IF(Raw_data!$K536&gt;TODAY(),0,DATEDIF(Raw_data!$K536,TODAY(),"M")))</f>
        <v/>
      </c>
      <c r="E536">
        <f>--(AND(Raw_data!$AF536="No",OR(Raw_data!$AG536&lt;&gt;"",Raw_data!$AJ536&gt;0,Raw_data!$AK536&lt;&gt;"")))</f>
        <v/>
      </c>
      <c r="F536">
        <f>--(OR(AND(ISNUMBER(B536),B536&lt;0.5,OR(D536&gt;=24,Raw_data!$I536&gt;0)),Raw_data!$AE536=TRUE))</f>
        <v/>
      </c>
      <c r="G536">
        <f>IF(Dashboard!$B$11="Department",Raw_data!$AL536,IF(Dashboard!$B$11="Team",Raw_data!$AM536,IF(Dashboard!$B$11="Unit",Raw_data!$AN536,IF(Dashboard!$B$11="Legal entity",Raw_data!$AO536,IF(Dashboard!$B$11="Location",Raw_data!$AP536,Raw_data!$AQ536)))))</f>
        <v/>
      </c>
      <c r="H536">
        <f>--(AND(ISNUMBER(B536),B536&lt;0.5))</f>
        <v/>
      </c>
      <c r="I536">
        <f>IFERROR(MAX(0,(0.5-B536)*100),0)+IF(D536&gt;=24,20,0)+IF(Raw_data!$I536&gt;0,20,0)+IF(Raw_data!$AE536=TRUE,10,0)</f>
        <v/>
      </c>
      <c r="J536">
        <f>IFERROR(CHOOSE(MATCH(Dashboard!$B$11,{"Department","Team","Unit","Legal entity","Location","Lead"},0),INDEX(Lists!$B$3:$B$20,ROW()-1),INDEX(Lists!$C$3:$C$146,ROW()-1),INDEX(Lists!$D$3:$D$67,ROW()-1),INDEX(Lists!$E$3:$E$5,ROW()-1),INDEX(Lists!$F$3:$F$12,ROW()-1),INDEX(Lists!$G$3:$G$126,ROW()-1)),"")</f>
        <v/>
      </c>
      <c r="K536">
        <f>IF(J536="","",SUMPRODUCT(($A$2:$A$636=1)*($G$2:$G$636=J536)))</f>
        <v/>
      </c>
      <c r="L536">
        <f>IF(J536="","",SUMPRODUCT(($A$2:$A$636=1)*($G$2:$G$636=J536)*(ISNUMBER($B$2:$B$636))*($B$2:$B$636&lt;0.5)))</f>
        <v/>
      </c>
      <c r="M536">
        <f>IFERROR(L536/K536,"")</f>
        <v/>
      </c>
      <c r="N536">
        <f>IF(K536="","",M536+K536/100000+ROW()/100000000)</f>
        <v/>
      </c>
      <c r="R536">
        <f>IF(A536=1,IFERROR(I536,0)+ROW()/100000000,-1E+99)</f>
        <v/>
      </c>
      <c r="S536">
        <f>IF(A536=1,IFERROR(Raw_data!$T536,""),"")</f>
        <v/>
      </c>
      <c r="T536">
        <f>IF(A536=1,IFERROR(Raw_data!$AA536,""),"")</f>
        <v/>
      </c>
      <c r="U536">
        <f>IF(A536=1,IFERROR(Raw_data!$U536,""),"")</f>
        <v/>
      </c>
      <c r="V536">
        <f>IF(A536=1,IFERROR(Raw_data!$AB536,""),"")</f>
        <v/>
      </c>
    </row>
    <row r="537">
      <c r="A537">
        <f>--(AND(OR(Dashboard!$B$4="All",Raw_data!$AL537=Dashboard!$B$4),OR(Dashboard!$B$5="All",Raw_data!$AM537=Dashboard!$B$5),OR(Dashboard!$B$6="All",Raw_data!$AN537=Dashboard!$B$6),OR(Dashboard!$B$7="All",Raw_data!$AO537=Dashboard!$B$7),OR(Dashboard!$B$8="All",Raw_data!$AP537=Dashboard!$B$8),OR(Dashboard!$B$9="All",Raw_data!$AQ537=Dashboard!$B$9),OR(Dashboard!$B$10="All",Raw_data!$AF537=Dashboard!$B$10),OR(Raw_data!$F537="",Raw_data!$F537&lt;=TODAY())))</f>
        <v/>
      </c>
      <c r="B537">
        <f>IFERROR(IF(Dashboard!$B$3="Weighted",Raw_data!$U537,Raw_data!$T537),"")</f>
        <v/>
      </c>
      <c r="C537">
        <f>IFERROR(IF(Dashboard!$B$3="Weighted",Raw_data!$AB537,Raw_data!$AA537),"")</f>
        <v/>
      </c>
      <c r="D537">
        <f>IF(OR(Raw_data!$J537="",Raw_data!$J537&lt;=0,Raw_data!$K537=""),"",IF(Raw_data!$K537&gt;TODAY(),0,DATEDIF(Raw_data!$K537,TODAY(),"M")))</f>
        <v/>
      </c>
      <c r="E537">
        <f>--(AND(Raw_data!$AF537="No",OR(Raw_data!$AG537&lt;&gt;"",Raw_data!$AJ537&gt;0,Raw_data!$AK537&lt;&gt;"")))</f>
        <v/>
      </c>
      <c r="F537">
        <f>--(OR(AND(ISNUMBER(B537),B537&lt;0.5,OR(D537&gt;=24,Raw_data!$I537&gt;0)),Raw_data!$AE537=TRUE))</f>
        <v/>
      </c>
      <c r="G537">
        <f>IF(Dashboard!$B$11="Department",Raw_data!$AL537,IF(Dashboard!$B$11="Team",Raw_data!$AM537,IF(Dashboard!$B$11="Unit",Raw_data!$AN537,IF(Dashboard!$B$11="Legal entity",Raw_data!$AO537,IF(Dashboard!$B$11="Location",Raw_data!$AP537,Raw_data!$AQ537)))))</f>
        <v/>
      </c>
      <c r="H537">
        <f>--(AND(ISNUMBER(B537),B537&lt;0.5))</f>
        <v/>
      </c>
      <c r="I537">
        <f>IFERROR(MAX(0,(0.5-B537)*100),0)+IF(D537&gt;=24,20,0)+IF(Raw_data!$I537&gt;0,20,0)+IF(Raw_data!$AE537=TRUE,10,0)</f>
        <v/>
      </c>
      <c r="J537">
        <f>IFERROR(CHOOSE(MATCH(Dashboard!$B$11,{"Department","Team","Unit","Legal entity","Location","Lead"},0),INDEX(Lists!$B$3:$B$20,ROW()-1),INDEX(Lists!$C$3:$C$146,ROW()-1),INDEX(Lists!$D$3:$D$67,ROW()-1),INDEX(Lists!$E$3:$E$5,ROW()-1),INDEX(Lists!$F$3:$F$12,ROW()-1),INDEX(Lists!$G$3:$G$126,ROW()-1)),"")</f>
        <v/>
      </c>
      <c r="K537">
        <f>IF(J537="","",SUMPRODUCT(($A$2:$A$636=1)*($G$2:$G$636=J537)))</f>
        <v/>
      </c>
      <c r="L537">
        <f>IF(J537="","",SUMPRODUCT(($A$2:$A$636=1)*($G$2:$G$636=J537)*(ISNUMBER($B$2:$B$636))*($B$2:$B$636&lt;0.5)))</f>
        <v/>
      </c>
      <c r="M537">
        <f>IFERROR(L537/K537,"")</f>
        <v/>
      </c>
      <c r="N537">
        <f>IF(K537="","",M537+K537/100000+ROW()/100000000)</f>
        <v/>
      </c>
      <c r="R537">
        <f>IF(A537=1,IFERROR(I537,0)+ROW()/100000000,-1E+99)</f>
        <v/>
      </c>
      <c r="S537">
        <f>IF(A537=1,IFERROR(Raw_data!$T537,""),"")</f>
        <v/>
      </c>
      <c r="T537">
        <f>IF(A537=1,IFERROR(Raw_data!$AA537,""),"")</f>
        <v/>
      </c>
      <c r="U537">
        <f>IF(A537=1,IFERROR(Raw_data!$U537,""),"")</f>
        <v/>
      </c>
      <c r="V537">
        <f>IF(A537=1,IFERROR(Raw_data!$AB537,""),"")</f>
        <v/>
      </c>
    </row>
    <row r="538">
      <c r="A538">
        <f>--(AND(OR(Dashboard!$B$4="All",Raw_data!$AL538=Dashboard!$B$4),OR(Dashboard!$B$5="All",Raw_data!$AM538=Dashboard!$B$5),OR(Dashboard!$B$6="All",Raw_data!$AN538=Dashboard!$B$6),OR(Dashboard!$B$7="All",Raw_data!$AO538=Dashboard!$B$7),OR(Dashboard!$B$8="All",Raw_data!$AP538=Dashboard!$B$8),OR(Dashboard!$B$9="All",Raw_data!$AQ538=Dashboard!$B$9),OR(Dashboard!$B$10="All",Raw_data!$AF538=Dashboard!$B$10),OR(Raw_data!$F538="",Raw_data!$F538&lt;=TODAY())))</f>
        <v/>
      </c>
      <c r="B538">
        <f>IFERROR(IF(Dashboard!$B$3="Weighted",Raw_data!$U538,Raw_data!$T538),"")</f>
        <v/>
      </c>
      <c r="C538">
        <f>IFERROR(IF(Dashboard!$B$3="Weighted",Raw_data!$AB538,Raw_data!$AA538),"")</f>
        <v/>
      </c>
      <c r="D538">
        <f>IF(OR(Raw_data!$J538="",Raw_data!$J538&lt;=0,Raw_data!$K538=""),"",IF(Raw_data!$K538&gt;TODAY(),0,DATEDIF(Raw_data!$K538,TODAY(),"M")))</f>
        <v/>
      </c>
      <c r="E538">
        <f>--(AND(Raw_data!$AF538="No",OR(Raw_data!$AG538&lt;&gt;"",Raw_data!$AJ538&gt;0,Raw_data!$AK538&lt;&gt;"")))</f>
        <v/>
      </c>
      <c r="F538">
        <f>--(OR(AND(ISNUMBER(B538),B538&lt;0.5,OR(D538&gt;=24,Raw_data!$I538&gt;0)),Raw_data!$AE538=TRUE))</f>
        <v/>
      </c>
      <c r="G538">
        <f>IF(Dashboard!$B$11="Department",Raw_data!$AL538,IF(Dashboard!$B$11="Team",Raw_data!$AM538,IF(Dashboard!$B$11="Unit",Raw_data!$AN538,IF(Dashboard!$B$11="Legal entity",Raw_data!$AO538,IF(Dashboard!$B$11="Location",Raw_data!$AP538,Raw_data!$AQ538)))))</f>
        <v/>
      </c>
      <c r="H538">
        <f>--(AND(ISNUMBER(B538),B538&lt;0.5))</f>
        <v/>
      </c>
      <c r="I538">
        <f>IFERROR(MAX(0,(0.5-B538)*100),0)+IF(D538&gt;=24,20,0)+IF(Raw_data!$I538&gt;0,20,0)+IF(Raw_data!$AE538=TRUE,10,0)</f>
        <v/>
      </c>
      <c r="J538">
        <f>IFERROR(CHOOSE(MATCH(Dashboard!$B$11,{"Department","Team","Unit","Legal entity","Location","Lead"},0),INDEX(Lists!$B$3:$B$20,ROW()-1),INDEX(Lists!$C$3:$C$146,ROW()-1),INDEX(Lists!$D$3:$D$67,ROW()-1),INDEX(Lists!$E$3:$E$5,ROW()-1),INDEX(Lists!$F$3:$F$12,ROW()-1),INDEX(Lists!$G$3:$G$126,ROW()-1)),"")</f>
        <v/>
      </c>
      <c r="K538">
        <f>IF(J538="","",SUMPRODUCT(($A$2:$A$636=1)*($G$2:$G$636=J538)))</f>
        <v/>
      </c>
      <c r="L538">
        <f>IF(J538="","",SUMPRODUCT(($A$2:$A$636=1)*($G$2:$G$636=J538)*(ISNUMBER($B$2:$B$636))*($B$2:$B$636&lt;0.5)))</f>
        <v/>
      </c>
      <c r="M538">
        <f>IFERROR(L538/K538,"")</f>
        <v/>
      </c>
      <c r="N538">
        <f>IF(K538="","",M538+K538/100000+ROW()/100000000)</f>
        <v/>
      </c>
      <c r="R538">
        <f>IF(A538=1,IFERROR(I538,0)+ROW()/100000000,-1E+99)</f>
        <v/>
      </c>
      <c r="S538">
        <f>IF(A538=1,IFERROR(Raw_data!$T538,""),"")</f>
        <v/>
      </c>
      <c r="T538">
        <f>IF(A538=1,IFERROR(Raw_data!$AA538,""),"")</f>
        <v/>
      </c>
      <c r="U538">
        <f>IF(A538=1,IFERROR(Raw_data!$U538,""),"")</f>
        <v/>
      </c>
      <c r="V538">
        <f>IF(A538=1,IFERROR(Raw_data!$AB538,""),"")</f>
        <v/>
      </c>
    </row>
    <row r="539">
      <c r="A539">
        <f>--(AND(OR(Dashboard!$B$4="All",Raw_data!$AL539=Dashboard!$B$4),OR(Dashboard!$B$5="All",Raw_data!$AM539=Dashboard!$B$5),OR(Dashboard!$B$6="All",Raw_data!$AN539=Dashboard!$B$6),OR(Dashboard!$B$7="All",Raw_data!$AO539=Dashboard!$B$7),OR(Dashboard!$B$8="All",Raw_data!$AP539=Dashboard!$B$8),OR(Dashboard!$B$9="All",Raw_data!$AQ539=Dashboard!$B$9),OR(Dashboard!$B$10="All",Raw_data!$AF539=Dashboard!$B$10),OR(Raw_data!$F539="",Raw_data!$F539&lt;=TODAY())))</f>
        <v/>
      </c>
      <c r="B539">
        <f>IFERROR(IF(Dashboard!$B$3="Weighted",Raw_data!$U539,Raw_data!$T539),"")</f>
        <v/>
      </c>
      <c r="C539">
        <f>IFERROR(IF(Dashboard!$B$3="Weighted",Raw_data!$AB539,Raw_data!$AA539),"")</f>
        <v/>
      </c>
      <c r="D539">
        <f>IF(OR(Raw_data!$J539="",Raw_data!$J539&lt;=0,Raw_data!$K539=""),"",IF(Raw_data!$K539&gt;TODAY(),0,DATEDIF(Raw_data!$K539,TODAY(),"M")))</f>
        <v/>
      </c>
      <c r="E539">
        <f>--(AND(Raw_data!$AF539="No",OR(Raw_data!$AG539&lt;&gt;"",Raw_data!$AJ539&gt;0,Raw_data!$AK539&lt;&gt;"")))</f>
        <v/>
      </c>
      <c r="F539">
        <f>--(OR(AND(ISNUMBER(B539),B539&lt;0.5,OR(D539&gt;=24,Raw_data!$I539&gt;0)),Raw_data!$AE539=TRUE))</f>
        <v/>
      </c>
      <c r="G539">
        <f>IF(Dashboard!$B$11="Department",Raw_data!$AL539,IF(Dashboard!$B$11="Team",Raw_data!$AM539,IF(Dashboard!$B$11="Unit",Raw_data!$AN539,IF(Dashboard!$B$11="Legal entity",Raw_data!$AO539,IF(Dashboard!$B$11="Location",Raw_data!$AP539,Raw_data!$AQ539)))))</f>
        <v/>
      </c>
      <c r="H539">
        <f>--(AND(ISNUMBER(B539),B539&lt;0.5))</f>
        <v/>
      </c>
      <c r="I539">
        <f>IFERROR(MAX(0,(0.5-B539)*100),0)+IF(D539&gt;=24,20,0)+IF(Raw_data!$I539&gt;0,20,0)+IF(Raw_data!$AE539=TRUE,10,0)</f>
        <v/>
      </c>
      <c r="J539">
        <f>IFERROR(CHOOSE(MATCH(Dashboard!$B$11,{"Department","Team","Unit","Legal entity","Location","Lead"},0),INDEX(Lists!$B$3:$B$20,ROW()-1),INDEX(Lists!$C$3:$C$146,ROW()-1),INDEX(Lists!$D$3:$D$67,ROW()-1),INDEX(Lists!$E$3:$E$5,ROW()-1),INDEX(Lists!$F$3:$F$12,ROW()-1),INDEX(Lists!$G$3:$G$126,ROW()-1)),"")</f>
        <v/>
      </c>
      <c r="K539">
        <f>IF(J539="","",SUMPRODUCT(($A$2:$A$636=1)*($G$2:$G$636=J539)))</f>
        <v/>
      </c>
      <c r="L539">
        <f>IF(J539="","",SUMPRODUCT(($A$2:$A$636=1)*($G$2:$G$636=J539)*(ISNUMBER($B$2:$B$636))*($B$2:$B$636&lt;0.5)))</f>
        <v/>
      </c>
      <c r="M539">
        <f>IFERROR(L539/K539,"")</f>
        <v/>
      </c>
      <c r="N539">
        <f>IF(K539="","",M539+K539/100000+ROW()/100000000)</f>
        <v/>
      </c>
      <c r="R539">
        <f>IF(A539=1,IFERROR(I539,0)+ROW()/100000000,-1E+99)</f>
        <v/>
      </c>
      <c r="S539">
        <f>IF(A539=1,IFERROR(Raw_data!$T539,""),"")</f>
        <v/>
      </c>
      <c r="T539">
        <f>IF(A539=1,IFERROR(Raw_data!$AA539,""),"")</f>
        <v/>
      </c>
      <c r="U539">
        <f>IF(A539=1,IFERROR(Raw_data!$U539,""),"")</f>
        <v/>
      </c>
      <c r="V539">
        <f>IF(A539=1,IFERROR(Raw_data!$AB539,""),"")</f>
        <v/>
      </c>
    </row>
    <row r="540">
      <c r="A540">
        <f>--(AND(OR(Dashboard!$B$4="All",Raw_data!$AL540=Dashboard!$B$4),OR(Dashboard!$B$5="All",Raw_data!$AM540=Dashboard!$B$5),OR(Dashboard!$B$6="All",Raw_data!$AN540=Dashboard!$B$6),OR(Dashboard!$B$7="All",Raw_data!$AO540=Dashboard!$B$7),OR(Dashboard!$B$8="All",Raw_data!$AP540=Dashboard!$B$8),OR(Dashboard!$B$9="All",Raw_data!$AQ540=Dashboard!$B$9),OR(Dashboard!$B$10="All",Raw_data!$AF540=Dashboard!$B$10),OR(Raw_data!$F540="",Raw_data!$F540&lt;=TODAY())))</f>
        <v/>
      </c>
      <c r="B540">
        <f>IFERROR(IF(Dashboard!$B$3="Weighted",Raw_data!$U540,Raw_data!$T540),"")</f>
        <v/>
      </c>
      <c r="C540">
        <f>IFERROR(IF(Dashboard!$B$3="Weighted",Raw_data!$AB540,Raw_data!$AA540),"")</f>
        <v/>
      </c>
      <c r="D540">
        <f>IF(OR(Raw_data!$J540="",Raw_data!$J540&lt;=0,Raw_data!$K540=""),"",IF(Raw_data!$K540&gt;TODAY(),0,DATEDIF(Raw_data!$K540,TODAY(),"M")))</f>
        <v/>
      </c>
      <c r="E540">
        <f>--(AND(Raw_data!$AF540="No",OR(Raw_data!$AG540&lt;&gt;"",Raw_data!$AJ540&gt;0,Raw_data!$AK540&lt;&gt;"")))</f>
        <v/>
      </c>
      <c r="F540">
        <f>--(OR(AND(ISNUMBER(B540),B540&lt;0.5,OR(D540&gt;=24,Raw_data!$I540&gt;0)),Raw_data!$AE540=TRUE))</f>
        <v/>
      </c>
      <c r="G540">
        <f>IF(Dashboard!$B$11="Department",Raw_data!$AL540,IF(Dashboard!$B$11="Team",Raw_data!$AM540,IF(Dashboard!$B$11="Unit",Raw_data!$AN540,IF(Dashboard!$B$11="Legal entity",Raw_data!$AO540,IF(Dashboard!$B$11="Location",Raw_data!$AP540,Raw_data!$AQ540)))))</f>
        <v/>
      </c>
      <c r="H540">
        <f>--(AND(ISNUMBER(B540),B540&lt;0.5))</f>
        <v/>
      </c>
      <c r="I540">
        <f>IFERROR(MAX(0,(0.5-B540)*100),0)+IF(D540&gt;=24,20,0)+IF(Raw_data!$I540&gt;0,20,0)+IF(Raw_data!$AE540=TRUE,10,0)</f>
        <v/>
      </c>
      <c r="J540">
        <f>IFERROR(CHOOSE(MATCH(Dashboard!$B$11,{"Department","Team","Unit","Legal entity","Location","Lead"},0),INDEX(Lists!$B$3:$B$20,ROW()-1),INDEX(Lists!$C$3:$C$146,ROW()-1),INDEX(Lists!$D$3:$D$67,ROW()-1),INDEX(Lists!$E$3:$E$5,ROW()-1),INDEX(Lists!$F$3:$F$12,ROW()-1),INDEX(Lists!$G$3:$G$126,ROW()-1)),"")</f>
        <v/>
      </c>
      <c r="K540">
        <f>IF(J540="","",SUMPRODUCT(($A$2:$A$636=1)*($G$2:$G$636=J540)))</f>
        <v/>
      </c>
      <c r="L540">
        <f>IF(J540="","",SUMPRODUCT(($A$2:$A$636=1)*($G$2:$G$636=J540)*(ISNUMBER($B$2:$B$636))*($B$2:$B$636&lt;0.5)))</f>
        <v/>
      </c>
      <c r="M540">
        <f>IFERROR(L540/K540,"")</f>
        <v/>
      </c>
      <c r="N540">
        <f>IF(K540="","",M540+K540/100000+ROW()/100000000)</f>
        <v/>
      </c>
      <c r="R540">
        <f>IF(A540=1,IFERROR(I540,0)+ROW()/100000000,-1E+99)</f>
        <v/>
      </c>
      <c r="S540">
        <f>IF(A540=1,IFERROR(Raw_data!$T540,""),"")</f>
        <v/>
      </c>
      <c r="T540">
        <f>IF(A540=1,IFERROR(Raw_data!$AA540,""),"")</f>
        <v/>
      </c>
      <c r="U540">
        <f>IF(A540=1,IFERROR(Raw_data!$U540,""),"")</f>
        <v/>
      </c>
      <c r="V540">
        <f>IF(A540=1,IFERROR(Raw_data!$AB540,""),"")</f>
        <v/>
      </c>
    </row>
    <row r="541">
      <c r="A541">
        <f>--(AND(OR(Dashboard!$B$4="All",Raw_data!$AL541=Dashboard!$B$4),OR(Dashboard!$B$5="All",Raw_data!$AM541=Dashboard!$B$5),OR(Dashboard!$B$6="All",Raw_data!$AN541=Dashboard!$B$6),OR(Dashboard!$B$7="All",Raw_data!$AO541=Dashboard!$B$7),OR(Dashboard!$B$8="All",Raw_data!$AP541=Dashboard!$B$8),OR(Dashboard!$B$9="All",Raw_data!$AQ541=Dashboard!$B$9),OR(Dashboard!$B$10="All",Raw_data!$AF541=Dashboard!$B$10),OR(Raw_data!$F541="",Raw_data!$F541&lt;=TODAY())))</f>
        <v/>
      </c>
      <c r="B541">
        <f>IFERROR(IF(Dashboard!$B$3="Weighted",Raw_data!$U541,Raw_data!$T541),"")</f>
        <v/>
      </c>
      <c r="C541">
        <f>IFERROR(IF(Dashboard!$B$3="Weighted",Raw_data!$AB541,Raw_data!$AA541),"")</f>
        <v/>
      </c>
      <c r="D541">
        <f>IF(OR(Raw_data!$J541="",Raw_data!$J541&lt;=0,Raw_data!$K541=""),"",IF(Raw_data!$K541&gt;TODAY(),0,DATEDIF(Raw_data!$K541,TODAY(),"M")))</f>
        <v/>
      </c>
      <c r="E541">
        <f>--(AND(Raw_data!$AF541="No",OR(Raw_data!$AG541&lt;&gt;"",Raw_data!$AJ541&gt;0,Raw_data!$AK541&lt;&gt;"")))</f>
        <v/>
      </c>
      <c r="F541">
        <f>--(OR(AND(ISNUMBER(B541),B541&lt;0.5,OR(D541&gt;=24,Raw_data!$I541&gt;0)),Raw_data!$AE541=TRUE))</f>
        <v/>
      </c>
      <c r="G541">
        <f>IF(Dashboard!$B$11="Department",Raw_data!$AL541,IF(Dashboard!$B$11="Team",Raw_data!$AM541,IF(Dashboard!$B$11="Unit",Raw_data!$AN541,IF(Dashboard!$B$11="Legal entity",Raw_data!$AO541,IF(Dashboard!$B$11="Location",Raw_data!$AP541,Raw_data!$AQ541)))))</f>
        <v/>
      </c>
      <c r="H541">
        <f>--(AND(ISNUMBER(B541),B541&lt;0.5))</f>
        <v/>
      </c>
      <c r="I541">
        <f>IFERROR(MAX(0,(0.5-B541)*100),0)+IF(D541&gt;=24,20,0)+IF(Raw_data!$I541&gt;0,20,0)+IF(Raw_data!$AE541=TRUE,10,0)</f>
        <v/>
      </c>
      <c r="J541">
        <f>IFERROR(CHOOSE(MATCH(Dashboard!$B$11,{"Department","Team","Unit","Legal entity","Location","Lead"},0),INDEX(Lists!$B$3:$B$20,ROW()-1),INDEX(Lists!$C$3:$C$146,ROW()-1),INDEX(Lists!$D$3:$D$67,ROW()-1),INDEX(Lists!$E$3:$E$5,ROW()-1),INDEX(Lists!$F$3:$F$12,ROW()-1),INDEX(Lists!$G$3:$G$126,ROW()-1)),"")</f>
        <v/>
      </c>
      <c r="K541">
        <f>IF(J541="","",SUMPRODUCT(($A$2:$A$636=1)*($G$2:$G$636=J541)))</f>
        <v/>
      </c>
      <c r="L541">
        <f>IF(J541="","",SUMPRODUCT(($A$2:$A$636=1)*($G$2:$G$636=J541)*(ISNUMBER($B$2:$B$636))*($B$2:$B$636&lt;0.5)))</f>
        <v/>
      </c>
      <c r="M541">
        <f>IFERROR(L541/K541,"")</f>
        <v/>
      </c>
      <c r="N541">
        <f>IF(K541="","",M541+K541/100000+ROW()/100000000)</f>
        <v/>
      </c>
      <c r="R541">
        <f>IF(A541=1,IFERROR(I541,0)+ROW()/100000000,-1E+99)</f>
        <v/>
      </c>
      <c r="S541">
        <f>IF(A541=1,IFERROR(Raw_data!$T541,""),"")</f>
        <v/>
      </c>
      <c r="T541">
        <f>IF(A541=1,IFERROR(Raw_data!$AA541,""),"")</f>
        <v/>
      </c>
      <c r="U541">
        <f>IF(A541=1,IFERROR(Raw_data!$U541,""),"")</f>
        <v/>
      </c>
      <c r="V541">
        <f>IF(A541=1,IFERROR(Raw_data!$AB541,""),"")</f>
        <v/>
      </c>
    </row>
    <row r="542">
      <c r="A542">
        <f>--(AND(OR(Dashboard!$B$4="All",Raw_data!$AL542=Dashboard!$B$4),OR(Dashboard!$B$5="All",Raw_data!$AM542=Dashboard!$B$5),OR(Dashboard!$B$6="All",Raw_data!$AN542=Dashboard!$B$6),OR(Dashboard!$B$7="All",Raw_data!$AO542=Dashboard!$B$7),OR(Dashboard!$B$8="All",Raw_data!$AP542=Dashboard!$B$8),OR(Dashboard!$B$9="All",Raw_data!$AQ542=Dashboard!$B$9),OR(Dashboard!$B$10="All",Raw_data!$AF542=Dashboard!$B$10),OR(Raw_data!$F542="",Raw_data!$F542&lt;=TODAY())))</f>
        <v/>
      </c>
      <c r="B542">
        <f>IFERROR(IF(Dashboard!$B$3="Weighted",Raw_data!$U542,Raw_data!$T542),"")</f>
        <v/>
      </c>
      <c r="C542">
        <f>IFERROR(IF(Dashboard!$B$3="Weighted",Raw_data!$AB542,Raw_data!$AA542),"")</f>
        <v/>
      </c>
      <c r="D542">
        <f>IF(OR(Raw_data!$J542="",Raw_data!$J542&lt;=0,Raw_data!$K542=""),"",IF(Raw_data!$K542&gt;TODAY(),0,DATEDIF(Raw_data!$K542,TODAY(),"M")))</f>
        <v/>
      </c>
      <c r="E542">
        <f>--(AND(Raw_data!$AF542="No",OR(Raw_data!$AG542&lt;&gt;"",Raw_data!$AJ542&gt;0,Raw_data!$AK542&lt;&gt;"")))</f>
        <v/>
      </c>
      <c r="F542">
        <f>--(OR(AND(ISNUMBER(B542),B542&lt;0.5,OR(D542&gt;=24,Raw_data!$I542&gt;0)),Raw_data!$AE542=TRUE))</f>
        <v/>
      </c>
      <c r="G542">
        <f>IF(Dashboard!$B$11="Department",Raw_data!$AL542,IF(Dashboard!$B$11="Team",Raw_data!$AM542,IF(Dashboard!$B$11="Unit",Raw_data!$AN542,IF(Dashboard!$B$11="Legal entity",Raw_data!$AO542,IF(Dashboard!$B$11="Location",Raw_data!$AP542,Raw_data!$AQ542)))))</f>
        <v/>
      </c>
      <c r="H542">
        <f>--(AND(ISNUMBER(B542),B542&lt;0.5))</f>
        <v/>
      </c>
      <c r="I542">
        <f>IFERROR(MAX(0,(0.5-B542)*100),0)+IF(D542&gt;=24,20,0)+IF(Raw_data!$I542&gt;0,20,0)+IF(Raw_data!$AE542=TRUE,10,0)</f>
        <v/>
      </c>
      <c r="J542">
        <f>IFERROR(CHOOSE(MATCH(Dashboard!$B$11,{"Department","Team","Unit","Legal entity","Location","Lead"},0),INDEX(Lists!$B$3:$B$20,ROW()-1),INDEX(Lists!$C$3:$C$146,ROW()-1),INDEX(Lists!$D$3:$D$67,ROW()-1),INDEX(Lists!$E$3:$E$5,ROW()-1),INDEX(Lists!$F$3:$F$12,ROW()-1),INDEX(Lists!$G$3:$G$126,ROW()-1)),"")</f>
        <v/>
      </c>
      <c r="K542">
        <f>IF(J542="","",SUMPRODUCT(($A$2:$A$636=1)*($G$2:$G$636=J542)))</f>
        <v/>
      </c>
      <c r="L542">
        <f>IF(J542="","",SUMPRODUCT(($A$2:$A$636=1)*($G$2:$G$636=J542)*(ISNUMBER($B$2:$B$636))*($B$2:$B$636&lt;0.5)))</f>
        <v/>
      </c>
      <c r="M542">
        <f>IFERROR(L542/K542,"")</f>
        <v/>
      </c>
      <c r="N542">
        <f>IF(K542="","",M542+K542/100000+ROW()/100000000)</f>
        <v/>
      </c>
      <c r="R542">
        <f>IF(A542=1,IFERROR(I542,0)+ROW()/100000000,-1E+99)</f>
        <v/>
      </c>
      <c r="S542">
        <f>IF(A542=1,IFERROR(Raw_data!$T542,""),"")</f>
        <v/>
      </c>
      <c r="T542">
        <f>IF(A542=1,IFERROR(Raw_data!$AA542,""),"")</f>
        <v/>
      </c>
      <c r="U542">
        <f>IF(A542=1,IFERROR(Raw_data!$U542,""),"")</f>
        <v/>
      </c>
      <c r="V542">
        <f>IF(A542=1,IFERROR(Raw_data!$AB542,""),"")</f>
        <v/>
      </c>
    </row>
    <row r="543">
      <c r="A543">
        <f>--(AND(OR(Dashboard!$B$4="All",Raw_data!$AL543=Dashboard!$B$4),OR(Dashboard!$B$5="All",Raw_data!$AM543=Dashboard!$B$5),OR(Dashboard!$B$6="All",Raw_data!$AN543=Dashboard!$B$6),OR(Dashboard!$B$7="All",Raw_data!$AO543=Dashboard!$B$7),OR(Dashboard!$B$8="All",Raw_data!$AP543=Dashboard!$B$8),OR(Dashboard!$B$9="All",Raw_data!$AQ543=Dashboard!$B$9),OR(Dashboard!$B$10="All",Raw_data!$AF543=Dashboard!$B$10),OR(Raw_data!$F543="",Raw_data!$F543&lt;=TODAY())))</f>
        <v/>
      </c>
      <c r="B543">
        <f>IFERROR(IF(Dashboard!$B$3="Weighted",Raw_data!$U543,Raw_data!$T543),"")</f>
        <v/>
      </c>
      <c r="C543">
        <f>IFERROR(IF(Dashboard!$B$3="Weighted",Raw_data!$AB543,Raw_data!$AA543),"")</f>
        <v/>
      </c>
      <c r="D543">
        <f>IF(OR(Raw_data!$J543="",Raw_data!$J543&lt;=0,Raw_data!$K543=""),"",IF(Raw_data!$K543&gt;TODAY(),0,DATEDIF(Raw_data!$K543,TODAY(),"M")))</f>
        <v/>
      </c>
      <c r="E543">
        <f>--(AND(Raw_data!$AF543="No",OR(Raw_data!$AG543&lt;&gt;"",Raw_data!$AJ543&gt;0,Raw_data!$AK543&lt;&gt;"")))</f>
        <v/>
      </c>
      <c r="F543">
        <f>--(OR(AND(ISNUMBER(B543),B543&lt;0.5,OR(D543&gt;=24,Raw_data!$I543&gt;0)),Raw_data!$AE543=TRUE))</f>
        <v/>
      </c>
      <c r="G543">
        <f>IF(Dashboard!$B$11="Department",Raw_data!$AL543,IF(Dashboard!$B$11="Team",Raw_data!$AM543,IF(Dashboard!$B$11="Unit",Raw_data!$AN543,IF(Dashboard!$B$11="Legal entity",Raw_data!$AO543,IF(Dashboard!$B$11="Location",Raw_data!$AP543,Raw_data!$AQ543)))))</f>
        <v/>
      </c>
      <c r="H543">
        <f>--(AND(ISNUMBER(B543),B543&lt;0.5))</f>
        <v/>
      </c>
      <c r="I543">
        <f>IFERROR(MAX(0,(0.5-B543)*100),0)+IF(D543&gt;=24,20,0)+IF(Raw_data!$I543&gt;0,20,0)+IF(Raw_data!$AE543=TRUE,10,0)</f>
        <v/>
      </c>
      <c r="J543">
        <f>IFERROR(CHOOSE(MATCH(Dashboard!$B$11,{"Department","Team","Unit","Legal entity","Location","Lead"},0),INDEX(Lists!$B$3:$B$20,ROW()-1),INDEX(Lists!$C$3:$C$146,ROW()-1),INDEX(Lists!$D$3:$D$67,ROW()-1),INDEX(Lists!$E$3:$E$5,ROW()-1),INDEX(Lists!$F$3:$F$12,ROW()-1),INDEX(Lists!$G$3:$G$126,ROW()-1)),"")</f>
        <v/>
      </c>
      <c r="K543">
        <f>IF(J543="","",SUMPRODUCT(($A$2:$A$636=1)*($G$2:$G$636=J543)))</f>
        <v/>
      </c>
      <c r="L543">
        <f>IF(J543="","",SUMPRODUCT(($A$2:$A$636=1)*($G$2:$G$636=J543)*(ISNUMBER($B$2:$B$636))*($B$2:$B$636&lt;0.5)))</f>
        <v/>
      </c>
      <c r="M543">
        <f>IFERROR(L543/K543,"")</f>
        <v/>
      </c>
      <c r="N543">
        <f>IF(K543="","",M543+K543/100000+ROW()/100000000)</f>
        <v/>
      </c>
      <c r="R543">
        <f>IF(A543=1,IFERROR(I543,0)+ROW()/100000000,-1E+99)</f>
        <v/>
      </c>
      <c r="S543">
        <f>IF(A543=1,IFERROR(Raw_data!$T543,""),"")</f>
        <v/>
      </c>
      <c r="T543">
        <f>IF(A543=1,IFERROR(Raw_data!$AA543,""),"")</f>
        <v/>
      </c>
      <c r="U543">
        <f>IF(A543=1,IFERROR(Raw_data!$U543,""),"")</f>
        <v/>
      </c>
      <c r="V543">
        <f>IF(A543=1,IFERROR(Raw_data!$AB543,""),"")</f>
        <v/>
      </c>
    </row>
    <row r="544">
      <c r="A544">
        <f>--(AND(OR(Dashboard!$B$4="All",Raw_data!$AL544=Dashboard!$B$4),OR(Dashboard!$B$5="All",Raw_data!$AM544=Dashboard!$B$5),OR(Dashboard!$B$6="All",Raw_data!$AN544=Dashboard!$B$6),OR(Dashboard!$B$7="All",Raw_data!$AO544=Dashboard!$B$7),OR(Dashboard!$B$8="All",Raw_data!$AP544=Dashboard!$B$8),OR(Dashboard!$B$9="All",Raw_data!$AQ544=Dashboard!$B$9),OR(Dashboard!$B$10="All",Raw_data!$AF544=Dashboard!$B$10),OR(Raw_data!$F544="",Raw_data!$F544&lt;=TODAY())))</f>
        <v/>
      </c>
      <c r="B544">
        <f>IFERROR(IF(Dashboard!$B$3="Weighted",Raw_data!$U544,Raw_data!$T544),"")</f>
        <v/>
      </c>
      <c r="C544">
        <f>IFERROR(IF(Dashboard!$B$3="Weighted",Raw_data!$AB544,Raw_data!$AA544),"")</f>
        <v/>
      </c>
      <c r="D544">
        <f>IF(OR(Raw_data!$J544="",Raw_data!$J544&lt;=0,Raw_data!$K544=""),"",IF(Raw_data!$K544&gt;TODAY(),0,DATEDIF(Raw_data!$K544,TODAY(),"M")))</f>
        <v/>
      </c>
      <c r="E544">
        <f>--(AND(Raw_data!$AF544="No",OR(Raw_data!$AG544&lt;&gt;"",Raw_data!$AJ544&gt;0,Raw_data!$AK544&lt;&gt;"")))</f>
        <v/>
      </c>
      <c r="F544">
        <f>--(OR(AND(ISNUMBER(B544),B544&lt;0.5,OR(D544&gt;=24,Raw_data!$I544&gt;0)),Raw_data!$AE544=TRUE))</f>
        <v/>
      </c>
      <c r="G544">
        <f>IF(Dashboard!$B$11="Department",Raw_data!$AL544,IF(Dashboard!$B$11="Team",Raw_data!$AM544,IF(Dashboard!$B$11="Unit",Raw_data!$AN544,IF(Dashboard!$B$11="Legal entity",Raw_data!$AO544,IF(Dashboard!$B$11="Location",Raw_data!$AP544,Raw_data!$AQ544)))))</f>
        <v/>
      </c>
      <c r="H544">
        <f>--(AND(ISNUMBER(B544),B544&lt;0.5))</f>
        <v/>
      </c>
      <c r="I544">
        <f>IFERROR(MAX(0,(0.5-B544)*100),0)+IF(D544&gt;=24,20,0)+IF(Raw_data!$I544&gt;0,20,0)+IF(Raw_data!$AE544=TRUE,10,0)</f>
        <v/>
      </c>
      <c r="J544">
        <f>IFERROR(CHOOSE(MATCH(Dashboard!$B$11,{"Department","Team","Unit","Legal entity","Location","Lead"},0),INDEX(Lists!$B$3:$B$20,ROW()-1),INDEX(Lists!$C$3:$C$146,ROW()-1),INDEX(Lists!$D$3:$D$67,ROW()-1),INDEX(Lists!$E$3:$E$5,ROW()-1),INDEX(Lists!$F$3:$F$12,ROW()-1),INDEX(Lists!$G$3:$G$126,ROW()-1)),"")</f>
        <v/>
      </c>
      <c r="K544">
        <f>IF(J544="","",SUMPRODUCT(($A$2:$A$636=1)*($G$2:$G$636=J544)))</f>
        <v/>
      </c>
      <c r="L544">
        <f>IF(J544="","",SUMPRODUCT(($A$2:$A$636=1)*($G$2:$G$636=J544)*(ISNUMBER($B$2:$B$636))*($B$2:$B$636&lt;0.5)))</f>
        <v/>
      </c>
      <c r="M544">
        <f>IFERROR(L544/K544,"")</f>
        <v/>
      </c>
      <c r="N544">
        <f>IF(K544="","",M544+K544/100000+ROW()/100000000)</f>
        <v/>
      </c>
      <c r="R544">
        <f>IF(A544=1,IFERROR(I544,0)+ROW()/100000000,-1E+99)</f>
        <v/>
      </c>
      <c r="S544">
        <f>IF(A544=1,IFERROR(Raw_data!$T544,""),"")</f>
        <v/>
      </c>
      <c r="T544">
        <f>IF(A544=1,IFERROR(Raw_data!$AA544,""),"")</f>
        <v/>
      </c>
      <c r="U544">
        <f>IF(A544=1,IFERROR(Raw_data!$U544,""),"")</f>
        <v/>
      </c>
      <c r="V544">
        <f>IF(A544=1,IFERROR(Raw_data!$AB544,""),"")</f>
        <v/>
      </c>
    </row>
    <row r="545">
      <c r="A545">
        <f>--(AND(OR(Dashboard!$B$4="All",Raw_data!$AL545=Dashboard!$B$4),OR(Dashboard!$B$5="All",Raw_data!$AM545=Dashboard!$B$5),OR(Dashboard!$B$6="All",Raw_data!$AN545=Dashboard!$B$6),OR(Dashboard!$B$7="All",Raw_data!$AO545=Dashboard!$B$7),OR(Dashboard!$B$8="All",Raw_data!$AP545=Dashboard!$B$8),OR(Dashboard!$B$9="All",Raw_data!$AQ545=Dashboard!$B$9),OR(Dashboard!$B$10="All",Raw_data!$AF545=Dashboard!$B$10),OR(Raw_data!$F545="",Raw_data!$F545&lt;=TODAY())))</f>
        <v/>
      </c>
      <c r="B545">
        <f>IFERROR(IF(Dashboard!$B$3="Weighted",Raw_data!$U545,Raw_data!$T545),"")</f>
        <v/>
      </c>
      <c r="C545">
        <f>IFERROR(IF(Dashboard!$B$3="Weighted",Raw_data!$AB545,Raw_data!$AA545),"")</f>
        <v/>
      </c>
      <c r="D545">
        <f>IF(OR(Raw_data!$J545="",Raw_data!$J545&lt;=0,Raw_data!$K545=""),"",IF(Raw_data!$K545&gt;TODAY(),0,DATEDIF(Raw_data!$K545,TODAY(),"M")))</f>
        <v/>
      </c>
      <c r="E545">
        <f>--(AND(Raw_data!$AF545="No",OR(Raw_data!$AG545&lt;&gt;"",Raw_data!$AJ545&gt;0,Raw_data!$AK545&lt;&gt;"")))</f>
        <v/>
      </c>
      <c r="F545">
        <f>--(OR(AND(ISNUMBER(B545),B545&lt;0.5,OR(D545&gt;=24,Raw_data!$I545&gt;0)),Raw_data!$AE545=TRUE))</f>
        <v/>
      </c>
      <c r="G545">
        <f>IF(Dashboard!$B$11="Department",Raw_data!$AL545,IF(Dashboard!$B$11="Team",Raw_data!$AM545,IF(Dashboard!$B$11="Unit",Raw_data!$AN545,IF(Dashboard!$B$11="Legal entity",Raw_data!$AO545,IF(Dashboard!$B$11="Location",Raw_data!$AP545,Raw_data!$AQ545)))))</f>
        <v/>
      </c>
      <c r="H545">
        <f>--(AND(ISNUMBER(B545),B545&lt;0.5))</f>
        <v/>
      </c>
      <c r="I545">
        <f>IFERROR(MAX(0,(0.5-B545)*100),0)+IF(D545&gt;=24,20,0)+IF(Raw_data!$I545&gt;0,20,0)+IF(Raw_data!$AE545=TRUE,10,0)</f>
        <v/>
      </c>
      <c r="J545">
        <f>IFERROR(CHOOSE(MATCH(Dashboard!$B$11,{"Department","Team","Unit","Legal entity","Location","Lead"},0),INDEX(Lists!$B$3:$B$20,ROW()-1),INDEX(Lists!$C$3:$C$146,ROW()-1),INDEX(Lists!$D$3:$D$67,ROW()-1),INDEX(Lists!$E$3:$E$5,ROW()-1),INDEX(Lists!$F$3:$F$12,ROW()-1),INDEX(Lists!$G$3:$G$126,ROW()-1)),"")</f>
        <v/>
      </c>
      <c r="K545">
        <f>IF(J545="","",SUMPRODUCT(($A$2:$A$636=1)*($G$2:$G$636=J545)))</f>
        <v/>
      </c>
      <c r="L545">
        <f>IF(J545="","",SUMPRODUCT(($A$2:$A$636=1)*($G$2:$G$636=J545)*(ISNUMBER($B$2:$B$636))*($B$2:$B$636&lt;0.5)))</f>
        <v/>
      </c>
      <c r="M545">
        <f>IFERROR(L545/K545,"")</f>
        <v/>
      </c>
      <c r="N545">
        <f>IF(K545="","",M545+K545/100000+ROW()/100000000)</f>
        <v/>
      </c>
      <c r="R545">
        <f>IF(A545=1,IFERROR(I545,0)+ROW()/100000000,-1E+99)</f>
        <v/>
      </c>
      <c r="S545">
        <f>IF(A545=1,IFERROR(Raw_data!$T545,""),"")</f>
        <v/>
      </c>
      <c r="T545">
        <f>IF(A545=1,IFERROR(Raw_data!$AA545,""),"")</f>
        <v/>
      </c>
      <c r="U545">
        <f>IF(A545=1,IFERROR(Raw_data!$U545,""),"")</f>
        <v/>
      </c>
      <c r="V545">
        <f>IF(A545=1,IFERROR(Raw_data!$AB545,""),"")</f>
        <v/>
      </c>
    </row>
    <row r="546">
      <c r="A546">
        <f>--(AND(OR(Dashboard!$B$4="All",Raw_data!$AL546=Dashboard!$B$4),OR(Dashboard!$B$5="All",Raw_data!$AM546=Dashboard!$B$5),OR(Dashboard!$B$6="All",Raw_data!$AN546=Dashboard!$B$6),OR(Dashboard!$B$7="All",Raw_data!$AO546=Dashboard!$B$7),OR(Dashboard!$B$8="All",Raw_data!$AP546=Dashboard!$B$8),OR(Dashboard!$B$9="All",Raw_data!$AQ546=Dashboard!$B$9),OR(Dashboard!$B$10="All",Raw_data!$AF546=Dashboard!$B$10),OR(Raw_data!$F546="",Raw_data!$F546&lt;=TODAY())))</f>
        <v/>
      </c>
      <c r="B546">
        <f>IFERROR(IF(Dashboard!$B$3="Weighted",Raw_data!$U546,Raw_data!$T546),"")</f>
        <v/>
      </c>
      <c r="C546">
        <f>IFERROR(IF(Dashboard!$B$3="Weighted",Raw_data!$AB546,Raw_data!$AA546),"")</f>
        <v/>
      </c>
      <c r="D546">
        <f>IF(OR(Raw_data!$J546="",Raw_data!$J546&lt;=0,Raw_data!$K546=""),"",IF(Raw_data!$K546&gt;TODAY(),0,DATEDIF(Raw_data!$K546,TODAY(),"M")))</f>
        <v/>
      </c>
      <c r="E546">
        <f>--(AND(Raw_data!$AF546="No",OR(Raw_data!$AG546&lt;&gt;"",Raw_data!$AJ546&gt;0,Raw_data!$AK546&lt;&gt;"")))</f>
        <v/>
      </c>
      <c r="F546">
        <f>--(OR(AND(ISNUMBER(B546),B546&lt;0.5,OR(D546&gt;=24,Raw_data!$I546&gt;0)),Raw_data!$AE546=TRUE))</f>
        <v/>
      </c>
      <c r="G546">
        <f>IF(Dashboard!$B$11="Department",Raw_data!$AL546,IF(Dashboard!$B$11="Team",Raw_data!$AM546,IF(Dashboard!$B$11="Unit",Raw_data!$AN546,IF(Dashboard!$B$11="Legal entity",Raw_data!$AO546,IF(Dashboard!$B$11="Location",Raw_data!$AP546,Raw_data!$AQ546)))))</f>
        <v/>
      </c>
      <c r="H546">
        <f>--(AND(ISNUMBER(B546),B546&lt;0.5))</f>
        <v/>
      </c>
      <c r="I546">
        <f>IFERROR(MAX(0,(0.5-B546)*100),0)+IF(D546&gt;=24,20,0)+IF(Raw_data!$I546&gt;0,20,0)+IF(Raw_data!$AE546=TRUE,10,0)</f>
        <v/>
      </c>
      <c r="J546">
        <f>IFERROR(CHOOSE(MATCH(Dashboard!$B$11,{"Department","Team","Unit","Legal entity","Location","Lead"},0),INDEX(Lists!$B$3:$B$20,ROW()-1),INDEX(Lists!$C$3:$C$146,ROW()-1),INDEX(Lists!$D$3:$D$67,ROW()-1),INDEX(Lists!$E$3:$E$5,ROW()-1),INDEX(Lists!$F$3:$F$12,ROW()-1),INDEX(Lists!$G$3:$G$126,ROW()-1)),"")</f>
        <v/>
      </c>
      <c r="K546">
        <f>IF(J546="","",SUMPRODUCT(($A$2:$A$636=1)*($G$2:$G$636=J546)))</f>
        <v/>
      </c>
      <c r="L546">
        <f>IF(J546="","",SUMPRODUCT(($A$2:$A$636=1)*($G$2:$G$636=J546)*(ISNUMBER($B$2:$B$636))*($B$2:$B$636&lt;0.5)))</f>
        <v/>
      </c>
      <c r="M546">
        <f>IFERROR(L546/K546,"")</f>
        <v/>
      </c>
      <c r="N546">
        <f>IF(K546="","",M546+K546/100000+ROW()/100000000)</f>
        <v/>
      </c>
      <c r="R546">
        <f>IF(A546=1,IFERROR(I546,0)+ROW()/100000000,-1E+99)</f>
        <v/>
      </c>
      <c r="S546">
        <f>IF(A546=1,IFERROR(Raw_data!$T546,""),"")</f>
        <v/>
      </c>
      <c r="T546">
        <f>IF(A546=1,IFERROR(Raw_data!$AA546,""),"")</f>
        <v/>
      </c>
      <c r="U546">
        <f>IF(A546=1,IFERROR(Raw_data!$U546,""),"")</f>
        <v/>
      </c>
      <c r="V546">
        <f>IF(A546=1,IFERROR(Raw_data!$AB546,""),"")</f>
        <v/>
      </c>
    </row>
    <row r="547">
      <c r="A547">
        <f>--(AND(OR(Dashboard!$B$4="All",Raw_data!$AL547=Dashboard!$B$4),OR(Dashboard!$B$5="All",Raw_data!$AM547=Dashboard!$B$5),OR(Dashboard!$B$6="All",Raw_data!$AN547=Dashboard!$B$6),OR(Dashboard!$B$7="All",Raw_data!$AO547=Dashboard!$B$7),OR(Dashboard!$B$8="All",Raw_data!$AP547=Dashboard!$B$8),OR(Dashboard!$B$9="All",Raw_data!$AQ547=Dashboard!$B$9),OR(Dashboard!$B$10="All",Raw_data!$AF547=Dashboard!$B$10),OR(Raw_data!$F547="",Raw_data!$F547&lt;=TODAY())))</f>
        <v/>
      </c>
      <c r="B547">
        <f>IFERROR(IF(Dashboard!$B$3="Weighted",Raw_data!$U547,Raw_data!$T547),"")</f>
        <v/>
      </c>
      <c r="C547">
        <f>IFERROR(IF(Dashboard!$B$3="Weighted",Raw_data!$AB547,Raw_data!$AA547),"")</f>
        <v/>
      </c>
      <c r="D547">
        <f>IF(OR(Raw_data!$J547="",Raw_data!$J547&lt;=0,Raw_data!$K547=""),"",IF(Raw_data!$K547&gt;TODAY(),0,DATEDIF(Raw_data!$K547,TODAY(),"M")))</f>
        <v/>
      </c>
      <c r="E547">
        <f>--(AND(Raw_data!$AF547="No",OR(Raw_data!$AG547&lt;&gt;"",Raw_data!$AJ547&gt;0,Raw_data!$AK547&lt;&gt;"")))</f>
        <v/>
      </c>
      <c r="F547">
        <f>--(OR(AND(ISNUMBER(B547),B547&lt;0.5,OR(D547&gt;=24,Raw_data!$I547&gt;0)),Raw_data!$AE547=TRUE))</f>
        <v/>
      </c>
      <c r="G547">
        <f>IF(Dashboard!$B$11="Department",Raw_data!$AL547,IF(Dashboard!$B$11="Team",Raw_data!$AM547,IF(Dashboard!$B$11="Unit",Raw_data!$AN547,IF(Dashboard!$B$11="Legal entity",Raw_data!$AO547,IF(Dashboard!$B$11="Location",Raw_data!$AP547,Raw_data!$AQ547)))))</f>
        <v/>
      </c>
      <c r="H547">
        <f>--(AND(ISNUMBER(B547),B547&lt;0.5))</f>
        <v/>
      </c>
      <c r="I547">
        <f>IFERROR(MAX(0,(0.5-B547)*100),0)+IF(D547&gt;=24,20,0)+IF(Raw_data!$I547&gt;0,20,0)+IF(Raw_data!$AE547=TRUE,10,0)</f>
        <v/>
      </c>
      <c r="J547">
        <f>IFERROR(CHOOSE(MATCH(Dashboard!$B$11,{"Department","Team","Unit","Legal entity","Location","Lead"},0),INDEX(Lists!$B$3:$B$20,ROW()-1),INDEX(Lists!$C$3:$C$146,ROW()-1),INDEX(Lists!$D$3:$D$67,ROW()-1),INDEX(Lists!$E$3:$E$5,ROW()-1),INDEX(Lists!$F$3:$F$12,ROW()-1),INDEX(Lists!$G$3:$G$126,ROW()-1)),"")</f>
        <v/>
      </c>
      <c r="K547">
        <f>IF(J547="","",SUMPRODUCT(($A$2:$A$636=1)*($G$2:$G$636=J547)))</f>
        <v/>
      </c>
      <c r="L547">
        <f>IF(J547="","",SUMPRODUCT(($A$2:$A$636=1)*($G$2:$G$636=J547)*(ISNUMBER($B$2:$B$636))*($B$2:$B$636&lt;0.5)))</f>
        <v/>
      </c>
      <c r="M547">
        <f>IFERROR(L547/K547,"")</f>
        <v/>
      </c>
      <c r="N547">
        <f>IF(K547="","",M547+K547/100000+ROW()/100000000)</f>
        <v/>
      </c>
      <c r="R547">
        <f>IF(A547=1,IFERROR(I547,0)+ROW()/100000000,-1E+99)</f>
        <v/>
      </c>
      <c r="S547">
        <f>IF(A547=1,IFERROR(Raw_data!$T547,""),"")</f>
        <v/>
      </c>
      <c r="T547">
        <f>IF(A547=1,IFERROR(Raw_data!$AA547,""),"")</f>
        <v/>
      </c>
      <c r="U547">
        <f>IF(A547=1,IFERROR(Raw_data!$U547,""),"")</f>
        <v/>
      </c>
      <c r="V547">
        <f>IF(A547=1,IFERROR(Raw_data!$AB547,""),"")</f>
        <v/>
      </c>
    </row>
    <row r="548">
      <c r="A548">
        <f>--(AND(OR(Dashboard!$B$4="All",Raw_data!$AL548=Dashboard!$B$4),OR(Dashboard!$B$5="All",Raw_data!$AM548=Dashboard!$B$5),OR(Dashboard!$B$6="All",Raw_data!$AN548=Dashboard!$B$6),OR(Dashboard!$B$7="All",Raw_data!$AO548=Dashboard!$B$7),OR(Dashboard!$B$8="All",Raw_data!$AP548=Dashboard!$B$8),OR(Dashboard!$B$9="All",Raw_data!$AQ548=Dashboard!$B$9),OR(Dashboard!$B$10="All",Raw_data!$AF548=Dashboard!$B$10),OR(Raw_data!$F548="",Raw_data!$F548&lt;=TODAY())))</f>
        <v/>
      </c>
      <c r="B548">
        <f>IFERROR(IF(Dashboard!$B$3="Weighted",Raw_data!$U548,Raw_data!$T548),"")</f>
        <v/>
      </c>
      <c r="C548">
        <f>IFERROR(IF(Dashboard!$B$3="Weighted",Raw_data!$AB548,Raw_data!$AA548),"")</f>
        <v/>
      </c>
      <c r="D548">
        <f>IF(OR(Raw_data!$J548="",Raw_data!$J548&lt;=0,Raw_data!$K548=""),"",IF(Raw_data!$K548&gt;TODAY(),0,DATEDIF(Raw_data!$K548,TODAY(),"M")))</f>
        <v/>
      </c>
      <c r="E548">
        <f>--(AND(Raw_data!$AF548="No",OR(Raw_data!$AG548&lt;&gt;"",Raw_data!$AJ548&gt;0,Raw_data!$AK548&lt;&gt;"")))</f>
        <v/>
      </c>
      <c r="F548">
        <f>--(OR(AND(ISNUMBER(B548),B548&lt;0.5,OR(D548&gt;=24,Raw_data!$I548&gt;0)),Raw_data!$AE548=TRUE))</f>
        <v/>
      </c>
      <c r="G548">
        <f>IF(Dashboard!$B$11="Department",Raw_data!$AL548,IF(Dashboard!$B$11="Team",Raw_data!$AM548,IF(Dashboard!$B$11="Unit",Raw_data!$AN548,IF(Dashboard!$B$11="Legal entity",Raw_data!$AO548,IF(Dashboard!$B$11="Location",Raw_data!$AP548,Raw_data!$AQ548)))))</f>
        <v/>
      </c>
      <c r="H548">
        <f>--(AND(ISNUMBER(B548),B548&lt;0.5))</f>
        <v/>
      </c>
      <c r="I548">
        <f>IFERROR(MAX(0,(0.5-B548)*100),0)+IF(D548&gt;=24,20,0)+IF(Raw_data!$I548&gt;0,20,0)+IF(Raw_data!$AE548=TRUE,10,0)</f>
        <v/>
      </c>
      <c r="J548">
        <f>IFERROR(CHOOSE(MATCH(Dashboard!$B$11,{"Department","Team","Unit","Legal entity","Location","Lead"},0),INDEX(Lists!$B$3:$B$20,ROW()-1),INDEX(Lists!$C$3:$C$146,ROW()-1),INDEX(Lists!$D$3:$D$67,ROW()-1),INDEX(Lists!$E$3:$E$5,ROW()-1),INDEX(Lists!$F$3:$F$12,ROW()-1),INDEX(Lists!$G$3:$G$126,ROW()-1)),"")</f>
        <v/>
      </c>
      <c r="K548">
        <f>IF(J548="","",SUMPRODUCT(($A$2:$A$636=1)*($G$2:$G$636=J548)))</f>
        <v/>
      </c>
      <c r="L548">
        <f>IF(J548="","",SUMPRODUCT(($A$2:$A$636=1)*($G$2:$G$636=J548)*(ISNUMBER($B$2:$B$636))*($B$2:$B$636&lt;0.5)))</f>
        <v/>
      </c>
      <c r="M548">
        <f>IFERROR(L548/K548,"")</f>
        <v/>
      </c>
      <c r="N548">
        <f>IF(K548="","",M548+K548/100000+ROW()/100000000)</f>
        <v/>
      </c>
      <c r="R548">
        <f>IF(A548=1,IFERROR(I548,0)+ROW()/100000000,-1E+99)</f>
        <v/>
      </c>
      <c r="S548">
        <f>IF(A548=1,IFERROR(Raw_data!$T548,""),"")</f>
        <v/>
      </c>
      <c r="T548">
        <f>IF(A548=1,IFERROR(Raw_data!$AA548,""),"")</f>
        <v/>
      </c>
      <c r="U548">
        <f>IF(A548=1,IFERROR(Raw_data!$U548,""),"")</f>
        <v/>
      </c>
      <c r="V548">
        <f>IF(A548=1,IFERROR(Raw_data!$AB548,""),"")</f>
        <v/>
      </c>
    </row>
    <row r="549">
      <c r="A549">
        <f>--(AND(OR(Dashboard!$B$4="All",Raw_data!$AL549=Dashboard!$B$4),OR(Dashboard!$B$5="All",Raw_data!$AM549=Dashboard!$B$5),OR(Dashboard!$B$6="All",Raw_data!$AN549=Dashboard!$B$6),OR(Dashboard!$B$7="All",Raw_data!$AO549=Dashboard!$B$7),OR(Dashboard!$B$8="All",Raw_data!$AP549=Dashboard!$B$8),OR(Dashboard!$B$9="All",Raw_data!$AQ549=Dashboard!$B$9),OR(Dashboard!$B$10="All",Raw_data!$AF549=Dashboard!$B$10),OR(Raw_data!$F549="",Raw_data!$F549&lt;=TODAY())))</f>
        <v/>
      </c>
      <c r="B549">
        <f>IFERROR(IF(Dashboard!$B$3="Weighted",Raw_data!$U549,Raw_data!$T549),"")</f>
        <v/>
      </c>
      <c r="C549">
        <f>IFERROR(IF(Dashboard!$B$3="Weighted",Raw_data!$AB549,Raw_data!$AA549),"")</f>
        <v/>
      </c>
      <c r="D549">
        <f>IF(OR(Raw_data!$J549="",Raw_data!$J549&lt;=0,Raw_data!$K549=""),"",IF(Raw_data!$K549&gt;TODAY(),0,DATEDIF(Raw_data!$K549,TODAY(),"M")))</f>
        <v/>
      </c>
      <c r="E549">
        <f>--(AND(Raw_data!$AF549="No",OR(Raw_data!$AG549&lt;&gt;"",Raw_data!$AJ549&gt;0,Raw_data!$AK549&lt;&gt;"")))</f>
        <v/>
      </c>
      <c r="F549">
        <f>--(OR(AND(ISNUMBER(B549),B549&lt;0.5,OR(D549&gt;=24,Raw_data!$I549&gt;0)),Raw_data!$AE549=TRUE))</f>
        <v/>
      </c>
      <c r="G549">
        <f>IF(Dashboard!$B$11="Department",Raw_data!$AL549,IF(Dashboard!$B$11="Team",Raw_data!$AM549,IF(Dashboard!$B$11="Unit",Raw_data!$AN549,IF(Dashboard!$B$11="Legal entity",Raw_data!$AO549,IF(Dashboard!$B$11="Location",Raw_data!$AP549,Raw_data!$AQ549)))))</f>
        <v/>
      </c>
      <c r="H549">
        <f>--(AND(ISNUMBER(B549),B549&lt;0.5))</f>
        <v/>
      </c>
      <c r="I549">
        <f>IFERROR(MAX(0,(0.5-B549)*100),0)+IF(D549&gt;=24,20,0)+IF(Raw_data!$I549&gt;0,20,0)+IF(Raw_data!$AE549=TRUE,10,0)</f>
        <v/>
      </c>
      <c r="J549">
        <f>IFERROR(CHOOSE(MATCH(Dashboard!$B$11,{"Department","Team","Unit","Legal entity","Location","Lead"},0),INDEX(Lists!$B$3:$B$20,ROW()-1),INDEX(Lists!$C$3:$C$146,ROW()-1),INDEX(Lists!$D$3:$D$67,ROW()-1),INDEX(Lists!$E$3:$E$5,ROW()-1),INDEX(Lists!$F$3:$F$12,ROW()-1),INDEX(Lists!$G$3:$G$126,ROW()-1)),"")</f>
        <v/>
      </c>
      <c r="K549">
        <f>IF(J549="","",SUMPRODUCT(($A$2:$A$636=1)*($G$2:$G$636=J549)))</f>
        <v/>
      </c>
      <c r="L549">
        <f>IF(J549="","",SUMPRODUCT(($A$2:$A$636=1)*($G$2:$G$636=J549)*(ISNUMBER($B$2:$B$636))*($B$2:$B$636&lt;0.5)))</f>
        <v/>
      </c>
      <c r="M549">
        <f>IFERROR(L549/K549,"")</f>
        <v/>
      </c>
      <c r="N549">
        <f>IF(K549="","",M549+K549/100000+ROW()/100000000)</f>
        <v/>
      </c>
      <c r="R549">
        <f>IF(A549=1,IFERROR(I549,0)+ROW()/100000000,-1E+99)</f>
        <v/>
      </c>
      <c r="S549">
        <f>IF(A549=1,IFERROR(Raw_data!$T549,""),"")</f>
        <v/>
      </c>
      <c r="T549">
        <f>IF(A549=1,IFERROR(Raw_data!$AA549,""),"")</f>
        <v/>
      </c>
      <c r="U549">
        <f>IF(A549=1,IFERROR(Raw_data!$U549,""),"")</f>
        <v/>
      </c>
      <c r="V549">
        <f>IF(A549=1,IFERROR(Raw_data!$AB549,""),"")</f>
        <v/>
      </c>
    </row>
    <row r="550">
      <c r="A550">
        <f>--(AND(OR(Dashboard!$B$4="All",Raw_data!$AL550=Dashboard!$B$4),OR(Dashboard!$B$5="All",Raw_data!$AM550=Dashboard!$B$5),OR(Dashboard!$B$6="All",Raw_data!$AN550=Dashboard!$B$6),OR(Dashboard!$B$7="All",Raw_data!$AO550=Dashboard!$B$7),OR(Dashboard!$B$8="All",Raw_data!$AP550=Dashboard!$B$8),OR(Dashboard!$B$9="All",Raw_data!$AQ550=Dashboard!$B$9),OR(Dashboard!$B$10="All",Raw_data!$AF550=Dashboard!$B$10),OR(Raw_data!$F550="",Raw_data!$F550&lt;=TODAY())))</f>
        <v/>
      </c>
      <c r="B550">
        <f>IFERROR(IF(Dashboard!$B$3="Weighted",Raw_data!$U550,Raw_data!$T550),"")</f>
        <v/>
      </c>
      <c r="C550">
        <f>IFERROR(IF(Dashboard!$B$3="Weighted",Raw_data!$AB550,Raw_data!$AA550),"")</f>
        <v/>
      </c>
      <c r="D550">
        <f>IF(OR(Raw_data!$J550="",Raw_data!$J550&lt;=0,Raw_data!$K550=""),"",IF(Raw_data!$K550&gt;TODAY(),0,DATEDIF(Raw_data!$K550,TODAY(),"M")))</f>
        <v/>
      </c>
      <c r="E550">
        <f>--(AND(Raw_data!$AF550="No",OR(Raw_data!$AG550&lt;&gt;"",Raw_data!$AJ550&gt;0,Raw_data!$AK550&lt;&gt;"")))</f>
        <v/>
      </c>
      <c r="F550">
        <f>--(OR(AND(ISNUMBER(B550),B550&lt;0.5,OR(D550&gt;=24,Raw_data!$I550&gt;0)),Raw_data!$AE550=TRUE))</f>
        <v/>
      </c>
      <c r="G550">
        <f>IF(Dashboard!$B$11="Department",Raw_data!$AL550,IF(Dashboard!$B$11="Team",Raw_data!$AM550,IF(Dashboard!$B$11="Unit",Raw_data!$AN550,IF(Dashboard!$B$11="Legal entity",Raw_data!$AO550,IF(Dashboard!$B$11="Location",Raw_data!$AP550,Raw_data!$AQ550)))))</f>
        <v/>
      </c>
      <c r="H550">
        <f>--(AND(ISNUMBER(B550),B550&lt;0.5))</f>
        <v/>
      </c>
      <c r="I550">
        <f>IFERROR(MAX(0,(0.5-B550)*100),0)+IF(D550&gt;=24,20,0)+IF(Raw_data!$I550&gt;0,20,0)+IF(Raw_data!$AE550=TRUE,10,0)</f>
        <v/>
      </c>
      <c r="J550">
        <f>IFERROR(CHOOSE(MATCH(Dashboard!$B$11,{"Department","Team","Unit","Legal entity","Location","Lead"},0),INDEX(Lists!$B$3:$B$20,ROW()-1),INDEX(Lists!$C$3:$C$146,ROW()-1),INDEX(Lists!$D$3:$D$67,ROW()-1),INDEX(Lists!$E$3:$E$5,ROW()-1),INDEX(Lists!$F$3:$F$12,ROW()-1),INDEX(Lists!$G$3:$G$126,ROW()-1)),"")</f>
        <v/>
      </c>
      <c r="K550">
        <f>IF(J550="","",SUMPRODUCT(($A$2:$A$636=1)*($G$2:$G$636=J550)))</f>
        <v/>
      </c>
      <c r="L550">
        <f>IF(J550="","",SUMPRODUCT(($A$2:$A$636=1)*($G$2:$G$636=J550)*(ISNUMBER($B$2:$B$636))*($B$2:$B$636&lt;0.5)))</f>
        <v/>
      </c>
      <c r="M550">
        <f>IFERROR(L550/K550,"")</f>
        <v/>
      </c>
      <c r="N550">
        <f>IF(K550="","",M550+K550/100000+ROW()/100000000)</f>
        <v/>
      </c>
      <c r="R550">
        <f>IF(A550=1,IFERROR(I550,0)+ROW()/100000000,-1E+99)</f>
        <v/>
      </c>
      <c r="S550">
        <f>IF(A550=1,IFERROR(Raw_data!$T550,""),"")</f>
        <v/>
      </c>
      <c r="T550">
        <f>IF(A550=1,IFERROR(Raw_data!$AA550,""),"")</f>
        <v/>
      </c>
      <c r="U550">
        <f>IF(A550=1,IFERROR(Raw_data!$U550,""),"")</f>
        <v/>
      </c>
      <c r="V550">
        <f>IF(A550=1,IFERROR(Raw_data!$AB550,""),"")</f>
        <v/>
      </c>
    </row>
    <row r="551">
      <c r="A551">
        <f>--(AND(OR(Dashboard!$B$4="All",Raw_data!$AL551=Dashboard!$B$4),OR(Dashboard!$B$5="All",Raw_data!$AM551=Dashboard!$B$5),OR(Dashboard!$B$6="All",Raw_data!$AN551=Dashboard!$B$6),OR(Dashboard!$B$7="All",Raw_data!$AO551=Dashboard!$B$7),OR(Dashboard!$B$8="All",Raw_data!$AP551=Dashboard!$B$8),OR(Dashboard!$B$9="All",Raw_data!$AQ551=Dashboard!$B$9),OR(Dashboard!$B$10="All",Raw_data!$AF551=Dashboard!$B$10),OR(Raw_data!$F551="",Raw_data!$F551&lt;=TODAY())))</f>
        <v/>
      </c>
      <c r="B551">
        <f>IFERROR(IF(Dashboard!$B$3="Weighted",Raw_data!$U551,Raw_data!$T551),"")</f>
        <v/>
      </c>
      <c r="C551">
        <f>IFERROR(IF(Dashboard!$B$3="Weighted",Raw_data!$AB551,Raw_data!$AA551),"")</f>
        <v/>
      </c>
      <c r="D551">
        <f>IF(OR(Raw_data!$J551="",Raw_data!$J551&lt;=0,Raw_data!$K551=""),"",IF(Raw_data!$K551&gt;TODAY(),0,DATEDIF(Raw_data!$K551,TODAY(),"M")))</f>
        <v/>
      </c>
      <c r="E551">
        <f>--(AND(Raw_data!$AF551="No",OR(Raw_data!$AG551&lt;&gt;"",Raw_data!$AJ551&gt;0,Raw_data!$AK551&lt;&gt;"")))</f>
        <v/>
      </c>
      <c r="F551">
        <f>--(OR(AND(ISNUMBER(B551),B551&lt;0.5,OR(D551&gt;=24,Raw_data!$I551&gt;0)),Raw_data!$AE551=TRUE))</f>
        <v/>
      </c>
      <c r="G551">
        <f>IF(Dashboard!$B$11="Department",Raw_data!$AL551,IF(Dashboard!$B$11="Team",Raw_data!$AM551,IF(Dashboard!$B$11="Unit",Raw_data!$AN551,IF(Dashboard!$B$11="Legal entity",Raw_data!$AO551,IF(Dashboard!$B$11="Location",Raw_data!$AP551,Raw_data!$AQ551)))))</f>
        <v/>
      </c>
      <c r="H551">
        <f>--(AND(ISNUMBER(B551),B551&lt;0.5))</f>
        <v/>
      </c>
      <c r="I551">
        <f>IFERROR(MAX(0,(0.5-B551)*100),0)+IF(D551&gt;=24,20,0)+IF(Raw_data!$I551&gt;0,20,0)+IF(Raw_data!$AE551=TRUE,10,0)</f>
        <v/>
      </c>
      <c r="J551">
        <f>IFERROR(CHOOSE(MATCH(Dashboard!$B$11,{"Department","Team","Unit","Legal entity","Location","Lead"},0),INDEX(Lists!$B$3:$B$20,ROW()-1),INDEX(Lists!$C$3:$C$146,ROW()-1),INDEX(Lists!$D$3:$D$67,ROW()-1),INDEX(Lists!$E$3:$E$5,ROW()-1),INDEX(Lists!$F$3:$F$12,ROW()-1),INDEX(Lists!$G$3:$G$126,ROW()-1)),"")</f>
        <v/>
      </c>
      <c r="K551">
        <f>IF(J551="","",SUMPRODUCT(($A$2:$A$636=1)*($G$2:$G$636=J551)))</f>
        <v/>
      </c>
      <c r="L551">
        <f>IF(J551="","",SUMPRODUCT(($A$2:$A$636=1)*($G$2:$G$636=J551)*(ISNUMBER($B$2:$B$636))*($B$2:$B$636&lt;0.5)))</f>
        <v/>
      </c>
      <c r="M551">
        <f>IFERROR(L551/K551,"")</f>
        <v/>
      </c>
      <c r="N551">
        <f>IF(K551="","",M551+K551/100000+ROW()/100000000)</f>
        <v/>
      </c>
      <c r="R551">
        <f>IF(A551=1,IFERROR(I551,0)+ROW()/100000000,-1E+99)</f>
        <v/>
      </c>
      <c r="S551">
        <f>IF(A551=1,IFERROR(Raw_data!$T551,""),"")</f>
        <v/>
      </c>
      <c r="T551">
        <f>IF(A551=1,IFERROR(Raw_data!$AA551,""),"")</f>
        <v/>
      </c>
      <c r="U551">
        <f>IF(A551=1,IFERROR(Raw_data!$U551,""),"")</f>
        <v/>
      </c>
      <c r="V551">
        <f>IF(A551=1,IFERROR(Raw_data!$AB551,""),"")</f>
        <v/>
      </c>
    </row>
    <row r="552">
      <c r="A552">
        <f>--(AND(OR(Dashboard!$B$4="All",Raw_data!$AL552=Dashboard!$B$4),OR(Dashboard!$B$5="All",Raw_data!$AM552=Dashboard!$B$5),OR(Dashboard!$B$6="All",Raw_data!$AN552=Dashboard!$B$6),OR(Dashboard!$B$7="All",Raw_data!$AO552=Dashboard!$B$7),OR(Dashboard!$B$8="All",Raw_data!$AP552=Dashboard!$B$8),OR(Dashboard!$B$9="All",Raw_data!$AQ552=Dashboard!$B$9),OR(Dashboard!$B$10="All",Raw_data!$AF552=Dashboard!$B$10),OR(Raw_data!$F552="",Raw_data!$F552&lt;=TODAY())))</f>
        <v/>
      </c>
      <c r="B552">
        <f>IFERROR(IF(Dashboard!$B$3="Weighted",Raw_data!$U552,Raw_data!$T552),"")</f>
        <v/>
      </c>
      <c r="C552">
        <f>IFERROR(IF(Dashboard!$B$3="Weighted",Raw_data!$AB552,Raw_data!$AA552),"")</f>
        <v/>
      </c>
      <c r="D552">
        <f>IF(OR(Raw_data!$J552="",Raw_data!$J552&lt;=0,Raw_data!$K552=""),"",IF(Raw_data!$K552&gt;TODAY(),0,DATEDIF(Raw_data!$K552,TODAY(),"M")))</f>
        <v/>
      </c>
      <c r="E552">
        <f>--(AND(Raw_data!$AF552="No",OR(Raw_data!$AG552&lt;&gt;"",Raw_data!$AJ552&gt;0,Raw_data!$AK552&lt;&gt;"")))</f>
        <v/>
      </c>
      <c r="F552">
        <f>--(OR(AND(ISNUMBER(B552),B552&lt;0.5,OR(D552&gt;=24,Raw_data!$I552&gt;0)),Raw_data!$AE552=TRUE))</f>
        <v/>
      </c>
      <c r="G552">
        <f>IF(Dashboard!$B$11="Department",Raw_data!$AL552,IF(Dashboard!$B$11="Team",Raw_data!$AM552,IF(Dashboard!$B$11="Unit",Raw_data!$AN552,IF(Dashboard!$B$11="Legal entity",Raw_data!$AO552,IF(Dashboard!$B$11="Location",Raw_data!$AP552,Raw_data!$AQ552)))))</f>
        <v/>
      </c>
      <c r="H552">
        <f>--(AND(ISNUMBER(B552),B552&lt;0.5))</f>
        <v/>
      </c>
      <c r="I552">
        <f>IFERROR(MAX(0,(0.5-B552)*100),0)+IF(D552&gt;=24,20,0)+IF(Raw_data!$I552&gt;0,20,0)+IF(Raw_data!$AE552=TRUE,10,0)</f>
        <v/>
      </c>
      <c r="J552">
        <f>IFERROR(CHOOSE(MATCH(Dashboard!$B$11,{"Department","Team","Unit","Legal entity","Location","Lead"},0),INDEX(Lists!$B$3:$B$20,ROW()-1),INDEX(Lists!$C$3:$C$146,ROW()-1),INDEX(Lists!$D$3:$D$67,ROW()-1),INDEX(Lists!$E$3:$E$5,ROW()-1),INDEX(Lists!$F$3:$F$12,ROW()-1),INDEX(Lists!$G$3:$G$126,ROW()-1)),"")</f>
        <v/>
      </c>
      <c r="K552">
        <f>IF(J552="","",SUMPRODUCT(($A$2:$A$636=1)*($G$2:$G$636=J552)))</f>
        <v/>
      </c>
      <c r="L552">
        <f>IF(J552="","",SUMPRODUCT(($A$2:$A$636=1)*($G$2:$G$636=J552)*(ISNUMBER($B$2:$B$636))*($B$2:$B$636&lt;0.5)))</f>
        <v/>
      </c>
      <c r="M552">
        <f>IFERROR(L552/K552,"")</f>
        <v/>
      </c>
      <c r="N552">
        <f>IF(K552="","",M552+K552/100000+ROW()/100000000)</f>
        <v/>
      </c>
      <c r="R552">
        <f>IF(A552=1,IFERROR(I552,0)+ROW()/100000000,-1E+99)</f>
        <v/>
      </c>
      <c r="S552">
        <f>IF(A552=1,IFERROR(Raw_data!$T552,""),"")</f>
        <v/>
      </c>
      <c r="T552">
        <f>IF(A552=1,IFERROR(Raw_data!$AA552,""),"")</f>
        <v/>
      </c>
      <c r="U552">
        <f>IF(A552=1,IFERROR(Raw_data!$U552,""),"")</f>
        <v/>
      </c>
      <c r="V552">
        <f>IF(A552=1,IFERROR(Raw_data!$AB552,""),"")</f>
        <v/>
      </c>
    </row>
    <row r="553">
      <c r="A553">
        <f>--(AND(OR(Dashboard!$B$4="All",Raw_data!$AL553=Dashboard!$B$4),OR(Dashboard!$B$5="All",Raw_data!$AM553=Dashboard!$B$5),OR(Dashboard!$B$6="All",Raw_data!$AN553=Dashboard!$B$6),OR(Dashboard!$B$7="All",Raw_data!$AO553=Dashboard!$B$7),OR(Dashboard!$B$8="All",Raw_data!$AP553=Dashboard!$B$8),OR(Dashboard!$B$9="All",Raw_data!$AQ553=Dashboard!$B$9),OR(Dashboard!$B$10="All",Raw_data!$AF553=Dashboard!$B$10),OR(Raw_data!$F553="",Raw_data!$F553&lt;=TODAY())))</f>
        <v/>
      </c>
      <c r="B553">
        <f>IFERROR(IF(Dashboard!$B$3="Weighted",Raw_data!$U553,Raw_data!$T553),"")</f>
        <v/>
      </c>
      <c r="C553">
        <f>IFERROR(IF(Dashboard!$B$3="Weighted",Raw_data!$AB553,Raw_data!$AA553),"")</f>
        <v/>
      </c>
      <c r="D553">
        <f>IF(OR(Raw_data!$J553="",Raw_data!$J553&lt;=0,Raw_data!$K553=""),"",IF(Raw_data!$K553&gt;TODAY(),0,DATEDIF(Raw_data!$K553,TODAY(),"M")))</f>
        <v/>
      </c>
      <c r="E553">
        <f>--(AND(Raw_data!$AF553="No",OR(Raw_data!$AG553&lt;&gt;"",Raw_data!$AJ553&gt;0,Raw_data!$AK553&lt;&gt;"")))</f>
        <v/>
      </c>
      <c r="F553">
        <f>--(OR(AND(ISNUMBER(B553),B553&lt;0.5,OR(D553&gt;=24,Raw_data!$I553&gt;0)),Raw_data!$AE553=TRUE))</f>
        <v/>
      </c>
      <c r="G553">
        <f>IF(Dashboard!$B$11="Department",Raw_data!$AL553,IF(Dashboard!$B$11="Team",Raw_data!$AM553,IF(Dashboard!$B$11="Unit",Raw_data!$AN553,IF(Dashboard!$B$11="Legal entity",Raw_data!$AO553,IF(Dashboard!$B$11="Location",Raw_data!$AP553,Raw_data!$AQ553)))))</f>
        <v/>
      </c>
      <c r="H553">
        <f>--(AND(ISNUMBER(B553),B553&lt;0.5))</f>
        <v/>
      </c>
      <c r="I553">
        <f>IFERROR(MAX(0,(0.5-B553)*100),0)+IF(D553&gt;=24,20,0)+IF(Raw_data!$I553&gt;0,20,0)+IF(Raw_data!$AE553=TRUE,10,0)</f>
        <v/>
      </c>
      <c r="J553">
        <f>IFERROR(CHOOSE(MATCH(Dashboard!$B$11,{"Department","Team","Unit","Legal entity","Location","Lead"},0),INDEX(Lists!$B$3:$B$20,ROW()-1),INDEX(Lists!$C$3:$C$146,ROW()-1),INDEX(Lists!$D$3:$D$67,ROW()-1),INDEX(Lists!$E$3:$E$5,ROW()-1),INDEX(Lists!$F$3:$F$12,ROW()-1),INDEX(Lists!$G$3:$G$126,ROW()-1)),"")</f>
        <v/>
      </c>
      <c r="K553">
        <f>IF(J553="","",SUMPRODUCT(($A$2:$A$636=1)*($G$2:$G$636=J553)))</f>
        <v/>
      </c>
      <c r="L553">
        <f>IF(J553="","",SUMPRODUCT(($A$2:$A$636=1)*($G$2:$G$636=J553)*(ISNUMBER($B$2:$B$636))*($B$2:$B$636&lt;0.5)))</f>
        <v/>
      </c>
      <c r="M553">
        <f>IFERROR(L553/K553,"")</f>
        <v/>
      </c>
      <c r="N553">
        <f>IF(K553="","",M553+K553/100000+ROW()/100000000)</f>
        <v/>
      </c>
      <c r="R553">
        <f>IF(A553=1,IFERROR(I553,0)+ROW()/100000000,-1E+99)</f>
        <v/>
      </c>
      <c r="S553">
        <f>IF(A553=1,IFERROR(Raw_data!$T553,""),"")</f>
        <v/>
      </c>
      <c r="T553">
        <f>IF(A553=1,IFERROR(Raw_data!$AA553,""),"")</f>
        <v/>
      </c>
      <c r="U553">
        <f>IF(A553=1,IFERROR(Raw_data!$U553,""),"")</f>
        <v/>
      </c>
      <c r="V553">
        <f>IF(A553=1,IFERROR(Raw_data!$AB553,""),"")</f>
        <v/>
      </c>
    </row>
    <row r="554">
      <c r="A554">
        <f>--(AND(OR(Dashboard!$B$4="All",Raw_data!$AL554=Dashboard!$B$4),OR(Dashboard!$B$5="All",Raw_data!$AM554=Dashboard!$B$5),OR(Dashboard!$B$6="All",Raw_data!$AN554=Dashboard!$B$6),OR(Dashboard!$B$7="All",Raw_data!$AO554=Dashboard!$B$7),OR(Dashboard!$B$8="All",Raw_data!$AP554=Dashboard!$B$8),OR(Dashboard!$B$9="All",Raw_data!$AQ554=Dashboard!$B$9),OR(Dashboard!$B$10="All",Raw_data!$AF554=Dashboard!$B$10),OR(Raw_data!$F554="",Raw_data!$F554&lt;=TODAY())))</f>
        <v/>
      </c>
      <c r="B554">
        <f>IFERROR(IF(Dashboard!$B$3="Weighted",Raw_data!$U554,Raw_data!$T554),"")</f>
        <v/>
      </c>
      <c r="C554">
        <f>IFERROR(IF(Dashboard!$B$3="Weighted",Raw_data!$AB554,Raw_data!$AA554),"")</f>
        <v/>
      </c>
      <c r="D554">
        <f>IF(OR(Raw_data!$J554="",Raw_data!$J554&lt;=0,Raw_data!$K554=""),"",IF(Raw_data!$K554&gt;TODAY(),0,DATEDIF(Raw_data!$K554,TODAY(),"M")))</f>
        <v/>
      </c>
      <c r="E554">
        <f>--(AND(Raw_data!$AF554="No",OR(Raw_data!$AG554&lt;&gt;"",Raw_data!$AJ554&gt;0,Raw_data!$AK554&lt;&gt;"")))</f>
        <v/>
      </c>
      <c r="F554">
        <f>--(OR(AND(ISNUMBER(B554),B554&lt;0.5,OR(D554&gt;=24,Raw_data!$I554&gt;0)),Raw_data!$AE554=TRUE))</f>
        <v/>
      </c>
      <c r="G554">
        <f>IF(Dashboard!$B$11="Department",Raw_data!$AL554,IF(Dashboard!$B$11="Team",Raw_data!$AM554,IF(Dashboard!$B$11="Unit",Raw_data!$AN554,IF(Dashboard!$B$11="Legal entity",Raw_data!$AO554,IF(Dashboard!$B$11="Location",Raw_data!$AP554,Raw_data!$AQ554)))))</f>
        <v/>
      </c>
      <c r="H554">
        <f>--(AND(ISNUMBER(B554),B554&lt;0.5))</f>
        <v/>
      </c>
      <c r="I554">
        <f>IFERROR(MAX(0,(0.5-B554)*100),0)+IF(D554&gt;=24,20,0)+IF(Raw_data!$I554&gt;0,20,0)+IF(Raw_data!$AE554=TRUE,10,0)</f>
        <v/>
      </c>
      <c r="J554">
        <f>IFERROR(CHOOSE(MATCH(Dashboard!$B$11,{"Department","Team","Unit","Legal entity","Location","Lead"},0),INDEX(Lists!$B$3:$B$20,ROW()-1),INDEX(Lists!$C$3:$C$146,ROW()-1),INDEX(Lists!$D$3:$D$67,ROW()-1),INDEX(Lists!$E$3:$E$5,ROW()-1),INDEX(Lists!$F$3:$F$12,ROW()-1),INDEX(Lists!$G$3:$G$126,ROW()-1)),"")</f>
        <v/>
      </c>
      <c r="K554">
        <f>IF(J554="","",SUMPRODUCT(($A$2:$A$636=1)*($G$2:$G$636=J554)))</f>
        <v/>
      </c>
      <c r="L554">
        <f>IF(J554="","",SUMPRODUCT(($A$2:$A$636=1)*($G$2:$G$636=J554)*(ISNUMBER($B$2:$B$636))*($B$2:$B$636&lt;0.5)))</f>
        <v/>
      </c>
      <c r="M554">
        <f>IFERROR(L554/K554,"")</f>
        <v/>
      </c>
      <c r="N554">
        <f>IF(K554="","",M554+K554/100000+ROW()/100000000)</f>
        <v/>
      </c>
      <c r="R554">
        <f>IF(A554=1,IFERROR(I554,0)+ROW()/100000000,-1E+99)</f>
        <v/>
      </c>
      <c r="S554">
        <f>IF(A554=1,IFERROR(Raw_data!$T554,""),"")</f>
        <v/>
      </c>
      <c r="T554">
        <f>IF(A554=1,IFERROR(Raw_data!$AA554,""),"")</f>
        <v/>
      </c>
      <c r="U554">
        <f>IF(A554=1,IFERROR(Raw_data!$U554,""),"")</f>
        <v/>
      </c>
      <c r="V554">
        <f>IF(A554=1,IFERROR(Raw_data!$AB554,""),"")</f>
        <v/>
      </c>
    </row>
    <row r="555">
      <c r="A555">
        <f>--(AND(OR(Dashboard!$B$4="All",Raw_data!$AL555=Dashboard!$B$4),OR(Dashboard!$B$5="All",Raw_data!$AM555=Dashboard!$B$5),OR(Dashboard!$B$6="All",Raw_data!$AN555=Dashboard!$B$6),OR(Dashboard!$B$7="All",Raw_data!$AO555=Dashboard!$B$7),OR(Dashboard!$B$8="All",Raw_data!$AP555=Dashboard!$B$8),OR(Dashboard!$B$9="All",Raw_data!$AQ555=Dashboard!$B$9),OR(Dashboard!$B$10="All",Raw_data!$AF555=Dashboard!$B$10),OR(Raw_data!$F555="",Raw_data!$F555&lt;=TODAY())))</f>
        <v/>
      </c>
      <c r="B555">
        <f>IFERROR(IF(Dashboard!$B$3="Weighted",Raw_data!$U555,Raw_data!$T555),"")</f>
        <v/>
      </c>
      <c r="C555">
        <f>IFERROR(IF(Dashboard!$B$3="Weighted",Raw_data!$AB555,Raw_data!$AA555),"")</f>
        <v/>
      </c>
      <c r="D555">
        <f>IF(OR(Raw_data!$J555="",Raw_data!$J555&lt;=0,Raw_data!$K555=""),"",IF(Raw_data!$K555&gt;TODAY(),0,DATEDIF(Raw_data!$K555,TODAY(),"M")))</f>
        <v/>
      </c>
      <c r="E555">
        <f>--(AND(Raw_data!$AF555="No",OR(Raw_data!$AG555&lt;&gt;"",Raw_data!$AJ555&gt;0,Raw_data!$AK555&lt;&gt;"")))</f>
        <v/>
      </c>
      <c r="F555">
        <f>--(OR(AND(ISNUMBER(B555),B555&lt;0.5,OR(D555&gt;=24,Raw_data!$I555&gt;0)),Raw_data!$AE555=TRUE))</f>
        <v/>
      </c>
      <c r="G555">
        <f>IF(Dashboard!$B$11="Department",Raw_data!$AL555,IF(Dashboard!$B$11="Team",Raw_data!$AM555,IF(Dashboard!$B$11="Unit",Raw_data!$AN555,IF(Dashboard!$B$11="Legal entity",Raw_data!$AO555,IF(Dashboard!$B$11="Location",Raw_data!$AP555,Raw_data!$AQ555)))))</f>
        <v/>
      </c>
      <c r="H555">
        <f>--(AND(ISNUMBER(B555),B555&lt;0.5))</f>
        <v/>
      </c>
      <c r="I555">
        <f>IFERROR(MAX(0,(0.5-B555)*100),0)+IF(D555&gt;=24,20,0)+IF(Raw_data!$I555&gt;0,20,0)+IF(Raw_data!$AE555=TRUE,10,0)</f>
        <v/>
      </c>
      <c r="J555">
        <f>IFERROR(CHOOSE(MATCH(Dashboard!$B$11,{"Department","Team","Unit","Legal entity","Location","Lead"},0),INDEX(Lists!$B$3:$B$20,ROW()-1),INDEX(Lists!$C$3:$C$146,ROW()-1),INDEX(Lists!$D$3:$D$67,ROW()-1),INDEX(Lists!$E$3:$E$5,ROW()-1),INDEX(Lists!$F$3:$F$12,ROW()-1),INDEX(Lists!$G$3:$G$126,ROW()-1)),"")</f>
        <v/>
      </c>
      <c r="K555">
        <f>IF(J555="","",SUMPRODUCT(($A$2:$A$636=1)*($G$2:$G$636=J555)))</f>
        <v/>
      </c>
      <c r="L555">
        <f>IF(J555="","",SUMPRODUCT(($A$2:$A$636=1)*($G$2:$G$636=J555)*(ISNUMBER($B$2:$B$636))*($B$2:$B$636&lt;0.5)))</f>
        <v/>
      </c>
      <c r="M555">
        <f>IFERROR(L555/K555,"")</f>
        <v/>
      </c>
      <c r="N555">
        <f>IF(K555="","",M555+K555/100000+ROW()/100000000)</f>
        <v/>
      </c>
      <c r="R555">
        <f>IF(A555=1,IFERROR(I555,0)+ROW()/100000000,-1E+99)</f>
        <v/>
      </c>
      <c r="S555">
        <f>IF(A555=1,IFERROR(Raw_data!$T555,""),"")</f>
        <v/>
      </c>
      <c r="T555">
        <f>IF(A555=1,IFERROR(Raw_data!$AA555,""),"")</f>
        <v/>
      </c>
      <c r="U555">
        <f>IF(A555=1,IFERROR(Raw_data!$U555,""),"")</f>
        <v/>
      </c>
      <c r="V555">
        <f>IF(A555=1,IFERROR(Raw_data!$AB555,""),"")</f>
        <v/>
      </c>
    </row>
    <row r="556">
      <c r="A556">
        <f>--(AND(OR(Dashboard!$B$4="All",Raw_data!$AL556=Dashboard!$B$4),OR(Dashboard!$B$5="All",Raw_data!$AM556=Dashboard!$B$5),OR(Dashboard!$B$6="All",Raw_data!$AN556=Dashboard!$B$6),OR(Dashboard!$B$7="All",Raw_data!$AO556=Dashboard!$B$7),OR(Dashboard!$B$8="All",Raw_data!$AP556=Dashboard!$B$8),OR(Dashboard!$B$9="All",Raw_data!$AQ556=Dashboard!$B$9),OR(Dashboard!$B$10="All",Raw_data!$AF556=Dashboard!$B$10),OR(Raw_data!$F556="",Raw_data!$F556&lt;=TODAY())))</f>
        <v/>
      </c>
      <c r="B556">
        <f>IFERROR(IF(Dashboard!$B$3="Weighted",Raw_data!$U556,Raw_data!$T556),"")</f>
        <v/>
      </c>
      <c r="C556">
        <f>IFERROR(IF(Dashboard!$B$3="Weighted",Raw_data!$AB556,Raw_data!$AA556),"")</f>
        <v/>
      </c>
      <c r="D556">
        <f>IF(OR(Raw_data!$J556="",Raw_data!$J556&lt;=0,Raw_data!$K556=""),"",IF(Raw_data!$K556&gt;TODAY(),0,DATEDIF(Raw_data!$K556,TODAY(),"M")))</f>
        <v/>
      </c>
      <c r="E556">
        <f>--(AND(Raw_data!$AF556="No",OR(Raw_data!$AG556&lt;&gt;"",Raw_data!$AJ556&gt;0,Raw_data!$AK556&lt;&gt;"")))</f>
        <v/>
      </c>
      <c r="F556">
        <f>--(OR(AND(ISNUMBER(B556),B556&lt;0.5,OR(D556&gt;=24,Raw_data!$I556&gt;0)),Raw_data!$AE556=TRUE))</f>
        <v/>
      </c>
      <c r="G556">
        <f>IF(Dashboard!$B$11="Department",Raw_data!$AL556,IF(Dashboard!$B$11="Team",Raw_data!$AM556,IF(Dashboard!$B$11="Unit",Raw_data!$AN556,IF(Dashboard!$B$11="Legal entity",Raw_data!$AO556,IF(Dashboard!$B$11="Location",Raw_data!$AP556,Raw_data!$AQ556)))))</f>
        <v/>
      </c>
      <c r="H556">
        <f>--(AND(ISNUMBER(B556),B556&lt;0.5))</f>
        <v/>
      </c>
      <c r="I556">
        <f>IFERROR(MAX(0,(0.5-B556)*100),0)+IF(D556&gt;=24,20,0)+IF(Raw_data!$I556&gt;0,20,0)+IF(Raw_data!$AE556=TRUE,10,0)</f>
        <v/>
      </c>
      <c r="J556">
        <f>IFERROR(CHOOSE(MATCH(Dashboard!$B$11,{"Department","Team","Unit","Legal entity","Location","Lead"},0),INDEX(Lists!$B$3:$B$20,ROW()-1),INDEX(Lists!$C$3:$C$146,ROW()-1),INDEX(Lists!$D$3:$D$67,ROW()-1),INDEX(Lists!$E$3:$E$5,ROW()-1),INDEX(Lists!$F$3:$F$12,ROW()-1),INDEX(Lists!$G$3:$G$126,ROW()-1)),"")</f>
        <v/>
      </c>
      <c r="K556">
        <f>IF(J556="","",SUMPRODUCT(($A$2:$A$636=1)*($G$2:$G$636=J556)))</f>
        <v/>
      </c>
      <c r="L556">
        <f>IF(J556="","",SUMPRODUCT(($A$2:$A$636=1)*($G$2:$G$636=J556)*(ISNUMBER($B$2:$B$636))*($B$2:$B$636&lt;0.5)))</f>
        <v/>
      </c>
      <c r="M556">
        <f>IFERROR(L556/K556,"")</f>
        <v/>
      </c>
      <c r="N556">
        <f>IF(K556="","",M556+K556/100000+ROW()/100000000)</f>
        <v/>
      </c>
      <c r="R556">
        <f>IF(A556=1,IFERROR(I556,0)+ROW()/100000000,-1E+99)</f>
        <v/>
      </c>
      <c r="S556">
        <f>IF(A556=1,IFERROR(Raw_data!$T556,""),"")</f>
        <v/>
      </c>
      <c r="T556">
        <f>IF(A556=1,IFERROR(Raw_data!$AA556,""),"")</f>
        <v/>
      </c>
      <c r="U556">
        <f>IF(A556=1,IFERROR(Raw_data!$U556,""),"")</f>
        <v/>
      </c>
      <c r="V556">
        <f>IF(A556=1,IFERROR(Raw_data!$AB556,""),"")</f>
        <v/>
      </c>
    </row>
    <row r="557">
      <c r="A557">
        <f>--(AND(OR(Dashboard!$B$4="All",Raw_data!$AL557=Dashboard!$B$4),OR(Dashboard!$B$5="All",Raw_data!$AM557=Dashboard!$B$5),OR(Dashboard!$B$6="All",Raw_data!$AN557=Dashboard!$B$6),OR(Dashboard!$B$7="All",Raw_data!$AO557=Dashboard!$B$7),OR(Dashboard!$B$8="All",Raw_data!$AP557=Dashboard!$B$8),OR(Dashboard!$B$9="All",Raw_data!$AQ557=Dashboard!$B$9),OR(Dashboard!$B$10="All",Raw_data!$AF557=Dashboard!$B$10),OR(Raw_data!$F557="",Raw_data!$F557&lt;=TODAY())))</f>
        <v/>
      </c>
      <c r="B557">
        <f>IFERROR(IF(Dashboard!$B$3="Weighted",Raw_data!$U557,Raw_data!$T557),"")</f>
        <v/>
      </c>
      <c r="C557">
        <f>IFERROR(IF(Dashboard!$B$3="Weighted",Raw_data!$AB557,Raw_data!$AA557),"")</f>
        <v/>
      </c>
      <c r="D557">
        <f>IF(OR(Raw_data!$J557="",Raw_data!$J557&lt;=0,Raw_data!$K557=""),"",IF(Raw_data!$K557&gt;TODAY(),0,DATEDIF(Raw_data!$K557,TODAY(),"M")))</f>
        <v/>
      </c>
      <c r="E557">
        <f>--(AND(Raw_data!$AF557="No",OR(Raw_data!$AG557&lt;&gt;"",Raw_data!$AJ557&gt;0,Raw_data!$AK557&lt;&gt;"")))</f>
        <v/>
      </c>
      <c r="F557">
        <f>--(OR(AND(ISNUMBER(B557),B557&lt;0.5,OR(D557&gt;=24,Raw_data!$I557&gt;0)),Raw_data!$AE557=TRUE))</f>
        <v/>
      </c>
      <c r="G557">
        <f>IF(Dashboard!$B$11="Department",Raw_data!$AL557,IF(Dashboard!$B$11="Team",Raw_data!$AM557,IF(Dashboard!$B$11="Unit",Raw_data!$AN557,IF(Dashboard!$B$11="Legal entity",Raw_data!$AO557,IF(Dashboard!$B$11="Location",Raw_data!$AP557,Raw_data!$AQ557)))))</f>
        <v/>
      </c>
      <c r="H557">
        <f>--(AND(ISNUMBER(B557),B557&lt;0.5))</f>
        <v/>
      </c>
      <c r="I557">
        <f>IFERROR(MAX(0,(0.5-B557)*100),0)+IF(D557&gt;=24,20,0)+IF(Raw_data!$I557&gt;0,20,0)+IF(Raw_data!$AE557=TRUE,10,0)</f>
        <v/>
      </c>
      <c r="J557">
        <f>IFERROR(CHOOSE(MATCH(Dashboard!$B$11,{"Department","Team","Unit","Legal entity","Location","Lead"},0),INDEX(Lists!$B$3:$B$20,ROW()-1),INDEX(Lists!$C$3:$C$146,ROW()-1),INDEX(Lists!$D$3:$D$67,ROW()-1),INDEX(Lists!$E$3:$E$5,ROW()-1),INDEX(Lists!$F$3:$F$12,ROW()-1),INDEX(Lists!$G$3:$G$126,ROW()-1)),"")</f>
        <v/>
      </c>
      <c r="K557">
        <f>IF(J557="","",SUMPRODUCT(($A$2:$A$636=1)*($G$2:$G$636=J557)))</f>
        <v/>
      </c>
      <c r="L557">
        <f>IF(J557="","",SUMPRODUCT(($A$2:$A$636=1)*($G$2:$G$636=J557)*(ISNUMBER($B$2:$B$636))*($B$2:$B$636&lt;0.5)))</f>
        <v/>
      </c>
      <c r="M557">
        <f>IFERROR(L557/K557,"")</f>
        <v/>
      </c>
      <c r="N557">
        <f>IF(K557="","",M557+K557/100000+ROW()/100000000)</f>
        <v/>
      </c>
      <c r="R557">
        <f>IF(A557=1,IFERROR(I557,0)+ROW()/100000000,-1E+99)</f>
        <v/>
      </c>
      <c r="S557">
        <f>IF(A557=1,IFERROR(Raw_data!$T557,""),"")</f>
        <v/>
      </c>
      <c r="T557">
        <f>IF(A557=1,IFERROR(Raw_data!$AA557,""),"")</f>
        <v/>
      </c>
      <c r="U557">
        <f>IF(A557=1,IFERROR(Raw_data!$U557,""),"")</f>
        <v/>
      </c>
      <c r="V557">
        <f>IF(A557=1,IFERROR(Raw_data!$AB557,""),"")</f>
        <v/>
      </c>
    </row>
    <row r="558">
      <c r="A558">
        <f>--(AND(OR(Dashboard!$B$4="All",Raw_data!$AL558=Dashboard!$B$4),OR(Dashboard!$B$5="All",Raw_data!$AM558=Dashboard!$B$5),OR(Dashboard!$B$6="All",Raw_data!$AN558=Dashboard!$B$6),OR(Dashboard!$B$7="All",Raw_data!$AO558=Dashboard!$B$7),OR(Dashboard!$B$8="All",Raw_data!$AP558=Dashboard!$B$8),OR(Dashboard!$B$9="All",Raw_data!$AQ558=Dashboard!$B$9),OR(Dashboard!$B$10="All",Raw_data!$AF558=Dashboard!$B$10),OR(Raw_data!$F558="",Raw_data!$F558&lt;=TODAY())))</f>
        <v/>
      </c>
      <c r="B558">
        <f>IFERROR(IF(Dashboard!$B$3="Weighted",Raw_data!$U558,Raw_data!$T558),"")</f>
        <v/>
      </c>
      <c r="C558">
        <f>IFERROR(IF(Dashboard!$B$3="Weighted",Raw_data!$AB558,Raw_data!$AA558),"")</f>
        <v/>
      </c>
      <c r="D558">
        <f>IF(OR(Raw_data!$J558="",Raw_data!$J558&lt;=0,Raw_data!$K558=""),"",IF(Raw_data!$K558&gt;TODAY(),0,DATEDIF(Raw_data!$K558,TODAY(),"M")))</f>
        <v/>
      </c>
      <c r="E558">
        <f>--(AND(Raw_data!$AF558="No",OR(Raw_data!$AG558&lt;&gt;"",Raw_data!$AJ558&gt;0,Raw_data!$AK558&lt;&gt;"")))</f>
        <v/>
      </c>
      <c r="F558">
        <f>--(OR(AND(ISNUMBER(B558),B558&lt;0.5,OR(D558&gt;=24,Raw_data!$I558&gt;0)),Raw_data!$AE558=TRUE))</f>
        <v/>
      </c>
      <c r="G558">
        <f>IF(Dashboard!$B$11="Department",Raw_data!$AL558,IF(Dashboard!$B$11="Team",Raw_data!$AM558,IF(Dashboard!$B$11="Unit",Raw_data!$AN558,IF(Dashboard!$B$11="Legal entity",Raw_data!$AO558,IF(Dashboard!$B$11="Location",Raw_data!$AP558,Raw_data!$AQ558)))))</f>
        <v/>
      </c>
      <c r="H558">
        <f>--(AND(ISNUMBER(B558),B558&lt;0.5))</f>
        <v/>
      </c>
      <c r="I558">
        <f>IFERROR(MAX(0,(0.5-B558)*100),0)+IF(D558&gt;=24,20,0)+IF(Raw_data!$I558&gt;0,20,0)+IF(Raw_data!$AE558=TRUE,10,0)</f>
        <v/>
      </c>
      <c r="J558">
        <f>IFERROR(CHOOSE(MATCH(Dashboard!$B$11,{"Department","Team","Unit","Legal entity","Location","Lead"},0),INDEX(Lists!$B$3:$B$20,ROW()-1),INDEX(Lists!$C$3:$C$146,ROW()-1),INDEX(Lists!$D$3:$D$67,ROW()-1),INDEX(Lists!$E$3:$E$5,ROW()-1),INDEX(Lists!$F$3:$F$12,ROW()-1),INDEX(Lists!$G$3:$G$126,ROW()-1)),"")</f>
        <v/>
      </c>
      <c r="K558">
        <f>IF(J558="","",SUMPRODUCT(($A$2:$A$636=1)*($G$2:$G$636=J558)))</f>
        <v/>
      </c>
      <c r="L558">
        <f>IF(J558="","",SUMPRODUCT(($A$2:$A$636=1)*($G$2:$G$636=J558)*(ISNUMBER($B$2:$B$636))*($B$2:$B$636&lt;0.5)))</f>
        <v/>
      </c>
      <c r="M558">
        <f>IFERROR(L558/K558,"")</f>
        <v/>
      </c>
      <c r="N558">
        <f>IF(K558="","",M558+K558/100000+ROW()/100000000)</f>
        <v/>
      </c>
      <c r="R558">
        <f>IF(A558=1,IFERROR(I558,0)+ROW()/100000000,-1E+99)</f>
        <v/>
      </c>
      <c r="S558">
        <f>IF(A558=1,IFERROR(Raw_data!$T558,""),"")</f>
        <v/>
      </c>
      <c r="T558">
        <f>IF(A558=1,IFERROR(Raw_data!$AA558,""),"")</f>
        <v/>
      </c>
      <c r="U558">
        <f>IF(A558=1,IFERROR(Raw_data!$U558,""),"")</f>
        <v/>
      </c>
      <c r="V558">
        <f>IF(A558=1,IFERROR(Raw_data!$AB558,""),"")</f>
        <v/>
      </c>
    </row>
    <row r="559">
      <c r="A559">
        <f>--(AND(OR(Dashboard!$B$4="All",Raw_data!$AL559=Dashboard!$B$4),OR(Dashboard!$B$5="All",Raw_data!$AM559=Dashboard!$B$5),OR(Dashboard!$B$6="All",Raw_data!$AN559=Dashboard!$B$6),OR(Dashboard!$B$7="All",Raw_data!$AO559=Dashboard!$B$7),OR(Dashboard!$B$8="All",Raw_data!$AP559=Dashboard!$B$8),OR(Dashboard!$B$9="All",Raw_data!$AQ559=Dashboard!$B$9),OR(Dashboard!$B$10="All",Raw_data!$AF559=Dashboard!$B$10),OR(Raw_data!$F559="",Raw_data!$F559&lt;=TODAY())))</f>
        <v/>
      </c>
      <c r="B559">
        <f>IFERROR(IF(Dashboard!$B$3="Weighted",Raw_data!$U559,Raw_data!$T559),"")</f>
        <v/>
      </c>
      <c r="C559">
        <f>IFERROR(IF(Dashboard!$B$3="Weighted",Raw_data!$AB559,Raw_data!$AA559),"")</f>
        <v/>
      </c>
      <c r="D559">
        <f>IF(OR(Raw_data!$J559="",Raw_data!$J559&lt;=0,Raw_data!$K559=""),"",IF(Raw_data!$K559&gt;TODAY(),0,DATEDIF(Raw_data!$K559,TODAY(),"M")))</f>
        <v/>
      </c>
      <c r="E559">
        <f>--(AND(Raw_data!$AF559="No",OR(Raw_data!$AG559&lt;&gt;"",Raw_data!$AJ559&gt;0,Raw_data!$AK559&lt;&gt;"")))</f>
        <v/>
      </c>
      <c r="F559">
        <f>--(OR(AND(ISNUMBER(B559),B559&lt;0.5,OR(D559&gt;=24,Raw_data!$I559&gt;0)),Raw_data!$AE559=TRUE))</f>
        <v/>
      </c>
      <c r="G559">
        <f>IF(Dashboard!$B$11="Department",Raw_data!$AL559,IF(Dashboard!$B$11="Team",Raw_data!$AM559,IF(Dashboard!$B$11="Unit",Raw_data!$AN559,IF(Dashboard!$B$11="Legal entity",Raw_data!$AO559,IF(Dashboard!$B$11="Location",Raw_data!$AP559,Raw_data!$AQ559)))))</f>
        <v/>
      </c>
      <c r="H559">
        <f>--(AND(ISNUMBER(B559),B559&lt;0.5))</f>
        <v/>
      </c>
      <c r="I559">
        <f>IFERROR(MAX(0,(0.5-B559)*100),0)+IF(D559&gt;=24,20,0)+IF(Raw_data!$I559&gt;0,20,0)+IF(Raw_data!$AE559=TRUE,10,0)</f>
        <v/>
      </c>
      <c r="J559">
        <f>IFERROR(CHOOSE(MATCH(Dashboard!$B$11,{"Department","Team","Unit","Legal entity","Location","Lead"},0),INDEX(Lists!$B$3:$B$20,ROW()-1),INDEX(Lists!$C$3:$C$146,ROW()-1),INDEX(Lists!$D$3:$D$67,ROW()-1),INDEX(Lists!$E$3:$E$5,ROW()-1),INDEX(Lists!$F$3:$F$12,ROW()-1),INDEX(Lists!$G$3:$G$126,ROW()-1)),"")</f>
        <v/>
      </c>
      <c r="K559">
        <f>IF(J559="","",SUMPRODUCT(($A$2:$A$636=1)*($G$2:$G$636=J559)))</f>
        <v/>
      </c>
      <c r="L559">
        <f>IF(J559="","",SUMPRODUCT(($A$2:$A$636=1)*($G$2:$G$636=J559)*(ISNUMBER($B$2:$B$636))*($B$2:$B$636&lt;0.5)))</f>
        <v/>
      </c>
      <c r="M559">
        <f>IFERROR(L559/K559,"")</f>
        <v/>
      </c>
      <c r="N559">
        <f>IF(K559="","",M559+K559/100000+ROW()/100000000)</f>
        <v/>
      </c>
      <c r="R559">
        <f>IF(A559=1,IFERROR(I559,0)+ROW()/100000000,-1E+99)</f>
        <v/>
      </c>
      <c r="S559">
        <f>IF(A559=1,IFERROR(Raw_data!$T559,""),"")</f>
        <v/>
      </c>
      <c r="T559">
        <f>IF(A559=1,IFERROR(Raw_data!$AA559,""),"")</f>
        <v/>
      </c>
      <c r="U559">
        <f>IF(A559=1,IFERROR(Raw_data!$U559,""),"")</f>
        <v/>
      </c>
      <c r="V559">
        <f>IF(A559=1,IFERROR(Raw_data!$AB559,""),"")</f>
        <v/>
      </c>
    </row>
    <row r="560">
      <c r="A560">
        <f>--(AND(OR(Dashboard!$B$4="All",Raw_data!$AL560=Dashboard!$B$4),OR(Dashboard!$B$5="All",Raw_data!$AM560=Dashboard!$B$5),OR(Dashboard!$B$6="All",Raw_data!$AN560=Dashboard!$B$6),OR(Dashboard!$B$7="All",Raw_data!$AO560=Dashboard!$B$7),OR(Dashboard!$B$8="All",Raw_data!$AP560=Dashboard!$B$8),OR(Dashboard!$B$9="All",Raw_data!$AQ560=Dashboard!$B$9),OR(Dashboard!$B$10="All",Raw_data!$AF560=Dashboard!$B$10),OR(Raw_data!$F560="",Raw_data!$F560&lt;=TODAY())))</f>
        <v/>
      </c>
      <c r="B560">
        <f>IFERROR(IF(Dashboard!$B$3="Weighted",Raw_data!$U560,Raw_data!$T560),"")</f>
        <v/>
      </c>
      <c r="C560">
        <f>IFERROR(IF(Dashboard!$B$3="Weighted",Raw_data!$AB560,Raw_data!$AA560),"")</f>
        <v/>
      </c>
      <c r="D560">
        <f>IF(OR(Raw_data!$J560="",Raw_data!$J560&lt;=0,Raw_data!$K560=""),"",IF(Raw_data!$K560&gt;TODAY(),0,DATEDIF(Raw_data!$K560,TODAY(),"M")))</f>
        <v/>
      </c>
      <c r="E560">
        <f>--(AND(Raw_data!$AF560="No",OR(Raw_data!$AG560&lt;&gt;"",Raw_data!$AJ560&gt;0,Raw_data!$AK560&lt;&gt;"")))</f>
        <v/>
      </c>
      <c r="F560">
        <f>--(OR(AND(ISNUMBER(B560),B560&lt;0.5,OR(D560&gt;=24,Raw_data!$I560&gt;0)),Raw_data!$AE560=TRUE))</f>
        <v/>
      </c>
      <c r="G560">
        <f>IF(Dashboard!$B$11="Department",Raw_data!$AL560,IF(Dashboard!$B$11="Team",Raw_data!$AM560,IF(Dashboard!$B$11="Unit",Raw_data!$AN560,IF(Dashboard!$B$11="Legal entity",Raw_data!$AO560,IF(Dashboard!$B$11="Location",Raw_data!$AP560,Raw_data!$AQ560)))))</f>
        <v/>
      </c>
      <c r="H560">
        <f>--(AND(ISNUMBER(B560),B560&lt;0.5))</f>
        <v/>
      </c>
      <c r="I560">
        <f>IFERROR(MAX(0,(0.5-B560)*100),0)+IF(D560&gt;=24,20,0)+IF(Raw_data!$I560&gt;0,20,0)+IF(Raw_data!$AE560=TRUE,10,0)</f>
        <v/>
      </c>
      <c r="J560">
        <f>IFERROR(CHOOSE(MATCH(Dashboard!$B$11,{"Department","Team","Unit","Legal entity","Location","Lead"},0),INDEX(Lists!$B$3:$B$20,ROW()-1),INDEX(Lists!$C$3:$C$146,ROW()-1),INDEX(Lists!$D$3:$D$67,ROW()-1),INDEX(Lists!$E$3:$E$5,ROW()-1),INDEX(Lists!$F$3:$F$12,ROW()-1),INDEX(Lists!$G$3:$G$126,ROW()-1)),"")</f>
        <v/>
      </c>
      <c r="K560">
        <f>IF(J560="","",SUMPRODUCT(($A$2:$A$636=1)*($G$2:$G$636=J560)))</f>
        <v/>
      </c>
      <c r="L560">
        <f>IF(J560="","",SUMPRODUCT(($A$2:$A$636=1)*($G$2:$G$636=J560)*(ISNUMBER($B$2:$B$636))*($B$2:$B$636&lt;0.5)))</f>
        <v/>
      </c>
      <c r="M560">
        <f>IFERROR(L560/K560,"")</f>
        <v/>
      </c>
      <c r="N560">
        <f>IF(K560="","",M560+K560/100000+ROW()/100000000)</f>
        <v/>
      </c>
      <c r="R560">
        <f>IF(A560=1,IFERROR(I560,0)+ROW()/100000000,-1E+99)</f>
        <v/>
      </c>
      <c r="S560">
        <f>IF(A560=1,IFERROR(Raw_data!$T560,""),"")</f>
        <v/>
      </c>
      <c r="T560">
        <f>IF(A560=1,IFERROR(Raw_data!$AA560,""),"")</f>
        <v/>
      </c>
      <c r="U560">
        <f>IF(A560=1,IFERROR(Raw_data!$U560,""),"")</f>
        <v/>
      </c>
      <c r="V560">
        <f>IF(A560=1,IFERROR(Raw_data!$AB560,""),"")</f>
        <v/>
      </c>
    </row>
    <row r="561">
      <c r="A561">
        <f>--(AND(OR(Dashboard!$B$4="All",Raw_data!$AL561=Dashboard!$B$4),OR(Dashboard!$B$5="All",Raw_data!$AM561=Dashboard!$B$5),OR(Dashboard!$B$6="All",Raw_data!$AN561=Dashboard!$B$6),OR(Dashboard!$B$7="All",Raw_data!$AO561=Dashboard!$B$7),OR(Dashboard!$B$8="All",Raw_data!$AP561=Dashboard!$B$8),OR(Dashboard!$B$9="All",Raw_data!$AQ561=Dashboard!$B$9),OR(Dashboard!$B$10="All",Raw_data!$AF561=Dashboard!$B$10),OR(Raw_data!$F561="",Raw_data!$F561&lt;=TODAY())))</f>
        <v/>
      </c>
      <c r="B561">
        <f>IFERROR(IF(Dashboard!$B$3="Weighted",Raw_data!$U561,Raw_data!$T561),"")</f>
        <v/>
      </c>
      <c r="C561">
        <f>IFERROR(IF(Dashboard!$B$3="Weighted",Raw_data!$AB561,Raw_data!$AA561),"")</f>
        <v/>
      </c>
      <c r="D561">
        <f>IF(OR(Raw_data!$J561="",Raw_data!$J561&lt;=0,Raw_data!$K561=""),"",IF(Raw_data!$K561&gt;TODAY(),0,DATEDIF(Raw_data!$K561,TODAY(),"M")))</f>
        <v/>
      </c>
      <c r="E561">
        <f>--(AND(Raw_data!$AF561="No",OR(Raw_data!$AG561&lt;&gt;"",Raw_data!$AJ561&gt;0,Raw_data!$AK561&lt;&gt;"")))</f>
        <v/>
      </c>
      <c r="F561">
        <f>--(OR(AND(ISNUMBER(B561),B561&lt;0.5,OR(D561&gt;=24,Raw_data!$I561&gt;0)),Raw_data!$AE561=TRUE))</f>
        <v/>
      </c>
      <c r="G561">
        <f>IF(Dashboard!$B$11="Department",Raw_data!$AL561,IF(Dashboard!$B$11="Team",Raw_data!$AM561,IF(Dashboard!$B$11="Unit",Raw_data!$AN561,IF(Dashboard!$B$11="Legal entity",Raw_data!$AO561,IF(Dashboard!$B$11="Location",Raw_data!$AP561,Raw_data!$AQ561)))))</f>
        <v/>
      </c>
      <c r="H561">
        <f>--(AND(ISNUMBER(B561),B561&lt;0.5))</f>
        <v/>
      </c>
      <c r="I561">
        <f>IFERROR(MAX(0,(0.5-B561)*100),0)+IF(D561&gt;=24,20,0)+IF(Raw_data!$I561&gt;0,20,0)+IF(Raw_data!$AE561=TRUE,10,0)</f>
        <v/>
      </c>
      <c r="J561">
        <f>IFERROR(CHOOSE(MATCH(Dashboard!$B$11,{"Department","Team","Unit","Legal entity","Location","Lead"},0),INDEX(Lists!$B$3:$B$20,ROW()-1),INDEX(Lists!$C$3:$C$146,ROW()-1),INDEX(Lists!$D$3:$D$67,ROW()-1),INDEX(Lists!$E$3:$E$5,ROW()-1),INDEX(Lists!$F$3:$F$12,ROW()-1),INDEX(Lists!$G$3:$G$126,ROW()-1)),"")</f>
        <v/>
      </c>
      <c r="K561">
        <f>IF(J561="","",SUMPRODUCT(($A$2:$A$636=1)*($G$2:$G$636=J561)))</f>
        <v/>
      </c>
      <c r="L561">
        <f>IF(J561="","",SUMPRODUCT(($A$2:$A$636=1)*($G$2:$G$636=J561)*(ISNUMBER($B$2:$B$636))*($B$2:$B$636&lt;0.5)))</f>
        <v/>
      </c>
      <c r="M561">
        <f>IFERROR(L561/K561,"")</f>
        <v/>
      </c>
      <c r="N561">
        <f>IF(K561="","",M561+K561/100000+ROW()/100000000)</f>
        <v/>
      </c>
      <c r="R561">
        <f>IF(A561=1,IFERROR(I561,0)+ROW()/100000000,-1E+99)</f>
        <v/>
      </c>
      <c r="S561">
        <f>IF(A561=1,IFERROR(Raw_data!$T561,""),"")</f>
        <v/>
      </c>
      <c r="T561">
        <f>IF(A561=1,IFERROR(Raw_data!$AA561,""),"")</f>
        <v/>
      </c>
      <c r="U561">
        <f>IF(A561=1,IFERROR(Raw_data!$U561,""),"")</f>
        <v/>
      </c>
      <c r="V561">
        <f>IF(A561=1,IFERROR(Raw_data!$AB561,""),"")</f>
        <v/>
      </c>
    </row>
    <row r="562">
      <c r="A562">
        <f>--(AND(OR(Dashboard!$B$4="All",Raw_data!$AL562=Dashboard!$B$4),OR(Dashboard!$B$5="All",Raw_data!$AM562=Dashboard!$B$5),OR(Dashboard!$B$6="All",Raw_data!$AN562=Dashboard!$B$6),OR(Dashboard!$B$7="All",Raw_data!$AO562=Dashboard!$B$7),OR(Dashboard!$B$8="All",Raw_data!$AP562=Dashboard!$B$8),OR(Dashboard!$B$9="All",Raw_data!$AQ562=Dashboard!$B$9),OR(Dashboard!$B$10="All",Raw_data!$AF562=Dashboard!$B$10),OR(Raw_data!$F562="",Raw_data!$F562&lt;=TODAY())))</f>
        <v/>
      </c>
      <c r="B562">
        <f>IFERROR(IF(Dashboard!$B$3="Weighted",Raw_data!$U562,Raw_data!$T562),"")</f>
        <v/>
      </c>
      <c r="C562">
        <f>IFERROR(IF(Dashboard!$B$3="Weighted",Raw_data!$AB562,Raw_data!$AA562),"")</f>
        <v/>
      </c>
      <c r="D562">
        <f>IF(OR(Raw_data!$J562="",Raw_data!$J562&lt;=0,Raw_data!$K562=""),"",IF(Raw_data!$K562&gt;TODAY(),0,DATEDIF(Raw_data!$K562,TODAY(),"M")))</f>
        <v/>
      </c>
      <c r="E562">
        <f>--(AND(Raw_data!$AF562="No",OR(Raw_data!$AG562&lt;&gt;"",Raw_data!$AJ562&gt;0,Raw_data!$AK562&lt;&gt;"")))</f>
        <v/>
      </c>
      <c r="F562">
        <f>--(OR(AND(ISNUMBER(B562),B562&lt;0.5,OR(D562&gt;=24,Raw_data!$I562&gt;0)),Raw_data!$AE562=TRUE))</f>
        <v/>
      </c>
      <c r="G562">
        <f>IF(Dashboard!$B$11="Department",Raw_data!$AL562,IF(Dashboard!$B$11="Team",Raw_data!$AM562,IF(Dashboard!$B$11="Unit",Raw_data!$AN562,IF(Dashboard!$B$11="Legal entity",Raw_data!$AO562,IF(Dashboard!$B$11="Location",Raw_data!$AP562,Raw_data!$AQ562)))))</f>
        <v/>
      </c>
      <c r="H562">
        <f>--(AND(ISNUMBER(B562),B562&lt;0.5))</f>
        <v/>
      </c>
      <c r="I562">
        <f>IFERROR(MAX(0,(0.5-B562)*100),0)+IF(D562&gt;=24,20,0)+IF(Raw_data!$I562&gt;0,20,0)+IF(Raw_data!$AE562=TRUE,10,0)</f>
        <v/>
      </c>
      <c r="J562">
        <f>IFERROR(CHOOSE(MATCH(Dashboard!$B$11,{"Department","Team","Unit","Legal entity","Location","Lead"},0),INDEX(Lists!$B$3:$B$20,ROW()-1),INDEX(Lists!$C$3:$C$146,ROW()-1),INDEX(Lists!$D$3:$D$67,ROW()-1),INDEX(Lists!$E$3:$E$5,ROW()-1),INDEX(Lists!$F$3:$F$12,ROW()-1),INDEX(Lists!$G$3:$G$126,ROW()-1)),"")</f>
        <v/>
      </c>
      <c r="K562">
        <f>IF(J562="","",SUMPRODUCT(($A$2:$A$636=1)*($G$2:$G$636=J562)))</f>
        <v/>
      </c>
      <c r="L562">
        <f>IF(J562="","",SUMPRODUCT(($A$2:$A$636=1)*($G$2:$G$636=J562)*(ISNUMBER($B$2:$B$636))*($B$2:$B$636&lt;0.5)))</f>
        <v/>
      </c>
      <c r="M562">
        <f>IFERROR(L562/K562,"")</f>
        <v/>
      </c>
      <c r="N562">
        <f>IF(K562="","",M562+K562/100000+ROW()/100000000)</f>
        <v/>
      </c>
      <c r="R562">
        <f>IF(A562=1,IFERROR(I562,0)+ROW()/100000000,-1E+99)</f>
        <v/>
      </c>
      <c r="S562">
        <f>IF(A562=1,IFERROR(Raw_data!$T562,""),"")</f>
        <v/>
      </c>
      <c r="T562">
        <f>IF(A562=1,IFERROR(Raw_data!$AA562,""),"")</f>
        <v/>
      </c>
      <c r="U562">
        <f>IF(A562=1,IFERROR(Raw_data!$U562,""),"")</f>
        <v/>
      </c>
      <c r="V562">
        <f>IF(A562=1,IFERROR(Raw_data!$AB562,""),"")</f>
        <v/>
      </c>
    </row>
    <row r="563">
      <c r="A563">
        <f>--(AND(OR(Dashboard!$B$4="All",Raw_data!$AL563=Dashboard!$B$4),OR(Dashboard!$B$5="All",Raw_data!$AM563=Dashboard!$B$5),OR(Dashboard!$B$6="All",Raw_data!$AN563=Dashboard!$B$6),OR(Dashboard!$B$7="All",Raw_data!$AO563=Dashboard!$B$7),OR(Dashboard!$B$8="All",Raw_data!$AP563=Dashboard!$B$8),OR(Dashboard!$B$9="All",Raw_data!$AQ563=Dashboard!$B$9),OR(Dashboard!$B$10="All",Raw_data!$AF563=Dashboard!$B$10),OR(Raw_data!$F563="",Raw_data!$F563&lt;=TODAY())))</f>
        <v/>
      </c>
      <c r="B563">
        <f>IFERROR(IF(Dashboard!$B$3="Weighted",Raw_data!$U563,Raw_data!$T563),"")</f>
        <v/>
      </c>
      <c r="C563">
        <f>IFERROR(IF(Dashboard!$B$3="Weighted",Raw_data!$AB563,Raw_data!$AA563),"")</f>
        <v/>
      </c>
      <c r="D563">
        <f>IF(OR(Raw_data!$J563="",Raw_data!$J563&lt;=0,Raw_data!$K563=""),"",IF(Raw_data!$K563&gt;TODAY(),0,DATEDIF(Raw_data!$K563,TODAY(),"M")))</f>
        <v/>
      </c>
      <c r="E563">
        <f>--(AND(Raw_data!$AF563="No",OR(Raw_data!$AG563&lt;&gt;"",Raw_data!$AJ563&gt;0,Raw_data!$AK563&lt;&gt;"")))</f>
        <v/>
      </c>
      <c r="F563">
        <f>--(OR(AND(ISNUMBER(B563),B563&lt;0.5,OR(D563&gt;=24,Raw_data!$I563&gt;0)),Raw_data!$AE563=TRUE))</f>
        <v/>
      </c>
      <c r="G563">
        <f>IF(Dashboard!$B$11="Department",Raw_data!$AL563,IF(Dashboard!$B$11="Team",Raw_data!$AM563,IF(Dashboard!$B$11="Unit",Raw_data!$AN563,IF(Dashboard!$B$11="Legal entity",Raw_data!$AO563,IF(Dashboard!$B$11="Location",Raw_data!$AP563,Raw_data!$AQ563)))))</f>
        <v/>
      </c>
      <c r="H563">
        <f>--(AND(ISNUMBER(B563),B563&lt;0.5))</f>
        <v/>
      </c>
      <c r="I563">
        <f>IFERROR(MAX(0,(0.5-B563)*100),0)+IF(D563&gt;=24,20,0)+IF(Raw_data!$I563&gt;0,20,0)+IF(Raw_data!$AE563=TRUE,10,0)</f>
        <v/>
      </c>
      <c r="J563">
        <f>IFERROR(CHOOSE(MATCH(Dashboard!$B$11,{"Department","Team","Unit","Legal entity","Location","Lead"},0),INDEX(Lists!$B$3:$B$20,ROW()-1),INDEX(Lists!$C$3:$C$146,ROW()-1),INDEX(Lists!$D$3:$D$67,ROW()-1),INDEX(Lists!$E$3:$E$5,ROW()-1),INDEX(Lists!$F$3:$F$12,ROW()-1),INDEX(Lists!$G$3:$G$126,ROW()-1)),"")</f>
        <v/>
      </c>
      <c r="K563">
        <f>IF(J563="","",SUMPRODUCT(($A$2:$A$636=1)*($G$2:$G$636=J563)))</f>
        <v/>
      </c>
      <c r="L563">
        <f>IF(J563="","",SUMPRODUCT(($A$2:$A$636=1)*($G$2:$G$636=J563)*(ISNUMBER($B$2:$B$636))*($B$2:$B$636&lt;0.5)))</f>
        <v/>
      </c>
      <c r="M563">
        <f>IFERROR(L563/K563,"")</f>
        <v/>
      </c>
      <c r="N563">
        <f>IF(K563="","",M563+K563/100000+ROW()/100000000)</f>
        <v/>
      </c>
      <c r="R563">
        <f>IF(A563=1,IFERROR(I563,0)+ROW()/100000000,-1E+99)</f>
        <v/>
      </c>
      <c r="S563">
        <f>IF(A563=1,IFERROR(Raw_data!$T563,""),"")</f>
        <v/>
      </c>
      <c r="T563">
        <f>IF(A563=1,IFERROR(Raw_data!$AA563,""),"")</f>
        <v/>
      </c>
      <c r="U563">
        <f>IF(A563=1,IFERROR(Raw_data!$U563,""),"")</f>
        <v/>
      </c>
      <c r="V563">
        <f>IF(A563=1,IFERROR(Raw_data!$AB563,""),"")</f>
        <v/>
      </c>
    </row>
    <row r="564">
      <c r="A564">
        <f>--(AND(OR(Dashboard!$B$4="All",Raw_data!$AL564=Dashboard!$B$4),OR(Dashboard!$B$5="All",Raw_data!$AM564=Dashboard!$B$5),OR(Dashboard!$B$6="All",Raw_data!$AN564=Dashboard!$B$6),OR(Dashboard!$B$7="All",Raw_data!$AO564=Dashboard!$B$7),OR(Dashboard!$B$8="All",Raw_data!$AP564=Dashboard!$B$8),OR(Dashboard!$B$9="All",Raw_data!$AQ564=Dashboard!$B$9),OR(Dashboard!$B$10="All",Raw_data!$AF564=Dashboard!$B$10),OR(Raw_data!$F564="",Raw_data!$F564&lt;=TODAY())))</f>
        <v/>
      </c>
      <c r="B564">
        <f>IFERROR(IF(Dashboard!$B$3="Weighted",Raw_data!$U564,Raw_data!$T564),"")</f>
        <v/>
      </c>
      <c r="C564">
        <f>IFERROR(IF(Dashboard!$B$3="Weighted",Raw_data!$AB564,Raw_data!$AA564),"")</f>
        <v/>
      </c>
      <c r="D564">
        <f>IF(OR(Raw_data!$J564="",Raw_data!$J564&lt;=0,Raw_data!$K564=""),"",IF(Raw_data!$K564&gt;TODAY(),0,DATEDIF(Raw_data!$K564,TODAY(),"M")))</f>
        <v/>
      </c>
      <c r="E564">
        <f>--(AND(Raw_data!$AF564="No",OR(Raw_data!$AG564&lt;&gt;"",Raw_data!$AJ564&gt;0,Raw_data!$AK564&lt;&gt;"")))</f>
        <v/>
      </c>
      <c r="F564">
        <f>--(OR(AND(ISNUMBER(B564),B564&lt;0.5,OR(D564&gt;=24,Raw_data!$I564&gt;0)),Raw_data!$AE564=TRUE))</f>
        <v/>
      </c>
      <c r="G564">
        <f>IF(Dashboard!$B$11="Department",Raw_data!$AL564,IF(Dashboard!$B$11="Team",Raw_data!$AM564,IF(Dashboard!$B$11="Unit",Raw_data!$AN564,IF(Dashboard!$B$11="Legal entity",Raw_data!$AO564,IF(Dashboard!$B$11="Location",Raw_data!$AP564,Raw_data!$AQ564)))))</f>
        <v/>
      </c>
      <c r="H564">
        <f>--(AND(ISNUMBER(B564),B564&lt;0.5))</f>
        <v/>
      </c>
      <c r="I564">
        <f>IFERROR(MAX(0,(0.5-B564)*100),0)+IF(D564&gt;=24,20,0)+IF(Raw_data!$I564&gt;0,20,0)+IF(Raw_data!$AE564=TRUE,10,0)</f>
        <v/>
      </c>
      <c r="J564">
        <f>IFERROR(CHOOSE(MATCH(Dashboard!$B$11,{"Department","Team","Unit","Legal entity","Location","Lead"},0),INDEX(Lists!$B$3:$B$20,ROW()-1),INDEX(Lists!$C$3:$C$146,ROW()-1),INDEX(Lists!$D$3:$D$67,ROW()-1),INDEX(Lists!$E$3:$E$5,ROW()-1),INDEX(Lists!$F$3:$F$12,ROW()-1),INDEX(Lists!$G$3:$G$126,ROW()-1)),"")</f>
        <v/>
      </c>
      <c r="K564">
        <f>IF(J564="","",SUMPRODUCT(($A$2:$A$636=1)*($G$2:$G$636=J564)))</f>
        <v/>
      </c>
      <c r="L564">
        <f>IF(J564="","",SUMPRODUCT(($A$2:$A$636=1)*($G$2:$G$636=J564)*(ISNUMBER($B$2:$B$636))*($B$2:$B$636&lt;0.5)))</f>
        <v/>
      </c>
      <c r="M564">
        <f>IFERROR(L564/K564,"")</f>
        <v/>
      </c>
      <c r="N564">
        <f>IF(K564="","",M564+K564/100000+ROW()/100000000)</f>
        <v/>
      </c>
      <c r="R564">
        <f>IF(A564=1,IFERROR(I564,0)+ROW()/100000000,-1E+99)</f>
        <v/>
      </c>
      <c r="S564">
        <f>IF(A564=1,IFERROR(Raw_data!$T564,""),"")</f>
        <v/>
      </c>
      <c r="T564">
        <f>IF(A564=1,IFERROR(Raw_data!$AA564,""),"")</f>
        <v/>
      </c>
      <c r="U564">
        <f>IF(A564=1,IFERROR(Raw_data!$U564,""),"")</f>
        <v/>
      </c>
      <c r="V564">
        <f>IF(A564=1,IFERROR(Raw_data!$AB564,""),"")</f>
        <v/>
      </c>
    </row>
    <row r="565">
      <c r="A565">
        <f>--(AND(OR(Dashboard!$B$4="All",Raw_data!$AL565=Dashboard!$B$4),OR(Dashboard!$B$5="All",Raw_data!$AM565=Dashboard!$B$5),OR(Dashboard!$B$6="All",Raw_data!$AN565=Dashboard!$B$6),OR(Dashboard!$B$7="All",Raw_data!$AO565=Dashboard!$B$7),OR(Dashboard!$B$8="All",Raw_data!$AP565=Dashboard!$B$8),OR(Dashboard!$B$9="All",Raw_data!$AQ565=Dashboard!$B$9),OR(Dashboard!$B$10="All",Raw_data!$AF565=Dashboard!$B$10),OR(Raw_data!$F565="",Raw_data!$F565&lt;=TODAY())))</f>
        <v/>
      </c>
      <c r="B565">
        <f>IFERROR(IF(Dashboard!$B$3="Weighted",Raw_data!$U565,Raw_data!$T565),"")</f>
        <v/>
      </c>
      <c r="C565">
        <f>IFERROR(IF(Dashboard!$B$3="Weighted",Raw_data!$AB565,Raw_data!$AA565),"")</f>
        <v/>
      </c>
      <c r="D565">
        <f>IF(OR(Raw_data!$J565="",Raw_data!$J565&lt;=0,Raw_data!$K565=""),"",IF(Raw_data!$K565&gt;TODAY(),0,DATEDIF(Raw_data!$K565,TODAY(),"M")))</f>
        <v/>
      </c>
      <c r="E565">
        <f>--(AND(Raw_data!$AF565="No",OR(Raw_data!$AG565&lt;&gt;"",Raw_data!$AJ565&gt;0,Raw_data!$AK565&lt;&gt;"")))</f>
        <v/>
      </c>
      <c r="F565">
        <f>--(OR(AND(ISNUMBER(B565),B565&lt;0.5,OR(D565&gt;=24,Raw_data!$I565&gt;0)),Raw_data!$AE565=TRUE))</f>
        <v/>
      </c>
      <c r="G565">
        <f>IF(Dashboard!$B$11="Department",Raw_data!$AL565,IF(Dashboard!$B$11="Team",Raw_data!$AM565,IF(Dashboard!$B$11="Unit",Raw_data!$AN565,IF(Dashboard!$B$11="Legal entity",Raw_data!$AO565,IF(Dashboard!$B$11="Location",Raw_data!$AP565,Raw_data!$AQ565)))))</f>
        <v/>
      </c>
      <c r="H565">
        <f>--(AND(ISNUMBER(B565),B565&lt;0.5))</f>
        <v/>
      </c>
      <c r="I565">
        <f>IFERROR(MAX(0,(0.5-B565)*100),0)+IF(D565&gt;=24,20,0)+IF(Raw_data!$I565&gt;0,20,0)+IF(Raw_data!$AE565=TRUE,10,0)</f>
        <v/>
      </c>
      <c r="J565">
        <f>IFERROR(CHOOSE(MATCH(Dashboard!$B$11,{"Department","Team","Unit","Legal entity","Location","Lead"},0),INDEX(Lists!$B$3:$B$20,ROW()-1),INDEX(Lists!$C$3:$C$146,ROW()-1),INDEX(Lists!$D$3:$D$67,ROW()-1),INDEX(Lists!$E$3:$E$5,ROW()-1),INDEX(Lists!$F$3:$F$12,ROW()-1),INDEX(Lists!$G$3:$G$126,ROW()-1)),"")</f>
        <v/>
      </c>
      <c r="K565">
        <f>IF(J565="","",SUMPRODUCT(($A$2:$A$636=1)*($G$2:$G$636=J565)))</f>
        <v/>
      </c>
      <c r="L565">
        <f>IF(J565="","",SUMPRODUCT(($A$2:$A$636=1)*($G$2:$G$636=J565)*(ISNUMBER($B$2:$B$636))*($B$2:$B$636&lt;0.5)))</f>
        <v/>
      </c>
      <c r="M565">
        <f>IFERROR(L565/K565,"")</f>
        <v/>
      </c>
      <c r="N565">
        <f>IF(K565="","",M565+K565/100000+ROW()/100000000)</f>
        <v/>
      </c>
      <c r="R565">
        <f>IF(A565=1,IFERROR(I565,0)+ROW()/100000000,-1E+99)</f>
        <v/>
      </c>
      <c r="S565">
        <f>IF(A565=1,IFERROR(Raw_data!$T565,""),"")</f>
        <v/>
      </c>
      <c r="T565">
        <f>IF(A565=1,IFERROR(Raw_data!$AA565,""),"")</f>
        <v/>
      </c>
      <c r="U565">
        <f>IF(A565=1,IFERROR(Raw_data!$U565,""),"")</f>
        <v/>
      </c>
      <c r="V565">
        <f>IF(A565=1,IFERROR(Raw_data!$AB565,""),"")</f>
        <v/>
      </c>
    </row>
    <row r="566">
      <c r="A566">
        <f>--(AND(OR(Dashboard!$B$4="All",Raw_data!$AL566=Dashboard!$B$4),OR(Dashboard!$B$5="All",Raw_data!$AM566=Dashboard!$B$5),OR(Dashboard!$B$6="All",Raw_data!$AN566=Dashboard!$B$6),OR(Dashboard!$B$7="All",Raw_data!$AO566=Dashboard!$B$7),OR(Dashboard!$B$8="All",Raw_data!$AP566=Dashboard!$B$8),OR(Dashboard!$B$9="All",Raw_data!$AQ566=Dashboard!$B$9),OR(Dashboard!$B$10="All",Raw_data!$AF566=Dashboard!$B$10),OR(Raw_data!$F566="",Raw_data!$F566&lt;=TODAY())))</f>
        <v/>
      </c>
      <c r="B566">
        <f>IFERROR(IF(Dashboard!$B$3="Weighted",Raw_data!$U566,Raw_data!$T566),"")</f>
        <v/>
      </c>
      <c r="C566">
        <f>IFERROR(IF(Dashboard!$B$3="Weighted",Raw_data!$AB566,Raw_data!$AA566),"")</f>
        <v/>
      </c>
      <c r="D566">
        <f>IF(OR(Raw_data!$J566="",Raw_data!$J566&lt;=0,Raw_data!$K566=""),"",IF(Raw_data!$K566&gt;TODAY(),0,DATEDIF(Raw_data!$K566,TODAY(),"M")))</f>
        <v/>
      </c>
      <c r="E566">
        <f>--(AND(Raw_data!$AF566="No",OR(Raw_data!$AG566&lt;&gt;"",Raw_data!$AJ566&gt;0,Raw_data!$AK566&lt;&gt;"")))</f>
        <v/>
      </c>
      <c r="F566">
        <f>--(OR(AND(ISNUMBER(B566),B566&lt;0.5,OR(D566&gt;=24,Raw_data!$I566&gt;0)),Raw_data!$AE566=TRUE))</f>
        <v/>
      </c>
      <c r="G566">
        <f>IF(Dashboard!$B$11="Department",Raw_data!$AL566,IF(Dashboard!$B$11="Team",Raw_data!$AM566,IF(Dashboard!$B$11="Unit",Raw_data!$AN566,IF(Dashboard!$B$11="Legal entity",Raw_data!$AO566,IF(Dashboard!$B$11="Location",Raw_data!$AP566,Raw_data!$AQ566)))))</f>
        <v/>
      </c>
      <c r="H566">
        <f>--(AND(ISNUMBER(B566),B566&lt;0.5))</f>
        <v/>
      </c>
      <c r="I566">
        <f>IFERROR(MAX(0,(0.5-B566)*100),0)+IF(D566&gt;=24,20,0)+IF(Raw_data!$I566&gt;0,20,0)+IF(Raw_data!$AE566=TRUE,10,0)</f>
        <v/>
      </c>
      <c r="J566">
        <f>IFERROR(CHOOSE(MATCH(Dashboard!$B$11,{"Department","Team","Unit","Legal entity","Location","Lead"},0),INDEX(Lists!$B$3:$B$20,ROW()-1),INDEX(Lists!$C$3:$C$146,ROW()-1),INDEX(Lists!$D$3:$D$67,ROW()-1),INDEX(Lists!$E$3:$E$5,ROW()-1),INDEX(Lists!$F$3:$F$12,ROW()-1),INDEX(Lists!$G$3:$G$126,ROW()-1)),"")</f>
        <v/>
      </c>
      <c r="K566">
        <f>IF(J566="","",SUMPRODUCT(($A$2:$A$636=1)*($G$2:$G$636=J566)))</f>
        <v/>
      </c>
      <c r="L566">
        <f>IF(J566="","",SUMPRODUCT(($A$2:$A$636=1)*($G$2:$G$636=J566)*(ISNUMBER($B$2:$B$636))*($B$2:$B$636&lt;0.5)))</f>
        <v/>
      </c>
      <c r="M566">
        <f>IFERROR(L566/K566,"")</f>
        <v/>
      </c>
      <c r="N566">
        <f>IF(K566="","",M566+K566/100000+ROW()/100000000)</f>
        <v/>
      </c>
      <c r="R566">
        <f>IF(A566=1,IFERROR(I566,0)+ROW()/100000000,-1E+99)</f>
        <v/>
      </c>
      <c r="S566">
        <f>IF(A566=1,IFERROR(Raw_data!$T566,""),"")</f>
        <v/>
      </c>
      <c r="T566">
        <f>IF(A566=1,IFERROR(Raw_data!$AA566,""),"")</f>
        <v/>
      </c>
      <c r="U566">
        <f>IF(A566=1,IFERROR(Raw_data!$U566,""),"")</f>
        <v/>
      </c>
      <c r="V566">
        <f>IF(A566=1,IFERROR(Raw_data!$AB566,""),"")</f>
        <v/>
      </c>
    </row>
    <row r="567">
      <c r="A567">
        <f>--(AND(OR(Dashboard!$B$4="All",Raw_data!$AL567=Dashboard!$B$4),OR(Dashboard!$B$5="All",Raw_data!$AM567=Dashboard!$B$5),OR(Dashboard!$B$6="All",Raw_data!$AN567=Dashboard!$B$6),OR(Dashboard!$B$7="All",Raw_data!$AO567=Dashboard!$B$7),OR(Dashboard!$B$8="All",Raw_data!$AP567=Dashboard!$B$8),OR(Dashboard!$B$9="All",Raw_data!$AQ567=Dashboard!$B$9),OR(Dashboard!$B$10="All",Raw_data!$AF567=Dashboard!$B$10),OR(Raw_data!$F567="",Raw_data!$F567&lt;=TODAY())))</f>
        <v/>
      </c>
      <c r="B567">
        <f>IFERROR(IF(Dashboard!$B$3="Weighted",Raw_data!$U567,Raw_data!$T567),"")</f>
        <v/>
      </c>
      <c r="C567">
        <f>IFERROR(IF(Dashboard!$B$3="Weighted",Raw_data!$AB567,Raw_data!$AA567),"")</f>
        <v/>
      </c>
      <c r="D567">
        <f>IF(OR(Raw_data!$J567="",Raw_data!$J567&lt;=0,Raw_data!$K567=""),"",IF(Raw_data!$K567&gt;TODAY(),0,DATEDIF(Raw_data!$K567,TODAY(),"M")))</f>
        <v/>
      </c>
      <c r="E567">
        <f>--(AND(Raw_data!$AF567="No",OR(Raw_data!$AG567&lt;&gt;"",Raw_data!$AJ567&gt;0,Raw_data!$AK567&lt;&gt;"")))</f>
        <v/>
      </c>
      <c r="F567">
        <f>--(OR(AND(ISNUMBER(B567),B567&lt;0.5,OR(D567&gt;=24,Raw_data!$I567&gt;0)),Raw_data!$AE567=TRUE))</f>
        <v/>
      </c>
      <c r="G567">
        <f>IF(Dashboard!$B$11="Department",Raw_data!$AL567,IF(Dashboard!$B$11="Team",Raw_data!$AM567,IF(Dashboard!$B$11="Unit",Raw_data!$AN567,IF(Dashboard!$B$11="Legal entity",Raw_data!$AO567,IF(Dashboard!$B$11="Location",Raw_data!$AP567,Raw_data!$AQ567)))))</f>
        <v/>
      </c>
      <c r="H567">
        <f>--(AND(ISNUMBER(B567),B567&lt;0.5))</f>
        <v/>
      </c>
      <c r="I567">
        <f>IFERROR(MAX(0,(0.5-B567)*100),0)+IF(D567&gt;=24,20,0)+IF(Raw_data!$I567&gt;0,20,0)+IF(Raw_data!$AE567=TRUE,10,0)</f>
        <v/>
      </c>
      <c r="J567">
        <f>IFERROR(CHOOSE(MATCH(Dashboard!$B$11,{"Department","Team","Unit","Legal entity","Location","Lead"},0),INDEX(Lists!$B$3:$B$20,ROW()-1),INDEX(Lists!$C$3:$C$146,ROW()-1),INDEX(Lists!$D$3:$D$67,ROW()-1),INDEX(Lists!$E$3:$E$5,ROW()-1),INDEX(Lists!$F$3:$F$12,ROW()-1),INDEX(Lists!$G$3:$G$126,ROW()-1)),"")</f>
        <v/>
      </c>
      <c r="K567">
        <f>IF(J567="","",SUMPRODUCT(($A$2:$A$636=1)*($G$2:$G$636=J567)))</f>
        <v/>
      </c>
      <c r="L567">
        <f>IF(J567="","",SUMPRODUCT(($A$2:$A$636=1)*($G$2:$G$636=J567)*(ISNUMBER($B$2:$B$636))*($B$2:$B$636&lt;0.5)))</f>
        <v/>
      </c>
      <c r="M567">
        <f>IFERROR(L567/K567,"")</f>
        <v/>
      </c>
      <c r="N567">
        <f>IF(K567="","",M567+K567/100000+ROW()/100000000)</f>
        <v/>
      </c>
      <c r="R567">
        <f>IF(A567=1,IFERROR(I567,0)+ROW()/100000000,-1E+99)</f>
        <v/>
      </c>
      <c r="S567">
        <f>IF(A567=1,IFERROR(Raw_data!$T567,""),"")</f>
        <v/>
      </c>
      <c r="T567">
        <f>IF(A567=1,IFERROR(Raw_data!$AA567,""),"")</f>
        <v/>
      </c>
      <c r="U567">
        <f>IF(A567=1,IFERROR(Raw_data!$U567,""),"")</f>
        <v/>
      </c>
      <c r="V567">
        <f>IF(A567=1,IFERROR(Raw_data!$AB567,""),"")</f>
        <v/>
      </c>
    </row>
    <row r="568">
      <c r="A568">
        <f>--(AND(OR(Dashboard!$B$4="All",Raw_data!$AL568=Dashboard!$B$4),OR(Dashboard!$B$5="All",Raw_data!$AM568=Dashboard!$B$5),OR(Dashboard!$B$6="All",Raw_data!$AN568=Dashboard!$B$6),OR(Dashboard!$B$7="All",Raw_data!$AO568=Dashboard!$B$7),OR(Dashboard!$B$8="All",Raw_data!$AP568=Dashboard!$B$8),OR(Dashboard!$B$9="All",Raw_data!$AQ568=Dashboard!$B$9),OR(Dashboard!$B$10="All",Raw_data!$AF568=Dashboard!$B$10),OR(Raw_data!$F568="",Raw_data!$F568&lt;=TODAY())))</f>
        <v/>
      </c>
      <c r="B568">
        <f>IFERROR(IF(Dashboard!$B$3="Weighted",Raw_data!$U568,Raw_data!$T568),"")</f>
        <v/>
      </c>
      <c r="C568">
        <f>IFERROR(IF(Dashboard!$B$3="Weighted",Raw_data!$AB568,Raw_data!$AA568),"")</f>
        <v/>
      </c>
      <c r="D568">
        <f>IF(OR(Raw_data!$J568="",Raw_data!$J568&lt;=0,Raw_data!$K568=""),"",IF(Raw_data!$K568&gt;TODAY(),0,DATEDIF(Raw_data!$K568,TODAY(),"M")))</f>
        <v/>
      </c>
      <c r="E568">
        <f>--(AND(Raw_data!$AF568="No",OR(Raw_data!$AG568&lt;&gt;"",Raw_data!$AJ568&gt;0,Raw_data!$AK568&lt;&gt;"")))</f>
        <v/>
      </c>
      <c r="F568">
        <f>--(OR(AND(ISNUMBER(B568),B568&lt;0.5,OR(D568&gt;=24,Raw_data!$I568&gt;0)),Raw_data!$AE568=TRUE))</f>
        <v/>
      </c>
      <c r="G568">
        <f>IF(Dashboard!$B$11="Department",Raw_data!$AL568,IF(Dashboard!$B$11="Team",Raw_data!$AM568,IF(Dashboard!$B$11="Unit",Raw_data!$AN568,IF(Dashboard!$B$11="Legal entity",Raw_data!$AO568,IF(Dashboard!$B$11="Location",Raw_data!$AP568,Raw_data!$AQ568)))))</f>
        <v/>
      </c>
      <c r="H568">
        <f>--(AND(ISNUMBER(B568),B568&lt;0.5))</f>
        <v/>
      </c>
      <c r="I568">
        <f>IFERROR(MAX(0,(0.5-B568)*100),0)+IF(D568&gt;=24,20,0)+IF(Raw_data!$I568&gt;0,20,0)+IF(Raw_data!$AE568=TRUE,10,0)</f>
        <v/>
      </c>
      <c r="J568">
        <f>IFERROR(CHOOSE(MATCH(Dashboard!$B$11,{"Department","Team","Unit","Legal entity","Location","Lead"},0),INDEX(Lists!$B$3:$B$20,ROW()-1),INDEX(Lists!$C$3:$C$146,ROW()-1),INDEX(Lists!$D$3:$D$67,ROW()-1),INDEX(Lists!$E$3:$E$5,ROW()-1),INDEX(Lists!$F$3:$F$12,ROW()-1),INDEX(Lists!$G$3:$G$126,ROW()-1)),"")</f>
        <v/>
      </c>
      <c r="K568">
        <f>IF(J568="","",SUMPRODUCT(($A$2:$A$636=1)*($G$2:$G$636=J568)))</f>
        <v/>
      </c>
      <c r="L568">
        <f>IF(J568="","",SUMPRODUCT(($A$2:$A$636=1)*($G$2:$G$636=J568)*(ISNUMBER($B$2:$B$636))*($B$2:$B$636&lt;0.5)))</f>
        <v/>
      </c>
      <c r="M568">
        <f>IFERROR(L568/K568,"")</f>
        <v/>
      </c>
      <c r="N568">
        <f>IF(K568="","",M568+K568/100000+ROW()/100000000)</f>
        <v/>
      </c>
      <c r="R568">
        <f>IF(A568=1,IFERROR(I568,0)+ROW()/100000000,-1E+99)</f>
        <v/>
      </c>
      <c r="S568">
        <f>IF(A568=1,IFERROR(Raw_data!$T568,""),"")</f>
        <v/>
      </c>
      <c r="T568">
        <f>IF(A568=1,IFERROR(Raw_data!$AA568,""),"")</f>
        <v/>
      </c>
      <c r="U568">
        <f>IF(A568=1,IFERROR(Raw_data!$U568,""),"")</f>
        <v/>
      </c>
      <c r="V568">
        <f>IF(A568=1,IFERROR(Raw_data!$AB568,""),"")</f>
        <v/>
      </c>
    </row>
    <row r="569">
      <c r="A569">
        <f>--(AND(OR(Dashboard!$B$4="All",Raw_data!$AL569=Dashboard!$B$4),OR(Dashboard!$B$5="All",Raw_data!$AM569=Dashboard!$B$5),OR(Dashboard!$B$6="All",Raw_data!$AN569=Dashboard!$B$6),OR(Dashboard!$B$7="All",Raw_data!$AO569=Dashboard!$B$7),OR(Dashboard!$B$8="All",Raw_data!$AP569=Dashboard!$B$8),OR(Dashboard!$B$9="All",Raw_data!$AQ569=Dashboard!$B$9),OR(Dashboard!$B$10="All",Raw_data!$AF569=Dashboard!$B$10),OR(Raw_data!$F569="",Raw_data!$F569&lt;=TODAY())))</f>
        <v/>
      </c>
      <c r="B569">
        <f>IFERROR(IF(Dashboard!$B$3="Weighted",Raw_data!$U569,Raw_data!$T569),"")</f>
        <v/>
      </c>
      <c r="C569">
        <f>IFERROR(IF(Dashboard!$B$3="Weighted",Raw_data!$AB569,Raw_data!$AA569),"")</f>
        <v/>
      </c>
      <c r="D569">
        <f>IF(OR(Raw_data!$J569="",Raw_data!$J569&lt;=0,Raw_data!$K569=""),"",IF(Raw_data!$K569&gt;TODAY(),0,DATEDIF(Raw_data!$K569,TODAY(),"M")))</f>
        <v/>
      </c>
      <c r="E569">
        <f>--(AND(Raw_data!$AF569="No",OR(Raw_data!$AG569&lt;&gt;"",Raw_data!$AJ569&gt;0,Raw_data!$AK569&lt;&gt;"")))</f>
        <v/>
      </c>
      <c r="F569">
        <f>--(OR(AND(ISNUMBER(B569),B569&lt;0.5,OR(D569&gt;=24,Raw_data!$I569&gt;0)),Raw_data!$AE569=TRUE))</f>
        <v/>
      </c>
      <c r="G569">
        <f>IF(Dashboard!$B$11="Department",Raw_data!$AL569,IF(Dashboard!$B$11="Team",Raw_data!$AM569,IF(Dashboard!$B$11="Unit",Raw_data!$AN569,IF(Dashboard!$B$11="Legal entity",Raw_data!$AO569,IF(Dashboard!$B$11="Location",Raw_data!$AP569,Raw_data!$AQ569)))))</f>
        <v/>
      </c>
      <c r="H569">
        <f>--(AND(ISNUMBER(B569),B569&lt;0.5))</f>
        <v/>
      </c>
      <c r="I569">
        <f>IFERROR(MAX(0,(0.5-B569)*100),0)+IF(D569&gt;=24,20,0)+IF(Raw_data!$I569&gt;0,20,0)+IF(Raw_data!$AE569=TRUE,10,0)</f>
        <v/>
      </c>
      <c r="J569">
        <f>IFERROR(CHOOSE(MATCH(Dashboard!$B$11,{"Department","Team","Unit","Legal entity","Location","Lead"},0),INDEX(Lists!$B$3:$B$20,ROW()-1),INDEX(Lists!$C$3:$C$146,ROW()-1),INDEX(Lists!$D$3:$D$67,ROW()-1),INDEX(Lists!$E$3:$E$5,ROW()-1),INDEX(Lists!$F$3:$F$12,ROW()-1),INDEX(Lists!$G$3:$G$126,ROW()-1)),"")</f>
        <v/>
      </c>
      <c r="K569">
        <f>IF(J569="","",SUMPRODUCT(($A$2:$A$636=1)*($G$2:$G$636=J569)))</f>
        <v/>
      </c>
      <c r="L569">
        <f>IF(J569="","",SUMPRODUCT(($A$2:$A$636=1)*($G$2:$G$636=J569)*(ISNUMBER($B$2:$B$636))*($B$2:$B$636&lt;0.5)))</f>
        <v/>
      </c>
      <c r="M569">
        <f>IFERROR(L569/K569,"")</f>
        <v/>
      </c>
      <c r="N569">
        <f>IF(K569="","",M569+K569/100000+ROW()/100000000)</f>
        <v/>
      </c>
      <c r="R569">
        <f>IF(A569=1,IFERROR(I569,0)+ROW()/100000000,-1E+99)</f>
        <v/>
      </c>
      <c r="S569">
        <f>IF(A569=1,IFERROR(Raw_data!$T569,""),"")</f>
        <v/>
      </c>
      <c r="T569">
        <f>IF(A569=1,IFERROR(Raw_data!$AA569,""),"")</f>
        <v/>
      </c>
      <c r="U569">
        <f>IF(A569=1,IFERROR(Raw_data!$U569,""),"")</f>
        <v/>
      </c>
      <c r="V569">
        <f>IF(A569=1,IFERROR(Raw_data!$AB569,""),"")</f>
        <v/>
      </c>
    </row>
    <row r="570">
      <c r="A570">
        <f>--(AND(OR(Dashboard!$B$4="All",Raw_data!$AL570=Dashboard!$B$4),OR(Dashboard!$B$5="All",Raw_data!$AM570=Dashboard!$B$5),OR(Dashboard!$B$6="All",Raw_data!$AN570=Dashboard!$B$6),OR(Dashboard!$B$7="All",Raw_data!$AO570=Dashboard!$B$7),OR(Dashboard!$B$8="All",Raw_data!$AP570=Dashboard!$B$8),OR(Dashboard!$B$9="All",Raw_data!$AQ570=Dashboard!$B$9),OR(Dashboard!$B$10="All",Raw_data!$AF570=Dashboard!$B$10),OR(Raw_data!$F570="",Raw_data!$F570&lt;=TODAY())))</f>
        <v/>
      </c>
      <c r="B570">
        <f>IFERROR(IF(Dashboard!$B$3="Weighted",Raw_data!$U570,Raw_data!$T570),"")</f>
        <v/>
      </c>
      <c r="C570">
        <f>IFERROR(IF(Dashboard!$B$3="Weighted",Raw_data!$AB570,Raw_data!$AA570),"")</f>
        <v/>
      </c>
      <c r="D570">
        <f>IF(OR(Raw_data!$J570="",Raw_data!$J570&lt;=0,Raw_data!$K570=""),"",IF(Raw_data!$K570&gt;TODAY(),0,DATEDIF(Raw_data!$K570,TODAY(),"M")))</f>
        <v/>
      </c>
      <c r="E570">
        <f>--(AND(Raw_data!$AF570="No",OR(Raw_data!$AG570&lt;&gt;"",Raw_data!$AJ570&gt;0,Raw_data!$AK570&lt;&gt;"")))</f>
        <v/>
      </c>
      <c r="F570">
        <f>--(OR(AND(ISNUMBER(B570),B570&lt;0.5,OR(D570&gt;=24,Raw_data!$I570&gt;0)),Raw_data!$AE570=TRUE))</f>
        <v/>
      </c>
      <c r="G570">
        <f>IF(Dashboard!$B$11="Department",Raw_data!$AL570,IF(Dashboard!$B$11="Team",Raw_data!$AM570,IF(Dashboard!$B$11="Unit",Raw_data!$AN570,IF(Dashboard!$B$11="Legal entity",Raw_data!$AO570,IF(Dashboard!$B$11="Location",Raw_data!$AP570,Raw_data!$AQ570)))))</f>
        <v/>
      </c>
      <c r="H570">
        <f>--(AND(ISNUMBER(B570),B570&lt;0.5))</f>
        <v/>
      </c>
      <c r="I570">
        <f>IFERROR(MAX(0,(0.5-B570)*100),0)+IF(D570&gt;=24,20,0)+IF(Raw_data!$I570&gt;0,20,0)+IF(Raw_data!$AE570=TRUE,10,0)</f>
        <v/>
      </c>
      <c r="J570">
        <f>IFERROR(CHOOSE(MATCH(Dashboard!$B$11,{"Department","Team","Unit","Legal entity","Location","Lead"},0),INDEX(Lists!$B$3:$B$20,ROW()-1),INDEX(Lists!$C$3:$C$146,ROW()-1),INDEX(Lists!$D$3:$D$67,ROW()-1),INDEX(Lists!$E$3:$E$5,ROW()-1),INDEX(Lists!$F$3:$F$12,ROW()-1),INDEX(Lists!$G$3:$G$126,ROW()-1)),"")</f>
        <v/>
      </c>
      <c r="K570">
        <f>IF(J570="","",SUMPRODUCT(($A$2:$A$636=1)*($G$2:$G$636=J570)))</f>
        <v/>
      </c>
      <c r="L570">
        <f>IF(J570="","",SUMPRODUCT(($A$2:$A$636=1)*($G$2:$G$636=J570)*(ISNUMBER($B$2:$B$636))*($B$2:$B$636&lt;0.5)))</f>
        <v/>
      </c>
      <c r="M570">
        <f>IFERROR(L570/K570,"")</f>
        <v/>
      </c>
      <c r="N570">
        <f>IF(K570="","",M570+K570/100000+ROW()/100000000)</f>
        <v/>
      </c>
      <c r="R570">
        <f>IF(A570=1,IFERROR(I570,0)+ROW()/100000000,-1E+99)</f>
        <v/>
      </c>
      <c r="S570">
        <f>IF(A570=1,IFERROR(Raw_data!$T570,""),"")</f>
        <v/>
      </c>
      <c r="T570">
        <f>IF(A570=1,IFERROR(Raw_data!$AA570,""),"")</f>
        <v/>
      </c>
      <c r="U570">
        <f>IF(A570=1,IFERROR(Raw_data!$U570,""),"")</f>
        <v/>
      </c>
      <c r="V570">
        <f>IF(A570=1,IFERROR(Raw_data!$AB570,""),"")</f>
        <v/>
      </c>
    </row>
    <row r="571">
      <c r="A571">
        <f>--(AND(OR(Dashboard!$B$4="All",Raw_data!$AL571=Dashboard!$B$4),OR(Dashboard!$B$5="All",Raw_data!$AM571=Dashboard!$B$5),OR(Dashboard!$B$6="All",Raw_data!$AN571=Dashboard!$B$6),OR(Dashboard!$B$7="All",Raw_data!$AO571=Dashboard!$B$7),OR(Dashboard!$B$8="All",Raw_data!$AP571=Dashboard!$B$8),OR(Dashboard!$B$9="All",Raw_data!$AQ571=Dashboard!$B$9),OR(Dashboard!$B$10="All",Raw_data!$AF571=Dashboard!$B$10),OR(Raw_data!$F571="",Raw_data!$F571&lt;=TODAY())))</f>
        <v/>
      </c>
      <c r="B571">
        <f>IFERROR(IF(Dashboard!$B$3="Weighted",Raw_data!$U571,Raw_data!$T571),"")</f>
        <v/>
      </c>
      <c r="C571">
        <f>IFERROR(IF(Dashboard!$B$3="Weighted",Raw_data!$AB571,Raw_data!$AA571),"")</f>
        <v/>
      </c>
      <c r="D571">
        <f>IF(OR(Raw_data!$J571="",Raw_data!$J571&lt;=0,Raw_data!$K571=""),"",IF(Raw_data!$K571&gt;TODAY(),0,DATEDIF(Raw_data!$K571,TODAY(),"M")))</f>
        <v/>
      </c>
      <c r="E571">
        <f>--(AND(Raw_data!$AF571="No",OR(Raw_data!$AG571&lt;&gt;"",Raw_data!$AJ571&gt;0,Raw_data!$AK571&lt;&gt;"")))</f>
        <v/>
      </c>
      <c r="F571">
        <f>--(OR(AND(ISNUMBER(B571),B571&lt;0.5,OR(D571&gt;=24,Raw_data!$I571&gt;0)),Raw_data!$AE571=TRUE))</f>
        <v/>
      </c>
      <c r="G571">
        <f>IF(Dashboard!$B$11="Department",Raw_data!$AL571,IF(Dashboard!$B$11="Team",Raw_data!$AM571,IF(Dashboard!$B$11="Unit",Raw_data!$AN571,IF(Dashboard!$B$11="Legal entity",Raw_data!$AO571,IF(Dashboard!$B$11="Location",Raw_data!$AP571,Raw_data!$AQ571)))))</f>
        <v/>
      </c>
      <c r="H571">
        <f>--(AND(ISNUMBER(B571),B571&lt;0.5))</f>
        <v/>
      </c>
      <c r="I571">
        <f>IFERROR(MAX(0,(0.5-B571)*100),0)+IF(D571&gt;=24,20,0)+IF(Raw_data!$I571&gt;0,20,0)+IF(Raw_data!$AE571=TRUE,10,0)</f>
        <v/>
      </c>
      <c r="J571">
        <f>IFERROR(CHOOSE(MATCH(Dashboard!$B$11,{"Department","Team","Unit","Legal entity","Location","Lead"},0),INDEX(Lists!$B$3:$B$20,ROW()-1),INDEX(Lists!$C$3:$C$146,ROW()-1),INDEX(Lists!$D$3:$D$67,ROW()-1),INDEX(Lists!$E$3:$E$5,ROW()-1),INDEX(Lists!$F$3:$F$12,ROW()-1),INDEX(Lists!$G$3:$G$126,ROW()-1)),"")</f>
        <v/>
      </c>
      <c r="K571">
        <f>IF(J571="","",SUMPRODUCT(($A$2:$A$636=1)*($G$2:$G$636=J571)))</f>
        <v/>
      </c>
      <c r="L571">
        <f>IF(J571="","",SUMPRODUCT(($A$2:$A$636=1)*($G$2:$G$636=J571)*(ISNUMBER($B$2:$B$636))*($B$2:$B$636&lt;0.5)))</f>
        <v/>
      </c>
      <c r="M571">
        <f>IFERROR(L571/K571,"")</f>
        <v/>
      </c>
      <c r="N571">
        <f>IF(K571="","",M571+K571/100000+ROW()/100000000)</f>
        <v/>
      </c>
      <c r="R571">
        <f>IF(A571=1,IFERROR(I571,0)+ROW()/100000000,-1E+99)</f>
        <v/>
      </c>
      <c r="S571">
        <f>IF(A571=1,IFERROR(Raw_data!$T571,""),"")</f>
        <v/>
      </c>
      <c r="T571">
        <f>IF(A571=1,IFERROR(Raw_data!$AA571,""),"")</f>
        <v/>
      </c>
      <c r="U571">
        <f>IF(A571=1,IFERROR(Raw_data!$U571,""),"")</f>
        <v/>
      </c>
      <c r="V571">
        <f>IF(A571=1,IFERROR(Raw_data!$AB571,""),"")</f>
        <v/>
      </c>
    </row>
    <row r="572">
      <c r="A572">
        <f>--(AND(OR(Dashboard!$B$4="All",Raw_data!$AL572=Dashboard!$B$4),OR(Dashboard!$B$5="All",Raw_data!$AM572=Dashboard!$B$5),OR(Dashboard!$B$6="All",Raw_data!$AN572=Dashboard!$B$6),OR(Dashboard!$B$7="All",Raw_data!$AO572=Dashboard!$B$7),OR(Dashboard!$B$8="All",Raw_data!$AP572=Dashboard!$B$8),OR(Dashboard!$B$9="All",Raw_data!$AQ572=Dashboard!$B$9),OR(Dashboard!$B$10="All",Raw_data!$AF572=Dashboard!$B$10),OR(Raw_data!$F572="",Raw_data!$F572&lt;=TODAY())))</f>
        <v/>
      </c>
      <c r="B572">
        <f>IFERROR(IF(Dashboard!$B$3="Weighted",Raw_data!$U572,Raw_data!$T572),"")</f>
        <v/>
      </c>
      <c r="C572">
        <f>IFERROR(IF(Dashboard!$B$3="Weighted",Raw_data!$AB572,Raw_data!$AA572),"")</f>
        <v/>
      </c>
      <c r="D572">
        <f>IF(OR(Raw_data!$J572="",Raw_data!$J572&lt;=0,Raw_data!$K572=""),"",IF(Raw_data!$K572&gt;TODAY(),0,DATEDIF(Raw_data!$K572,TODAY(),"M")))</f>
        <v/>
      </c>
      <c r="E572">
        <f>--(AND(Raw_data!$AF572="No",OR(Raw_data!$AG572&lt;&gt;"",Raw_data!$AJ572&gt;0,Raw_data!$AK572&lt;&gt;"")))</f>
        <v/>
      </c>
      <c r="F572">
        <f>--(OR(AND(ISNUMBER(B572),B572&lt;0.5,OR(D572&gt;=24,Raw_data!$I572&gt;0)),Raw_data!$AE572=TRUE))</f>
        <v/>
      </c>
      <c r="G572">
        <f>IF(Dashboard!$B$11="Department",Raw_data!$AL572,IF(Dashboard!$B$11="Team",Raw_data!$AM572,IF(Dashboard!$B$11="Unit",Raw_data!$AN572,IF(Dashboard!$B$11="Legal entity",Raw_data!$AO572,IF(Dashboard!$B$11="Location",Raw_data!$AP572,Raw_data!$AQ572)))))</f>
        <v/>
      </c>
      <c r="H572">
        <f>--(AND(ISNUMBER(B572),B572&lt;0.5))</f>
        <v/>
      </c>
      <c r="I572">
        <f>IFERROR(MAX(0,(0.5-B572)*100),0)+IF(D572&gt;=24,20,0)+IF(Raw_data!$I572&gt;0,20,0)+IF(Raw_data!$AE572=TRUE,10,0)</f>
        <v/>
      </c>
      <c r="J572">
        <f>IFERROR(CHOOSE(MATCH(Dashboard!$B$11,{"Department","Team","Unit","Legal entity","Location","Lead"},0),INDEX(Lists!$B$3:$B$20,ROW()-1),INDEX(Lists!$C$3:$C$146,ROW()-1),INDEX(Lists!$D$3:$D$67,ROW()-1),INDEX(Lists!$E$3:$E$5,ROW()-1),INDEX(Lists!$F$3:$F$12,ROW()-1),INDEX(Lists!$G$3:$G$126,ROW()-1)),"")</f>
        <v/>
      </c>
      <c r="K572">
        <f>IF(J572="","",SUMPRODUCT(($A$2:$A$636=1)*($G$2:$G$636=J572)))</f>
        <v/>
      </c>
      <c r="L572">
        <f>IF(J572="","",SUMPRODUCT(($A$2:$A$636=1)*($G$2:$G$636=J572)*(ISNUMBER($B$2:$B$636))*($B$2:$B$636&lt;0.5)))</f>
        <v/>
      </c>
      <c r="M572">
        <f>IFERROR(L572/K572,"")</f>
        <v/>
      </c>
      <c r="N572">
        <f>IF(K572="","",M572+K572/100000+ROW()/100000000)</f>
        <v/>
      </c>
      <c r="R572">
        <f>IF(A572=1,IFERROR(I572,0)+ROW()/100000000,-1E+99)</f>
        <v/>
      </c>
      <c r="S572">
        <f>IF(A572=1,IFERROR(Raw_data!$T572,""),"")</f>
        <v/>
      </c>
      <c r="T572">
        <f>IF(A572=1,IFERROR(Raw_data!$AA572,""),"")</f>
        <v/>
      </c>
      <c r="U572">
        <f>IF(A572=1,IFERROR(Raw_data!$U572,""),"")</f>
        <v/>
      </c>
      <c r="V572">
        <f>IF(A572=1,IFERROR(Raw_data!$AB572,""),"")</f>
        <v/>
      </c>
    </row>
    <row r="573">
      <c r="A573">
        <f>--(AND(OR(Dashboard!$B$4="All",Raw_data!$AL573=Dashboard!$B$4),OR(Dashboard!$B$5="All",Raw_data!$AM573=Dashboard!$B$5),OR(Dashboard!$B$6="All",Raw_data!$AN573=Dashboard!$B$6),OR(Dashboard!$B$7="All",Raw_data!$AO573=Dashboard!$B$7),OR(Dashboard!$B$8="All",Raw_data!$AP573=Dashboard!$B$8),OR(Dashboard!$B$9="All",Raw_data!$AQ573=Dashboard!$B$9),OR(Dashboard!$B$10="All",Raw_data!$AF573=Dashboard!$B$10),OR(Raw_data!$F573="",Raw_data!$F573&lt;=TODAY())))</f>
        <v/>
      </c>
      <c r="B573">
        <f>IFERROR(IF(Dashboard!$B$3="Weighted",Raw_data!$U573,Raw_data!$T573),"")</f>
        <v/>
      </c>
      <c r="C573">
        <f>IFERROR(IF(Dashboard!$B$3="Weighted",Raw_data!$AB573,Raw_data!$AA573),"")</f>
        <v/>
      </c>
      <c r="D573">
        <f>IF(OR(Raw_data!$J573="",Raw_data!$J573&lt;=0,Raw_data!$K573=""),"",IF(Raw_data!$K573&gt;TODAY(),0,DATEDIF(Raw_data!$K573,TODAY(),"M")))</f>
        <v/>
      </c>
      <c r="E573">
        <f>--(AND(Raw_data!$AF573="No",OR(Raw_data!$AG573&lt;&gt;"",Raw_data!$AJ573&gt;0,Raw_data!$AK573&lt;&gt;"")))</f>
        <v/>
      </c>
      <c r="F573">
        <f>--(OR(AND(ISNUMBER(B573),B573&lt;0.5,OR(D573&gt;=24,Raw_data!$I573&gt;0)),Raw_data!$AE573=TRUE))</f>
        <v/>
      </c>
      <c r="G573">
        <f>IF(Dashboard!$B$11="Department",Raw_data!$AL573,IF(Dashboard!$B$11="Team",Raw_data!$AM573,IF(Dashboard!$B$11="Unit",Raw_data!$AN573,IF(Dashboard!$B$11="Legal entity",Raw_data!$AO573,IF(Dashboard!$B$11="Location",Raw_data!$AP573,Raw_data!$AQ573)))))</f>
        <v/>
      </c>
      <c r="H573">
        <f>--(AND(ISNUMBER(B573),B573&lt;0.5))</f>
        <v/>
      </c>
      <c r="I573">
        <f>IFERROR(MAX(0,(0.5-B573)*100),0)+IF(D573&gt;=24,20,0)+IF(Raw_data!$I573&gt;0,20,0)+IF(Raw_data!$AE573=TRUE,10,0)</f>
        <v/>
      </c>
      <c r="J573">
        <f>IFERROR(CHOOSE(MATCH(Dashboard!$B$11,{"Department","Team","Unit","Legal entity","Location","Lead"},0),INDEX(Lists!$B$3:$B$20,ROW()-1),INDEX(Lists!$C$3:$C$146,ROW()-1),INDEX(Lists!$D$3:$D$67,ROW()-1),INDEX(Lists!$E$3:$E$5,ROW()-1),INDEX(Lists!$F$3:$F$12,ROW()-1),INDEX(Lists!$G$3:$G$126,ROW()-1)),"")</f>
        <v/>
      </c>
      <c r="K573">
        <f>IF(J573="","",SUMPRODUCT(($A$2:$A$636=1)*($G$2:$G$636=J573)))</f>
        <v/>
      </c>
      <c r="L573">
        <f>IF(J573="","",SUMPRODUCT(($A$2:$A$636=1)*($G$2:$G$636=J573)*(ISNUMBER($B$2:$B$636))*($B$2:$B$636&lt;0.5)))</f>
        <v/>
      </c>
      <c r="M573">
        <f>IFERROR(L573/K573,"")</f>
        <v/>
      </c>
      <c r="N573">
        <f>IF(K573="","",M573+K573/100000+ROW()/100000000)</f>
        <v/>
      </c>
      <c r="R573">
        <f>IF(A573=1,IFERROR(I573,0)+ROW()/100000000,-1E+99)</f>
        <v/>
      </c>
      <c r="S573">
        <f>IF(A573=1,IFERROR(Raw_data!$T573,""),"")</f>
        <v/>
      </c>
      <c r="T573">
        <f>IF(A573=1,IFERROR(Raw_data!$AA573,""),"")</f>
        <v/>
      </c>
      <c r="U573">
        <f>IF(A573=1,IFERROR(Raw_data!$U573,""),"")</f>
        <v/>
      </c>
      <c r="V573">
        <f>IF(A573=1,IFERROR(Raw_data!$AB573,""),"")</f>
        <v/>
      </c>
    </row>
    <row r="574">
      <c r="A574">
        <f>--(AND(OR(Dashboard!$B$4="All",Raw_data!$AL574=Dashboard!$B$4),OR(Dashboard!$B$5="All",Raw_data!$AM574=Dashboard!$B$5),OR(Dashboard!$B$6="All",Raw_data!$AN574=Dashboard!$B$6),OR(Dashboard!$B$7="All",Raw_data!$AO574=Dashboard!$B$7),OR(Dashboard!$B$8="All",Raw_data!$AP574=Dashboard!$B$8),OR(Dashboard!$B$9="All",Raw_data!$AQ574=Dashboard!$B$9),OR(Dashboard!$B$10="All",Raw_data!$AF574=Dashboard!$B$10),OR(Raw_data!$F574="",Raw_data!$F574&lt;=TODAY())))</f>
        <v/>
      </c>
      <c r="B574">
        <f>IFERROR(IF(Dashboard!$B$3="Weighted",Raw_data!$U574,Raw_data!$T574),"")</f>
        <v/>
      </c>
      <c r="C574">
        <f>IFERROR(IF(Dashboard!$B$3="Weighted",Raw_data!$AB574,Raw_data!$AA574),"")</f>
        <v/>
      </c>
      <c r="D574">
        <f>IF(OR(Raw_data!$J574="",Raw_data!$J574&lt;=0,Raw_data!$K574=""),"",IF(Raw_data!$K574&gt;TODAY(),0,DATEDIF(Raw_data!$K574,TODAY(),"M")))</f>
        <v/>
      </c>
      <c r="E574">
        <f>--(AND(Raw_data!$AF574="No",OR(Raw_data!$AG574&lt;&gt;"",Raw_data!$AJ574&gt;0,Raw_data!$AK574&lt;&gt;"")))</f>
        <v/>
      </c>
      <c r="F574">
        <f>--(OR(AND(ISNUMBER(B574),B574&lt;0.5,OR(D574&gt;=24,Raw_data!$I574&gt;0)),Raw_data!$AE574=TRUE))</f>
        <v/>
      </c>
      <c r="G574">
        <f>IF(Dashboard!$B$11="Department",Raw_data!$AL574,IF(Dashboard!$B$11="Team",Raw_data!$AM574,IF(Dashboard!$B$11="Unit",Raw_data!$AN574,IF(Dashboard!$B$11="Legal entity",Raw_data!$AO574,IF(Dashboard!$B$11="Location",Raw_data!$AP574,Raw_data!$AQ574)))))</f>
        <v/>
      </c>
      <c r="H574">
        <f>--(AND(ISNUMBER(B574),B574&lt;0.5))</f>
        <v/>
      </c>
      <c r="I574">
        <f>IFERROR(MAX(0,(0.5-B574)*100),0)+IF(D574&gt;=24,20,0)+IF(Raw_data!$I574&gt;0,20,0)+IF(Raw_data!$AE574=TRUE,10,0)</f>
        <v/>
      </c>
      <c r="J574">
        <f>IFERROR(CHOOSE(MATCH(Dashboard!$B$11,{"Department","Team","Unit","Legal entity","Location","Lead"},0),INDEX(Lists!$B$3:$B$20,ROW()-1),INDEX(Lists!$C$3:$C$146,ROW()-1),INDEX(Lists!$D$3:$D$67,ROW()-1),INDEX(Lists!$E$3:$E$5,ROW()-1),INDEX(Lists!$F$3:$F$12,ROW()-1),INDEX(Lists!$G$3:$G$126,ROW()-1)),"")</f>
        <v/>
      </c>
      <c r="K574">
        <f>IF(J574="","",SUMPRODUCT(($A$2:$A$636=1)*($G$2:$G$636=J574)))</f>
        <v/>
      </c>
      <c r="L574">
        <f>IF(J574="","",SUMPRODUCT(($A$2:$A$636=1)*($G$2:$G$636=J574)*(ISNUMBER($B$2:$B$636))*($B$2:$B$636&lt;0.5)))</f>
        <v/>
      </c>
      <c r="M574">
        <f>IFERROR(L574/K574,"")</f>
        <v/>
      </c>
      <c r="N574">
        <f>IF(K574="","",M574+K574/100000+ROW()/100000000)</f>
        <v/>
      </c>
      <c r="R574">
        <f>IF(A574=1,IFERROR(I574,0)+ROW()/100000000,-1E+99)</f>
        <v/>
      </c>
      <c r="S574">
        <f>IF(A574=1,IFERROR(Raw_data!$T574,""),"")</f>
        <v/>
      </c>
      <c r="T574">
        <f>IF(A574=1,IFERROR(Raw_data!$AA574,""),"")</f>
        <v/>
      </c>
      <c r="U574">
        <f>IF(A574=1,IFERROR(Raw_data!$U574,""),"")</f>
        <v/>
      </c>
      <c r="V574">
        <f>IF(A574=1,IFERROR(Raw_data!$AB574,""),"")</f>
        <v/>
      </c>
    </row>
    <row r="575">
      <c r="A575">
        <f>--(AND(OR(Dashboard!$B$4="All",Raw_data!$AL575=Dashboard!$B$4),OR(Dashboard!$B$5="All",Raw_data!$AM575=Dashboard!$B$5),OR(Dashboard!$B$6="All",Raw_data!$AN575=Dashboard!$B$6),OR(Dashboard!$B$7="All",Raw_data!$AO575=Dashboard!$B$7),OR(Dashboard!$B$8="All",Raw_data!$AP575=Dashboard!$B$8),OR(Dashboard!$B$9="All",Raw_data!$AQ575=Dashboard!$B$9),OR(Dashboard!$B$10="All",Raw_data!$AF575=Dashboard!$B$10),OR(Raw_data!$F575="",Raw_data!$F575&lt;=TODAY())))</f>
        <v/>
      </c>
      <c r="B575">
        <f>IFERROR(IF(Dashboard!$B$3="Weighted",Raw_data!$U575,Raw_data!$T575),"")</f>
        <v/>
      </c>
      <c r="C575">
        <f>IFERROR(IF(Dashboard!$B$3="Weighted",Raw_data!$AB575,Raw_data!$AA575),"")</f>
        <v/>
      </c>
      <c r="D575">
        <f>IF(OR(Raw_data!$J575="",Raw_data!$J575&lt;=0,Raw_data!$K575=""),"",IF(Raw_data!$K575&gt;TODAY(),0,DATEDIF(Raw_data!$K575,TODAY(),"M")))</f>
        <v/>
      </c>
      <c r="E575">
        <f>--(AND(Raw_data!$AF575="No",OR(Raw_data!$AG575&lt;&gt;"",Raw_data!$AJ575&gt;0,Raw_data!$AK575&lt;&gt;"")))</f>
        <v/>
      </c>
      <c r="F575">
        <f>--(OR(AND(ISNUMBER(B575),B575&lt;0.5,OR(D575&gt;=24,Raw_data!$I575&gt;0)),Raw_data!$AE575=TRUE))</f>
        <v/>
      </c>
      <c r="G575">
        <f>IF(Dashboard!$B$11="Department",Raw_data!$AL575,IF(Dashboard!$B$11="Team",Raw_data!$AM575,IF(Dashboard!$B$11="Unit",Raw_data!$AN575,IF(Dashboard!$B$11="Legal entity",Raw_data!$AO575,IF(Dashboard!$B$11="Location",Raw_data!$AP575,Raw_data!$AQ575)))))</f>
        <v/>
      </c>
      <c r="H575">
        <f>--(AND(ISNUMBER(B575),B575&lt;0.5))</f>
        <v/>
      </c>
      <c r="I575">
        <f>IFERROR(MAX(0,(0.5-B575)*100),0)+IF(D575&gt;=24,20,0)+IF(Raw_data!$I575&gt;0,20,0)+IF(Raw_data!$AE575=TRUE,10,0)</f>
        <v/>
      </c>
      <c r="J575">
        <f>IFERROR(CHOOSE(MATCH(Dashboard!$B$11,{"Department","Team","Unit","Legal entity","Location","Lead"},0),INDEX(Lists!$B$3:$B$20,ROW()-1),INDEX(Lists!$C$3:$C$146,ROW()-1),INDEX(Lists!$D$3:$D$67,ROW()-1),INDEX(Lists!$E$3:$E$5,ROW()-1),INDEX(Lists!$F$3:$F$12,ROW()-1),INDEX(Lists!$G$3:$G$126,ROW()-1)),"")</f>
        <v/>
      </c>
      <c r="K575">
        <f>IF(J575="","",SUMPRODUCT(($A$2:$A$636=1)*($G$2:$G$636=J575)))</f>
        <v/>
      </c>
      <c r="L575">
        <f>IF(J575="","",SUMPRODUCT(($A$2:$A$636=1)*($G$2:$G$636=J575)*(ISNUMBER($B$2:$B$636))*($B$2:$B$636&lt;0.5)))</f>
        <v/>
      </c>
      <c r="M575">
        <f>IFERROR(L575/K575,"")</f>
        <v/>
      </c>
      <c r="N575">
        <f>IF(K575="","",M575+K575/100000+ROW()/100000000)</f>
        <v/>
      </c>
      <c r="R575">
        <f>IF(A575=1,IFERROR(I575,0)+ROW()/100000000,-1E+99)</f>
        <v/>
      </c>
      <c r="S575">
        <f>IF(A575=1,IFERROR(Raw_data!$T575,""),"")</f>
        <v/>
      </c>
      <c r="T575">
        <f>IF(A575=1,IFERROR(Raw_data!$AA575,""),"")</f>
        <v/>
      </c>
      <c r="U575">
        <f>IF(A575=1,IFERROR(Raw_data!$U575,""),"")</f>
        <v/>
      </c>
      <c r="V575">
        <f>IF(A575=1,IFERROR(Raw_data!$AB575,""),"")</f>
        <v/>
      </c>
    </row>
    <row r="576">
      <c r="A576">
        <f>--(AND(OR(Dashboard!$B$4="All",Raw_data!$AL576=Dashboard!$B$4),OR(Dashboard!$B$5="All",Raw_data!$AM576=Dashboard!$B$5),OR(Dashboard!$B$6="All",Raw_data!$AN576=Dashboard!$B$6),OR(Dashboard!$B$7="All",Raw_data!$AO576=Dashboard!$B$7),OR(Dashboard!$B$8="All",Raw_data!$AP576=Dashboard!$B$8),OR(Dashboard!$B$9="All",Raw_data!$AQ576=Dashboard!$B$9),OR(Dashboard!$B$10="All",Raw_data!$AF576=Dashboard!$B$10),OR(Raw_data!$F576="",Raw_data!$F576&lt;=TODAY())))</f>
        <v/>
      </c>
      <c r="B576">
        <f>IFERROR(IF(Dashboard!$B$3="Weighted",Raw_data!$U576,Raw_data!$T576),"")</f>
        <v/>
      </c>
      <c r="C576">
        <f>IFERROR(IF(Dashboard!$B$3="Weighted",Raw_data!$AB576,Raw_data!$AA576),"")</f>
        <v/>
      </c>
      <c r="D576">
        <f>IF(OR(Raw_data!$J576="",Raw_data!$J576&lt;=0,Raw_data!$K576=""),"",IF(Raw_data!$K576&gt;TODAY(),0,DATEDIF(Raw_data!$K576,TODAY(),"M")))</f>
        <v/>
      </c>
      <c r="E576">
        <f>--(AND(Raw_data!$AF576="No",OR(Raw_data!$AG576&lt;&gt;"",Raw_data!$AJ576&gt;0,Raw_data!$AK576&lt;&gt;"")))</f>
        <v/>
      </c>
      <c r="F576">
        <f>--(OR(AND(ISNUMBER(B576),B576&lt;0.5,OR(D576&gt;=24,Raw_data!$I576&gt;0)),Raw_data!$AE576=TRUE))</f>
        <v/>
      </c>
      <c r="G576">
        <f>IF(Dashboard!$B$11="Department",Raw_data!$AL576,IF(Dashboard!$B$11="Team",Raw_data!$AM576,IF(Dashboard!$B$11="Unit",Raw_data!$AN576,IF(Dashboard!$B$11="Legal entity",Raw_data!$AO576,IF(Dashboard!$B$11="Location",Raw_data!$AP576,Raw_data!$AQ576)))))</f>
        <v/>
      </c>
      <c r="H576">
        <f>--(AND(ISNUMBER(B576),B576&lt;0.5))</f>
        <v/>
      </c>
      <c r="I576">
        <f>IFERROR(MAX(0,(0.5-B576)*100),0)+IF(D576&gt;=24,20,0)+IF(Raw_data!$I576&gt;0,20,0)+IF(Raw_data!$AE576=TRUE,10,0)</f>
        <v/>
      </c>
      <c r="J576">
        <f>IFERROR(CHOOSE(MATCH(Dashboard!$B$11,{"Department","Team","Unit","Legal entity","Location","Lead"},0),INDEX(Lists!$B$3:$B$20,ROW()-1),INDEX(Lists!$C$3:$C$146,ROW()-1),INDEX(Lists!$D$3:$D$67,ROW()-1),INDEX(Lists!$E$3:$E$5,ROW()-1),INDEX(Lists!$F$3:$F$12,ROW()-1),INDEX(Lists!$G$3:$G$126,ROW()-1)),"")</f>
        <v/>
      </c>
      <c r="K576">
        <f>IF(J576="","",SUMPRODUCT(($A$2:$A$636=1)*($G$2:$G$636=J576)))</f>
        <v/>
      </c>
      <c r="L576">
        <f>IF(J576="","",SUMPRODUCT(($A$2:$A$636=1)*($G$2:$G$636=J576)*(ISNUMBER($B$2:$B$636))*($B$2:$B$636&lt;0.5)))</f>
        <v/>
      </c>
      <c r="M576">
        <f>IFERROR(L576/K576,"")</f>
        <v/>
      </c>
      <c r="N576">
        <f>IF(K576="","",M576+K576/100000+ROW()/100000000)</f>
        <v/>
      </c>
      <c r="R576">
        <f>IF(A576=1,IFERROR(I576,0)+ROW()/100000000,-1E+99)</f>
        <v/>
      </c>
      <c r="S576">
        <f>IF(A576=1,IFERROR(Raw_data!$T576,""),"")</f>
        <v/>
      </c>
      <c r="T576">
        <f>IF(A576=1,IFERROR(Raw_data!$AA576,""),"")</f>
        <v/>
      </c>
      <c r="U576">
        <f>IF(A576=1,IFERROR(Raw_data!$U576,""),"")</f>
        <v/>
      </c>
      <c r="V576">
        <f>IF(A576=1,IFERROR(Raw_data!$AB576,""),"")</f>
        <v/>
      </c>
    </row>
    <row r="577">
      <c r="A577">
        <f>--(AND(OR(Dashboard!$B$4="All",Raw_data!$AL577=Dashboard!$B$4),OR(Dashboard!$B$5="All",Raw_data!$AM577=Dashboard!$B$5),OR(Dashboard!$B$6="All",Raw_data!$AN577=Dashboard!$B$6),OR(Dashboard!$B$7="All",Raw_data!$AO577=Dashboard!$B$7),OR(Dashboard!$B$8="All",Raw_data!$AP577=Dashboard!$B$8),OR(Dashboard!$B$9="All",Raw_data!$AQ577=Dashboard!$B$9),OR(Dashboard!$B$10="All",Raw_data!$AF577=Dashboard!$B$10),OR(Raw_data!$F577="",Raw_data!$F577&lt;=TODAY())))</f>
        <v/>
      </c>
      <c r="B577">
        <f>IFERROR(IF(Dashboard!$B$3="Weighted",Raw_data!$U577,Raw_data!$T577),"")</f>
        <v/>
      </c>
      <c r="C577">
        <f>IFERROR(IF(Dashboard!$B$3="Weighted",Raw_data!$AB577,Raw_data!$AA577),"")</f>
        <v/>
      </c>
      <c r="D577">
        <f>IF(OR(Raw_data!$J577="",Raw_data!$J577&lt;=0,Raw_data!$K577=""),"",IF(Raw_data!$K577&gt;TODAY(),0,DATEDIF(Raw_data!$K577,TODAY(),"M")))</f>
        <v/>
      </c>
      <c r="E577">
        <f>--(AND(Raw_data!$AF577="No",OR(Raw_data!$AG577&lt;&gt;"",Raw_data!$AJ577&gt;0,Raw_data!$AK577&lt;&gt;"")))</f>
        <v/>
      </c>
      <c r="F577">
        <f>--(OR(AND(ISNUMBER(B577),B577&lt;0.5,OR(D577&gt;=24,Raw_data!$I577&gt;0)),Raw_data!$AE577=TRUE))</f>
        <v/>
      </c>
      <c r="G577">
        <f>IF(Dashboard!$B$11="Department",Raw_data!$AL577,IF(Dashboard!$B$11="Team",Raw_data!$AM577,IF(Dashboard!$B$11="Unit",Raw_data!$AN577,IF(Dashboard!$B$11="Legal entity",Raw_data!$AO577,IF(Dashboard!$B$11="Location",Raw_data!$AP577,Raw_data!$AQ577)))))</f>
        <v/>
      </c>
      <c r="H577">
        <f>--(AND(ISNUMBER(B577),B577&lt;0.5))</f>
        <v/>
      </c>
      <c r="I577">
        <f>IFERROR(MAX(0,(0.5-B577)*100),0)+IF(D577&gt;=24,20,0)+IF(Raw_data!$I577&gt;0,20,0)+IF(Raw_data!$AE577=TRUE,10,0)</f>
        <v/>
      </c>
      <c r="J577">
        <f>IFERROR(CHOOSE(MATCH(Dashboard!$B$11,{"Department","Team","Unit","Legal entity","Location","Lead"},0),INDEX(Lists!$B$3:$B$20,ROW()-1),INDEX(Lists!$C$3:$C$146,ROW()-1),INDEX(Lists!$D$3:$D$67,ROW()-1),INDEX(Lists!$E$3:$E$5,ROW()-1),INDEX(Lists!$F$3:$F$12,ROW()-1),INDEX(Lists!$G$3:$G$126,ROW()-1)),"")</f>
        <v/>
      </c>
      <c r="K577">
        <f>IF(J577="","",SUMPRODUCT(($A$2:$A$636=1)*($G$2:$G$636=J577)))</f>
        <v/>
      </c>
      <c r="L577">
        <f>IF(J577="","",SUMPRODUCT(($A$2:$A$636=1)*($G$2:$G$636=J577)*(ISNUMBER($B$2:$B$636))*($B$2:$B$636&lt;0.5)))</f>
        <v/>
      </c>
      <c r="M577">
        <f>IFERROR(L577/K577,"")</f>
        <v/>
      </c>
      <c r="N577">
        <f>IF(K577="","",M577+K577/100000+ROW()/100000000)</f>
        <v/>
      </c>
      <c r="R577">
        <f>IF(A577=1,IFERROR(I577,0)+ROW()/100000000,-1E+99)</f>
        <v/>
      </c>
      <c r="S577">
        <f>IF(A577=1,IFERROR(Raw_data!$T577,""),"")</f>
        <v/>
      </c>
      <c r="T577">
        <f>IF(A577=1,IFERROR(Raw_data!$AA577,""),"")</f>
        <v/>
      </c>
      <c r="U577">
        <f>IF(A577=1,IFERROR(Raw_data!$U577,""),"")</f>
        <v/>
      </c>
      <c r="V577">
        <f>IF(A577=1,IFERROR(Raw_data!$AB577,""),"")</f>
        <v/>
      </c>
    </row>
    <row r="578">
      <c r="A578">
        <f>--(AND(OR(Dashboard!$B$4="All",Raw_data!$AL578=Dashboard!$B$4),OR(Dashboard!$B$5="All",Raw_data!$AM578=Dashboard!$B$5),OR(Dashboard!$B$6="All",Raw_data!$AN578=Dashboard!$B$6),OR(Dashboard!$B$7="All",Raw_data!$AO578=Dashboard!$B$7),OR(Dashboard!$B$8="All",Raw_data!$AP578=Dashboard!$B$8),OR(Dashboard!$B$9="All",Raw_data!$AQ578=Dashboard!$B$9),OR(Dashboard!$B$10="All",Raw_data!$AF578=Dashboard!$B$10),OR(Raw_data!$F578="",Raw_data!$F578&lt;=TODAY())))</f>
        <v/>
      </c>
      <c r="B578">
        <f>IFERROR(IF(Dashboard!$B$3="Weighted",Raw_data!$U578,Raw_data!$T578),"")</f>
        <v/>
      </c>
      <c r="C578">
        <f>IFERROR(IF(Dashboard!$B$3="Weighted",Raw_data!$AB578,Raw_data!$AA578),"")</f>
        <v/>
      </c>
      <c r="D578">
        <f>IF(OR(Raw_data!$J578="",Raw_data!$J578&lt;=0,Raw_data!$K578=""),"",IF(Raw_data!$K578&gt;TODAY(),0,DATEDIF(Raw_data!$K578,TODAY(),"M")))</f>
        <v/>
      </c>
      <c r="E578">
        <f>--(AND(Raw_data!$AF578="No",OR(Raw_data!$AG578&lt;&gt;"",Raw_data!$AJ578&gt;0,Raw_data!$AK578&lt;&gt;"")))</f>
        <v/>
      </c>
      <c r="F578">
        <f>--(OR(AND(ISNUMBER(B578),B578&lt;0.5,OR(D578&gt;=24,Raw_data!$I578&gt;0)),Raw_data!$AE578=TRUE))</f>
        <v/>
      </c>
      <c r="G578">
        <f>IF(Dashboard!$B$11="Department",Raw_data!$AL578,IF(Dashboard!$B$11="Team",Raw_data!$AM578,IF(Dashboard!$B$11="Unit",Raw_data!$AN578,IF(Dashboard!$B$11="Legal entity",Raw_data!$AO578,IF(Dashboard!$B$11="Location",Raw_data!$AP578,Raw_data!$AQ578)))))</f>
        <v/>
      </c>
      <c r="H578">
        <f>--(AND(ISNUMBER(B578),B578&lt;0.5))</f>
        <v/>
      </c>
      <c r="I578">
        <f>IFERROR(MAX(0,(0.5-B578)*100),0)+IF(D578&gt;=24,20,0)+IF(Raw_data!$I578&gt;0,20,0)+IF(Raw_data!$AE578=TRUE,10,0)</f>
        <v/>
      </c>
      <c r="J578">
        <f>IFERROR(CHOOSE(MATCH(Dashboard!$B$11,{"Department","Team","Unit","Legal entity","Location","Lead"},0),INDEX(Lists!$B$3:$B$20,ROW()-1),INDEX(Lists!$C$3:$C$146,ROW()-1),INDEX(Lists!$D$3:$D$67,ROW()-1),INDEX(Lists!$E$3:$E$5,ROW()-1),INDEX(Lists!$F$3:$F$12,ROW()-1),INDEX(Lists!$G$3:$G$126,ROW()-1)),"")</f>
        <v/>
      </c>
      <c r="K578">
        <f>IF(J578="","",SUMPRODUCT(($A$2:$A$636=1)*($G$2:$G$636=J578)))</f>
        <v/>
      </c>
      <c r="L578">
        <f>IF(J578="","",SUMPRODUCT(($A$2:$A$636=1)*($G$2:$G$636=J578)*(ISNUMBER($B$2:$B$636))*($B$2:$B$636&lt;0.5)))</f>
        <v/>
      </c>
      <c r="M578">
        <f>IFERROR(L578/K578,"")</f>
        <v/>
      </c>
      <c r="N578">
        <f>IF(K578="","",M578+K578/100000+ROW()/100000000)</f>
        <v/>
      </c>
      <c r="R578">
        <f>IF(A578=1,IFERROR(I578,0)+ROW()/100000000,-1E+99)</f>
        <v/>
      </c>
      <c r="S578">
        <f>IF(A578=1,IFERROR(Raw_data!$T578,""),"")</f>
        <v/>
      </c>
      <c r="T578">
        <f>IF(A578=1,IFERROR(Raw_data!$AA578,""),"")</f>
        <v/>
      </c>
      <c r="U578">
        <f>IF(A578=1,IFERROR(Raw_data!$U578,""),"")</f>
        <v/>
      </c>
      <c r="V578">
        <f>IF(A578=1,IFERROR(Raw_data!$AB578,""),"")</f>
        <v/>
      </c>
    </row>
    <row r="579">
      <c r="A579">
        <f>--(AND(OR(Dashboard!$B$4="All",Raw_data!$AL579=Dashboard!$B$4),OR(Dashboard!$B$5="All",Raw_data!$AM579=Dashboard!$B$5),OR(Dashboard!$B$6="All",Raw_data!$AN579=Dashboard!$B$6),OR(Dashboard!$B$7="All",Raw_data!$AO579=Dashboard!$B$7),OR(Dashboard!$B$8="All",Raw_data!$AP579=Dashboard!$B$8),OR(Dashboard!$B$9="All",Raw_data!$AQ579=Dashboard!$B$9),OR(Dashboard!$B$10="All",Raw_data!$AF579=Dashboard!$B$10),OR(Raw_data!$F579="",Raw_data!$F579&lt;=TODAY())))</f>
        <v/>
      </c>
      <c r="B579">
        <f>IFERROR(IF(Dashboard!$B$3="Weighted",Raw_data!$U579,Raw_data!$T579),"")</f>
        <v/>
      </c>
      <c r="C579">
        <f>IFERROR(IF(Dashboard!$B$3="Weighted",Raw_data!$AB579,Raw_data!$AA579),"")</f>
        <v/>
      </c>
      <c r="D579">
        <f>IF(OR(Raw_data!$J579="",Raw_data!$J579&lt;=0,Raw_data!$K579=""),"",IF(Raw_data!$K579&gt;TODAY(),0,DATEDIF(Raw_data!$K579,TODAY(),"M")))</f>
        <v/>
      </c>
      <c r="E579">
        <f>--(AND(Raw_data!$AF579="No",OR(Raw_data!$AG579&lt;&gt;"",Raw_data!$AJ579&gt;0,Raw_data!$AK579&lt;&gt;"")))</f>
        <v/>
      </c>
      <c r="F579">
        <f>--(OR(AND(ISNUMBER(B579),B579&lt;0.5,OR(D579&gt;=24,Raw_data!$I579&gt;0)),Raw_data!$AE579=TRUE))</f>
        <v/>
      </c>
      <c r="G579">
        <f>IF(Dashboard!$B$11="Department",Raw_data!$AL579,IF(Dashboard!$B$11="Team",Raw_data!$AM579,IF(Dashboard!$B$11="Unit",Raw_data!$AN579,IF(Dashboard!$B$11="Legal entity",Raw_data!$AO579,IF(Dashboard!$B$11="Location",Raw_data!$AP579,Raw_data!$AQ579)))))</f>
        <v/>
      </c>
      <c r="H579">
        <f>--(AND(ISNUMBER(B579),B579&lt;0.5))</f>
        <v/>
      </c>
      <c r="I579">
        <f>IFERROR(MAX(0,(0.5-B579)*100),0)+IF(D579&gt;=24,20,0)+IF(Raw_data!$I579&gt;0,20,0)+IF(Raw_data!$AE579=TRUE,10,0)</f>
        <v/>
      </c>
      <c r="J579">
        <f>IFERROR(CHOOSE(MATCH(Dashboard!$B$11,{"Department","Team","Unit","Legal entity","Location","Lead"},0),INDEX(Lists!$B$3:$B$20,ROW()-1),INDEX(Lists!$C$3:$C$146,ROW()-1),INDEX(Lists!$D$3:$D$67,ROW()-1),INDEX(Lists!$E$3:$E$5,ROW()-1),INDEX(Lists!$F$3:$F$12,ROW()-1),INDEX(Lists!$G$3:$G$126,ROW()-1)),"")</f>
        <v/>
      </c>
      <c r="K579">
        <f>IF(J579="","",SUMPRODUCT(($A$2:$A$636=1)*($G$2:$G$636=J579)))</f>
        <v/>
      </c>
      <c r="L579">
        <f>IF(J579="","",SUMPRODUCT(($A$2:$A$636=1)*($G$2:$G$636=J579)*(ISNUMBER($B$2:$B$636))*($B$2:$B$636&lt;0.5)))</f>
        <v/>
      </c>
      <c r="M579">
        <f>IFERROR(L579/K579,"")</f>
        <v/>
      </c>
      <c r="N579">
        <f>IF(K579="","",M579+K579/100000+ROW()/100000000)</f>
        <v/>
      </c>
      <c r="R579">
        <f>IF(A579=1,IFERROR(I579,0)+ROW()/100000000,-1E+99)</f>
        <v/>
      </c>
      <c r="S579">
        <f>IF(A579=1,IFERROR(Raw_data!$T579,""),"")</f>
        <v/>
      </c>
      <c r="T579">
        <f>IF(A579=1,IFERROR(Raw_data!$AA579,""),"")</f>
        <v/>
      </c>
      <c r="U579">
        <f>IF(A579=1,IFERROR(Raw_data!$U579,""),"")</f>
        <v/>
      </c>
      <c r="V579">
        <f>IF(A579=1,IFERROR(Raw_data!$AB579,""),"")</f>
        <v/>
      </c>
    </row>
    <row r="580">
      <c r="A580">
        <f>--(AND(OR(Dashboard!$B$4="All",Raw_data!$AL580=Dashboard!$B$4),OR(Dashboard!$B$5="All",Raw_data!$AM580=Dashboard!$B$5),OR(Dashboard!$B$6="All",Raw_data!$AN580=Dashboard!$B$6),OR(Dashboard!$B$7="All",Raw_data!$AO580=Dashboard!$B$7),OR(Dashboard!$B$8="All",Raw_data!$AP580=Dashboard!$B$8),OR(Dashboard!$B$9="All",Raw_data!$AQ580=Dashboard!$B$9),OR(Dashboard!$B$10="All",Raw_data!$AF580=Dashboard!$B$10),OR(Raw_data!$F580="",Raw_data!$F580&lt;=TODAY())))</f>
        <v/>
      </c>
      <c r="B580">
        <f>IFERROR(IF(Dashboard!$B$3="Weighted",Raw_data!$U580,Raw_data!$T580),"")</f>
        <v/>
      </c>
      <c r="C580">
        <f>IFERROR(IF(Dashboard!$B$3="Weighted",Raw_data!$AB580,Raw_data!$AA580),"")</f>
        <v/>
      </c>
      <c r="D580">
        <f>IF(OR(Raw_data!$J580="",Raw_data!$J580&lt;=0,Raw_data!$K580=""),"",IF(Raw_data!$K580&gt;TODAY(),0,DATEDIF(Raw_data!$K580,TODAY(),"M")))</f>
        <v/>
      </c>
      <c r="E580">
        <f>--(AND(Raw_data!$AF580="No",OR(Raw_data!$AG580&lt;&gt;"",Raw_data!$AJ580&gt;0,Raw_data!$AK580&lt;&gt;"")))</f>
        <v/>
      </c>
      <c r="F580">
        <f>--(OR(AND(ISNUMBER(B580),B580&lt;0.5,OR(D580&gt;=24,Raw_data!$I580&gt;0)),Raw_data!$AE580=TRUE))</f>
        <v/>
      </c>
      <c r="G580">
        <f>IF(Dashboard!$B$11="Department",Raw_data!$AL580,IF(Dashboard!$B$11="Team",Raw_data!$AM580,IF(Dashboard!$B$11="Unit",Raw_data!$AN580,IF(Dashboard!$B$11="Legal entity",Raw_data!$AO580,IF(Dashboard!$B$11="Location",Raw_data!$AP580,Raw_data!$AQ580)))))</f>
        <v/>
      </c>
      <c r="H580">
        <f>--(AND(ISNUMBER(B580),B580&lt;0.5))</f>
        <v/>
      </c>
      <c r="I580">
        <f>IFERROR(MAX(0,(0.5-B580)*100),0)+IF(D580&gt;=24,20,0)+IF(Raw_data!$I580&gt;0,20,0)+IF(Raw_data!$AE580=TRUE,10,0)</f>
        <v/>
      </c>
      <c r="J580">
        <f>IFERROR(CHOOSE(MATCH(Dashboard!$B$11,{"Department","Team","Unit","Legal entity","Location","Lead"},0),INDEX(Lists!$B$3:$B$20,ROW()-1),INDEX(Lists!$C$3:$C$146,ROW()-1),INDEX(Lists!$D$3:$D$67,ROW()-1),INDEX(Lists!$E$3:$E$5,ROW()-1),INDEX(Lists!$F$3:$F$12,ROW()-1),INDEX(Lists!$G$3:$G$126,ROW()-1)),"")</f>
        <v/>
      </c>
      <c r="K580">
        <f>IF(J580="","",SUMPRODUCT(($A$2:$A$636=1)*($G$2:$G$636=J580)))</f>
        <v/>
      </c>
      <c r="L580">
        <f>IF(J580="","",SUMPRODUCT(($A$2:$A$636=1)*($G$2:$G$636=J580)*(ISNUMBER($B$2:$B$636))*($B$2:$B$636&lt;0.5)))</f>
        <v/>
      </c>
      <c r="M580">
        <f>IFERROR(L580/K580,"")</f>
        <v/>
      </c>
      <c r="N580">
        <f>IF(K580="","",M580+K580/100000+ROW()/100000000)</f>
        <v/>
      </c>
      <c r="R580">
        <f>IF(A580=1,IFERROR(I580,0)+ROW()/100000000,-1E+99)</f>
        <v/>
      </c>
      <c r="S580">
        <f>IF(A580=1,IFERROR(Raw_data!$T580,""),"")</f>
        <v/>
      </c>
      <c r="T580">
        <f>IF(A580=1,IFERROR(Raw_data!$AA580,""),"")</f>
        <v/>
      </c>
      <c r="U580">
        <f>IF(A580=1,IFERROR(Raw_data!$U580,""),"")</f>
        <v/>
      </c>
      <c r="V580">
        <f>IF(A580=1,IFERROR(Raw_data!$AB580,""),"")</f>
        <v/>
      </c>
    </row>
    <row r="581">
      <c r="A581">
        <f>--(AND(OR(Dashboard!$B$4="All",Raw_data!$AL581=Dashboard!$B$4),OR(Dashboard!$B$5="All",Raw_data!$AM581=Dashboard!$B$5),OR(Dashboard!$B$6="All",Raw_data!$AN581=Dashboard!$B$6),OR(Dashboard!$B$7="All",Raw_data!$AO581=Dashboard!$B$7),OR(Dashboard!$B$8="All",Raw_data!$AP581=Dashboard!$B$8),OR(Dashboard!$B$9="All",Raw_data!$AQ581=Dashboard!$B$9),OR(Dashboard!$B$10="All",Raw_data!$AF581=Dashboard!$B$10),OR(Raw_data!$F581="",Raw_data!$F581&lt;=TODAY())))</f>
        <v/>
      </c>
      <c r="B581">
        <f>IFERROR(IF(Dashboard!$B$3="Weighted",Raw_data!$U581,Raw_data!$T581),"")</f>
        <v/>
      </c>
      <c r="C581">
        <f>IFERROR(IF(Dashboard!$B$3="Weighted",Raw_data!$AB581,Raw_data!$AA581),"")</f>
        <v/>
      </c>
      <c r="D581">
        <f>IF(OR(Raw_data!$J581="",Raw_data!$J581&lt;=0,Raw_data!$K581=""),"",IF(Raw_data!$K581&gt;TODAY(),0,DATEDIF(Raw_data!$K581,TODAY(),"M")))</f>
        <v/>
      </c>
      <c r="E581">
        <f>--(AND(Raw_data!$AF581="No",OR(Raw_data!$AG581&lt;&gt;"",Raw_data!$AJ581&gt;0,Raw_data!$AK581&lt;&gt;"")))</f>
        <v/>
      </c>
      <c r="F581">
        <f>--(OR(AND(ISNUMBER(B581),B581&lt;0.5,OR(D581&gt;=24,Raw_data!$I581&gt;0)),Raw_data!$AE581=TRUE))</f>
        <v/>
      </c>
      <c r="G581">
        <f>IF(Dashboard!$B$11="Department",Raw_data!$AL581,IF(Dashboard!$B$11="Team",Raw_data!$AM581,IF(Dashboard!$B$11="Unit",Raw_data!$AN581,IF(Dashboard!$B$11="Legal entity",Raw_data!$AO581,IF(Dashboard!$B$11="Location",Raw_data!$AP581,Raw_data!$AQ581)))))</f>
        <v/>
      </c>
      <c r="H581">
        <f>--(AND(ISNUMBER(B581),B581&lt;0.5))</f>
        <v/>
      </c>
      <c r="I581">
        <f>IFERROR(MAX(0,(0.5-B581)*100),0)+IF(D581&gt;=24,20,0)+IF(Raw_data!$I581&gt;0,20,0)+IF(Raw_data!$AE581=TRUE,10,0)</f>
        <v/>
      </c>
      <c r="J581">
        <f>IFERROR(CHOOSE(MATCH(Dashboard!$B$11,{"Department","Team","Unit","Legal entity","Location","Lead"},0),INDEX(Lists!$B$3:$B$20,ROW()-1),INDEX(Lists!$C$3:$C$146,ROW()-1),INDEX(Lists!$D$3:$D$67,ROW()-1),INDEX(Lists!$E$3:$E$5,ROW()-1),INDEX(Lists!$F$3:$F$12,ROW()-1),INDEX(Lists!$G$3:$G$126,ROW()-1)),"")</f>
        <v/>
      </c>
      <c r="K581">
        <f>IF(J581="","",SUMPRODUCT(($A$2:$A$636=1)*($G$2:$G$636=J581)))</f>
        <v/>
      </c>
      <c r="L581">
        <f>IF(J581="","",SUMPRODUCT(($A$2:$A$636=1)*($G$2:$G$636=J581)*(ISNUMBER($B$2:$B$636))*($B$2:$B$636&lt;0.5)))</f>
        <v/>
      </c>
      <c r="M581">
        <f>IFERROR(L581/K581,"")</f>
        <v/>
      </c>
      <c r="N581">
        <f>IF(K581="","",M581+K581/100000+ROW()/100000000)</f>
        <v/>
      </c>
      <c r="R581">
        <f>IF(A581=1,IFERROR(I581,0)+ROW()/100000000,-1E+99)</f>
        <v/>
      </c>
      <c r="S581">
        <f>IF(A581=1,IFERROR(Raw_data!$T581,""),"")</f>
        <v/>
      </c>
      <c r="T581">
        <f>IF(A581=1,IFERROR(Raw_data!$AA581,""),"")</f>
        <v/>
      </c>
      <c r="U581">
        <f>IF(A581=1,IFERROR(Raw_data!$U581,""),"")</f>
        <v/>
      </c>
      <c r="V581">
        <f>IF(A581=1,IFERROR(Raw_data!$AB581,""),"")</f>
        <v/>
      </c>
    </row>
    <row r="582">
      <c r="A582">
        <f>--(AND(OR(Dashboard!$B$4="All",Raw_data!$AL582=Dashboard!$B$4),OR(Dashboard!$B$5="All",Raw_data!$AM582=Dashboard!$B$5),OR(Dashboard!$B$6="All",Raw_data!$AN582=Dashboard!$B$6),OR(Dashboard!$B$7="All",Raw_data!$AO582=Dashboard!$B$7),OR(Dashboard!$B$8="All",Raw_data!$AP582=Dashboard!$B$8),OR(Dashboard!$B$9="All",Raw_data!$AQ582=Dashboard!$B$9),OR(Dashboard!$B$10="All",Raw_data!$AF582=Dashboard!$B$10),OR(Raw_data!$F582="",Raw_data!$F582&lt;=TODAY())))</f>
        <v/>
      </c>
      <c r="B582">
        <f>IFERROR(IF(Dashboard!$B$3="Weighted",Raw_data!$U582,Raw_data!$T582),"")</f>
        <v/>
      </c>
      <c r="C582">
        <f>IFERROR(IF(Dashboard!$B$3="Weighted",Raw_data!$AB582,Raw_data!$AA582),"")</f>
        <v/>
      </c>
      <c r="D582">
        <f>IF(OR(Raw_data!$J582="",Raw_data!$J582&lt;=0,Raw_data!$K582=""),"",IF(Raw_data!$K582&gt;TODAY(),0,DATEDIF(Raw_data!$K582,TODAY(),"M")))</f>
        <v/>
      </c>
      <c r="E582">
        <f>--(AND(Raw_data!$AF582="No",OR(Raw_data!$AG582&lt;&gt;"",Raw_data!$AJ582&gt;0,Raw_data!$AK582&lt;&gt;"")))</f>
        <v/>
      </c>
      <c r="F582">
        <f>--(OR(AND(ISNUMBER(B582),B582&lt;0.5,OR(D582&gt;=24,Raw_data!$I582&gt;0)),Raw_data!$AE582=TRUE))</f>
        <v/>
      </c>
      <c r="G582">
        <f>IF(Dashboard!$B$11="Department",Raw_data!$AL582,IF(Dashboard!$B$11="Team",Raw_data!$AM582,IF(Dashboard!$B$11="Unit",Raw_data!$AN582,IF(Dashboard!$B$11="Legal entity",Raw_data!$AO582,IF(Dashboard!$B$11="Location",Raw_data!$AP582,Raw_data!$AQ582)))))</f>
        <v/>
      </c>
      <c r="H582">
        <f>--(AND(ISNUMBER(B582),B582&lt;0.5))</f>
        <v/>
      </c>
      <c r="I582">
        <f>IFERROR(MAX(0,(0.5-B582)*100),0)+IF(D582&gt;=24,20,0)+IF(Raw_data!$I582&gt;0,20,0)+IF(Raw_data!$AE582=TRUE,10,0)</f>
        <v/>
      </c>
      <c r="J582">
        <f>IFERROR(CHOOSE(MATCH(Dashboard!$B$11,{"Department","Team","Unit","Legal entity","Location","Lead"},0),INDEX(Lists!$B$3:$B$20,ROW()-1),INDEX(Lists!$C$3:$C$146,ROW()-1),INDEX(Lists!$D$3:$D$67,ROW()-1),INDEX(Lists!$E$3:$E$5,ROW()-1),INDEX(Lists!$F$3:$F$12,ROW()-1),INDEX(Lists!$G$3:$G$126,ROW()-1)),"")</f>
        <v/>
      </c>
      <c r="K582">
        <f>IF(J582="","",SUMPRODUCT(($A$2:$A$636=1)*($G$2:$G$636=J582)))</f>
        <v/>
      </c>
      <c r="L582">
        <f>IF(J582="","",SUMPRODUCT(($A$2:$A$636=1)*($G$2:$G$636=J582)*(ISNUMBER($B$2:$B$636))*($B$2:$B$636&lt;0.5)))</f>
        <v/>
      </c>
      <c r="M582">
        <f>IFERROR(L582/K582,"")</f>
        <v/>
      </c>
      <c r="N582">
        <f>IF(K582="","",M582+K582/100000+ROW()/100000000)</f>
        <v/>
      </c>
      <c r="R582">
        <f>IF(A582=1,IFERROR(I582,0)+ROW()/100000000,-1E+99)</f>
        <v/>
      </c>
      <c r="S582">
        <f>IF(A582=1,IFERROR(Raw_data!$T582,""),"")</f>
        <v/>
      </c>
      <c r="T582">
        <f>IF(A582=1,IFERROR(Raw_data!$AA582,""),"")</f>
        <v/>
      </c>
      <c r="U582">
        <f>IF(A582=1,IFERROR(Raw_data!$U582,""),"")</f>
        <v/>
      </c>
      <c r="V582">
        <f>IF(A582=1,IFERROR(Raw_data!$AB582,""),"")</f>
        <v/>
      </c>
    </row>
    <row r="583">
      <c r="A583">
        <f>--(AND(OR(Dashboard!$B$4="All",Raw_data!$AL583=Dashboard!$B$4),OR(Dashboard!$B$5="All",Raw_data!$AM583=Dashboard!$B$5),OR(Dashboard!$B$6="All",Raw_data!$AN583=Dashboard!$B$6),OR(Dashboard!$B$7="All",Raw_data!$AO583=Dashboard!$B$7),OR(Dashboard!$B$8="All",Raw_data!$AP583=Dashboard!$B$8),OR(Dashboard!$B$9="All",Raw_data!$AQ583=Dashboard!$B$9),OR(Dashboard!$B$10="All",Raw_data!$AF583=Dashboard!$B$10),OR(Raw_data!$F583="",Raw_data!$F583&lt;=TODAY())))</f>
        <v/>
      </c>
      <c r="B583">
        <f>IFERROR(IF(Dashboard!$B$3="Weighted",Raw_data!$U583,Raw_data!$T583),"")</f>
        <v/>
      </c>
      <c r="C583">
        <f>IFERROR(IF(Dashboard!$B$3="Weighted",Raw_data!$AB583,Raw_data!$AA583),"")</f>
        <v/>
      </c>
      <c r="D583">
        <f>IF(OR(Raw_data!$J583="",Raw_data!$J583&lt;=0,Raw_data!$K583=""),"",IF(Raw_data!$K583&gt;TODAY(),0,DATEDIF(Raw_data!$K583,TODAY(),"M")))</f>
        <v/>
      </c>
      <c r="E583">
        <f>--(AND(Raw_data!$AF583="No",OR(Raw_data!$AG583&lt;&gt;"",Raw_data!$AJ583&gt;0,Raw_data!$AK583&lt;&gt;"")))</f>
        <v/>
      </c>
      <c r="F583">
        <f>--(OR(AND(ISNUMBER(B583),B583&lt;0.5,OR(D583&gt;=24,Raw_data!$I583&gt;0)),Raw_data!$AE583=TRUE))</f>
        <v/>
      </c>
      <c r="G583">
        <f>IF(Dashboard!$B$11="Department",Raw_data!$AL583,IF(Dashboard!$B$11="Team",Raw_data!$AM583,IF(Dashboard!$B$11="Unit",Raw_data!$AN583,IF(Dashboard!$B$11="Legal entity",Raw_data!$AO583,IF(Dashboard!$B$11="Location",Raw_data!$AP583,Raw_data!$AQ583)))))</f>
        <v/>
      </c>
      <c r="H583">
        <f>--(AND(ISNUMBER(B583),B583&lt;0.5))</f>
        <v/>
      </c>
      <c r="I583">
        <f>IFERROR(MAX(0,(0.5-B583)*100),0)+IF(D583&gt;=24,20,0)+IF(Raw_data!$I583&gt;0,20,0)+IF(Raw_data!$AE583=TRUE,10,0)</f>
        <v/>
      </c>
      <c r="J583">
        <f>IFERROR(CHOOSE(MATCH(Dashboard!$B$11,{"Department","Team","Unit","Legal entity","Location","Lead"},0),INDEX(Lists!$B$3:$B$20,ROW()-1),INDEX(Lists!$C$3:$C$146,ROW()-1),INDEX(Lists!$D$3:$D$67,ROW()-1),INDEX(Lists!$E$3:$E$5,ROW()-1),INDEX(Lists!$F$3:$F$12,ROW()-1),INDEX(Lists!$G$3:$G$126,ROW()-1)),"")</f>
        <v/>
      </c>
      <c r="K583">
        <f>IF(J583="","",SUMPRODUCT(($A$2:$A$636=1)*($G$2:$G$636=J583)))</f>
        <v/>
      </c>
      <c r="L583">
        <f>IF(J583="","",SUMPRODUCT(($A$2:$A$636=1)*($G$2:$G$636=J583)*(ISNUMBER($B$2:$B$636))*($B$2:$B$636&lt;0.5)))</f>
        <v/>
      </c>
      <c r="M583">
        <f>IFERROR(L583/K583,"")</f>
        <v/>
      </c>
      <c r="N583">
        <f>IF(K583="","",M583+K583/100000+ROW()/100000000)</f>
        <v/>
      </c>
      <c r="R583">
        <f>IF(A583=1,IFERROR(I583,0)+ROW()/100000000,-1E+99)</f>
        <v/>
      </c>
      <c r="S583">
        <f>IF(A583=1,IFERROR(Raw_data!$T583,""),"")</f>
        <v/>
      </c>
      <c r="T583">
        <f>IF(A583=1,IFERROR(Raw_data!$AA583,""),"")</f>
        <v/>
      </c>
      <c r="U583">
        <f>IF(A583=1,IFERROR(Raw_data!$U583,""),"")</f>
        <v/>
      </c>
      <c r="V583">
        <f>IF(A583=1,IFERROR(Raw_data!$AB583,""),"")</f>
        <v/>
      </c>
    </row>
    <row r="584">
      <c r="A584">
        <f>--(AND(OR(Dashboard!$B$4="All",Raw_data!$AL584=Dashboard!$B$4),OR(Dashboard!$B$5="All",Raw_data!$AM584=Dashboard!$B$5),OR(Dashboard!$B$6="All",Raw_data!$AN584=Dashboard!$B$6),OR(Dashboard!$B$7="All",Raw_data!$AO584=Dashboard!$B$7),OR(Dashboard!$B$8="All",Raw_data!$AP584=Dashboard!$B$8),OR(Dashboard!$B$9="All",Raw_data!$AQ584=Dashboard!$B$9),OR(Dashboard!$B$10="All",Raw_data!$AF584=Dashboard!$B$10),OR(Raw_data!$F584="",Raw_data!$F584&lt;=TODAY())))</f>
        <v/>
      </c>
      <c r="B584">
        <f>IFERROR(IF(Dashboard!$B$3="Weighted",Raw_data!$U584,Raw_data!$T584),"")</f>
        <v/>
      </c>
      <c r="C584">
        <f>IFERROR(IF(Dashboard!$B$3="Weighted",Raw_data!$AB584,Raw_data!$AA584),"")</f>
        <v/>
      </c>
      <c r="D584">
        <f>IF(OR(Raw_data!$J584="",Raw_data!$J584&lt;=0,Raw_data!$K584=""),"",IF(Raw_data!$K584&gt;TODAY(),0,DATEDIF(Raw_data!$K584,TODAY(),"M")))</f>
        <v/>
      </c>
      <c r="E584">
        <f>--(AND(Raw_data!$AF584="No",OR(Raw_data!$AG584&lt;&gt;"",Raw_data!$AJ584&gt;0,Raw_data!$AK584&lt;&gt;"")))</f>
        <v/>
      </c>
      <c r="F584">
        <f>--(OR(AND(ISNUMBER(B584),B584&lt;0.5,OR(D584&gt;=24,Raw_data!$I584&gt;0)),Raw_data!$AE584=TRUE))</f>
        <v/>
      </c>
      <c r="G584">
        <f>IF(Dashboard!$B$11="Department",Raw_data!$AL584,IF(Dashboard!$B$11="Team",Raw_data!$AM584,IF(Dashboard!$B$11="Unit",Raw_data!$AN584,IF(Dashboard!$B$11="Legal entity",Raw_data!$AO584,IF(Dashboard!$B$11="Location",Raw_data!$AP584,Raw_data!$AQ584)))))</f>
        <v/>
      </c>
      <c r="H584">
        <f>--(AND(ISNUMBER(B584),B584&lt;0.5))</f>
        <v/>
      </c>
      <c r="I584">
        <f>IFERROR(MAX(0,(0.5-B584)*100),0)+IF(D584&gt;=24,20,0)+IF(Raw_data!$I584&gt;0,20,0)+IF(Raw_data!$AE584=TRUE,10,0)</f>
        <v/>
      </c>
      <c r="J584">
        <f>IFERROR(CHOOSE(MATCH(Dashboard!$B$11,{"Department","Team","Unit","Legal entity","Location","Lead"},0),INDEX(Lists!$B$3:$B$20,ROW()-1),INDEX(Lists!$C$3:$C$146,ROW()-1),INDEX(Lists!$D$3:$D$67,ROW()-1),INDEX(Lists!$E$3:$E$5,ROW()-1),INDEX(Lists!$F$3:$F$12,ROW()-1),INDEX(Lists!$G$3:$G$126,ROW()-1)),"")</f>
        <v/>
      </c>
      <c r="K584">
        <f>IF(J584="","",SUMPRODUCT(($A$2:$A$636=1)*($G$2:$G$636=J584)))</f>
        <v/>
      </c>
      <c r="L584">
        <f>IF(J584="","",SUMPRODUCT(($A$2:$A$636=1)*($G$2:$G$636=J584)*(ISNUMBER($B$2:$B$636))*($B$2:$B$636&lt;0.5)))</f>
        <v/>
      </c>
      <c r="M584">
        <f>IFERROR(L584/K584,"")</f>
        <v/>
      </c>
      <c r="N584">
        <f>IF(K584="","",M584+K584/100000+ROW()/100000000)</f>
        <v/>
      </c>
      <c r="R584">
        <f>IF(A584=1,IFERROR(I584,0)+ROW()/100000000,-1E+99)</f>
        <v/>
      </c>
      <c r="S584">
        <f>IF(A584=1,IFERROR(Raw_data!$T584,""),"")</f>
        <v/>
      </c>
      <c r="T584">
        <f>IF(A584=1,IFERROR(Raw_data!$AA584,""),"")</f>
        <v/>
      </c>
      <c r="U584">
        <f>IF(A584=1,IFERROR(Raw_data!$U584,""),"")</f>
        <v/>
      </c>
      <c r="V584">
        <f>IF(A584=1,IFERROR(Raw_data!$AB584,""),"")</f>
        <v/>
      </c>
    </row>
    <row r="585">
      <c r="A585">
        <f>--(AND(OR(Dashboard!$B$4="All",Raw_data!$AL585=Dashboard!$B$4),OR(Dashboard!$B$5="All",Raw_data!$AM585=Dashboard!$B$5),OR(Dashboard!$B$6="All",Raw_data!$AN585=Dashboard!$B$6),OR(Dashboard!$B$7="All",Raw_data!$AO585=Dashboard!$B$7),OR(Dashboard!$B$8="All",Raw_data!$AP585=Dashboard!$B$8),OR(Dashboard!$B$9="All",Raw_data!$AQ585=Dashboard!$B$9),OR(Dashboard!$B$10="All",Raw_data!$AF585=Dashboard!$B$10),OR(Raw_data!$F585="",Raw_data!$F585&lt;=TODAY())))</f>
        <v/>
      </c>
      <c r="B585">
        <f>IFERROR(IF(Dashboard!$B$3="Weighted",Raw_data!$U585,Raw_data!$T585),"")</f>
        <v/>
      </c>
      <c r="C585">
        <f>IFERROR(IF(Dashboard!$B$3="Weighted",Raw_data!$AB585,Raw_data!$AA585),"")</f>
        <v/>
      </c>
      <c r="D585">
        <f>IF(OR(Raw_data!$J585="",Raw_data!$J585&lt;=0,Raw_data!$K585=""),"",IF(Raw_data!$K585&gt;TODAY(),0,DATEDIF(Raw_data!$K585,TODAY(),"M")))</f>
        <v/>
      </c>
      <c r="E585">
        <f>--(AND(Raw_data!$AF585="No",OR(Raw_data!$AG585&lt;&gt;"",Raw_data!$AJ585&gt;0,Raw_data!$AK585&lt;&gt;"")))</f>
        <v/>
      </c>
      <c r="F585">
        <f>--(OR(AND(ISNUMBER(B585),B585&lt;0.5,OR(D585&gt;=24,Raw_data!$I585&gt;0)),Raw_data!$AE585=TRUE))</f>
        <v/>
      </c>
      <c r="G585">
        <f>IF(Dashboard!$B$11="Department",Raw_data!$AL585,IF(Dashboard!$B$11="Team",Raw_data!$AM585,IF(Dashboard!$B$11="Unit",Raw_data!$AN585,IF(Dashboard!$B$11="Legal entity",Raw_data!$AO585,IF(Dashboard!$B$11="Location",Raw_data!$AP585,Raw_data!$AQ585)))))</f>
        <v/>
      </c>
      <c r="H585">
        <f>--(AND(ISNUMBER(B585),B585&lt;0.5))</f>
        <v/>
      </c>
      <c r="I585">
        <f>IFERROR(MAX(0,(0.5-B585)*100),0)+IF(D585&gt;=24,20,0)+IF(Raw_data!$I585&gt;0,20,0)+IF(Raw_data!$AE585=TRUE,10,0)</f>
        <v/>
      </c>
      <c r="J585">
        <f>IFERROR(CHOOSE(MATCH(Dashboard!$B$11,{"Department","Team","Unit","Legal entity","Location","Lead"},0),INDEX(Lists!$B$3:$B$20,ROW()-1),INDEX(Lists!$C$3:$C$146,ROW()-1),INDEX(Lists!$D$3:$D$67,ROW()-1),INDEX(Lists!$E$3:$E$5,ROW()-1),INDEX(Lists!$F$3:$F$12,ROW()-1),INDEX(Lists!$G$3:$G$126,ROW()-1)),"")</f>
        <v/>
      </c>
      <c r="K585">
        <f>IF(J585="","",SUMPRODUCT(($A$2:$A$636=1)*($G$2:$G$636=J585)))</f>
        <v/>
      </c>
      <c r="L585">
        <f>IF(J585="","",SUMPRODUCT(($A$2:$A$636=1)*($G$2:$G$636=J585)*(ISNUMBER($B$2:$B$636))*($B$2:$B$636&lt;0.5)))</f>
        <v/>
      </c>
      <c r="M585">
        <f>IFERROR(L585/K585,"")</f>
        <v/>
      </c>
      <c r="N585">
        <f>IF(K585="","",M585+K585/100000+ROW()/100000000)</f>
        <v/>
      </c>
      <c r="R585">
        <f>IF(A585=1,IFERROR(I585,0)+ROW()/100000000,-1E+99)</f>
        <v/>
      </c>
      <c r="S585">
        <f>IF(A585=1,IFERROR(Raw_data!$T585,""),"")</f>
        <v/>
      </c>
      <c r="T585">
        <f>IF(A585=1,IFERROR(Raw_data!$AA585,""),"")</f>
        <v/>
      </c>
      <c r="U585">
        <f>IF(A585=1,IFERROR(Raw_data!$U585,""),"")</f>
        <v/>
      </c>
      <c r="V585">
        <f>IF(A585=1,IFERROR(Raw_data!$AB585,""),"")</f>
        <v/>
      </c>
    </row>
    <row r="586">
      <c r="A586">
        <f>--(AND(OR(Dashboard!$B$4="All",Raw_data!$AL586=Dashboard!$B$4),OR(Dashboard!$B$5="All",Raw_data!$AM586=Dashboard!$B$5),OR(Dashboard!$B$6="All",Raw_data!$AN586=Dashboard!$B$6),OR(Dashboard!$B$7="All",Raw_data!$AO586=Dashboard!$B$7),OR(Dashboard!$B$8="All",Raw_data!$AP586=Dashboard!$B$8),OR(Dashboard!$B$9="All",Raw_data!$AQ586=Dashboard!$B$9),OR(Dashboard!$B$10="All",Raw_data!$AF586=Dashboard!$B$10),OR(Raw_data!$F586="",Raw_data!$F586&lt;=TODAY())))</f>
        <v/>
      </c>
      <c r="B586">
        <f>IFERROR(IF(Dashboard!$B$3="Weighted",Raw_data!$U586,Raw_data!$T586),"")</f>
        <v/>
      </c>
      <c r="C586">
        <f>IFERROR(IF(Dashboard!$B$3="Weighted",Raw_data!$AB586,Raw_data!$AA586),"")</f>
        <v/>
      </c>
      <c r="D586">
        <f>IF(OR(Raw_data!$J586="",Raw_data!$J586&lt;=0,Raw_data!$K586=""),"",IF(Raw_data!$K586&gt;TODAY(),0,DATEDIF(Raw_data!$K586,TODAY(),"M")))</f>
        <v/>
      </c>
      <c r="E586">
        <f>--(AND(Raw_data!$AF586="No",OR(Raw_data!$AG586&lt;&gt;"",Raw_data!$AJ586&gt;0,Raw_data!$AK586&lt;&gt;"")))</f>
        <v/>
      </c>
      <c r="F586">
        <f>--(OR(AND(ISNUMBER(B586),B586&lt;0.5,OR(D586&gt;=24,Raw_data!$I586&gt;0)),Raw_data!$AE586=TRUE))</f>
        <v/>
      </c>
      <c r="G586">
        <f>IF(Dashboard!$B$11="Department",Raw_data!$AL586,IF(Dashboard!$B$11="Team",Raw_data!$AM586,IF(Dashboard!$B$11="Unit",Raw_data!$AN586,IF(Dashboard!$B$11="Legal entity",Raw_data!$AO586,IF(Dashboard!$B$11="Location",Raw_data!$AP586,Raw_data!$AQ586)))))</f>
        <v/>
      </c>
      <c r="H586">
        <f>--(AND(ISNUMBER(B586),B586&lt;0.5))</f>
        <v/>
      </c>
      <c r="I586">
        <f>IFERROR(MAX(0,(0.5-B586)*100),0)+IF(D586&gt;=24,20,0)+IF(Raw_data!$I586&gt;0,20,0)+IF(Raw_data!$AE586=TRUE,10,0)</f>
        <v/>
      </c>
      <c r="J586">
        <f>IFERROR(CHOOSE(MATCH(Dashboard!$B$11,{"Department","Team","Unit","Legal entity","Location","Lead"},0),INDEX(Lists!$B$3:$B$20,ROW()-1),INDEX(Lists!$C$3:$C$146,ROW()-1),INDEX(Lists!$D$3:$D$67,ROW()-1),INDEX(Lists!$E$3:$E$5,ROW()-1),INDEX(Lists!$F$3:$F$12,ROW()-1),INDEX(Lists!$G$3:$G$126,ROW()-1)),"")</f>
        <v/>
      </c>
      <c r="K586">
        <f>IF(J586="","",SUMPRODUCT(($A$2:$A$636=1)*($G$2:$G$636=J586)))</f>
        <v/>
      </c>
      <c r="L586">
        <f>IF(J586="","",SUMPRODUCT(($A$2:$A$636=1)*($G$2:$G$636=J586)*(ISNUMBER($B$2:$B$636))*($B$2:$B$636&lt;0.5)))</f>
        <v/>
      </c>
      <c r="M586">
        <f>IFERROR(L586/K586,"")</f>
        <v/>
      </c>
      <c r="N586">
        <f>IF(K586="","",M586+K586/100000+ROW()/100000000)</f>
        <v/>
      </c>
      <c r="R586">
        <f>IF(A586=1,IFERROR(I586,0)+ROW()/100000000,-1E+99)</f>
        <v/>
      </c>
      <c r="S586">
        <f>IF(A586=1,IFERROR(Raw_data!$T586,""),"")</f>
        <v/>
      </c>
      <c r="T586">
        <f>IF(A586=1,IFERROR(Raw_data!$AA586,""),"")</f>
        <v/>
      </c>
      <c r="U586">
        <f>IF(A586=1,IFERROR(Raw_data!$U586,""),"")</f>
        <v/>
      </c>
      <c r="V586">
        <f>IF(A586=1,IFERROR(Raw_data!$AB586,""),"")</f>
        <v/>
      </c>
    </row>
    <row r="587">
      <c r="A587">
        <f>--(AND(OR(Dashboard!$B$4="All",Raw_data!$AL587=Dashboard!$B$4),OR(Dashboard!$B$5="All",Raw_data!$AM587=Dashboard!$B$5),OR(Dashboard!$B$6="All",Raw_data!$AN587=Dashboard!$B$6),OR(Dashboard!$B$7="All",Raw_data!$AO587=Dashboard!$B$7),OR(Dashboard!$B$8="All",Raw_data!$AP587=Dashboard!$B$8),OR(Dashboard!$B$9="All",Raw_data!$AQ587=Dashboard!$B$9),OR(Dashboard!$B$10="All",Raw_data!$AF587=Dashboard!$B$10),OR(Raw_data!$F587="",Raw_data!$F587&lt;=TODAY())))</f>
        <v/>
      </c>
      <c r="B587">
        <f>IFERROR(IF(Dashboard!$B$3="Weighted",Raw_data!$U587,Raw_data!$T587),"")</f>
        <v/>
      </c>
      <c r="C587">
        <f>IFERROR(IF(Dashboard!$B$3="Weighted",Raw_data!$AB587,Raw_data!$AA587),"")</f>
        <v/>
      </c>
      <c r="D587">
        <f>IF(OR(Raw_data!$J587="",Raw_data!$J587&lt;=0,Raw_data!$K587=""),"",IF(Raw_data!$K587&gt;TODAY(),0,DATEDIF(Raw_data!$K587,TODAY(),"M")))</f>
        <v/>
      </c>
      <c r="E587">
        <f>--(AND(Raw_data!$AF587="No",OR(Raw_data!$AG587&lt;&gt;"",Raw_data!$AJ587&gt;0,Raw_data!$AK587&lt;&gt;"")))</f>
        <v/>
      </c>
      <c r="F587">
        <f>--(OR(AND(ISNUMBER(B587),B587&lt;0.5,OR(D587&gt;=24,Raw_data!$I587&gt;0)),Raw_data!$AE587=TRUE))</f>
        <v/>
      </c>
      <c r="G587">
        <f>IF(Dashboard!$B$11="Department",Raw_data!$AL587,IF(Dashboard!$B$11="Team",Raw_data!$AM587,IF(Dashboard!$B$11="Unit",Raw_data!$AN587,IF(Dashboard!$B$11="Legal entity",Raw_data!$AO587,IF(Dashboard!$B$11="Location",Raw_data!$AP587,Raw_data!$AQ587)))))</f>
        <v/>
      </c>
      <c r="H587">
        <f>--(AND(ISNUMBER(B587),B587&lt;0.5))</f>
        <v/>
      </c>
      <c r="I587">
        <f>IFERROR(MAX(0,(0.5-B587)*100),0)+IF(D587&gt;=24,20,0)+IF(Raw_data!$I587&gt;0,20,0)+IF(Raw_data!$AE587=TRUE,10,0)</f>
        <v/>
      </c>
      <c r="J587">
        <f>IFERROR(CHOOSE(MATCH(Dashboard!$B$11,{"Department","Team","Unit","Legal entity","Location","Lead"},0),INDEX(Lists!$B$3:$B$20,ROW()-1),INDEX(Lists!$C$3:$C$146,ROW()-1),INDEX(Lists!$D$3:$D$67,ROW()-1),INDEX(Lists!$E$3:$E$5,ROW()-1),INDEX(Lists!$F$3:$F$12,ROW()-1),INDEX(Lists!$G$3:$G$126,ROW()-1)),"")</f>
        <v/>
      </c>
      <c r="K587">
        <f>IF(J587="","",SUMPRODUCT(($A$2:$A$636=1)*($G$2:$G$636=J587)))</f>
        <v/>
      </c>
      <c r="L587">
        <f>IF(J587="","",SUMPRODUCT(($A$2:$A$636=1)*($G$2:$G$636=J587)*(ISNUMBER($B$2:$B$636))*($B$2:$B$636&lt;0.5)))</f>
        <v/>
      </c>
      <c r="M587">
        <f>IFERROR(L587/K587,"")</f>
        <v/>
      </c>
      <c r="N587">
        <f>IF(K587="","",M587+K587/100000+ROW()/100000000)</f>
        <v/>
      </c>
      <c r="R587">
        <f>IF(A587=1,IFERROR(I587,0)+ROW()/100000000,-1E+99)</f>
        <v/>
      </c>
      <c r="S587">
        <f>IF(A587=1,IFERROR(Raw_data!$T587,""),"")</f>
        <v/>
      </c>
      <c r="T587">
        <f>IF(A587=1,IFERROR(Raw_data!$AA587,""),"")</f>
        <v/>
      </c>
      <c r="U587">
        <f>IF(A587=1,IFERROR(Raw_data!$U587,""),"")</f>
        <v/>
      </c>
      <c r="V587">
        <f>IF(A587=1,IFERROR(Raw_data!$AB587,""),"")</f>
        <v/>
      </c>
    </row>
    <row r="588">
      <c r="A588">
        <f>--(AND(OR(Dashboard!$B$4="All",Raw_data!$AL588=Dashboard!$B$4),OR(Dashboard!$B$5="All",Raw_data!$AM588=Dashboard!$B$5),OR(Dashboard!$B$6="All",Raw_data!$AN588=Dashboard!$B$6),OR(Dashboard!$B$7="All",Raw_data!$AO588=Dashboard!$B$7),OR(Dashboard!$B$8="All",Raw_data!$AP588=Dashboard!$B$8),OR(Dashboard!$B$9="All",Raw_data!$AQ588=Dashboard!$B$9),OR(Dashboard!$B$10="All",Raw_data!$AF588=Dashboard!$B$10),OR(Raw_data!$F588="",Raw_data!$F588&lt;=TODAY())))</f>
        <v/>
      </c>
      <c r="B588">
        <f>IFERROR(IF(Dashboard!$B$3="Weighted",Raw_data!$U588,Raw_data!$T588),"")</f>
        <v/>
      </c>
      <c r="C588">
        <f>IFERROR(IF(Dashboard!$B$3="Weighted",Raw_data!$AB588,Raw_data!$AA588),"")</f>
        <v/>
      </c>
      <c r="D588">
        <f>IF(OR(Raw_data!$J588="",Raw_data!$J588&lt;=0,Raw_data!$K588=""),"",IF(Raw_data!$K588&gt;TODAY(),0,DATEDIF(Raw_data!$K588,TODAY(),"M")))</f>
        <v/>
      </c>
      <c r="E588">
        <f>--(AND(Raw_data!$AF588="No",OR(Raw_data!$AG588&lt;&gt;"",Raw_data!$AJ588&gt;0,Raw_data!$AK588&lt;&gt;"")))</f>
        <v/>
      </c>
      <c r="F588">
        <f>--(OR(AND(ISNUMBER(B588),B588&lt;0.5,OR(D588&gt;=24,Raw_data!$I588&gt;0)),Raw_data!$AE588=TRUE))</f>
        <v/>
      </c>
      <c r="G588">
        <f>IF(Dashboard!$B$11="Department",Raw_data!$AL588,IF(Dashboard!$B$11="Team",Raw_data!$AM588,IF(Dashboard!$B$11="Unit",Raw_data!$AN588,IF(Dashboard!$B$11="Legal entity",Raw_data!$AO588,IF(Dashboard!$B$11="Location",Raw_data!$AP588,Raw_data!$AQ588)))))</f>
        <v/>
      </c>
      <c r="H588">
        <f>--(AND(ISNUMBER(B588),B588&lt;0.5))</f>
        <v/>
      </c>
      <c r="I588">
        <f>IFERROR(MAX(0,(0.5-B588)*100),0)+IF(D588&gt;=24,20,0)+IF(Raw_data!$I588&gt;0,20,0)+IF(Raw_data!$AE588=TRUE,10,0)</f>
        <v/>
      </c>
      <c r="J588">
        <f>IFERROR(CHOOSE(MATCH(Dashboard!$B$11,{"Department","Team","Unit","Legal entity","Location","Lead"},0),INDEX(Lists!$B$3:$B$20,ROW()-1),INDEX(Lists!$C$3:$C$146,ROW()-1),INDEX(Lists!$D$3:$D$67,ROW()-1),INDEX(Lists!$E$3:$E$5,ROW()-1),INDEX(Lists!$F$3:$F$12,ROW()-1),INDEX(Lists!$G$3:$G$126,ROW()-1)),"")</f>
        <v/>
      </c>
      <c r="K588">
        <f>IF(J588="","",SUMPRODUCT(($A$2:$A$636=1)*($G$2:$G$636=J588)))</f>
        <v/>
      </c>
      <c r="L588">
        <f>IF(J588="","",SUMPRODUCT(($A$2:$A$636=1)*($G$2:$G$636=J588)*(ISNUMBER($B$2:$B$636))*($B$2:$B$636&lt;0.5)))</f>
        <v/>
      </c>
      <c r="M588">
        <f>IFERROR(L588/K588,"")</f>
        <v/>
      </c>
      <c r="N588">
        <f>IF(K588="","",M588+K588/100000+ROW()/100000000)</f>
        <v/>
      </c>
      <c r="R588">
        <f>IF(A588=1,IFERROR(I588,0)+ROW()/100000000,-1E+99)</f>
        <v/>
      </c>
      <c r="S588">
        <f>IF(A588=1,IFERROR(Raw_data!$T588,""),"")</f>
        <v/>
      </c>
      <c r="T588">
        <f>IF(A588=1,IFERROR(Raw_data!$AA588,""),"")</f>
        <v/>
      </c>
      <c r="U588">
        <f>IF(A588=1,IFERROR(Raw_data!$U588,""),"")</f>
        <v/>
      </c>
      <c r="V588">
        <f>IF(A588=1,IFERROR(Raw_data!$AB588,""),"")</f>
        <v/>
      </c>
    </row>
    <row r="589">
      <c r="A589">
        <f>--(AND(OR(Dashboard!$B$4="All",Raw_data!$AL589=Dashboard!$B$4),OR(Dashboard!$B$5="All",Raw_data!$AM589=Dashboard!$B$5),OR(Dashboard!$B$6="All",Raw_data!$AN589=Dashboard!$B$6),OR(Dashboard!$B$7="All",Raw_data!$AO589=Dashboard!$B$7),OR(Dashboard!$B$8="All",Raw_data!$AP589=Dashboard!$B$8),OR(Dashboard!$B$9="All",Raw_data!$AQ589=Dashboard!$B$9),OR(Dashboard!$B$10="All",Raw_data!$AF589=Dashboard!$B$10),OR(Raw_data!$F589="",Raw_data!$F589&lt;=TODAY())))</f>
        <v/>
      </c>
      <c r="B589">
        <f>IFERROR(IF(Dashboard!$B$3="Weighted",Raw_data!$U589,Raw_data!$T589),"")</f>
        <v/>
      </c>
      <c r="C589">
        <f>IFERROR(IF(Dashboard!$B$3="Weighted",Raw_data!$AB589,Raw_data!$AA589),"")</f>
        <v/>
      </c>
      <c r="D589">
        <f>IF(OR(Raw_data!$J589="",Raw_data!$J589&lt;=0,Raw_data!$K589=""),"",IF(Raw_data!$K589&gt;TODAY(),0,DATEDIF(Raw_data!$K589,TODAY(),"M")))</f>
        <v/>
      </c>
      <c r="E589">
        <f>--(AND(Raw_data!$AF589="No",OR(Raw_data!$AG589&lt;&gt;"",Raw_data!$AJ589&gt;0,Raw_data!$AK589&lt;&gt;"")))</f>
        <v/>
      </c>
      <c r="F589">
        <f>--(OR(AND(ISNUMBER(B589),B589&lt;0.5,OR(D589&gt;=24,Raw_data!$I589&gt;0)),Raw_data!$AE589=TRUE))</f>
        <v/>
      </c>
      <c r="G589">
        <f>IF(Dashboard!$B$11="Department",Raw_data!$AL589,IF(Dashboard!$B$11="Team",Raw_data!$AM589,IF(Dashboard!$B$11="Unit",Raw_data!$AN589,IF(Dashboard!$B$11="Legal entity",Raw_data!$AO589,IF(Dashboard!$B$11="Location",Raw_data!$AP589,Raw_data!$AQ589)))))</f>
        <v/>
      </c>
      <c r="H589">
        <f>--(AND(ISNUMBER(B589),B589&lt;0.5))</f>
        <v/>
      </c>
      <c r="I589">
        <f>IFERROR(MAX(0,(0.5-B589)*100),0)+IF(D589&gt;=24,20,0)+IF(Raw_data!$I589&gt;0,20,0)+IF(Raw_data!$AE589=TRUE,10,0)</f>
        <v/>
      </c>
      <c r="J589">
        <f>IFERROR(CHOOSE(MATCH(Dashboard!$B$11,{"Department","Team","Unit","Legal entity","Location","Lead"},0),INDEX(Lists!$B$3:$B$20,ROW()-1),INDEX(Lists!$C$3:$C$146,ROW()-1),INDEX(Lists!$D$3:$D$67,ROW()-1),INDEX(Lists!$E$3:$E$5,ROW()-1),INDEX(Lists!$F$3:$F$12,ROW()-1),INDEX(Lists!$G$3:$G$126,ROW()-1)),"")</f>
        <v/>
      </c>
      <c r="K589">
        <f>IF(J589="","",SUMPRODUCT(($A$2:$A$636=1)*($G$2:$G$636=J589)))</f>
        <v/>
      </c>
      <c r="L589">
        <f>IF(J589="","",SUMPRODUCT(($A$2:$A$636=1)*($G$2:$G$636=J589)*(ISNUMBER($B$2:$B$636))*($B$2:$B$636&lt;0.5)))</f>
        <v/>
      </c>
      <c r="M589">
        <f>IFERROR(L589/K589,"")</f>
        <v/>
      </c>
      <c r="N589">
        <f>IF(K589="","",M589+K589/100000+ROW()/100000000)</f>
        <v/>
      </c>
      <c r="R589">
        <f>IF(A589=1,IFERROR(I589,0)+ROW()/100000000,-1E+99)</f>
        <v/>
      </c>
      <c r="S589">
        <f>IF(A589=1,IFERROR(Raw_data!$T589,""),"")</f>
        <v/>
      </c>
      <c r="T589">
        <f>IF(A589=1,IFERROR(Raw_data!$AA589,""),"")</f>
        <v/>
      </c>
      <c r="U589">
        <f>IF(A589=1,IFERROR(Raw_data!$U589,""),"")</f>
        <v/>
      </c>
      <c r="V589">
        <f>IF(A589=1,IFERROR(Raw_data!$AB589,""),"")</f>
        <v/>
      </c>
    </row>
    <row r="590">
      <c r="A590">
        <f>--(AND(OR(Dashboard!$B$4="All",Raw_data!$AL590=Dashboard!$B$4),OR(Dashboard!$B$5="All",Raw_data!$AM590=Dashboard!$B$5),OR(Dashboard!$B$6="All",Raw_data!$AN590=Dashboard!$B$6),OR(Dashboard!$B$7="All",Raw_data!$AO590=Dashboard!$B$7),OR(Dashboard!$B$8="All",Raw_data!$AP590=Dashboard!$B$8),OR(Dashboard!$B$9="All",Raw_data!$AQ590=Dashboard!$B$9),OR(Dashboard!$B$10="All",Raw_data!$AF590=Dashboard!$B$10),OR(Raw_data!$F590="",Raw_data!$F590&lt;=TODAY())))</f>
        <v/>
      </c>
      <c r="B590">
        <f>IFERROR(IF(Dashboard!$B$3="Weighted",Raw_data!$U590,Raw_data!$T590),"")</f>
        <v/>
      </c>
      <c r="C590">
        <f>IFERROR(IF(Dashboard!$B$3="Weighted",Raw_data!$AB590,Raw_data!$AA590),"")</f>
        <v/>
      </c>
      <c r="D590">
        <f>IF(OR(Raw_data!$J590="",Raw_data!$J590&lt;=0,Raw_data!$K590=""),"",IF(Raw_data!$K590&gt;TODAY(),0,DATEDIF(Raw_data!$K590,TODAY(),"M")))</f>
        <v/>
      </c>
      <c r="E590">
        <f>--(AND(Raw_data!$AF590="No",OR(Raw_data!$AG590&lt;&gt;"",Raw_data!$AJ590&gt;0,Raw_data!$AK590&lt;&gt;"")))</f>
        <v/>
      </c>
      <c r="F590">
        <f>--(OR(AND(ISNUMBER(B590),B590&lt;0.5,OR(D590&gt;=24,Raw_data!$I590&gt;0)),Raw_data!$AE590=TRUE))</f>
        <v/>
      </c>
      <c r="G590">
        <f>IF(Dashboard!$B$11="Department",Raw_data!$AL590,IF(Dashboard!$B$11="Team",Raw_data!$AM590,IF(Dashboard!$B$11="Unit",Raw_data!$AN590,IF(Dashboard!$B$11="Legal entity",Raw_data!$AO590,IF(Dashboard!$B$11="Location",Raw_data!$AP590,Raw_data!$AQ590)))))</f>
        <v/>
      </c>
      <c r="H590">
        <f>--(AND(ISNUMBER(B590),B590&lt;0.5))</f>
        <v/>
      </c>
      <c r="I590">
        <f>IFERROR(MAX(0,(0.5-B590)*100),0)+IF(D590&gt;=24,20,0)+IF(Raw_data!$I590&gt;0,20,0)+IF(Raw_data!$AE590=TRUE,10,0)</f>
        <v/>
      </c>
      <c r="J590">
        <f>IFERROR(CHOOSE(MATCH(Dashboard!$B$11,{"Department","Team","Unit","Legal entity","Location","Lead"},0),INDEX(Lists!$B$3:$B$20,ROW()-1),INDEX(Lists!$C$3:$C$146,ROW()-1),INDEX(Lists!$D$3:$D$67,ROW()-1),INDEX(Lists!$E$3:$E$5,ROW()-1),INDEX(Lists!$F$3:$F$12,ROW()-1),INDEX(Lists!$G$3:$G$126,ROW()-1)),"")</f>
        <v/>
      </c>
      <c r="K590">
        <f>IF(J590="","",SUMPRODUCT(($A$2:$A$636=1)*($G$2:$G$636=J590)))</f>
        <v/>
      </c>
      <c r="L590">
        <f>IF(J590="","",SUMPRODUCT(($A$2:$A$636=1)*($G$2:$G$636=J590)*(ISNUMBER($B$2:$B$636))*($B$2:$B$636&lt;0.5)))</f>
        <v/>
      </c>
      <c r="M590">
        <f>IFERROR(L590/K590,"")</f>
        <v/>
      </c>
      <c r="N590">
        <f>IF(K590="","",M590+K590/100000+ROW()/100000000)</f>
        <v/>
      </c>
      <c r="R590">
        <f>IF(A590=1,IFERROR(I590,0)+ROW()/100000000,-1E+99)</f>
        <v/>
      </c>
      <c r="S590">
        <f>IF(A590=1,IFERROR(Raw_data!$T590,""),"")</f>
        <v/>
      </c>
      <c r="T590">
        <f>IF(A590=1,IFERROR(Raw_data!$AA590,""),"")</f>
        <v/>
      </c>
      <c r="U590">
        <f>IF(A590=1,IFERROR(Raw_data!$U590,""),"")</f>
        <v/>
      </c>
      <c r="V590">
        <f>IF(A590=1,IFERROR(Raw_data!$AB590,""),"")</f>
        <v/>
      </c>
    </row>
    <row r="591">
      <c r="A591">
        <f>--(AND(OR(Dashboard!$B$4="All",Raw_data!$AL591=Dashboard!$B$4),OR(Dashboard!$B$5="All",Raw_data!$AM591=Dashboard!$B$5),OR(Dashboard!$B$6="All",Raw_data!$AN591=Dashboard!$B$6),OR(Dashboard!$B$7="All",Raw_data!$AO591=Dashboard!$B$7),OR(Dashboard!$B$8="All",Raw_data!$AP591=Dashboard!$B$8),OR(Dashboard!$B$9="All",Raw_data!$AQ591=Dashboard!$B$9),OR(Dashboard!$B$10="All",Raw_data!$AF591=Dashboard!$B$10),OR(Raw_data!$F591="",Raw_data!$F591&lt;=TODAY())))</f>
        <v/>
      </c>
      <c r="B591">
        <f>IFERROR(IF(Dashboard!$B$3="Weighted",Raw_data!$U591,Raw_data!$T591),"")</f>
        <v/>
      </c>
      <c r="C591">
        <f>IFERROR(IF(Dashboard!$B$3="Weighted",Raw_data!$AB591,Raw_data!$AA591),"")</f>
        <v/>
      </c>
      <c r="D591">
        <f>IF(OR(Raw_data!$J591="",Raw_data!$J591&lt;=0,Raw_data!$K591=""),"",IF(Raw_data!$K591&gt;TODAY(),0,DATEDIF(Raw_data!$K591,TODAY(),"M")))</f>
        <v/>
      </c>
      <c r="E591">
        <f>--(AND(Raw_data!$AF591="No",OR(Raw_data!$AG591&lt;&gt;"",Raw_data!$AJ591&gt;0,Raw_data!$AK591&lt;&gt;"")))</f>
        <v/>
      </c>
      <c r="F591">
        <f>--(OR(AND(ISNUMBER(B591),B591&lt;0.5,OR(D591&gt;=24,Raw_data!$I591&gt;0)),Raw_data!$AE591=TRUE))</f>
        <v/>
      </c>
      <c r="G591">
        <f>IF(Dashboard!$B$11="Department",Raw_data!$AL591,IF(Dashboard!$B$11="Team",Raw_data!$AM591,IF(Dashboard!$B$11="Unit",Raw_data!$AN591,IF(Dashboard!$B$11="Legal entity",Raw_data!$AO591,IF(Dashboard!$B$11="Location",Raw_data!$AP591,Raw_data!$AQ591)))))</f>
        <v/>
      </c>
      <c r="H591">
        <f>--(AND(ISNUMBER(B591),B591&lt;0.5))</f>
        <v/>
      </c>
      <c r="I591">
        <f>IFERROR(MAX(0,(0.5-B591)*100),0)+IF(D591&gt;=24,20,0)+IF(Raw_data!$I591&gt;0,20,0)+IF(Raw_data!$AE591=TRUE,10,0)</f>
        <v/>
      </c>
      <c r="J591">
        <f>IFERROR(CHOOSE(MATCH(Dashboard!$B$11,{"Department","Team","Unit","Legal entity","Location","Lead"},0),INDEX(Lists!$B$3:$B$20,ROW()-1),INDEX(Lists!$C$3:$C$146,ROW()-1),INDEX(Lists!$D$3:$D$67,ROW()-1),INDEX(Lists!$E$3:$E$5,ROW()-1),INDEX(Lists!$F$3:$F$12,ROW()-1),INDEX(Lists!$G$3:$G$126,ROW()-1)),"")</f>
        <v/>
      </c>
      <c r="K591">
        <f>IF(J591="","",SUMPRODUCT(($A$2:$A$636=1)*($G$2:$G$636=J591)))</f>
        <v/>
      </c>
      <c r="L591">
        <f>IF(J591="","",SUMPRODUCT(($A$2:$A$636=1)*($G$2:$G$636=J591)*(ISNUMBER($B$2:$B$636))*($B$2:$B$636&lt;0.5)))</f>
        <v/>
      </c>
      <c r="M591">
        <f>IFERROR(L591/K591,"")</f>
        <v/>
      </c>
      <c r="N591">
        <f>IF(K591="","",M591+K591/100000+ROW()/100000000)</f>
        <v/>
      </c>
      <c r="R591">
        <f>IF(A591=1,IFERROR(I591,0)+ROW()/100000000,-1E+99)</f>
        <v/>
      </c>
      <c r="S591">
        <f>IF(A591=1,IFERROR(Raw_data!$T591,""),"")</f>
        <v/>
      </c>
      <c r="T591">
        <f>IF(A591=1,IFERROR(Raw_data!$AA591,""),"")</f>
        <v/>
      </c>
      <c r="U591">
        <f>IF(A591=1,IFERROR(Raw_data!$U591,""),"")</f>
        <v/>
      </c>
      <c r="V591">
        <f>IF(A591=1,IFERROR(Raw_data!$AB591,""),"")</f>
        <v/>
      </c>
    </row>
    <row r="592">
      <c r="A592">
        <f>--(AND(OR(Dashboard!$B$4="All",Raw_data!$AL592=Dashboard!$B$4),OR(Dashboard!$B$5="All",Raw_data!$AM592=Dashboard!$B$5),OR(Dashboard!$B$6="All",Raw_data!$AN592=Dashboard!$B$6),OR(Dashboard!$B$7="All",Raw_data!$AO592=Dashboard!$B$7),OR(Dashboard!$B$8="All",Raw_data!$AP592=Dashboard!$B$8),OR(Dashboard!$B$9="All",Raw_data!$AQ592=Dashboard!$B$9),OR(Dashboard!$B$10="All",Raw_data!$AF592=Dashboard!$B$10),OR(Raw_data!$F592="",Raw_data!$F592&lt;=TODAY())))</f>
        <v/>
      </c>
      <c r="B592">
        <f>IFERROR(IF(Dashboard!$B$3="Weighted",Raw_data!$U592,Raw_data!$T592),"")</f>
        <v/>
      </c>
      <c r="C592">
        <f>IFERROR(IF(Dashboard!$B$3="Weighted",Raw_data!$AB592,Raw_data!$AA592),"")</f>
        <v/>
      </c>
      <c r="D592">
        <f>IF(OR(Raw_data!$J592="",Raw_data!$J592&lt;=0,Raw_data!$K592=""),"",IF(Raw_data!$K592&gt;TODAY(),0,DATEDIF(Raw_data!$K592,TODAY(),"M")))</f>
        <v/>
      </c>
      <c r="E592">
        <f>--(AND(Raw_data!$AF592="No",OR(Raw_data!$AG592&lt;&gt;"",Raw_data!$AJ592&gt;0,Raw_data!$AK592&lt;&gt;"")))</f>
        <v/>
      </c>
      <c r="F592">
        <f>--(OR(AND(ISNUMBER(B592),B592&lt;0.5,OR(D592&gt;=24,Raw_data!$I592&gt;0)),Raw_data!$AE592=TRUE))</f>
        <v/>
      </c>
      <c r="G592">
        <f>IF(Dashboard!$B$11="Department",Raw_data!$AL592,IF(Dashboard!$B$11="Team",Raw_data!$AM592,IF(Dashboard!$B$11="Unit",Raw_data!$AN592,IF(Dashboard!$B$11="Legal entity",Raw_data!$AO592,IF(Dashboard!$B$11="Location",Raw_data!$AP592,Raw_data!$AQ592)))))</f>
        <v/>
      </c>
      <c r="H592">
        <f>--(AND(ISNUMBER(B592),B592&lt;0.5))</f>
        <v/>
      </c>
      <c r="I592">
        <f>IFERROR(MAX(0,(0.5-B592)*100),0)+IF(D592&gt;=24,20,0)+IF(Raw_data!$I592&gt;0,20,0)+IF(Raw_data!$AE592=TRUE,10,0)</f>
        <v/>
      </c>
      <c r="J592">
        <f>IFERROR(CHOOSE(MATCH(Dashboard!$B$11,{"Department","Team","Unit","Legal entity","Location","Lead"},0),INDEX(Lists!$B$3:$B$20,ROW()-1),INDEX(Lists!$C$3:$C$146,ROW()-1),INDEX(Lists!$D$3:$D$67,ROW()-1),INDEX(Lists!$E$3:$E$5,ROW()-1),INDEX(Lists!$F$3:$F$12,ROW()-1),INDEX(Lists!$G$3:$G$126,ROW()-1)),"")</f>
        <v/>
      </c>
      <c r="K592">
        <f>IF(J592="","",SUMPRODUCT(($A$2:$A$636=1)*($G$2:$G$636=J592)))</f>
        <v/>
      </c>
      <c r="L592">
        <f>IF(J592="","",SUMPRODUCT(($A$2:$A$636=1)*($G$2:$G$636=J592)*(ISNUMBER($B$2:$B$636))*($B$2:$B$636&lt;0.5)))</f>
        <v/>
      </c>
      <c r="M592">
        <f>IFERROR(L592/K592,"")</f>
        <v/>
      </c>
      <c r="N592">
        <f>IF(K592="","",M592+K592/100000+ROW()/100000000)</f>
        <v/>
      </c>
      <c r="R592">
        <f>IF(A592=1,IFERROR(I592,0)+ROW()/100000000,-1E+99)</f>
        <v/>
      </c>
      <c r="S592">
        <f>IF(A592=1,IFERROR(Raw_data!$T592,""),"")</f>
        <v/>
      </c>
      <c r="T592">
        <f>IF(A592=1,IFERROR(Raw_data!$AA592,""),"")</f>
        <v/>
      </c>
      <c r="U592">
        <f>IF(A592=1,IFERROR(Raw_data!$U592,""),"")</f>
        <v/>
      </c>
      <c r="V592">
        <f>IF(A592=1,IFERROR(Raw_data!$AB592,""),"")</f>
        <v/>
      </c>
    </row>
    <row r="593">
      <c r="A593">
        <f>--(AND(OR(Dashboard!$B$4="All",Raw_data!$AL593=Dashboard!$B$4),OR(Dashboard!$B$5="All",Raw_data!$AM593=Dashboard!$B$5),OR(Dashboard!$B$6="All",Raw_data!$AN593=Dashboard!$B$6),OR(Dashboard!$B$7="All",Raw_data!$AO593=Dashboard!$B$7),OR(Dashboard!$B$8="All",Raw_data!$AP593=Dashboard!$B$8),OR(Dashboard!$B$9="All",Raw_data!$AQ593=Dashboard!$B$9),OR(Dashboard!$B$10="All",Raw_data!$AF593=Dashboard!$B$10),OR(Raw_data!$F593="",Raw_data!$F593&lt;=TODAY())))</f>
        <v/>
      </c>
      <c r="B593">
        <f>IFERROR(IF(Dashboard!$B$3="Weighted",Raw_data!$U593,Raw_data!$T593),"")</f>
        <v/>
      </c>
      <c r="C593">
        <f>IFERROR(IF(Dashboard!$B$3="Weighted",Raw_data!$AB593,Raw_data!$AA593),"")</f>
        <v/>
      </c>
      <c r="D593">
        <f>IF(OR(Raw_data!$J593="",Raw_data!$J593&lt;=0,Raw_data!$K593=""),"",IF(Raw_data!$K593&gt;TODAY(),0,DATEDIF(Raw_data!$K593,TODAY(),"M")))</f>
        <v/>
      </c>
      <c r="E593">
        <f>--(AND(Raw_data!$AF593="No",OR(Raw_data!$AG593&lt;&gt;"",Raw_data!$AJ593&gt;0,Raw_data!$AK593&lt;&gt;"")))</f>
        <v/>
      </c>
      <c r="F593">
        <f>--(OR(AND(ISNUMBER(B593),B593&lt;0.5,OR(D593&gt;=24,Raw_data!$I593&gt;0)),Raw_data!$AE593=TRUE))</f>
        <v/>
      </c>
      <c r="G593">
        <f>IF(Dashboard!$B$11="Department",Raw_data!$AL593,IF(Dashboard!$B$11="Team",Raw_data!$AM593,IF(Dashboard!$B$11="Unit",Raw_data!$AN593,IF(Dashboard!$B$11="Legal entity",Raw_data!$AO593,IF(Dashboard!$B$11="Location",Raw_data!$AP593,Raw_data!$AQ593)))))</f>
        <v/>
      </c>
      <c r="H593">
        <f>--(AND(ISNUMBER(B593),B593&lt;0.5))</f>
        <v/>
      </c>
      <c r="I593">
        <f>IFERROR(MAX(0,(0.5-B593)*100),0)+IF(D593&gt;=24,20,0)+IF(Raw_data!$I593&gt;0,20,0)+IF(Raw_data!$AE593=TRUE,10,0)</f>
        <v/>
      </c>
      <c r="J593">
        <f>IFERROR(CHOOSE(MATCH(Dashboard!$B$11,{"Department","Team","Unit","Legal entity","Location","Lead"},0),INDEX(Lists!$B$3:$B$20,ROW()-1),INDEX(Lists!$C$3:$C$146,ROW()-1),INDEX(Lists!$D$3:$D$67,ROW()-1),INDEX(Lists!$E$3:$E$5,ROW()-1),INDEX(Lists!$F$3:$F$12,ROW()-1),INDEX(Lists!$G$3:$G$126,ROW()-1)),"")</f>
        <v/>
      </c>
      <c r="K593">
        <f>IF(J593="","",SUMPRODUCT(($A$2:$A$636=1)*($G$2:$G$636=J593)))</f>
        <v/>
      </c>
      <c r="L593">
        <f>IF(J593="","",SUMPRODUCT(($A$2:$A$636=1)*($G$2:$G$636=J593)*(ISNUMBER($B$2:$B$636))*($B$2:$B$636&lt;0.5)))</f>
        <v/>
      </c>
      <c r="M593">
        <f>IFERROR(L593/K593,"")</f>
        <v/>
      </c>
      <c r="N593">
        <f>IF(K593="","",M593+K593/100000+ROW()/100000000)</f>
        <v/>
      </c>
      <c r="R593">
        <f>IF(A593=1,IFERROR(I593,0)+ROW()/100000000,-1E+99)</f>
        <v/>
      </c>
      <c r="S593">
        <f>IF(A593=1,IFERROR(Raw_data!$T593,""),"")</f>
        <v/>
      </c>
      <c r="T593">
        <f>IF(A593=1,IFERROR(Raw_data!$AA593,""),"")</f>
        <v/>
      </c>
      <c r="U593">
        <f>IF(A593=1,IFERROR(Raw_data!$U593,""),"")</f>
        <v/>
      </c>
      <c r="V593">
        <f>IF(A593=1,IFERROR(Raw_data!$AB593,""),"")</f>
        <v/>
      </c>
    </row>
    <row r="594">
      <c r="A594">
        <f>--(AND(OR(Dashboard!$B$4="All",Raw_data!$AL594=Dashboard!$B$4),OR(Dashboard!$B$5="All",Raw_data!$AM594=Dashboard!$B$5),OR(Dashboard!$B$6="All",Raw_data!$AN594=Dashboard!$B$6),OR(Dashboard!$B$7="All",Raw_data!$AO594=Dashboard!$B$7),OR(Dashboard!$B$8="All",Raw_data!$AP594=Dashboard!$B$8),OR(Dashboard!$B$9="All",Raw_data!$AQ594=Dashboard!$B$9),OR(Dashboard!$B$10="All",Raw_data!$AF594=Dashboard!$B$10),OR(Raw_data!$F594="",Raw_data!$F594&lt;=TODAY())))</f>
        <v/>
      </c>
      <c r="B594">
        <f>IFERROR(IF(Dashboard!$B$3="Weighted",Raw_data!$U594,Raw_data!$T594),"")</f>
        <v/>
      </c>
      <c r="C594">
        <f>IFERROR(IF(Dashboard!$B$3="Weighted",Raw_data!$AB594,Raw_data!$AA594),"")</f>
        <v/>
      </c>
      <c r="D594">
        <f>IF(OR(Raw_data!$J594="",Raw_data!$J594&lt;=0,Raw_data!$K594=""),"",IF(Raw_data!$K594&gt;TODAY(),0,DATEDIF(Raw_data!$K594,TODAY(),"M")))</f>
        <v/>
      </c>
      <c r="E594">
        <f>--(AND(Raw_data!$AF594="No",OR(Raw_data!$AG594&lt;&gt;"",Raw_data!$AJ594&gt;0,Raw_data!$AK594&lt;&gt;"")))</f>
        <v/>
      </c>
      <c r="F594">
        <f>--(OR(AND(ISNUMBER(B594),B594&lt;0.5,OR(D594&gt;=24,Raw_data!$I594&gt;0)),Raw_data!$AE594=TRUE))</f>
        <v/>
      </c>
      <c r="G594">
        <f>IF(Dashboard!$B$11="Department",Raw_data!$AL594,IF(Dashboard!$B$11="Team",Raw_data!$AM594,IF(Dashboard!$B$11="Unit",Raw_data!$AN594,IF(Dashboard!$B$11="Legal entity",Raw_data!$AO594,IF(Dashboard!$B$11="Location",Raw_data!$AP594,Raw_data!$AQ594)))))</f>
        <v/>
      </c>
      <c r="H594">
        <f>--(AND(ISNUMBER(B594),B594&lt;0.5))</f>
        <v/>
      </c>
      <c r="I594">
        <f>IFERROR(MAX(0,(0.5-B594)*100),0)+IF(D594&gt;=24,20,0)+IF(Raw_data!$I594&gt;0,20,0)+IF(Raw_data!$AE594=TRUE,10,0)</f>
        <v/>
      </c>
      <c r="J594">
        <f>IFERROR(CHOOSE(MATCH(Dashboard!$B$11,{"Department","Team","Unit","Legal entity","Location","Lead"},0),INDEX(Lists!$B$3:$B$20,ROW()-1),INDEX(Lists!$C$3:$C$146,ROW()-1),INDEX(Lists!$D$3:$D$67,ROW()-1),INDEX(Lists!$E$3:$E$5,ROW()-1),INDEX(Lists!$F$3:$F$12,ROW()-1),INDEX(Lists!$G$3:$G$126,ROW()-1)),"")</f>
        <v/>
      </c>
      <c r="K594">
        <f>IF(J594="","",SUMPRODUCT(($A$2:$A$636=1)*($G$2:$G$636=J594)))</f>
        <v/>
      </c>
      <c r="L594">
        <f>IF(J594="","",SUMPRODUCT(($A$2:$A$636=1)*($G$2:$G$636=J594)*(ISNUMBER($B$2:$B$636))*($B$2:$B$636&lt;0.5)))</f>
        <v/>
      </c>
      <c r="M594">
        <f>IFERROR(L594/K594,"")</f>
        <v/>
      </c>
      <c r="N594">
        <f>IF(K594="","",M594+K594/100000+ROW()/100000000)</f>
        <v/>
      </c>
      <c r="R594">
        <f>IF(A594=1,IFERROR(I594,0)+ROW()/100000000,-1E+99)</f>
        <v/>
      </c>
      <c r="S594">
        <f>IF(A594=1,IFERROR(Raw_data!$T594,""),"")</f>
        <v/>
      </c>
      <c r="T594">
        <f>IF(A594=1,IFERROR(Raw_data!$AA594,""),"")</f>
        <v/>
      </c>
      <c r="U594">
        <f>IF(A594=1,IFERROR(Raw_data!$U594,""),"")</f>
        <v/>
      </c>
      <c r="V594">
        <f>IF(A594=1,IFERROR(Raw_data!$AB594,""),"")</f>
        <v/>
      </c>
    </row>
    <row r="595">
      <c r="A595">
        <f>--(AND(OR(Dashboard!$B$4="All",Raw_data!$AL595=Dashboard!$B$4),OR(Dashboard!$B$5="All",Raw_data!$AM595=Dashboard!$B$5),OR(Dashboard!$B$6="All",Raw_data!$AN595=Dashboard!$B$6),OR(Dashboard!$B$7="All",Raw_data!$AO595=Dashboard!$B$7),OR(Dashboard!$B$8="All",Raw_data!$AP595=Dashboard!$B$8),OR(Dashboard!$B$9="All",Raw_data!$AQ595=Dashboard!$B$9),OR(Dashboard!$B$10="All",Raw_data!$AF595=Dashboard!$B$10),OR(Raw_data!$F595="",Raw_data!$F595&lt;=TODAY())))</f>
        <v/>
      </c>
      <c r="B595">
        <f>IFERROR(IF(Dashboard!$B$3="Weighted",Raw_data!$U595,Raw_data!$T595),"")</f>
        <v/>
      </c>
      <c r="C595">
        <f>IFERROR(IF(Dashboard!$B$3="Weighted",Raw_data!$AB595,Raw_data!$AA595),"")</f>
        <v/>
      </c>
      <c r="D595">
        <f>IF(OR(Raw_data!$J595="",Raw_data!$J595&lt;=0,Raw_data!$K595=""),"",IF(Raw_data!$K595&gt;TODAY(),0,DATEDIF(Raw_data!$K595,TODAY(),"M")))</f>
        <v/>
      </c>
      <c r="E595">
        <f>--(AND(Raw_data!$AF595="No",OR(Raw_data!$AG595&lt;&gt;"",Raw_data!$AJ595&gt;0,Raw_data!$AK595&lt;&gt;"")))</f>
        <v/>
      </c>
      <c r="F595">
        <f>--(OR(AND(ISNUMBER(B595),B595&lt;0.5,OR(D595&gt;=24,Raw_data!$I595&gt;0)),Raw_data!$AE595=TRUE))</f>
        <v/>
      </c>
      <c r="G595">
        <f>IF(Dashboard!$B$11="Department",Raw_data!$AL595,IF(Dashboard!$B$11="Team",Raw_data!$AM595,IF(Dashboard!$B$11="Unit",Raw_data!$AN595,IF(Dashboard!$B$11="Legal entity",Raw_data!$AO595,IF(Dashboard!$B$11="Location",Raw_data!$AP595,Raw_data!$AQ595)))))</f>
        <v/>
      </c>
      <c r="H595">
        <f>--(AND(ISNUMBER(B595),B595&lt;0.5))</f>
        <v/>
      </c>
      <c r="I595">
        <f>IFERROR(MAX(0,(0.5-B595)*100),0)+IF(D595&gt;=24,20,0)+IF(Raw_data!$I595&gt;0,20,0)+IF(Raw_data!$AE595=TRUE,10,0)</f>
        <v/>
      </c>
      <c r="J595">
        <f>IFERROR(CHOOSE(MATCH(Dashboard!$B$11,{"Department","Team","Unit","Legal entity","Location","Lead"},0),INDEX(Lists!$B$3:$B$20,ROW()-1),INDEX(Lists!$C$3:$C$146,ROW()-1),INDEX(Lists!$D$3:$D$67,ROW()-1),INDEX(Lists!$E$3:$E$5,ROW()-1),INDEX(Lists!$F$3:$F$12,ROW()-1),INDEX(Lists!$G$3:$G$126,ROW()-1)),"")</f>
        <v/>
      </c>
      <c r="K595">
        <f>IF(J595="","",SUMPRODUCT(($A$2:$A$636=1)*($G$2:$G$636=J595)))</f>
        <v/>
      </c>
      <c r="L595">
        <f>IF(J595="","",SUMPRODUCT(($A$2:$A$636=1)*($G$2:$G$636=J595)*(ISNUMBER($B$2:$B$636))*($B$2:$B$636&lt;0.5)))</f>
        <v/>
      </c>
      <c r="M595">
        <f>IFERROR(L595/K595,"")</f>
        <v/>
      </c>
      <c r="N595">
        <f>IF(K595="","",M595+K595/100000+ROW()/100000000)</f>
        <v/>
      </c>
      <c r="R595">
        <f>IF(A595=1,IFERROR(I595,0)+ROW()/100000000,-1E+99)</f>
        <v/>
      </c>
      <c r="S595">
        <f>IF(A595=1,IFERROR(Raw_data!$T595,""),"")</f>
        <v/>
      </c>
      <c r="T595">
        <f>IF(A595=1,IFERROR(Raw_data!$AA595,""),"")</f>
        <v/>
      </c>
      <c r="U595">
        <f>IF(A595=1,IFERROR(Raw_data!$U595,""),"")</f>
        <v/>
      </c>
      <c r="V595">
        <f>IF(A595=1,IFERROR(Raw_data!$AB595,""),"")</f>
        <v/>
      </c>
    </row>
    <row r="596">
      <c r="A596">
        <f>--(AND(OR(Dashboard!$B$4="All",Raw_data!$AL596=Dashboard!$B$4),OR(Dashboard!$B$5="All",Raw_data!$AM596=Dashboard!$B$5),OR(Dashboard!$B$6="All",Raw_data!$AN596=Dashboard!$B$6),OR(Dashboard!$B$7="All",Raw_data!$AO596=Dashboard!$B$7),OR(Dashboard!$B$8="All",Raw_data!$AP596=Dashboard!$B$8),OR(Dashboard!$B$9="All",Raw_data!$AQ596=Dashboard!$B$9),OR(Dashboard!$B$10="All",Raw_data!$AF596=Dashboard!$B$10),OR(Raw_data!$F596="",Raw_data!$F596&lt;=TODAY())))</f>
        <v/>
      </c>
      <c r="B596">
        <f>IFERROR(IF(Dashboard!$B$3="Weighted",Raw_data!$U596,Raw_data!$T596),"")</f>
        <v/>
      </c>
      <c r="C596">
        <f>IFERROR(IF(Dashboard!$B$3="Weighted",Raw_data!$AB596,Raw_data!$AA596),"")</f>
        <v/>
      </c>
      <c r="D596">
        <f>IF(OR(Raw_data!$J596="",Raw_data!$J596&lt;=0,Raw_data!$K596=""),"",IF(Raw_data!$K596&gt;TODAY(),0,DATEDIF(Raw_data!$K596,TODAY(),"M")))</f>
        <v/>
      </c>
      <c r="E596">
        <f>--(AND(Raw_data!$AF596="No",OR(Raw_data!$AG596&lt;&gt;"",Raw_data!$AJ596&gt;0,Raw_data!$AK596&lt;&gt;"")))</f>
        <v/>
      </c>
      <c r="F596">
        <f>--(OR(AND(ISNUMBER(B596),B596&lt;0.5,OR(D596&gt;=24,Raw_data!$I596&gt;0)),Raw_data!$AE596=TRUE))</f>
        <v/>
      </c>
      <c r="G596">
        <f>IF(Dashboard!$B$11="Department",Raw_data!$AL596,IF(Dashboard!$B$11="Team",Raw_data!$AM596,IF(Dashboard!$B$11="Unit",Raw_data!$AN596,IF(Dashboard!$B$11="Legal entity",Raw_data!$AO596,IF(Dashboard!$B$11="Location",Raw_data!$AP596,Raw_data!$AQ596)))))</f>
        <v/>
      </c>
      <c r="H596">
        <f>--(AND(ISNUMBER(B596),B596&lt;0.5))</f>
        <v/>
      </c>
      <c r="I596">
        <f>IFERROR(MAX(0,(0.5-B596)*100),0)+IF(D596&gt;=24,20,0)+IF(Raw_data!$I596&gt;0,20,0)+IF(Raw_data!$AE596=TRUE,10,0)</f>
        <v/>
      </c>
      <c r="J596">
        <f>IFERROR(CHOOSE(MATCH(Dashboard!$B$11,{"Department","Team","Unit","Legal entity","Location","Lead"},0),INDEX(Lists!$B$3:$B$20,ROW()-1),INDEX(Lists!$C$3:$C$146,ROW()-1),INDEX(Lists!$D$3:$D$67,ROW()-1),INDEX(Lists!$E$3:$E$5,ROW()-1),INDEX(Lists!$F$3:$F$12,ROW()-1),INDEX(Lists!$G$3:$G$126,ROW()-1)),"")</f>
        <v/>
      </c>
      <c r="K596">
        <f>IF(J596="","",SUMPRODUCT(($A$2:$A$636=1)*($G$2:$G$636=J596)))</f>
        <v/>
      </c>
      <c r="L596">
        <f>IF(J596="","",SUMPRODUCT(($A$2:$A$636=1)*($G$2:$G$636=J596)*(ISNUMBER($B$2:$B$636))*($B$2:$B$636&lt;0.5)))</f>
        <v/>
      </c>
      <c r="M596">
        <f>IFERROR(L596/K596,"")</f>
        <v/>
      </c>
      <c r="N596">
        <f>IF(K596="","",M596+K596/100000+ROW()/100000000)</f>
        <v/>
      </c>
      <c r="R596">
        <f>IF(A596=1,IFERROR(I596,0)+ROW()/100000000,-1E+99)</f>
        <v/>
      </c>
      <c r="S596">
        <f>IF(A596=1,IFERROR(Raw_data!$T596,""),"")</f>
        <v/>
      </c>
      <c r="T596">
        <f>IF(A596=1,IFERROR(Raw_data!$AA596,""),"")</f>
        <v/>
      </c>
      <c r="U596">
        <f>IF(A596=1,IFERROR(Raw_data!$U596,""),"")</f>
        <v/>
      </c>
      <c r="V596">
        <f>IF(A596=1,IFERROR(Raw_data!$AB596,""),"")</f>
        <v/>
      </c>
    </row>
    <row r="597">
      <c r="A597">
        <f>--(AND(OR(Dashboard!$B$4="All",Raw_data!$AL597=Dashboard!$B$4),OR(Dashboard!$B$5="All",Raw_data!$AM597=Dashboard!$B$5),OR(Dashboard!$B$6="All",Raw_data!$AN597=Dashboard!$B$6),OR(Dashboard!$B$7="All",Raw_data!$AO597=Dashboard!$B$7),OR(Dashboard!$B$8="All",Raw_data!$AP597=Dashboard!$B$8),OR(Dashboard!$B$9="All",Raw_data!$AQ597=Dashboard!$B$9),OR(Dashboard!$B$10="All",Raw_data!$AF597=Dashboard!$B$10),OR(Raw_data!$F597="",Raw_data!$F597&lt;=TODAY())))</f>
        <v/>
      </c>
      <c r="B597">
        <f>IFERROR(IF(Dashboard!$B$3="Weighted",Raw_data!$U597,Raw_data!$T597),"")</f>
        <v/>
      </c>
      <c r="C597">
        <f>IFERROR(IF(Dashboard!$B$3="Weighted",Raw_data!$AB597,Raw_data!$AA597),"")</f>
        <v/>
      </c>
      <c r="D597">
        <f>IF(OR(Raw_data!$J597="",Raw_data!$J597&lt;=0,Raw_data!$K597=""),"",IF(Raw_data!$K597&gt;TODAY(),0,DATEDIF(Raw_data!$K597,TODAY(),"M")))</f>
        <v/>
      </c>
      <c r="E597">
        <f>--(AND(Raw_data!$AF597="No",OR(Raw_data!$AG597&lt;&gt;"",Raw_data!$AJ597&gt;0,Raw_data!$AK597&lt;&gt;"")))</f>
        <v/>
      </c>
      <c r="F597">
        <f>--(OR(AND(ISNUMBER(B597),B597&lt;0.5,OR(D597&gt;=24,Raw_data!$I597&gt;0)),Raw_data!$AE597=TRUE))</f>
        <v/>
      </c>
      <c r="G597">
        <f>IF(Dashboard!$B$11="Department",Raw_data!$AL597,IF(Dashboard!$B$11="Team",Raw_data!$AM597,IF(Dashboard!$B$11="Unit",Raw_data!$AN597,IF(Dashboard!$B$11="Legal entity",Raw_data!$AO597,IF(Dashboard!$B$11="Location",Raw_data!$AP597,Raw_data!$AQ597)))))</f>
        <v/>
      </c>
      <c r="H597">
        <f>--(AND(ISNUMBER(B597),B597&lt;0.5))</f>
        <v/>
      </c>
      <c r="I597">
        <f>IFERROR(MAX(0,(0.5-B597)*100),0)+IF(D597&gt;=24,20,0)+IF(Raw_data!$I597&gt;0,20,0)+IF(Raw_data!$AE597=TRUE,10,0)</f>
        <v/>
      </c>
      <c r="J597">
        <f>IFERROR(CHOOSE(MATCH(Dashboard!$B$11,{"Department","Team","Unit","Legal entity","Location","Lead"},0),INDEX(Lists!$B$3:$B$20,ROW()-1),INDEX(Lists!$C$3:$C$146,ROW()-1),INDEX(Lists!$D$3:$D$67,ROW()-1),INDEX(Lists!$E$3:$E$5,ROW()-1),INDEX(Lists!$F$3:$F$12,ROW()-1),INDEX(Lists!$G$3:$G$126,ROW()-1)),"")</f>
        <v/>
      </c>
      <c r="K597">
        <f>IF(J597="","",SUMPRODUCT(($A$2:$A$636=1)*($G$2:$G$636=J597)))</f>
        <v/>
      </c>
      <c r="L597">
        <f>IF(J597="","",SUMPRODUCT(($A$2:$A$636=1)*($G$2:$G$636=J597)*(ISNUMBER($B$2:$B$636))*($B$2:$B$636&lt;0.5)))</f>
        <v/>
      </c>
      <c r="M597">
        <f>IFERROR(L597/K597,"")</f>
        <v/>
      </c>
      <c r="N597">
        <f>IF(K597="","",M597+K597/100000+ROW()/100000000)</f>
        <v/>
      </c>
      <c r="R597">
        <f>IF(A597=1,IFERROR(I597,0)+ROW()/100000000,-1E+99)</f>
        <v/>
      </c>
      <c r="S597">
        <f>IF(A597=1,IFERROR(Raw_data!$T597,""),"")</f>
        <v/>
      </c>
      <c r="T597">
        <f>IF(A597=1,IFERROR(Raw_data!$AA597,""),"")</f>
        <v/>
      </c>
      <c r="U597">
        <f>IF(A597=1,IFERROR(Raw_data!$U597,""),"")</f>
        <v/>
      </c>
      <c r="V597">
        <f>IF(A597=1,IFERROR(Raw_data!$AB597,""),"")</f>
        <v/>
      </c>
    </row>
    <row r="598">
      <c r="A598">
        <f>--(AND(OR(Dashboard!$B$4="All",Raw_data!$AL598=Dashboard!$B$4),OR(Dashboard!$B$5="All",Raw_data!$AM598=Dashboard!$B$5),OR(Dashboard!$B$6="All",Raw_data!$AN598=Dashboard!$B$6),OR(Dashboard!$B$7="All",Raw_data!$AO598=Dashboard!$B$7),OR(Dashboard!$B$8="All",Raw_data!$AP598=Dashboard!$B$8),OR(Dashboard!$B$9="All",Raw_data!$AQ598=Dashboard!$B$9),OR(Dashboard!$B$10="All",Raw_data!$AF598=Dashboard!$B$10),OR(Raw_data!$F598="",Raw_data!$F598&lt;=TODAY())))</f>
        <v/>
      </c>
      <c r="B598">
        <f>IFERROR(IF(Dashboard!$B$3="Weighted",Raw_data!$U598,Raw_data!$T598),"")</f>
        <v/>
      </c>
      <c r="C598">
        <f>IFERROR(IF(Dashboard!$B$3="Weighted",Raw_data!$AB598,Raw_data!$AA598),"")</f>
        <v/>
      </c>
      <c r="D598">
        <f>IF(OR(Raw_data!$J598="",Raw_data!$J598&lt;=0,Raw_data!$K598=""),"",IF(Raw_data!$K598&gt;TODAY(),0,DATEDIF(Raw_data!$K598,TODAY(),"M")))</f>
        <v/>
      </c>
      <c r="E598">
        <f>--(AND(Raw_data!$AF598="No",OR(Raw_data!$AG598&lt;&gt;"",Raw_data!$AJ598&gt;0,Raw_data!$AK598&lt;&gt;"")))</f>
        <v/>
      </c>
      <c r="F598">
        <f>--(OR(AND(ISNUMBER(B598),B598&lt;0.5,OR(D598&gt;=24,Raw_data!$I598&gt;0)),Raw_data!$AE598=TRUE))</f>
        <v/>
      </c>
      <c r="G598">
        <f>IF(Dashboard!$B$11="Department",Raw_data!$AL598,IF(Dashboard!$B$11="Team",Raw_data!$AM598,IF(Dashboard!$B$11="Unit",Raw_data!$AN598,IF(Dashboard!$B$11="Legal entity",Raw_data!$AO598,IF(Dashboard!$B$11="Location",Raw_data!$AP598,Raw_data!$AQ598)))))</f>
        <v/>
      </c>
      <c r="H598">
        <f>--(AND(ISNUMBER(B598),B598&lt;0.5))</f>
        <v/>
      </c>
      <c r="I598">
        <f>IFERROR(MAX(0,(0.5-B598)*100),0)+IF(D598&gt;=24,20,0)+IF(Raw_data!$I598&gt;0,20,0)+IF(Raw_data!$AE598=TRUE,10,0)</f>
        <v/>
      </c>
      <c r="J598">
        <f>IFERROR(CHOOSE(MATCH(Dashboard!$B$11,{"Department","Team","Unit","Legal entity","Location","Lead"},0),INDEX(Lists!$B$3:$B$20,ROW()-1),INDEX(Lists!$C$3:$C$146,ROW()-1),INDEX(Lists!$D$3:$D$67,ROW()-1),INDEX(Lists!$E$3:$E$5,ROW()-1),INDEX(Lists!$F$3:$F$12,ROW()-1),INDEX(Lists!$G$3:$G$126,ROW()-1)),"")</f>
        <v/>
      </c>
      <c r="K598">
        <f>IF(J598="","",SUMPRODUCT(($A$2:$A$636=1)*($G$2:$G$636=J598)))</f>
        <v/>
      </c>
      <c r="L598">
        <f>IF(J598="","",SUMPRODUCT(($A$2:$A$636=1)*($G$2:$G$636=J598)*(ISNUMBER($B$2:$B$636))*($B$2:$B$636&lt;0.5)))</f>
        <v/>
      </c>
      <c r="M598">
        <f>IFERROR(L598/K598,"")</f>
        <v/>
      </c>
      <c r="N598">
        <f>IF(K598="","",M598+K598/100000+ROW()/100000000)</f>
        <v/>
      </c>
      <c r="R598">
        <f>IF(A598=1,IFERROR(I598,0)+ROW()/100000000,-1E+99)</f>
        <v/>
      </c>
      <c r="S598">
        <f>IF(A598=1,IFERROR(Raw_data!$T598,""),"")</f>
        <v/>
      </c>
      <c r="T598">
        <f>IF(A598=1,IFERROR(Raw_data!$AA598,""),"")</f>
        <v/>
      </c>
      <c r="U598">
        <f>IF(A598=1,IFERROR(Raw_data!$U598,""),"")</f>
        <v/>
      </c>
      <c r="V598">
        <f>IF(A598=1,IFERROR(Raw_data!$AB598,""),"")</f>
        <v/>
      </c>
    </row>
    <row r="599">
      <c r="A599">
        <f>--(AND(OR(Dashboard!$B$4="All",Raw_data!$AL599=Dashboard!$B$4),OR(Dashboard!$B$5="All",Raw_data!$AM599=Dashboard!$B$5),OR(Dashboard!$B$6="All",Raw_data!$AN599=Dashboard!$B$6),OR(Dashboard!$B$7="All",Raw_data!$AO599=Dashboard!$B$7),OR(Dashboard!$B$8="All",Raw_data!$AP599=Dashboard!$B$8),OR(Dashboard!$B$9="All",Raw_data!$AQ599=Dashboard!$B$9),OR(Dashboard!$B$10="All",Raw_data!$AF599=Dashboard!$B$10),OR(Raw_data!$F599="",Raw_data!$F599&lt;=TODAY())))</f>
        <v/>
      </c>
      <c r="B599">
        <f>IFERROR(IF(Dashboard!$B$3="Weighted",Raw_data!$U599,Raw_data!$T599),"")</f>
        <v/>
      </c>
      <c r="C599">
        <f>IFERROR(IF(Dashboard!$B$3="Weighted",Raw_data!$AB599,Raw_data!$AA599),"")</f>
        <v/>
      </c>
      <c r="D599">
        <f>IF(OR(Raw_data!$J599="",Raw_data!$J599&lt;=0,Raw_data!$K599=""),"",IF(Raw_data!$K599&gt;TODAY(),0,DATEDIF(Raw_data!$K599,TODAY(),"M")))</f>
        <v/>
      </c>
      <c r="E599">
        <f>--(AND(Raw_data!$AF599="No",OR(Raw_data!$AG599&lt;&gt;"",Raw_data!$AJ599&gt;0,Raw_data!$AK599&lt;&gt;"")))</f>
        <v/>
      </c>
      <c r="F599">
        <f>--(OR(AND(ISNUMBER(B599),B599&lt;0.5,OR(D599&gt;=24,Raw_data!$I599&gt;0)),Raw_data!$AE599=TRUE))</f>
        <v/>
      </c>
      <c r="G599">
        <f>IF(Dashboard!$B$11="Department",Raw_data!$AL599,IF(Dashboard!$B$11="Team",Raw_data!$AM599,IF(Dashboard!$B$11="Unit",Raw_data!$AN599,IF(Dashboard!$B$11="Legal entity",Raw_data!$AO599,IF(Dashboard!$B$11="Location",Raw_data!$AP599,Raw_data!$AQ599)))))</f>
        <v/>
      </c>
      <c r="H599">
        <f>--(AND(ISNUMBER(B599),B599&lt;0.5))</f>
        <v/>
      </c>
      <c r="I599">
        <f>IFERROR(MAX(0,(0.5-B599)*100),0)+IF(D599&gt;=24,20,0)+IF(Raw_data!$I599&gt;0,20,0)+IF(Raw_data!$AE599=TRUE,10,0)</f>
        <v/>
      </c>
      <c r="J599">
        <f>IFERROR(CHOOSE(MATCH(Dashboard!$B$11,{"Department","Team","Unit","Legal entity","Location","Lead"},0),INDEX(Lists!$B$3:$B$20,ROW()-1),INDEX(Lists!$C$3:$C$146,ROW()-1),INDEX(Lists!$D$3:$D$67,ROW()-1),INDEX(Lists!$E$3:$E$5,ROW()-1),INDEX(Lists!$F$3:$F$12,ROW()-1),INDEX(Lists!$G$3:$G$126,ROW()-1)),"")</f>
        <v/>
      </c>
      <c r="K599">
        <f>IF(J599="","",SUMPRODUCT(($A$2:$A$636=1)*($G$2:$G$636=J599)))</f>
        <v/>
      </c>
      <c r="L599">
        <f>IF(J599="","",SUMPRODUCT(($A$2:$A$636=1)*($G$2:$G$636=J599)*(ISNUMBER($B$2:$B$636))*($B$2:$B$636&lt;0.5)))</f>
        <v/>
      </c>
      <c r="M599">
        <f>IFERROR(L599/K599,"")</f>
        <v/>
      </c>
      <c r="N599">
        <f>IF(K599="","",M599+K599/100000+ROW()/100000000)</f>
        <v/>
      </c>
      <c r="R599">
        <f>IF(A599=1,IFERROR(I599,0)+ROW()/100000000,-1E+99)</f>
        <v/>
      </c>
      <c r="S599">
        <f>IF(A599=1,IFERROR(Raw_data!$T599,""),"")</f>
        <v/>
      </c>
      <c r="T599">
        <f>IF(A599=1,IFERROR(Raw_data!$AA599,""),"")</f>
        <v/>
      </c>
      <c r="U599">
        <f>IF(A599=1,IFERROR(Raw_data!$U599,""),"")</f>
        <v/>
      </c>
      <c r="V599">
        <f>IF(A599=1,IFERROR(Raw_data!$AB599,""),"")</f>
        <v/>
      </c>
    </row>
    <row r="600">
      <c r="A600">
        <f>--(AND(OR(Dashboard!$B$4="All",Raw_data!$AL600=Dashboard!$B$4),OR(Dashboard!$B$5="All",Raw_data!$AM600=Dashboard!$B$5),OR(Dashboard!$B$6="All",Raw_data!$AN600=Dashboard!$B$6),OR(Dashboard!$B$7="All",Raw_data!$AO600=Dashboard!$B$7),OR(Dashboard!$B$8="All",Raw_data!$AP600=Dashboard!$B$8),OR(Dashboard!$B$9="All",Raw_data!$AQ600=Dashboard!$B$9),OR(Dashboard!$B$10="All",Raw_data!$AF600=Dashboard!$B$10),OR(Raw_data!$F600="",Raw_data!$F600&lt;=TODAY())))</f>
        <v/>
      </c>
      <c r="B600">
        <f>IFERROR(IF(Dashboard!$B$3="Weighted",Raw_data!$U600,Raw_data!$T600),"")</f>
        <v/>
      </c>
      <c r="C600">
        <f>IFERROR(IF(Dashboard!$B$3="Weighted",Raw_data!$AB600,Raw_data!$AA600),"")</f>
        <v/>
      </c>
      <c r="D600">
        <f>IF(OR(Raw_data!$J600="",Raw_data!$J600&lt;=0,Raw_data!$K600=""),"",IF(Raw_data!$K600&gt;TODAY(),0,DATEDIF(Raw_data!$K600,TODAY(),"M")))</f>
        <v/>
      </c>
      <c r="E600">
        <f>--(AND(Raw_data!$AF600="No",OR(Raw_data!$AG600&lt;&gt;"",Raw_data!$AJ600&gt;0,Raw_data!$AK600&lt;&gt;"")))</f>
        <v/>
      </c>
      <c r="F600">
        <f>--(OR(AND(ISNUMBER(B600),B600&lt;0.5,OR(D600&gt;=24,Raw_data!$I600&gt;0)),Raw_data!$AE600=TRUE))</f>
        <v/>
      </c>
      <c r="G600">
        <f>IF(Dashboard!$B$11="Department",Raw_data!$AL600,IF(Dashboard!$B$11="Team",Raw_data!$AM600,IF(Dashboard!$B$11="Unit",Raw_data!$AN600,IF(Dashboard!$B$11="Legal entity",Raw_data!$AO600,IF(Dashboard!$B$11="Location",Raw_data!$AP600,Raw_data!$AQ600)))))</f>
        <v/>
      </c>
      <c r="H600">
        <f>--(AND(ISNUMBER(B600),B600&lt;0.5))</f>
        <v/>
      </c>
      <c r="I600">
        <f>IFERROR(MAX(0,(0.5-B600)*100),0)+IF(D600&gt;=24,20,0)+IF(Raw_data!$I600&gt;0,20,0)+IF(Raw_data!$AE600=TRUE,10,0)</f>
        <v/>
      </c>
      <c r="J600">
        <f>IFERROR(CHOOSE(MATCH(Dashboard!$B$11,{"Department","Team","Unit","Legal entity","Location","Lead"},0),INDEX(Lists!$B$3:$B$20,ROW()-1),INDEX(Lists!$C$3:$C$146,ROW()-1),INDEX(Lists!$D$3:$D$67,ROW()-1),INDEX(Lists!$E$3:$E$5,ROW()-1),INDEX(Lists!$F$3:$F$12,ROW()-1),INDEX(Lists!$G$3:$G$126,ROW()-1)),"")</f>
        <v/>
      </c>
      <c r="K600">
        <f>IF(J600="","",SUMPRODUCT(($A$2:$A$636=1)*($G$2:$G$636=J600)))</f>
        <v/>
      </c>
      <c r="L600">
        <f>IF(J600="","",SUMPRODUCT(($A$2:$A$636=1)*($G$2:$G$636=J600)*(ISNUMBER($B$2:$B$636))*($B$2:$B$636&lt;0.5)))</f>
        <v/>
      </c>
      <c r="M600">
        <f>IFERROR(L600/K600,"")</f>
        <v/>
      </c>
      <c r="N600">
        <f>IF(K600="","",M600+K600/100000+ROW()/100000000)</f>
        <v/>
      </c>
      <c r="R600">
        <f>IF(A600=1,IFERROR(I600,0)+ROW()/100000000,-1E+99)</f>
        <v/>
      </c>
      <c r="S600">
        <f>IF(A600=1,IFERROR(Raw_data!$T600,""),"")</f>
        <v/>
      </c>
      <c r="T600">
        <f>IF(A600=1,IFERROR(Raw_data!$AA600,""),"")</f>
        <v/>
      </c>
      <c r="U600">
        <f>IF(A600=1,IFERROR(Raw_data!$U600,""),"")</f>
        <v/>
      </c>
      <c r="V600">
        <f>IF(A600=1,IFERROR(Raw_data!$AB600,""),"")</f>
        <v/>
      </c>
    </row>
    <row r="601">
      <c r="A601">
        <f>--(AND(OR(Dashboard!$B$4="All",Raw_data!$AL601=Dashboard!$B$4),OR(Dashboard!$B$5="All",Raw_data!$AM601=Dashboard!$B$5),OR(Dashboard!$B$6="All",Raw_data!$AN601=Dashboard!$B$6),OR(Dashboard!$B$7="All",Raw_data!$AO601=Dashboard!$B$7),OR(Dashboard!$B$8="All",Raw_data!$AP601=Dashboard!$B$8),OR(Dashboard!$B$9="All",Raw_data!$AQ601=Dashboard!$B$9),OR(Dashboard!$B$10="All",Raw_data!$AF601=Dashboard!$B$10),OR(Raw_data!$F601="",Raw_data!$F601&lt;=TODAY())))</f>
        <v/>
      </c>
      <c r="B601">
        <f>IFERROR(IF(Dashboard!$B$3="Weighted",Raw_data!$U601,Raw_data!$T601),"")</f>
        <v/>
      </c>
      <c r="C601">
        <f>IFERROR(IF(Dashboard!$B$3="Weighted",Raw_data!$AB601,Raw_data!$AA601),"")</f>
        <v/>
      </c>
      <c r="D601">
        <f>IF(OR(Raw_data!$J601="",Raw_data!$J601&lt;=0,Raw_data!$K601=""),"",IF(Raw_data!$K601&gt;TODAY(),0,DATEDIF(Raw_data!$K601,TODAY(),"M")))</f>
        <v/>
      </c>
      <c r="E601">
        <f>--(AND(Raw_data!$AF601="No",OR(Raw_data!$AG601&lt;&gt;"",Raw_data!$AJ601&gt;0,Raw_data!$AK601&lt;&gt;"")))</f>
        <v/>
      </c>
      <c r="F601">
        <f>--(OR(AND(ISNUMBER(B601),B601&lt;0.5,OR(D601&gt;=24,Raw_data!$I601&gt;0)),Raw_data!$AE601=TRUE))</f>
        <v/>
      </c>
      <c r="G601">
        <f>IF(Dashboard!$B$11="Department",Raw_data!$AL601,IF(Dashboard!$B$11="Team",Raw_data!$AM601,IF(Dashboard!$B$11="Unit",Raw_data!$AN601,IF(Dashboard!$B$11="Legal entity",Raw_data!$AO601,IF(Dashboard!$B$11="Location",Raw_data!$AP601,Raw_data!$AQ601)))))</f>
        <v/>
      </c>
      <c r="H601">
        <f>--(AND(ISNUMBER(B601),B601&lt;0.5))</f>
        <v/>
      </c>
      <c r="I601">
        <f>IFERROR(MAX(0,(0.5-B601)*100),0)+IF(D601&gt;=24,20,0)+IF(Raw_data!$I601&gt;0,20,0)+IF(Raw_data!$AE601=TRUE,10,0)</f>
        <v/>
      </c>
      <c r="J601">
        <f>IFERROR(CHOOSE(MATCH(Dashboard!$B$11,{"Department","Team","Unit","Legal entity","Location","Lead"},0),INDEX(Lists!$B$3:$B$20,ROW()-1),INDEX(Lists!$C$3:$C$146,ROW()-1),INDEX(Lists!$D$3:$D$67,ROW()-1),INDEX(Lists!$E$3:$E$5,ROW()-1),INDEX(Lists!$F$3:$F$12,ROW()-1),INDEX(Lists!$G$3:$G$126,ROW()-1)),"")</f>
        <v/>
      </c>
      <c r="K601">
        <f>IF(J601="","",SUMPRODUCT(($A$2:$A$636=1)*($G$2:$G$636=J601)))</f>
        <v/>
      </c>
      <c r="L601">
        <f>IF(J601="","",SUMPRODUCT(($A$2:$A$636=1)*($G$2:$G$636=J601)*(ISNUMBER($B$2:$B$636))*($B$2:$B$636&lt;0.5)))</f>
        <v/>
      </c>
      <c r="M601">
        <f>IFERROR(L601/K601,"")</f>
        <v/>
      </c>
      <c r="N601">
        <f>IF(K601="","",M601+K601/100000+ROW()/100000000)</f>
        <v/>
      </c>
      <c r="R601">
        <f>IF(A601=1,IFERROR(I601,0)+ROW()/100000000,-1E+99)</f>
        <v/>
      </c>
      <c r="S601">
        <f>IF(A601=1,IFERROR(Raw_data!$T601,""),"")</f>
        <v/>
      </c>
      <c r="T601">
        <f>IF(A601=1,IFERROR(Raw_data!$AA601,""),"")</f>
        <v/>
      </c>
      <c r="U601">
        <f>IF(A601=1,IFERROR(Raw_data!$U601,""),"")</f>
        <v/>
      </c>
      <c r="V601">
        <f>IF(A601=1,IFERROR(Raw_data!$AB601,""),"")</f>
        <v/>
      </c>
    </row>
    <row r="602">
      <c r="A602">
        <f>--(AND(OR(Dashboard!$B$4="All",Raw_data!$AL602=Dashboard!$B$4),OR(Dashboard!$B$5="All",Raw_data!$AM602=Dashboard!$B$5),OR(Dashboard!$B$6="All",Raw_data!$AN602=Dashboard!$B$6),OR(Dashboard!$B$7="All",Raw_data!$AO602=Dashboard!$B$7),OR(Dashboard!$B$8="All",Raw_data!$AP602=Dashboard!$B$8),OR(Dashboard!$B$9="All",Raw_data!$AQ602=Dashboard!$B$9),OR(Dashboard!$B$10="All",Raw_data!$AF602=Dashboard!$B$10),OR(Raw_data!$F602="",Raw_data!$F602&lt;=TODAY())))</f>
        <v/>
      </c>
      <c r="B602">
        <f>IFERROR(IF(Dashboard!$B$3="Weighted",Raw_data!$U602,Raw_data!$T602),"")</f>
        <v/>
      </c>
      <c r="C602">
        <f>IFERROR(IF(Dashboard!$B$3="Weighted",Raw_data!$AB602,Raw_data!$AA602),"")</f>
        <v/>
      </c>
      <c r="D602">
        <f>IF(OR(Raw_data!$J602="",Raw_data!$J602&lt;=0,Raw_data!$K602=""),"",IF(Raw_data!$K602&gt;TODAY(),0,DATEDIF(Raw_data!$K602,TODAY(),"M")))</f>
        <v/>
      </c>
      <c r="E602">
        <f>--(AND(Raw_data!$AF602="No",OR(Raw_data!$AG602&lt;&gt;"",Raw_data!$AJ602&gt;0,Raw_data!$AK602&lt;&gt;"")))</f>
        <v/>
      </c>
      <c r="F602">
        <f>--(OR(AND(ISNUMBER(B602),B602&lt;0.5,OR(D602&gt;=24,Raw_data!$I602&gt;0)),Raw_data!$AE602=TRUE))</f>
        <v/>
      </c>
      <c r="G602">
        <f>IF(Dashboard!$B$11="Department",Raw_data!$AL602,IF(Dashboard!$B$11="Team",Raw_data!$AM602,IF(Dashboard!$B$11="Unit",Raw_data!$AN602,IF(Dashboard!$B$11="Legal entity",Raw_data!$AO602,IF(Dashboard!$B$11="Location",Raw_data!$AP602,Raw_data!$AQ602)))))</f>
        <v/>
      </c>
      <c r="H602">
        <f>--(AND(ISNUMBER(B602),B602&lt;0.5))</f>
        <v/>
      </c>
      <c r="I602">
        <f>IFERROR(MAX(0,(0.5-B602)*100),0)+IF(D602&gt;=24,20,0)+IF(Raw_data!$I602&gt;0,20,0)+IF(Raw_data!$AE602=TRUE,10,0)</f>
        <v/>
      </c>
      <c r="J602">
        <f>IFERROR(CHOOSE(MATCH(Dashboard!$B$11,{"Department","Team","Unit","Legal entity","Location","Lead"},0),INDEX(Lists!$B$3:$B$20,ROW()-1),INDEX(Lists!$C$3:$C$146,ROW()-1),INDEX(Lists!$D$3:$D$67,ROW()-1),INDEX(Lists!$E$3:$E$5,ROW()-1),INDEX(Lists!$F$3:$F$12,ROW()-1),INDEX(Lists!$G$3:$G$126,ROW()-1)),"")</f>
        <v/>
      </c>
      <c r="K602">
        <f>IF(J602="","",SUMPRODUCT(($A$2:$A$636=1)*($G$2:$G$636=J602)))</f>
        <v/>
      </c>
      <c r="L602">
        <f>IF(J602="","",SUMPRODUCT(($A$2:$A$636=1)*($G$2:$G$636=J602)*(ISNUMBER($B$2:$B$636))*($B$2:$B$636&lt;0.5)))</f>
        <v/>
      </c>
      <c r="M602">
        <f>IFERROR(L602/K602,"")</f>
        <v/>
      </c>
      <c r="N602">
        <f>IF(K602="","",M602+K602/100000+ROW()/100000000)</f>
        <v/>
      </c>
      <c r="R602">
        <f>IF(A602=1,IFERROR(I602,0)+ROW()/100000000,-1E+99)</f>
        <v/>
      </c>
      <c r="S602">
        <f>IF(A602=1,IFERROR(Raw_data!$T602,""),"")</f>
        <v/>
      </c>
      <c r="T602">
        <f>IF(A602=1,IFERROR(Raw_data!$AA602,""),"")</f>
        <v/>
      </c>
      <c r="U602">
        <f>IF(A602=1,IFERROR(Raw_data!$U602,""),"")</f>
        <v/>
      </c>
      <c r="V602">
        <f>IF(A602=1,IFERROR(Raw_data!$AB602,""),"")</f>
        <v/>
      </c>
    </row>
    <row r="603">
      <c r="A603">
        <f>--(AND(OR(Dashboard!$B$4="All",Raw_data!$AL603=Dashboard!$B$4),OR(Dashboard!$B$5="All",Raw_data!$AM603=Dashboard!$B$5),OR(Dashboard!$B$6="All",Raw_data!$AN603=Dashboard!$B$6),OR(Dashboard!$B$7="All",Raw_data!$AO603=Dashboard!$B$7),OR(Dashboard!$B$8="All",Raw_data!$AP603=Dashboard!$B$8),OR(Dashboard!$B$9="All",Raw_data!$AQ603=Dashboard!$B$9),OR(Dashboard!$B$10="All",Raw_data!$AF603=Dashboard!$B$10),OR(Raw_data!$F603="",Raw_data!$F603&lt;=TODAY())))</f>
        <v/>
      </c>
      <c r="B603">
        <f>IFERROR(IF(Dashboard!$B$3="Weighted",Raw_data!$U603,Raw_data!$T603),"")</f>
        <v/>
      </c>
      <c r="C603">
        <f>IFERROR(IF(Dashboard!$B$3="Weighted",Raw_data!$AB603,Raw_data!$AA603),"")</f>
        <v/>
      </c>
      <c r="D603">
        <f>IF(OR(Raw_data!$J603="",Raw_data!$J603&lt;=0,Raw_data!$K603=""),"",IF(Raw_data!$K603&gt;TODAY(),0,DATEDIF(Raw_data!$K603,TODAY(),"M")))</f>
        <v/>
      </c>
      <c r="E603">
        <f>--(AND(Raw_data!$AF603="No",OR(Raw_data!$AG603&lt;&gt;"",Raw_data!$AJ603&gt;0,Raw_data!$AK603&lt;&gt;"")))</f>
        <v/>
      </c>
      <c r="F603">
        <f>--(OR(AND(ISNUMBER(B603),B603&lt;0.5,OR(D603&gt;=24,Raw_data!$I603&gt;0)),Raw_data!$AE603=TRUE))</f>
        <v/>
      </c>
      <c r="G603">
        <f>IF(Dashboard!$B$11="Department",Raw_data!$AL603,IF(Dashboard!$B$11="Team",Raw_data!$AM603,IF(Dashboard!$B$11="Unit",Raw_data!$AN603,IF(Dashboard!$B$11="Legal entity",Raw_data!$AO603,IF(Dashboard!$B$11="Location",Raw_data!$AP603,Raw_data!$AQ603)))))</f>
        <v/>
      </c>
      <c r="H603">
        <f>--(AND(ISNUMBER(B603),B603&lt;0.5))</f>
        <v/>
      </c>
      <c r="I603">
        <f>IFERROR(MAX(0,(0.5-B603)*100),0)+IF(D603&gt;=24,20,0)+IF(Raw_data!$I603&gt;0,20,0)+IF(Raw_data!$AE603=TRUE,10,0)</f>
        <v/>
      </c>
      <c r="J603">
        <f>IFERROR(CHOOSE(MATCH(Dashboard!$B$11,{"Department","Team","Unit","Legal entity","Location","Lead"},0),INDEX(Lists!$B$3:$B$20,ROW()-1),INDEX(Lists!$C$3:$C$146,ROW()-1),INDEX(Lists!$D$3:$D$67,ROW()-1),INDEX(Lists!$E$3:$E$5,ROW()-1),INDEX(Lists!$F$3:$F$12,ROW()-1),INDEX(Lists!$G$3:$G$126,ROW()-1)),"")</f>
        <v/>
      </c>
      <c r="K603">
        <f>IF(J603="","",SUMPRODUCT(($A$2:$A$636=1)*($G$2:$G$636=J603)))</f>
        <v/>
      </c>
      <c r="L603">
        <f>IF(J603="","",SUMPRODUCT(($A$2:$A$636=1)*($G$2:$G$636=J603)*(ISNUMBER($B$2:$B$636))*($B$2:$B$636&lt;0.5)))</f>
        <v/>
      </c>
      <c r="M603">
        <f>IFERROR(L603/K603,"")</f>
        <v/>
      </c>
      <c r="N603">
        <f>IF(K603="","",M603+K603/100000+ROW()/100000000)</f>
        <v/>
      </c>
      <c r="R603">
        <f>IF(A603=1,IFERROR(I603,0)+ROW()/100000000,-1E+99)</f>
        <v/>
      </c>
      <c r="S603">
        <f>IF(A603=1,IFERROR(Raw_data!$T603,""),"")</f>
        <v/>
      </c>
      <c r="T603">
        <f>IF(A603=1,IFERROR(Raw_data!$AA603,""),"")</f>
        <v/>
      </c>
      <c r="U603">
        <f>IF(A603=1,IFERROR(Raw_data!$U603,""),"")</f>
        <v/>
      </c>
      <c r="V603">
        <f>IF(A603=1,IFERROR(Raw_data!$AB603,""),"")</f>
        <v/>
      </c>
    </row>
    <row r="604">
      <c r="A604">
        <f>--(AND(OR(Dashboard!$B$4="All",Raw_data!$AL604=Dashboard!$B$4),OR(Dashboard!$B$5="All",Raw_data!$AM604=Dashboard!$B$5),OR(Dashboard!$B$6="All",Raw_data!$AN604=Dashboard!$B$6),OR(Dashboard!$B$7="All",Raw_data!$AO604=Dashboard!$B$7),OR(Dashboard!$B$8="All",Raw_data!$AP604=Dashboard!$B$8),OR(Dashboard!$B$9="All",Raw_data!$AQ604=Dashboard!$B$9),OR(Dashboard!$B$10="All",Raw_data!$AF604=Dashboard!$B$10),OR(Raw_data!$F604="",Raw_data!$F604&lt;=TODAY())))</f>
        <v/>
      </c>
      <c r="B604">
        <f>IFERROR(IF(Dashboard!$B$3="Weighted",Raw_data!$U604,Raw_data!$T604),"")</f>
        <v/>
      </c>
      <c r="C604">
        <f>IFERROR(IF(Dashboard!$B$3="Weighted",Raw_data!$AB604,Raw_data!$AA604),"")</f>
        <v/>
      </c>
      <c r="D604">
        <f>IF(OR(Raw_data!$J604="",Raw_data!$J604&lt;=0,Raw_data!$K604=""),"",IF(Raw_data!$K604&gt;TODAY(),0,DATEDIF(Raw_data!$K604,TODAY(),"M")))</f>
        <v/>
      </c>
      <c r="E604">
        <f>--(AND(Raw_data!$AF604="No",OR(Raw_data!$AG604&lt;&gt;"",Raw_data!$AJ604&gt;0,Raw_data!$AK604&lt;&gt;"")))</f>
        <v/>
      </c>
      <c r="F604">
        <f>--(OR(AND(ISNUMBER(B604),B604&lt;0.5,OR(D604&gt;=24,Raw_data!$I604&gt;0)),Raw_data!$AE604=TRUE))</f>
        <v/>
      </c>
      <c r="G604">
        <f>IF(Dashboard!$B$11="Department",Raw_data!$AL604,IF(Dashboard!$B$11="Team",Raw_data!$AM604,IF(Dashboard!$B$11="Unit",Raw_data!$AN604,IF(Dashboard!$B$11="Legal entity",Raw_data!$AO604,IF(Dashboard!$B$11="Location",Raw_data!$AP604,Raw_data!$AQ604)))))</f>
        <v/>
      </c>
      <c r="H604">
        <f>--(AND(ISNUMBER(B604),B604&lt;0.5))</f>
        <v/>
      </c>
      <c r="I604">
        <f>IFERROR(MAX(0,(0.5-B604)*100),0)+IF(D604&gt;=24,20,0)+IF(Raw_data!$I604&gt;0,20,0)+IF(Raw_data!$AE604=TRUE,10,0)</f>
        <v/>
      </c>
      <c r="J604">
        <f>IFERROR(CHOOSE(MATCH(Dashboard!$B$11,{"Department","Team","Unit","Legal entity","Location","Lead"},0),INDEX(Lists!$B$3:$B$20,ROW()-1),INDEX(Lists!$C$3:$C$146,ROW()-1),INDEX(Lists!$D$3:$D$67,ROW()-1),INDEX(Lists!$E$3:$E$5,ROW()-1),INDEX(Lists!$F$3:$F$12,ROW()-1),INDEX(Lists!$G$3:$G$126,ROW()-1)),"")</f>
        <v/>
      </c>
      <c r="K604">
        <f>IF(J604="","",SUMPRODUCT(($A$2:$A$636=1)*($G$2:$G$636=J604)))</f>
        <v/>
      </c>
      <c r="L604">
        <f>IF(J604="","",SUMPRODUCT(($A$2:$A$636=1)*($G$2:$G$636=J604)*(ISNUMBER($B$2:$B$636))*($B$2:$B$636&lt;0.5)))</f>
        <v/>
      </c>
      <c r="M604">
        <f>IFERROR(L604/K604,"")</f>
        <v/>
      </c>
      <c r="N604">
        <f>IF(K604="","",M604+K604/100000+ROW()/100000000)</f>
        <v/>
      </c>
      <c r="R604">
        <f>IF(A604=1,IFERROR(I604,0)+ROW()/100000000,-1E+99)</f>
        <v/>
      </c>
      <c r="S604">
        <f>IF(A604=1,IFERROR(Raw_data!$T604,""),"")</f>
        <v/>
      </c>
      <c r="T604">
        <f>IF(A604=1,IFERROR(Raw_data!$AA604,""),"")</f>
        <v/>
      </c>
      <c r="U604">
        <f>IF(A604=1,IFERROR(Raw_data!$U604,""),"")</f>
        <v/>
      </c>
      <c r="V604">
        <f>IF(A604=1,IFERROR(Raw_data!$AB604,""),"")</f>
        <v/>
      </c>
    </row>
    <row r="605">
      <c r="A605">
        <f>--(AND(OR(Dashboard!$B$4="All",Raw_data!$AL605=Dashboard!$B$4),OR(Dashboard!$B$5="All",Raw_data!$AM605=Dashboard!$B$5),OR(Dashboard!$B$6="All",Raw_data!$AN605=Dashboard!$B$6),OR(Dashboard!$B$7="All",Raw_data!$AO605=Dashboard!$B$7),OR(Dashboard!$B$8="All",Raw_data!$AP605=Dashboard!$B$8),OR(Dashboard!$B$9="All",Raw_data!$AQ605=Dashboard!$B$9),OR(Dashboard!$B$10="All",Raw_data!$AF605=Dashboard!$B$10),OR(Raw_data!$F605="",Raw_data!$F605&lt;=TODAY())))</f>
        <v/>
      </c>
      <c r="B605">
        <f>IFERROR(IF(Dashboard!$B$3="Weighted",Raw_data!$U605,Raw_data!$T605),"")</f>
        <v/>
      </c>
      <c r="C605">
        <f>IFERROR(IF(Dashboard!$B$3="Weighted",Raw_data!$AB605,Raw_data!$AA605),"")</f>
        <v/>
      </c>
      <c r="D605">
        <f>IF(OR(Raw_data!$J605="",Raw_data!$J605&lt;=0,Raw_data!$K605=""),"",IF(Raw_data!$K605&gt;TODAY(),0,DATEDIF(Raw_data!$K605,TODAY(),"M")))</f>
        <v/>
      </c>
      <c r="E605">
        <f>--(AND(Raw_data!$AF605="No",OR(Raw_data!$AG605&lt;&gt;"",Raw_data!$AJ605&gt;0,Raw_data!$AK605&lt;&gt;"")))</f>
        <v/>
      </c>
      <c r="F605">
        <f>--(OR(AND(ISNUMBER(B605),B605&lt;0.5,OR(D605&gt;=24,Raw_data!$I605&gt;0)),Raw_data!$AE605=TRUE))</f>
        <v/>
      </c>
      <c r="G605">
        <f>IF(Dashboard!$B$11="Department",Raw_data!$AL605,IF(Dashboard!$B$11="Team",Raw_data!$AM605,IF(Dashboard!$B$11="Unit",Raw_data!$AN605,IF(Dashboard!$B$11="Legal entity",Raw_data!$AO605,IF(Dashboard!$B$11="Location",Raw_data!$AP605,Raw_data!$AQ605)))))</f>
        <v/>
      </c>
      <c r="H605">
        <f>--(AND(ISNUMBER(B605),B605&lt;0.5))</f>
        <v/>
      </c>
      <c r="I605">
        <f>IFERROR(MAX(0,(0.5-B605)*100),0)+IF(D605&gt;=24,20,0)+IF(Raw_data!$I605&gt;0,20,0)+IF(Raw_data!$AE605=TRUE,10,0)</f>
        <v/>
      </c>
      <c r="J605">
        <f>IFERROR(CHOOSE(MATCH(Dashboard!$B$11,{"Department","Team","Unit","Legal entity","Location","Lead"},0),INDEX(Lists!$B$3:$B$20,ROW()-1),INDEX(Lists!$C$3:$C$146,ROW()-1),INDEX(Lists!$D$3:$D$67,ROW()-1),INDEX(Lists!$E$3:$E$5,ROW()-1),INDEX(Lists!$F$3:$F$12,ROW()-1),INDEX(Lists!$G$3:$G$126,ROW()-1)),"")</f>
        <v/>
      </c>
      <c r="K605">
        <f>IF(J605="","",SUMPRODUCT(($A$2:$A$636=1)*($G$2:$G$636=J605)))</f>
        <v/>
      </c>
      <c r="L605">
        <f>IF(J605="","",SUMPRODUCT(($A$2:$A$636=1)*($G$2:$G$636=J605)*(ISNUMBER($B$2:$B$636))*($B$2:$B$636&lt;0.5)))</f>
        <v/>
      </c>
      <c r="M605">
        <f>IFERROR(L605/K605,"")</f>
        <v/>
      </c>
      <c r="N605">
        <f>IF(K605="","",M605+K605/100000+ROW()/100000000)</f>
        <v/>
      </c>
      <c r="R605">
        <f>IF(A605=1,IFERROR(I605,0)+ROW()/100000000,-1E+99)</f>
        <v/>
      </c>
      <c r="S605">
        <f>IF(A605=1,IFERROR(Raw_data!$T605,""),"")</f>
        <v/>
      </c>
      <c r="T605">
        <f>IF(A605=1,IFERROR(Raw_data!$AA605,""),"")</f>
        <v/>
      </c>
      <c r="U605">
        <f>IF(A605=1,IFERROR(Raw_data!$U605,""),"")</f>
        <v/>
      </c>
      <c r="V605">
        <f>IF(A605=1,IFERROR(Raw_data!$AB605,""),"")</f>
        <v/>
      </c>
    </row>
    <row r="606">
      <c r="A606">
        <f>--(AND(OR(Dashboard!$B$4="All",Raw_data!$AL606=Dashboard!$B$4),OR(Dashboard!$B$5="All",Raw_data!$AM606=Dashboard!$B$5),OR(Dashboard!$B$6="All",Raw_data!$AN606=Dashboard!$B$6),OR(Dashboard!$B$7="All",Raw_data!$AO606=Dashboard!$B$7),OR(Dashboard!$B$8="All",Raw_data!$AP606=Dashboard!$B$8),OR(Dashboard!$B$9="All",Raw_data!$AQ606=Dashboard!$B$9),OR(Dashboard!$B$10="All",Raw_data!$AF606=Dashboard!$B$10),OR(Raw_data!$F606="",Raw_data!$F606&lt;=TODAY())))</f>
        <v/>
      </c>
      <c r="B606">
        <f>IFERROR(IF(Dashboard!$B$3="Weighted",Raw_data!$U606,Raw_data!$T606),"")</f>
        <v/>
      </c>
      <c r="C606">
        <f>IFERROR(IF(Dashboard!$B$3="Weighted",Raw_data!$AB606,Raw_data!$AA606),"")</f>
        <v/>
      </c>
      <c r="D606">
        <f>IF(OR(Raw_data!$J606="",Raw_data!$J606&lt;=0,Raw_data!$K606=""),"",IF(Raw_data!$K606&gt;TODAY(),0,DATEDIF(Raw_data!$K606,TODAY(),"M")))</f>
        <v/>
      </c>
      <c r="E606">
        <f>--(AND(Raw_data!$AF606="No",OR(Raw_data!$AG606&lt;&gt;"",Raw_data!$AJ606&gt;0,Raw_data!$AK606&lt;&gt;"")))</f>
        <v/>
      </c>
      <c r="F606">
        <f>--(OR(AND(ISNUMBER(B606),B606&lt;0.5,OR(D606&gt;=24,Raw_data!$I606&gt;0)),Raw_data!$AE606=TRUE))</f>
        <v/>
      </c>
      <c r="G606">
        <f>IF(Dashboard!$B$11="Department",Raw_data!$AL606,IF(Dashboard!$B$11="Team",Raw_data!$AM606,IF(Dashboard!$B$11="Unit",Raw_data!$AN606,IF(Dashboard!$B$11="Legal entity",Raw_data!$AO606,IF(Dashboard!$B$11="Location",Raw_data!$AP606,Raw_data!$AQ606)))))</f>
        <v/>
      </c>
      <c r="H606">
        <f>--(AND(ISNUMBER(B606),B606&lt;0.5))</f>
        <v/>
      </c>
      <c r="I606">
        <f>IFERROR(MAX(0,(0.5-B606)*100),0)+IF(D606&gt;=24,20,0)+IF(Raw_data!$I606&gt;0,20,0)+IF(Raw_data!$AE606=TRUE,10,0)</f>
        <v/>
      </c>
      <c r="J606">
        <f>IFERROR(CHOOSE(MATCH(Dashboard!$B$11,{"Department","Team","Unit","Legal entity","Location","Lead"},0),INDEX(Lists!$B$3:$B$20,ROW()-1),INDEX(Lists!$C$3:$C$146,ROW()-1),INDEX(Lists!$D$3:$D$67,ROW()-1),INDEX(Lists!$E$3:$E$5,ROW()-1),INDEX(Lists!$F$3:$F$12,ROW()-1),INDEX(Lists!$G$3:$G$126,ROW()-1)),"")</f>
        <v/>
      </c>
      <c r="K606">
        <f>IF(J606="","",SUMPRODUCT(($A$2:$A$636=1)*($G$2:$G$636=J606)))</f>
        <v/>
      </c>
      <c r="L606">
        <f>IF(J606="","",SUMPRODUCT(($A$2:$A$636=1)*($G$2:$G$636=J606)*(ISNUMBER($B$2:$B$636))*($B$2:$B$636&lt;0.5)))</f>
        <v/>
      </c>
      <c r="M606">
        <f>IFERROR(L606/K606,"")</f>
        <v/>
      </c>
      <c r="N606">
        <f>IF(K606="","",M606+K606/100000+ROW()/100000000)</f>
        <v/>
      </c>
      <c r="R606">
        <f>IF(A606=1,IFERROR(I606,0)+ROW()/100000000,-1E+99)</f>
        <v/>
      </c>
      <c r="S606">
        <f>IF(A606=1,IFERROR(Raw_data!$T606,""),"")</f>
        <v/>
      </c>
      <c r="T606">
        <f>IF(A606=1,IFERROR(Raw_data!$AA606,""),"")</f>
        <v/>
      </c>
      <c r="U606">
        <f>IF(A606=1,IFERROR(Raw_data!$U606,""),"")</f>
        <v/>
      </c>
      <c r="V606">
        <f>IF(A606=1,IFERROR(Raw_data!$AB606,""),"")</f>
        <v/>
      </c>
    </row>
    <row r="607">
      <c r="A607">
        <f>--(AND(OR(Dashboard!$B$4="All",Raw_data!$AL607=Dashboard!$B$4),OR(Dashboard!$B$5="All",Raw_data!$AM607=Dashboard!$B$5),OR(Dashboard!$B$6="All",Raw_data!$AN607=Dashboard!$B$6),OR(Dashboard!$B$7="All",Raw_data!$AO607=Dashboard!$B$7),OR(Dashboard!$B$8="All",Raw_data!$AP607=Dashboard!$B$8),OR(Dashboard!$B$9="All",Raw_data!$AQ607=Dashboard!$B$9),OR(Dashboard!$B$10="All",Raw_data!$AF607=Dashboard!$B$10),OR(Raw_data!$F607="",Raw_data!$F607&lt;=TODAY())))</f>
        <v/>
      </c>
      <c r="B607">
        <f>IFERROR(IF(Dashboard!$B$3="Weighted",Raw_data!$U607,Raw_data!$T607),"")</f>
        <v/>
      </c>
      <c r="C607">
        <f>IFERROR(IF(Dashboard!$B$3="Weighted",Raw_data!$AB607,Raw_data!$AA607),"")</f>
        <v/>
      </c>
      <c r="D607">
        <f>IF(OR(Raw_data!$J607="",Raw_data!$J607&lt;=0,Raw_data!$K607=""),"",IF(Raw_data!$K607&gt;TODAY(),0,DATEDIF(Raw_data!$K607,TODAY(),"M")))</f>
        <v/>
      </c>
      <c r="E607">
        <f>--(AND(Raw_data!$AF607="No",OR(Raw_data!$AG607&lt;&gt;"",Raw_data!$AJ607&gt;0,Raw_data!$AK607&lt;&gt;"")))</f>
        <v/>
      </c>
      <c r="F607">
        <f>--(OR(AND(ISNUMBER(B607),B607&lt;0.5,OR(D607&gt;=24,Raw_data!$I607&gt;0)),Raw_data!$AE607=TRUE))</f>
        <v/>
      </c>
      <c r="G607">
        <f>IF(Dashboard!$B$11="Department",Raw_data!$AL607,IF(Dashboard!$B$11="Team",Raw_data!$AM607,IF(Dashboard!$B$11="Unit",Raw_data!$AN607,IF(Dashboard!$B$11="Legal entity",Raw_data!$AO607,IF(Dashboard!$B$11="Location",Raw_data!$AP607,Raw_data!$AQ607)))))</f>
        <v/>
      </c>
      <c r="H607">
        <f>--(AND(ISNUMBER(B607),B607&lt;0.5))</f>
        <v/>
      </c>
      <c r="I607">
        <f>IFERROR(MAX(0,(0.5-B607)*100),0)+IF(D607&gt;=24,20,0)+IF(Raw_data!$I607&gt;0,20,0)+IF(Raw_data!$AE607=TRUE,10,0)</f>
        <v/>
      </c>
      <c r="J607">
        <f>IFERROR(CHOOSE(MATCH(Dashboard!$B$11,{"Department","Team","Unit","Legal entity","Location","Lead"},0),INDEX(Lists!$B$3:$B$20,ROW()-1),INDEX(Lists!$C$3:$C$146,ROW()-1),INDEX(Lists!$D$3:$D$67,ROW()-1),INDEX(Lists!$E$3:$E$5,ROW()-1),INDEX(Lists!$F$3:$F$12,ROW()-1),INDEX(Lists!$G$3:$G$126,ROW()-1)),"")</f>
        <v/>
      </c>
      <c r="K607">
        <f>IF(J607="","",SUMPRODUCT(($A$2:$A$636=1)*($G$2:$G$636=J607)))</f>
        <v/>
      </c>
      <c r="L607">
        <f>IF(J607="","",SUMPRODUCT(($A$2:$A$636=1)*($G$2:$G$636=J607)*(ISNUMBER($B$2:$B$636))*($B$2:$B$636&lt;0.5)))</f>
        <v/>
      </c>
      <c r="M607">
        <f>IFERROR(L607/K607,"")</f>
        <v/>
      </c>
      <c r="N607">
        <f>IF(K607="","",M607+K607/100000+ROW()/100000000)</f>
        <v/>
      </c>
      <c r="R607">
        <f>IF(A607=1,IFERROR(I607,0)+ROW()/100000000,-1E+99)</f>
        <v/>
      </c>
      <c r="S607">
        <f>IF(A607=1,IFERROR(Raw_data!$T607,""),"")</f>
        <v/>
      </c>
      <c r="T607">
        <f>IF(A607=1,IFERROR(Raw_data!$AA607,""),"")</f>
        <v/>
      </c>
      <c r="U607">
        <f>IF(A607=1,IFERROR(Raw_data!$U607,""),"")</f>
        <v/>
      </c>
      <c r="V607">
        <f>IF(A607=1,IFERROR(Raw_data!$AB607,""),"")</f>
        <v/>
      </c>
    </row>
    <row r="608">
      <c r="A608">
        <f>--(AND(OR(Dashboard!$B$4="All",Raw_data!$AL608=Dashboard!$B$4),OR(Dashboard!$B$5="All",Raw_data!$AM608=Dashboard!$B$5),OR(Dashboard!$B$6="All",Raw_data!$AN608=Dashboard!$B$6),OR(Dashboard!$B$7="All",Raw_data!$AO608=Dashboard!$B$7),OR(Dashboard!$B$8="All",Raw_data!$AP608=Dashboard!$B$8),OR(Dashboard!$B$9="All",Raw_data!$AQ608=Dashboard!$B$9),OR(Dashboard!$B$10="All",Raw_data!$AF608=Dashboard!$B$10),OR(Raw_data!$F608="",Raw_data!$F608&lt;=TODAY())))</f>
        <v/>
      </c>
      <c r="B608">
        <f>IFERROR(IF(Dashboard!$B$3="Weighted",Raw_data!$U608,Raw_data!$T608),"")</f>
        <v/>
      </c>
      <c r="C608">
        <f>IFERROR(IF(Dashboard!$B$3="Weighted",Raw_data!$AB608,Raw_data!$AA608),"")</f>
        <v/>
      </c>
      <c r="D608">
        <f>IF(OR(Raw_data!$J608="",Raw_data!$J608&lt;=0,Raw_data!$K608=""),"",IF(Raw_data!$K608&gt;TODAY(),0,DATEDIF(Raw_data!$K608,TODAY(),"M")))</f>
        <v/>
      </c>
      <c r="E608">
        <f>--(AND(Raw_data!$AF608="No",OR(Raw_data!$AG608&lt;&gt;"",Raw_data!$AJ608&gt;0,Raw_data!$AK608&lt;&gt;"")))</f>
        <v/>
      </c>
      <c r="F608">
        <f>--(OR(AND(ISNUMBER(B608),B608&lt;0.5,OR(D608&gt;=24,Raw_data!$I608&gt;0)),Raw_data!$AE608=TRUE))</f>
        <v/>
      </c>
      <c r="G608">
        <f>IF(Dashboard!$B$11="Department",Raw_data!$AL608,IF(Dashboard!$B$11="Team",Raw_data!$AM608,IF(Dashboard!$B$11="Unit",Raw_data!$AN608,IF(Dashboard!$B$11="Legal entity",Raw_data!$AO608,IF(Dashboard!$B$11="Location",Raw_data!$AP608,Raw_data!$AQ608)))))</f>
        <v/>
      </c>
      <c r="H608">
        <f>--(AND(ISNUMBER(B608),B608&lt;0.5))</f>
        <v/>
      </c>
      <c r="I608">
        <f>IFERROR(MAX(0,(0.5-B608)*100),0)+IF(D608&gt;=24,20,0)+IF(Raw_data!$I608&gt;0,20,0)+IF(Raw_data!$AE608=TRUE,10,0)</f>
        <v/>
      </c>
      <c r="J608">
        <f>IFERROR(CHOOSE(MATCH(Dashboard!$B$11,{"Department","Team","Unit","Legal entity","Location","Lead"},0),INDEX(Lists!$B$3:$B$20,ROW()-1),INDEX(Lists!$C$3:$C$146,ROW()-1),INDEX(Lists!$D$3:$D$67,ROW()-1),INDEX(Lists!$E$3:$E$5,ROW()-1),INDEX(Lists!$F$3:$F$12,ROW()-1),INDEX(Lists!$G$3:$G$126,ROW()-1)),"")</f>
        <v/>
      </c>
      <c r="K608">
        <f>IF(J608="","",SUMPRODUCT(($A$2:$A$636=1)*($G$2:$G$636=J608)))</f>
        <v/>
      </c>
      <c r="L608">
        <f>IF(J608="","",SUMPRODUCT(($A$2:$A$636=1)*($G$2:$G$636=J608)*(ISNUMBER($B$2:$B$636))*($B$2:$B$636&lt;0.5)))</f>
        <v/>
      </c>
      <c r="M608">
        <f>IFERROR(L608/K608,"")</f>
        <v/>
      </c>
      <c r="N608">
        <f>IF(K608="","",M608+K608/100000+ROW()/100000000)</f>
        <v/>
      </c>
      <c r="R608">
        <f>IF(A608=1,IFERROR(I608,0)+ROW()/100000000,-1E+99)</f>
        <v/>
      </c>
      <c r="S608">
        <f>IF(A608=1,IFERROR(Raw_data!$T608,""),"")</f>
        <v/>
      </c>
      <c r="T608">
        <f>IF(A608=1,IFERROR(Raw_data!$AA608,""),"")</f>
        <v/>
      </c>
      <c r="U608">
        <f>IF(A608=1,IFERROR(Raw_data!$U608,""),"")</f>
        <v/>
      </c>
      <c r="V608">
        <f>IF(A608=1,IFERROR(Raw_data!$AB608,""),"")</f>
        <v/>
      </c>
    </row>
    <row r="609">
      <c r="A609">
        <f>--(AND(OR(Dashboard!$B$4="All",Raw_data!$AL609=Dashboard!$B$4),OR(Dashboard!$B$5="All",Raw_data!$AM609=Dashboard!$B$5),OR(Dashboard!$B$6="All",Raw_data!$AN609=Dashboard!$B$6),OR(Dashboard!$B$7="All",Raw_data!$AO609=Dashboard!$B$7),OR(Dashboard!$B$8="All",Raw_data!$AP609=Dashboard!$B$8),OR(Dashboard!$B$9="All",Raw_data!$AQ609=Dashboard!$B$9),OR(Dashboard!$B$10="All",Raw_data!$AF609=Dashboard!$B$10),OR(Raw_data!$F609="",Raw_data!$F609&lt;=TODAY())))</f>
        <v/>
      </c>
      <c r="B609">
        <f>IFERROR(IF(Dashboard!$B$3="Weighted",Raw_data!$U609,Raw_data!$T609),"")</f>
        <v/>
      </c>
      <c r="C609">
        <f>IFERROR(IF(Dashboard!$B$3="Weighted",Raw_data!$AB609,Raw_data!$AA609),"")</f>
        <v/>
      </c>
      <c r="D609">
        <f>IF(OR(Raw_data!$J609="",Raw_data!$J609&lt;=0,Raw_data!$K609=""),"",IF(Raw_data!$K609&gt;TODAY(),0,DATEDIF(Raw_data!$K609,TODAY(),"M")))</f>
        <v/>
      </c>
      <c r="E609">
        <f>--(AND(Raw_data!$AF609="No",OR(Raw_data!$AG609&lt;&gt;"",Raw_data!$AJ609&gt;0,Raw_data!$AK609&lt;&gt;"")))</f>
        <v/>
      </c>
      <c r="F609">
        <f>--(OR(AND(ISNUMBER(B609),B609&lt;0.5,OR(D609&gt;=24,Raw_data!$I609&gt;0)),Raw_data!$AE609=TRUE))</f>
        <v/>
      </c>
      <c r="G609">
        <f>IF(Dashboard!$B$11="Department",Raw_data!$AL609,IF(Dashboard!$B$11="Team",Raw_data!$AM609,IF(Dashboard!$B$11="Unit",Raw_data!$AN609,IF(Dashboard!$B$11="Legal entity",Raw_data!$AO609,IF(Dashboard!$B$11="Location",Raw_data!$AP609,Raw_data!$AQ609)))))</f>
        <v/>
      </c>
      <c r="H609">
        <f>--(AND(ISNUMBER(B609),B609&lt;0.5))</f>
        <v/>
      </c>
      <c r="I609">
        <f>IFERROR(MAX(0,(0.5-B609)*100),0)+IF(D609&gt;=24,20,0)+IF(Raw_data!$I609&gt;0,20,0)+IF(Raw_data!$AE609=TRUE,10,0)</f>
        <v/>
      </c>
      <c r="J609">
        <f>IFERROR(CHOOSE(MATCH(Dashboard!$B$11,{"Department","Team","Unit","Legal entity","Location","Lead"},0),INDEX(Lists!$B$3:$B$20,ROW()-1),INDEX(Lists!$C$3:$C$146,ROW()-1),INDEX(Lists!$D$3:$D$67,ROW()-1),INDEX(Lists!$E$3:$E$5,ROW()-1),INDEX(Lists!$F$3:$F$12,ROW()-1),INDEX(Lists!$G$3:$G$126,ROW()-1)),"")</f>
        <v/>
      </c>
      <c r="K609">
        <f>IF(J609="","",SUMPRODUCT(($A$2:$A$636=1)*($G$2:$G$636=J609)))</f>
        <v/>
      </c>
      <c r="L609">
        <f>IF(J609="","",SUMPRODUCT(($A$2:$A$636=1)*($G$2:$G$636=J609)*(ISNUMBER($B$2:$B$636))*($B$2:$B$636&lt;0.5)))</f>
        <v/>
      </c>
      <c r="M609">
        <f>IFERROR(L609/K609,"")</f>
        <v/>
      </c>
      <c r="N609">
        <f>IF(K609="","",M609+K609/100000+ROW()/100000000)</f>
        <v/>
      </c>
      <c r="R609">
        <f>IF(A609=1,IFERROR(I609,0)+ROW()/100000000,-1E+99)</f>
        <v/>
      </c>
      <c r="S609">
        <f>IF(A609=1,IFERROR(Raw_data!$T609,""),"")</f>
        <v/>
      </c>
      <c r="T609">
        <f>IF(A609=1,IFERROR(Raw_data!$AA609,""),"")</f>
        <v/>
      </c>
      <c r="U609">
        <f>IF(A609=1,IFERROR(Raw_data!$U609,""),"")</f>
        <v/>
      </c>
      <c r="V609">
        <f>IF(A609=1,IFERROR(Raw_data!$AB609,""),"")</f>
        <v/>
      </c>
    </row>
    <row r="610">
      <c r="A610">
        <f>--(AND(OR(Dashboard!$B$4="All",Raw_data!$AL610=Dashboard!$B$4),OR(Dashboard!$B$5="All",Raw_data!$AM610=Dashboard!$B$5),OR(Dashboard!$B$6="All",Raw_data!$AN610=Dashboard!$B$6),OR(Dashboard!$B$7="All",Raw_data!$AO610=Dashboard!$B$7),OR(Dashboard!$B$8="All",Raw_data!$AP610=Dashboard!$B$8),OR(Dashboard!$B$9="All",Raw_data!$AQ610=Dashboard!$B$9),OR(Dashboard!$B$10="All",Raw_data!$AF610=Dashboard!$B$10),OR(Raw_data!$F610="",Raw_data!$F610&lt;=TODAY())))</f>
        <v/>
      </c>
      <c r="B610">
        <f>IFERROR(IF(Dashboard!$B$3="Weighted",Raw_data!$U610,Raw_data!$T610),"")</f>
        <v/>
      </c>
      <c r="C610">
        <f>IFERROR(IF(Dashboard!$B$3="Weighted",Raw_data!$AB610,Raw_data!$AA610),"")</f>
        <v/>
      </c>
      <c r="D610">
        <f>IF(OR(Raw_data!$J610="",Raw_data!$J610&lt;=0,Raw_data!$K610=""),"",IF(Raw_data!$K610&gt;TODAY(),0,DATEDIF(Raw_data!$K610,TODAY(),"M")))</f>
        <v/>
      </c>
      <c r="E610">
        <f>--(AND(Raw_data!$AF610="No",OR(Raw_data!$AG610&lt;&gt;"",Raw_data!$AJ610&gt;0,Raw_data!$AK610&lt;&gt;"")))</f>
        <v/>
      </c>
      <c r="F610">
        <f>--(OR(AND(ISNUMBER(B610),B610&lt;0.5,OR(D610&gt;=24,Raw_data!$I610&gt;0)),Raw_data!$AE610=TRUE))</f>
        <v/>
      </c>
      <c r="G610">
        <f>IF(Dashboard!$B$11="Department",Raw_data!$AL610,IF(Dashboard!$B$11="Team",Raw_data!$AM610,IF(Dashboard!$B$11="Unit",Raw_data!$AN610,IF(Dashboard!$B$11="Legal entity",Raw_data!$AO610,IF(Dashboard!$B$11="Location",Raw_data!$AP610,Raw_data!$AQ610)))))</f>
        <v/>
      </c>
      <c r="H610">
        <f>--(AND(ISNUMBER(B610),B610&lt;0.5))</f>
        <v/>
      </c>
      <c r="I610">
        <f>IFERROR(MAX(0,(0.5-B610)*100),0)+IF(D610&gt;=24,20,0)+IF(Raw_data!$I610&gt;0,20,0)+IF(Raw_data!$AE610=TRUE,10,0)</f>
        <v/>
      </c>
      <c r="J610">
        <f>IFERROR(CHOOSE(MATCH(Dashboard!$B$11,{"Department","Team","Unit","Legal entity","Location","Lead"},0),INDEX(Lists!$B$3:$B$20,ROW()-1),INDEX(Lists!$C$3:$C$146,ROW()-1),INDEX(Lists!$D$3:$D$67,ROW()-1),INDEX(Lists!$E$3:$E$5,ROW()-1),INDEX(Lists!$F$3:$F$12,ROW()-1),INDEX(Lists!$G$3:$G$126,ROW()-1)),"")</f>
        <v/>
      </c>
      <c r="K610">
        <f>IF(J610="","",SUMPRODUCT(($A$2:$A$636=1)*($G$2:$G$636=J610)))</f>
        <v/>
      </c>
      <c r="L610">
        <f>IF(J610="","",SUMPRODUCT(($A$2:$A$636=1)*($G$2:$G$636=J610)*(ISNUMBER($B$2:$B$636))*($B$2:$B$636&lt;0.5)))</f>
        <v/>
      </c>
      <c r="M610">
        <f>IFERROR(L610/K610,"")</f>
        <v/>
      </c>
      <c r="N610">
        <f>IF(K610="","",M610+K610/100000+ROW()/100000000)</f>
        <v/>
      </c>
      <c r="R610">
        <f>IF(A610=1,IFERROR(I610,0)+ROW()/100000000,-1E+99)</f>
        <v/>
      </c>
      <c r="S610">
        <f>IF(A610=1,IFERROR(Raw_data!$T610,""),"")</f>
        <v/>
      </c>
      <c r="T610">
        <f>IF(A610=1,IFERROR(Raw_data!$AA610,""),"")</f>
        <v/>
      </c>
      <c r="U610">
        <f>IF(A610=1,IFERROR(Raw_data!$U610,""),"")</f>
        <v/>
      </c>
      <c r="V610">
        <f>IF(A610=1,IFERROR(Raw_data!$AB610,""),"")</f>
        <v/>
      </c>
    </row>
    <row r="611">
      <c r="A611">
        <f>--(AND(OR(Dashboard!$B$4="All",Raw_data!$AL611=Dashboard!$B$4),OR(Dashboard!$B$5="All",Raw_data!$AM611=Dashboard!$B$5),OR(Dashboard!$B$6="All",Raw_data!$AN611=Dashboard!$B$6),OR(Dashboard!$B$7="All",Raw_data!$AO611=Dashboard!$B$7),OR(Dashboard!$B$8="All",Raw_data!$AP611=Dashboard!$B$8),OR(Dashboard!$B$9="All",Raw_data!$AQ611=Dashboard!$B$9),OR(Dashboard!$B$10="All",Raw_data!$AF611=Dashboard!$B$10),OR(Raw_data!$F611="",Raw_data!$F611&lt;=TODAY())))</f>
        <v/>
      </c>
      <c r="B611">
        <f>IFERROR(IF(Dashboard!$B$3="Weighted",Raw_data!$U611,Raw_data!$T611),"")</f>
        <v/>
      </c>
      <c r="C611">
        <f>IFERROR(IF(Dashboard!$B$3="Weighted",Raw_data!$AB611,Raw_data!$AA611),"")</f>
        <v/>
      </c>
      <c r="D611">
        <f>IF(OR(Raw_data!$J611="",Raw_data!$J611&lt;=0,Raw_data!$K611=""),"",IF(Raw_data!$K611&gt;TODAY(),0,DATEDIF(Raw_data!$K611,TODAY(),"M")))</f>
        <v/>
      </c>
      <c r="E611">
        <f>--(AND(Raw_data!$AF611="No",OR(Raw_data!$AG611&lt;&gt;"",Raw_data!$AJ611&gt;0,Raw_data!$AK611&lt;&gt;"")))</f>
        <v/>
      </c>
      <c r="F611">
        <f>--(OR(AND(ISNUMBER(B611),B611&lt;0.5,OR(D611&gt;=24,Raw_data!$I611&gt;0)),Raw_data!$AE611=TRUE))</f>
        <v/>
      </c>
      <c r="G611">
        <f>IF(Dashboard!$B$11="Department",Raw_data!$AL611,IF(Dashboard!$B$11="Team",Raw_data!$AM611,IF(Dashboard!$B$11="Unit",Raw_data!$AN611,IF(Dashboard!$B$11="Legal entity",Raw_data!$AO611,IF(Dashboard!$B$11="Location",Raw_data!$AP611,Raw_data!$AQ611)))))</f>
        <v/>
      </c>
      <c r="H611">
        <f>--(AND(ISNUMBER(B611),B611&lt;0.5))</f>
        <v/>
      </c>
      <c r="I611">
        <f>IFERROR(MAX(0,(0.5-B611)*100),0)+IF(D611&gt;=24,20,0)+IF(Raw_data!$I611&gt;0,20,0)+IF(Raw_data!$AE611=TRUE,10,0)</f>
        <v/>
      </c>
      <c r="J611">
        <f>IFERROR(CHOOSE(MATCH(Dashboard!$B$11,{"Department","Team","Unit","Legal entity","Location","Lead"},0),INDEX(Lists!$B$3:$B$20,ROW()-1),INDEX(Lists!$C$3:$C$146,ROW()-1),INDEX(Lists!$D$3:$D$67,ROW()-1),INDEX(Lists!$E$3:$E$5,ROW()-1),INDEX(Lists!$F$3:$F$12,ROW()-1),INDEX(Lists!$G$3:$G$126,ROW()-1)),"")</f>
        <v/>
      </c>
      <c r="K611">
        <f>IF(J611="","",SUMPRODUCT(($A$2:$A$636=1)*($G$2:$G$636=J611)))</f>
        <v/>
      </c>
      <c r="L611">
        <f>IF(J611="","",SUMPRODUCT(($A$2:$A$636=1)*($G$2:$G$636=J611)*(ISNUMBER($B$2:$B$636))*($B$2:$B$636&lt;0.5)))</f>
        <v/>
      </c>
      <c r="M611">
        <f>IFERROR(L611/K611,"")</f>
        <v/>
      </c>
      <c r="N611">
        <f>IF(K611="","",M611+K611/100000+ROW()/100000000)</f>
        <v/>
      </c>
      <c r="R611">
        <f>IF(A611=1,IFERROR(I611,0)+ROW()/100000000,-1E+99)</f>
        <v/>
      </c>
      <c r="S611">
        <f>IF(A611=1,IFERROR(Raw_data!$T611,""),"")</f>
        <v/>
      </c>
      <c r="T611">
        <f>IF(A611=1,IFERROR(Raw_data!$AA611,""),"")</f>
        <v/>
      </c>
      <c r="U611">
        <f>IF(A611=1,IFERROR(Raw_data!$U611,""),"")</f>
        <v/>
      </c>
      <c r="V611">
        <f>IF(A611=1,IFERROR(Raw_data!$AB611,""),"")</f>
        <v/>
      </c>
    </row>
    <row r="612">
      <c r="A612">
        <f>--(AND(OR(Dashboard!$B$4="All",Raw_data!$AL612=Dashboard!$B$4),OR(Dashboard!$B$5="All",Raw_data!$AM612=Dashboard!$B$5),OR(Dashboard!$B$6="All",Raw_data!$AN612=Dashboard!$B$6),OR(Dashboard!$B$7="All",Raw_data!$AO612=Dashboard!$B$7),OR(Dashboard!$B$8="All",Raw_data!$AP612=Dashboard!$B$8),OR(Dashboard!$B$9="All",Raw_data!$AQ612=Dashboard!$B$9),OR(Dashboard!$B$10="All",Raw_data!$AF612=Dashboard!$B$10),OR(Raw_data!$F612="",Raw_data!$F612&lt;=TODAY())))</f>
        <v/>
      </c>
      <c r="B612">
        <f>IFERROR(IF(Dashboard!$B$3="Weighted",Raw_data!$U612,Raw_data!$T612),"")</f>
        <v/>
      </c>
      <c r="C612">
        <f>IFERROR(IF(Dashboard!$B$3="Weighted",Raw_data!$AB612,Raw_data!$AA612),"")</f>
        <v/>
      </c>
      <c r="D612">
        <f>IF(OR(Raw_data!$J612="",Raw_data!$J612&lt;=0,Raw_data!$K612=""),"",IF(Raw_data!$K612&gt;TODAY(),0,DATEDIF(Raw_data!$K612,TODAY(),"M")))</f>
        <v/>
      </c>
      <c r="E612">
        <f>--(AND(Raw_data!$AF612="No",OR(Raw_data!$AG612&lt;&gt;"",Raw_data!$AJ612&gt;0,Raw_data!$AK612&lt;&gt;"")))</f>
        <v/>
      </c>
      <c r="F612">
        <f>--(OR(AND(ISNUMBER(B612),B612&lt;0.5,OR(D612&gt;=24,Raw_data!$I612&gt;0)),Raw_data!$AE612=TRUE))</f>
        <v/>
      </c>
      <c r="G612">
        <f>IF(Dashboard!$B$11="Department",Raw_data!$AL612,IF(Dashboard!$B$11="Team",Raw_data!$AM612,IF(Dashboard!$B$11="Unit",Raw_data!$AN612,IF(Dashboard!$B$11="Legal entity",Raw_data!$AO612,IF(Dashboard!$B$11="Location",Raw_data!$AP612,Raw_data!$AQ612)))))</f>
        <v/>
      </c>
      <c r="H612">
        <f>--(AND(ISNUMBER(B612),B612&lt;0.5))</f>
        <v/>
      </c>
      <c r="I612">
        <f>IFERROR(MAX(0,(0.5-B612)*100),0)+IF(D612&gt;=24,20,0)+IF(Raw_data!$I612&gt;0,20,0)+IF(Raw_data!$AE612=TRUE,10,0)</f>
        <v/>
      </c>
      <c r="J612">
        <f>IFERROR(CHOOSE(MATCH(Dashboard!$B$11,{"Department","Team","Unit","Legal entity","Location","Lead"},0),INDEX(Lists!$B$3:$B$20,ROW()-1),INDEX(Lists!$C$3:$C$146,ROW()-1),INDEX(Lists!$D$3:$D$67,ROW()-1),INDEX(Lists!$E$3:$E$5,ROW()-1),INDEX(Lists!$F$3:$F$12,ROW()-1),INDEX(Lists!$G$3:$G$126,ROW()-1)),"")</f>
        <v/>
      </c>
      <c r="K612">
        <f>IF(J612="","",SUMPRODUCT(($A$2:$A$636=1)*($G$2:$G$636=J612)))</f>
        <v/>
      </c>
      <c r="L612">
        <f>IF(J612="","",SUMPRODUCT(($A$2:$A$636=1)*($G$2:$G$636=J612)*(ISNUMBER($B$2:$B$636))*($B$2:$B$636&lt;0.5)))</f>
        <v/>
      </c>
      <c r="M612">
        <f>IFERROR(L612/K612,"")</f>
        <v/>
      </c>
      <c r="N612">
        <f>IF(K612="","",M612+K612/100000+ROW()/100000000)</f>
        <v/>
      </c>
      <c r="R612">
        <f>IF(A612=1,IFERROR(I612,0)+ROW()/100000000,-1E+99)</f>
        <v/>
      </c>
      <c r="S612">
        <f>IF(A612=1,IFERROR(Raw_data!$T612,""),"")</f>
        <v/>
      </c>
      <c r="T612">
        <f>IF(A612=1,IFERROR(Raw_data!$AA612,""),"")</f>
        <v/>
      </c>
      <c r="U612">
        <f>IF(A612=1,IFERROR(Raw_data!$U612,""),"")</f>
        <v/>
      </c>
      <c r="V612">
        <f>IF(A612=1,IFERROR(Raw_data!$AB612,""),"")</f>
        <v/>
      </c>
    </row>
    <row r="613">
      <c r="A613">
        <f>--(AND(OR(Dashboard!$B$4="All",Raw_data!$AL613=Dashboard!$B$4),OR(Dashboard!$B$5="All",Raw_data!$AM613=Dashboard!$B$5),OR(Dashboard!$B$6="All",Raw_data!$AN613=Dashboard!$B$6),OR(Dashboard!$B$7="All",Raw_data!$AO613=Dashboard!$B$7),OR(Dashboard!$B$8="All",Raw_data!$AP613=Dashboard!$B$8),OR(Dashboard!$B$9="All",Raw_data!$AQ613=Dashboard!$B$9),OR(Dashboard!$B$10="All",Raw_data!$AF613=Dashboard!$B$10),OR(Raw_data!$F613="",Raw_data!$F613&lt;=TODAY())))</f>
        <v/>
      </c>
      <c r="B613">
        <f>IFERROR(IF(Dashboard!$B$3="Weighted",Raw_data!$U613,Raw_data!$T613),"")</f>
        <v/>
      </c>
      <c r="C613">
        <f>IFERROR(IF(Dashboard!$B$3="Weighted",Raw_data!$AB613,Raw_data!$AA613),"")</f>
        <v/>
      </c>
      <c r="D613">
        <f>IF(OR(Raw_data!$J613="",Raw_data!$J613&lt;=0,Raw_data!$K613=""),"",IF(Raw_data!$K613&gt;TODAY(),0,DATEDIF(Raw_data!$K613,TODAY(),"M")))</f>
        <v/>
      </c>
      <c r="E613">
        <f>--(AND(Raw_data!$AF613="No",OR(Raw_data!$AG613&lt;&gt;"",Raw_data!$AJ613&gt;0,Raw_data!$AK613&lt;&gt;"")))</f>
        <v/>
      </c>
      <c r="F613">
        <f>--(OR(AND(ISNUMBER(B613),B613&lt;0.5,OR(D613&gt;=24,Raw_data!$I613&gt;0)),Raw_data!$AE613=TRUE))</f>
        <v/>
      </c>
      <c r="G613">
        <f>IF(Dashboard!$B$11="Department",Raw_data!$AL613,IF(Dashboard!$B$11="Team",Raw_data!$AM613,IF(Dashboard!$B$11="Unit",Raw_data!$AN613,IF(Dashboard!$B$11="Legal entity",Raw_data!$AO613,IF(Dashboard!$B$11="Location",Raw_data!$AP613,Raw_data!$AQ613)))))</f>
        <v/>
      </c>
      <c r="H613">
        <f>--(AND(ISNUMBER(B613),B613&lt;0.5))</f>
        <v/>
      </c>
      <c r="I613">
        <f>IFERROR(MAX(0,(0.5-B613)*100),0)+IF(D613&gt;=24,20,0)+IF(Raw_data!$I613&gt;0,20,0)+IF(Raw_data!$AE613=TRUE,10,0)</f>
        <v/>
      </c>
      <c r="J613">
        <f>IFERROR(CHOOSE(MATCH(Dashboard!$B$11,{"Department","Team","Unit","Legal entity","Location","Lead"},0),INDEX(Lists!$B$3:$B$20,ROW()-1),INDEX(Lists!$C$3:$C$146,ROW()-1),INDEX(Lists!$D$3:$D$67,ROW()-1),INDEX(Lists!$E$3:$E$5,ROW()-1),INDEX(Lists!$F$3:$F$12,ROW()-1),INDEX(Lists!$G$3:$G$126,ROW()-1)),"")</f>
        <v/>
      </c>
      <c r="K613">
        <f>IF(J613="","",SUMPRODUCT(($A$2:$A$636=1)*($G$2:$G$636=J613)))</f>
        <v/>
      </c>
      <c r="L613">
        <f>IF(J613="","",SUMPRODUCT(($A$2:$A$636=1)*($G$2:$G$636=J613)*(ISNUMBER($B$2:$B$636))*($B$2:$B$636&lt;0.5)))</f>
        <v/>
      </c>
      <c r="M613">
        <f>IFERROR(L613/K613,"")</f>
        <v/>
      </c>
      <c r="N613">
        <f>IF(K613="","",M613+K613/100000+ROW()/100000000)</f>
        <v/>
      </c>
      <c r="R613">
        <f>IF(A613=1,IFERROR(I613,0)+ROW()/100000000,-1E+99)</f>
        <v/>
      </c>
      <c r="S613">
        <f>IF(A613=1,IFERROR(Raw_data!$T613,""),"")</f>
        <v/>
      </c>
      <c r="T613">
        <f>IF(A613=1,IFERROR(Raw_data!$AA613,""),"")</f>
        <v/>
      </c>
      <c r="U613">
        <f>IF(A613=1,IFERROR(Raw_data!$U613,""),"")</f>
        <v/>
      </c>
      <c r="V613">
        <f>IF(A613=1,IFERROR(Raw_data!$AB613,""),"")</f>
        <v/>
      </c>
    </row>
    <row r="614">
      <c r="A614">
        <f>--(AND(OR(Dashboard!$B$4="All",Raw_data!$AL614=Dashboard!$B$4),OR(Dashboard!$B$5="All",Raw_data!$AM614=Dashboard!$B$5),OR(Dashboard!$B$6="All",Raw_data!$AN614=Dashboard!$B$6),OR(Dashboard!$B$7="All",Raw_data!$AO614=Dashboard!$B$7),OR(Dashboard!$B$8="All",Raw_data!$AP614=Dashboard!$B$8),OR(Dashboard!$B$9="All",Raw_data!$AQ614=Dashboard!$B$9),OR(Dashboard!$B$10="All",Raw_data!$AF614=Dashboard!$B$10),OR(Raw_data!$F614="",Raw_data!$F614&lt;=TODAY())))</f>
        <v/>
      </c>
      <c r="B614">
        <f>IFERROR(IF(Dashboard!$B$3="Weighted",Raw_data!$U614,Raw_data!$T614),"")</f>
        <v/>
      </c>
      <c r="C614">
        <f>IFERROR(IF(Dashboard!$B$3="Weighted",Raw_data!$AB614,Raw_data!$AA614),"")</f>
        <v/>
      </c>
      <c r="D614">
        <f>IF(OR(Raw_data!$J614="",Raw_data!$J614&lt;=0,Raw_data!$K614=""),"",IF(Raw_data!$K614&gt;TODAY(),0,DATEDIF(Raw_data!$K614,TODAY(),"M")))</f>
        <v/>
      </c>
      <c r="E614">
        <f>--(AND(Raw_data!$AF614="No",OR(Raw_data!$AG614&lt;&gt;"",Raw_data!$AJ614&gt;0,Raw_data!$AK614&lt;&gt;"")))</f>
        <v/>
      </c>
      <c r="F614">
        <f>--(OR(AND(ISNUMBER(B614),B614&lt;0.5,OR(D614&gt;=24,Raw_data!$I614&gt;0)),Raw_data!$AE614=TRUE))</f>
        <v/>
      </c>
      <c r="G614">
        <f>IF(Dashboard!$B$11="Department",Raw_data!$AL614,IF(Dashboard!$B$11="Team",Raw_data!$AM614,IF(Dashboard!$B$11="Unit",Raw_data!$AN614,IF(Dashboard!$B$11="Legal entity",Raw_data!$AO614,IF(Dashboard!$B$11="Location",Raw_data!$AP614,Raw_data!$AQ614)))))</f>
        <v/>
      </c>
      <c r="H614">
        <f>--(AND(ISNUMBER(B614),B614&lt;0.5))</f>
        <v/>
      </c>
      <c r="I614">
        <f>IFERROR(MAX(0,(0.5-B614)*100),0)+IF(D614&gt;=24,20,0)+IF(Raw_data!$I614&gt;0,20,0)+IF(Raw_data!$AE614=TRUE,10,0)</f>
        <v/>
      </c>
      <c r="J614">
        <f>IFERROR(CHOOSE(MATCH(Dashboard!$B$11,{"Department","Team","Unit","Legal entity","Location","Lead"},0),INDEX(Lists!$B$3:$B$20,ROW()-1),INDEX(Lists!$C$3:$C$146,ROW()-1),INDEX(Lists!$D$3:$D$67,ROW()-1),INDEX(Lists!$E$3:$E$5,ROW()-1),INDEX(Lists!$F$3:$F$12,ROW()-1),INDEX(Lists!$G$3:$G$126,ROW()-1)),"")</f>
        <v/>
      </c>
      <c r="K614">
        <f>IF(J614="","",SUMPRODUCT(($A$2:$A$636=1)*($G$2:$G$636=J614)))</f>
        <v/>
      </c>
      <c r="L614">
        <f>IF(J614="","",SUMPRODUCT(($A$2:$A$636=1)*($G$2:$G$636=J614)*(ISNUMBER($B$2:$B$636))*($B$2:$B$636&lt;0.5)))</f>
        <v/>
      </c>
      <c r="M614">
        <f>IFERROR(L614/K614,"")</f>
        <v/>
      </c>
      <c r="N614">
        <f>IF(K614="","",M614+K614/100000+ROW()/100000000)</f>
        <v/>
      </c>
      <c r="R614">
        <f>IF(A614=1,IFERROR(I614,0)+ROW()/100000000,-1E+99)</f>
        <v/>
      </c>
      <c r="S614">
        <f>IF(A614=1,IFERROR(Raw_data!$T614,""),"")</f>
        <v/>
      </c>
      <c r="T614">
        <f>IF(A614=1,IFERROR(Raw_data!$AA614,""),"")</f>
        <v/>
      </c>
      <c r="U614">
        <f>IF(A614=1,IFERROR(Raw_data!$U614,""),"")</f>
        <v/>
      </c>
      <c r="V614">
        <f>IF(A614=1,IFERROR(Raw_data!$AB614,""),"")</f>
        <v/>
      </c>
    </row>
    <row r="615">
      <c r="A615">
        <f>--(AND(OR(Dashboard!$B$4="All",Raw_data!$AL615=Dashboard!$B$4),OR(Dashboard!$B$5="All",Raw_data!$AM615=Dashboard!$B$5),OR(Dashboard!$B$6="All",Raw_data!$AN615=Dashboard!$B$6),OR(Dashboard!$B$7="All",Raw_data!$AO615=Dashboard!$B$7),OR(Dashboard!$B$8="All",Raw_data!$AP615=Dashboard!$B$8),OR(Dashboard!$B$9="All",Raw_data!$AQ615=Dashboard!$B$9),OR(Dashboard!$B$10="All",Raw_data!$AF615=Dashboard!$B$10),OR(Raw_data!$F615="",Raw_data!$F615&lt;=TODAY())))</f>
        <v/>
      </c>
      <c r="B615">
        <f>IFERROR(IF(Dashboard!$B$3="Weighted",Raw_data!$U615,Raw_data!$T615),"")</f>
        <v/>
      </c>
      <c r="C615">
        <f>IFERROR(IF(Dashboard!$B$3="Weighted",Raw_data!$AB615,Raw_data!$AA615),"")</f>
        <v/>
      </c>
      <c r="D615">
        <f>IF(OR(Raw_data!$J615="",Raw_data!$J615&lt;=0,Raw_data!$K615=""),"",IF(Raw_data!$K615&gt;TODAY(),0,DATEDIF(Raw_data!$K615,TODAY(),"M")))</f>
        <v/>
      </c>
      <c r="E615">
        <f>--(AND(Raw_data!$AF615="No",OR(Raw_data!$AG615&lt;&gt;"",Raw_data!$AJ615&gt;0,Raw_data!$AK615&lt;&gt;"")))</f>
        <v/>
      </c>
      <c r="F615">
        <f>--(OR(AND(ISNUMBER(B615),B615&lt;0.5,OR(D615&gt;=24,Raw_data!$I615&gt;0)),Raw_data!$AE615=TRUE))</f>
        <v/>
      </c>
      <c r="G615">
        <f>IF(Dashboard!$B$11="Department",Raw_data!$AL615,IF(Dashboard!$B$11="Team",Raw_data!$AM615,IF(Dashboard!$B$11="Unit",Raw_data!$AN615,IF(Dashboard!$B$11="Legal entity",Raw_data!$AO615,IF(Dashboard!$B$11="Location",Raw_data!$AP615,Raw_data!$AQ615)))))</f>
        <v/>
      </c>
      <c r="H615">
        <f>--(AND(ISNUMBER(B615),B615&lt;0.5))</f>
        <v/>
      </c>
      <c r="I615">
        <f>IFERROR(MAX(0,(0.5-B615)*100),0)+IF(D615&gt;=24,20,0)+IF(Raw_data!$I615&gt;0,20,0)+IF(Raw_data!$AE615=TRUE,10,0)</f>
        <v/>
      </c>
      <c r="J615">
        <f>IFERROR(CHOOSE(MATCH(Dashboard!$B$11,{"Department","Team","Unit","Legal entity","Location","Lead"},0),INDEX(Lists!$B$3:$B$20,ROW()-1),INDEX(Lists!$C$3:$C$146,ROW()-1),INDEX(Lists!$D$3:$D$67,ROW()-1),INDEX(Lists!$E$3:$E$5,ROW()-1),INDEX(Lists!$F$3:$F$12,ROW()-1),INDEX(Lists!$G$3:$G$126,ROW()-1)),"")</f>
        <v/>
      </c>
      <c r="K615">
        <f>IF(J615="","",SUMPRODUCT(($A$2:$A$636=1)*($G$2:$G$636=J615)))</f>
        <v/>
      </c>
      <c r="L615">
        <f>IF(J615="","",SUMPRODUCT(($A$2:$A$636=1)*($G$2:$G$636=J615)*(ISNUMBER($B$2:$B$636))*($B$2:$B$636&lt;0.5)))</f>
        <v/>
      </c>
      <c r="M615">
        <f>IFERROR(L615/K615,"")</f>
        <v/>
      </c>
      <c r="N615">
        <f>IF(K615="","",M615+K615/100000+ROW()/100000000)</f>
        <v/>
      </c>
      <c r="R615">
        <f>IF(A615=1,IFERROR(I615,0)+ROW()/100000000,-1E+99)</f>
        <v/>
      </c>
      <c r="S615">
        <f>IF(A615=1,IFERROR(Raw_data!$T615,""),"")</f>
        <v/>
      </c>
      <c r="T615">
        <f>IF(A615=1,IFERROR(Raw_data!$AA615,""),"")</f>
        <v/>
      </c>
      <c r="U615">
        <f>IF(A615=1,IFERROR(Raw_data!$U615,""),"")</f>
        <v/>
      </c>
      <c r="V615">
        <f>IF(A615=1,IFERROR(Raw_data!$AB615,""),"")</f>
        <v/>
      </c>
    </row>
    <row r="616">
      <c r="A616">
        <f>--(AND(OR(Dashboard!$B$4="All",Raw_data!$AL616=Dashboard!$B$4),OR(Dashboard!$B$5="All",Raw_data!$AM616=Dashboard!$B$5),OR(Dashboard!$B$6="All",Raw_data!$AN616=Dashboard!$B$6),OR(Dashboard!$B$7="All",Raw_data!$AO616=Dashboard!$B$7),OR(Dashboard!$B$8="All",Raw_data!$AP616=Dashboard!$B$8),OR(Dashboard!$B$9="All",Raw_data!$AQ616=Dashboard!$B$9),OR(Dashboard!$B$10="All",Raw_data!$AF616=Dashboard!$B$10),OR(Raw_data!$F616="",Raw_data!$F616&lt;=TODAY())))</f>
        <v/>
      </c>
      <c r="B616">
        <f>IFERROR(IF(Dashboard!$B$3="Weighted",Raw_data!$U616,Raw_data!$T616),"")</f>
        <v/>
      </c>
      <c r="C616">
        <f>IFERROR(IF(Dashboard!$B$3="Weighted",Raw_data!$AB616,Raw_data!$AA616),"")</f>
        <v/>
      </c>
      <c r="D616">
        <f>IF(OR(Raw_data!$J616="",Raw_data!$J616&lt;=0,Raw_data!$K616=""),"",IF(Raw_data!$K616&gt;TODAY(),0,DATEDIF(Raw_data!$K616,TODAY(),"M")))</f>
        <v/>
      </c>
      <c r="E616">
        <f>--(AND(Raw_data!$AF616="No",OR(Raw_data!$AG616&lt;&gt;"",Raw_data!$AJ616&gt;0,Raw_data!$AK616&lt;&gt;"")))</f>
        <v/>
      </c>
      <c r="F616">
        <f>--(OR(AND(ISNUMBER(B616),B616&lt;0.5,OR(D616&gt;=24,Raw_data!$I616&gt;0)),Raw_data!$AE616=TRUE))</f>
        <v/>
      </c>
      <c r="G616">
        <f>IF(Dashboard!$B$11="Department",Raw_data!$AL616,IF(Dashboard!$B$11="Team",Raw_data!$AM616,IF(Dashboard!$B$11="Unit",Raw_data!$AN616,IF(Dashboard!$B$11="Legal entity",Raw_data!$AO616,IF(Dashboard!$B$11="Location",Raw_data!$AP616,Raw_data!$AQ616)))))</f>
        <v/>
      </c>
      <c r="H616">
        <f>--(AND(ISNUMBER(B616),B616&lt;0.5))</f>
        <v/>
      </c>
      <c r="I616">
        <f>IFERROR(MAX(0,(0.5-B616)*100),0)+IF(D616&gt;=24,20,0)+IF(Raw_data!$I616&gt;0,20,0)+IF(Raw_data!$AE616=TRUE,10,0)</f>
        <v/>
      </c>
      <c r="J616">
        <f>IFERROR(CHOOSE(MATCH(Dashboard!$B$11,{"Department","Team","Unit","Legal entity","Location","Lead"},0),INDEX(Lists!$B$3:$B$20,ROW()-1),INDEX(Lists!$C$3:$C$146,ROW()-1),INDEX(Lists!$D$3:$D$67,ROW()-1),INDEX(Lists!$E$3:$E$5,ROW()-1),INDEX(Lists!$F$3:$F$12,ROW()-1),INDEX(Lists!$G$3:$G$126,ROW()-1)),"")</f>
        <v/>
      </c>
      <c r="K616">
        <f>IF(J616="","",SUMPRODUCT(($A$2:$A$636=1)*($G$2:$G$636=J616)))</f>
        <v/>
      </c>
      <c r="L616">
        <f>IF(J616="","",SUMPRODUCT(($A$2:$A$636=1)*($G$2:$G$636=J616)*(ISNUMBER($B$2:$B$636))*($B$2:$B$636&lt;0.5)))</f>
        <v/>
      </c>
      <c r="M616">
        <f>IFERROR(L616/K616,"")</f>
        <v/>
      </c>
      <c r="N616">
        <f>IF(K616="","",M616+K616/100000+ROW()/100000000)</f>
        <v/>
      </c>
      <c r="R616">
        <f>IF(A616=1,IFERROR(I616,0)+ROW()/100000000,-1E+99)</f>
        <v/>
      </c>
      <c r="S616">
        <f>IF(A616=1,IFERROR(Raw_data!$T616,""),"")</f>
        <v/>
      </c>
      <c r="T616">
        <f>IF(A616=1,IFERROR(Raw_data!$AA616,""),"")</f>
        <v/>
      </c>
      <c r="U616">
        <f>IF(A616=1,IFERROR(Raw_data!$U616,""),"")</f>
        <v/>
      </c>
      <c r="V616">
        <f>IF(A616=1,IFERROR(Raw_data!$AB616,""),"")</f>
        <v/>
      </c>
    </row>
    <row r="617">
      <c r="A617">
        <f>--(AND(OR(Dashboard!$B$4="All",Raw_data!$AL617=Dashboard!$B$4),OR(Dashboard!$B$5="All",Raw_data!$AM617=Dashboard!$B$5),OR(Dashboard!$B$6="All",Raw_data!$AN617=Dashboard!$B$6),OR(Dashboard!$B$7="All",Raw_data!$AO617=Dashboard!$B$7),OR(Dashboard!$B$8="All",Raw_data!$AP617=Dashboard!$B$8),OR(Dashboard!$B$9="All",Raw_data!$AQ617=Dashboard!$B$9),OR(Dashboard!$B$10="All",Raw_data!$AF617=Dashboard!$B$10),OR(Raw_data!$F617="",Raw_data!$F617&lt;=TODAY())))</f>
        <v/>
      </c>
      <c r="B617">
        <f>IFERROR(IF(Dashboard!$B$3="Weighted",Raw_data!$U617,Raw_data!$T617),"")</f>
        <v/>
      </c>
      <c r="C617">
        <f>IFERROR(IF(Dashboard!$B$3="Weighted",Raw_data!$AB617,Raw_data!$AA617),"")</f>
        <v/>
      </c>
      <c r="D617">
        <f>IF(OR(Raw_data!$J617="",Raw_data!$J617&lt;=0,Raw_data!$K617=""),"",IF(Raw_data!$K617&gt;TODAY(),0,DATEDIF(Raw_data!$K617,TODAY(),"M")))</f>
        <v/>
      </c>
      <c r="E617">
        <f>--(AND(Raw_data!$AF617="No",OR(Raw_data!$AG617&lt;&gt;"",Raw_data!$AJ617&gt;0,Raw_data!$AK617&lt;&gt;"")))</f>
        <v/>
      </c>
      <c r="F617">
        <f>--(OR(AND(ISNUMBER(B617),B617&lt;0.5,OR(D617&gt;=24,Raw_data!$I617&gt;0)),Raw_data!$AE617=TRUE))</f>
        <v/>
      </c>
      <c r="G617">
        <f>IF(Dashboard!$B$11="Department",Raw_data!$AL617,IF(Dashboard!$B$11="Team",Raw_data!$AM617,IF(Dashboard!$B$11="Unit",Raw_data!$AN617,IF(Dashboard!$B$11="Legal entity",Raw_data!$AO617,IF(Dashboard!$B$11="Location",Raw_data!$AP617,Raw_data!$AQ617)))))</f>
        <v/>
      </c>
      <c r="H617">
        <f>--(AND(ISNUMBER(B617),B617&lt;0.5))</f>
        <v/>
      </c>
      <c r="I617">
        <f>IFERROR(MAX(0,(0.5-B617)*100),0)+IF(D617&gt;=24,20,0)+IF(Raw_data!$I617&gt;0,20,0)+IF(Raw_data!$AE617=TRUE,10,0)</f>
        <v/>
      </c>
      <c r="J617">
        <f>IFERROR(CHOOSE(MATCH(Dashboard!$B$11,{"Department","Team","Unit","Legal entity","Location","Lead"},0),INDEX(Lists!$B$3:$B$20,ROW()-1),INDEX(Lists!$C$3:$C$146,ROW()-1),INDEX(Lists!$D$3:$D$67,ROW()-1),INDEX(Lists!$E$3:$E$5,ROW()-1),INDEX(Lists!$F$3:$F$12,ROW()-1),INDEX(Lists!$G$3:$G$126,ROW()-1)),"")</f>
        <v/>
      </c>
      <c r="K617">
        <f>IF(J617="","",SUMPRODUCT(($A$2:$A$636=1)*($G$2:$G$636=J617)))</f>
        <v/>
      </c>
      <c r="L617">
        <f>IF(J617="","",SUMPRODUCT(($A$2:$A$636=1)*($G$2:$G$636=J617)*(ISNUMBER($B$2:$B$636))*($B$2:$B$636&lt;0.5)))</f>
        <v/>
      </c>
      <c r="M617">
        <f>IFERROR(L617/K617,"")</f>
        <v/>
      </c>
      <c r="N617">
        <f>IF(K617="","",M617+K617/100000+ROW()/100000000)</f>
        <v/>
      </c>
      <c r="R617">
        <f>IF(A617=1,IFERROR(I617,0)+ROW()/100000000,-1E+99)</f>
        <v/>
      </c>
      <c r="S617">
        <f>IF(A617=1,IFERROR(Raw_data!$T617,""),"")</f>
        <v/>
      </c>
      <c r="T617">
        <f>IF(A617=1,IFERROR(Raw_data!$AA617,""),"")</f>
        <v/>
      </c>
      <c r="U617">
        <f>IF(A617=1,IFERROR(Raw_data!$U617,""),"")</f>
        <v/>
      </c>
      <c r="V617">
        <f>IF(A617=1,IFERROR(Raw_data!$AB617,""),"")</f>
        <v/>
      </c>
    </row>
    <row r="618">
      <c r="A618">
        <f>--(AND(OR(Dashboard!$B$4="All",Raw_data!$AL618=Dashboard!$B$4),OR(Dashboard!$B$5="All",Raw_data!$AM618=Dashboard!$B$5),OR(Dashboard!$B$6="All",Raw_data!$AN618=Dashboard!$B$6),OR(Dashboard!$B$7="All",Raw_data!$AO618=Dashboard!$B$7),OR(Dashboard!$B$8="All",Raw_data!$AP618=Dashboard!$B$8),OR(Dashboard!$B$9="All",Raw_data!$AQ618=Dashboard!$B$9),OR(Dashboard!$B$10="All",Raw_data!$AF618=Dashboard!$B$10),OR(Raw_data!$F618="",Raw_data!$F618&lt;=TODAY())))</f>
        <v/>
      </c>
      <c r="B618">
        <f>IFERROR(IF(Dashboard!$B$3="Weighted",Raw_data!$U618,Raw_data!$T618),"")</f>
        <v/>
      </c>
      <c r="C618">
        <f>IFERROR(IF(Dashboard!$B$3="Weighted",Raw_data!$AB618,Raw_data!$AA618),"")</f>
        <v/>
      </c>
      <c r="D618">
        <f>IF(OR(Raw_data!$J618="",Raw_data!$J618&lt;=0,Raw_data!$K618=""),"",IF(Raw_data!$K618&gt;TODAY(),0,DATEDIF(Raw_data!$K618,TODAY(),"M")))</f>
        <v/>
      </c>
      <c r="E618">
        <f>--(AND(Raw_data!$AF618="No",OR(Raw_data!$AG618&lt;&gt;"",Raw_data!$AJ618&gt;0,Raw_data!$AK618&lt;&gt;"")))</f>
        <v/>
      </c>
      <c r="F618">
        <f>--(OR(AND(ISNUMBER(B618),B618&lt;0.5,OR(D618&gt;=24,Raw_data!$I618&gt;0)),Raw_data!$AE618=TRUE))</f>
        <v/>
      </c>
      <c r="G618">
        <f>IF(Dashboard!$B$11="Department",Raw_data!$AL618,IF(Dashboard!$B$11="Team",Raw_data!$AM618,IF(Dashboard!$B$11="Unit",Raw_data!$AN618,IF(Dashboard!$B$11="Legal entity",Raw_data!$AO618,IF(Dashboard!$B$11="Location",Raw_data!$AP618,Raw_data!$AQ618)))))</f>
        <v/>
      </c>
      <c r="H618">
        <f>--(AND(ISNUMBER(B618),B618&lt;0.5))</f>
        <v/>
      </c>
      <c r="I618">
        <f>IFERROR(MAX(0,(0.5-B618)*100),0)+IF(D618&gt;=24,20,0)+IF(Raw_data!$I618&gt;0,20,0)+IF(Raw_data!$AE618=TRUE,10,0)</f>
        <v/>
      </c>
      <c r="J618">
        <f>IFERROR(CHOOSE(MATCH(Dashboard!$B$11,{"Department","Team","Unit","Legal entity","Location","Lead"},0),INDEX(Lists!$B$3:$B$20,ROW()-1),INDEX(Lists!$C$3:$C$146,ROW()-1),INDEX(Lists!$D$3:$D$67,ROW()-1),INDEX(Lists!$E$3:$E$5,ROW()-1),INDEX(Lists!$F$3:$F$12,ROW()-1),INDEX(Lists!$G$3:$G$126,ROW()-1)),"")</f>
        <v/>
      </c>
      <c r="K618">
        <f>IF(J618="","",SUMPRODUCT(($A$2:$A$636=1)*($G$2:$G$636=J618)))</f>
        <v/>
      </c>
      <c r="L618">
        <f>IF(J618="","",SUMPRODUCT(($A$2:$A$636=1)*($G$2:$G$636=J618)*(ISNUMBER($B$2:$B$636))*($B$2:$B$636&lt;0.5)))</f>
        <v/>
      </c>
      <c r="M618">
        <f>IFERROR(L618/K618,"")</f>
        <v/>
      </c>
      <c r="N618">
        <f>IF(K618="","",M618+K618/100000+ROW()/100000000)</f>
        <v/>
      </c>
      <c r="R618">
        <f>IF(A618=1,IFERROR(I618,0)+ROW()/100000000,-1E+99)</f>
        <v/>
      </c>
      <c r="S618">
        <f>IF(A618=1,IFERROR(Raw_data!$T618,""),"")</f>
        <v/>
      </c>
      <c r="T618">
        <f>IF(A618=1,IFERROR(Raw_data!$AA618,""),"")</f>
        <v/>
      </c>
      <c r="U618">
        <f>IF(A618=1,IFERROR(Raw_data!$U618,""),"")</f>
        <v/>
      </c>
      <c r="V618">
        <f>IF(A618=1,IFERROR(Raw_data!$AB618,""),"")</f>
        <v/>
      </c>
    </row>
    <row r="619">
      <c r="A619">
        <f>--(AND(OR(Dashboard!$B$4="All",Raw_data!$AL619=Dashboard!$B$4),OR(Dashboard!$B$5="All",Raw_data!$AM619=Dashboard!$B$5),OR(Dashboard!$B$6="All",Raw_data!$AN619=Dashboard!$B$6),OR(Dashboard!$B$7="All",Raw_data!$AO619=Dashboard!$B$7),OR(Dashboard!$B$8="All",Raw_data!$AP619=Dashboard!$B$8),OR(Dashboard!$B$9="All",Raw_data!$AQ619=Dashboard!$B$9),OR(Dashboard!$B$10="All",Raw_data!$AF619=Dashboard!$B$10),OR(Raw_data!$F619="",Raw_data!$F619&lt;=TODAY())))</f>
        <v/>
      </c>
      <c r="B619">
        <f>IFERROR(IF(Dashboard!$B$3="Weighted",Raw_data!$U619,Raw_data!$T619),"")</f>
        <v/>
      </c>
      <c r="C619">
        <f>IFERROR(IF(Dashboard!$B$3="Weighted",Raw_data!$AB619,Raw_data!$AA619),"")</f>
        <v/>
      </c>
      <c r="D619">
        <f>IF(OR(Raw_data!$J619="",Raw_data!$J619&lt;=0,Raw_data!$K619=""),"",IF(Raw_data!$K619&gt;TODAY(),0,DATEDIF(Raw_data!$K619,TODAY(),"M")))</f>
        <v/>
      </c>
      <c r="E619">
        <f>--(AND(Raw_data!$AF619="No",OR(Raw_data!$AG619&lt;&gt;"",Raw_data!$AJ619&gt;0,Raw_data!$AK619&lt;&gt;"")))</f>
        <v/>
      </c>
      <c r="F619">
        <f>--(OR(AND(ISNUMBER(B619),B619&lt;0.5,OR(D619&gt;=24,Raw_data!$I619&gt;0)),Raw_data!$AE619=TRUE))</f>
        <v/>
      </c>
      <c r="G619">
        <f>IF(Dashboard!$B$11="Department",Raw_data!$AL619,IF(Dashboard!$B$11="Team",Raw_data!$AM619,IF(Dashboard!$B$11="Unit",Raw_data!$AN619,IF(Dashboard!$B$11="Legal entity",Raw_data!$AO619,IF(Dashboard!$B$11="Location",Raw_data!$AP619,Raw_data!$AQ619)))))</f>
        <v/>
      </c>
      <c r="H619">
        <f>--(AND(ISNUMBER(B619),B619&lt;0.5))</f>
        <v/>
      </c>
      <c r="I619">
        <f>IFERROR(MAX(0,(0.5-B619)*100),0)+IF(D619&gt;=24,20,0)+IF(Raw_data!$I619&gt;0,20,0)+IF(Raw_data!$AE619=TRUE,10,0)</f>
        <v/>
      </c>
      <c r="J619">
        <f>IFERROR(CHOOSE(MATCH(Dashboard!$B$11,{"Department","Team","Unit","Legal entity","Location","Lead"},0),INDEX(Lists!$B$3:$B$20,ROW()-1),INDEX(Lists!$C$3:$C$146,ROW()-1),INDEX(Lists!$D$3:$D$67,ROW()-1),INDEX(Lists!$E$3:$E$5,ROW()-1),INDEX(Lists!$F$3:$F$12,ROW()-1),INDEX(Lists!$G$3:$G$126,ROW()-1)),"")</f>
        <v/>
      </c>
      <c r="K619">
        <f>IF(J619="","",SUMPRODUCT(($A$2:$A$636=1)*($G$2:$G$636=J619)))</f>
        <v/>
      </c>
      <c r="L619">
        <f>IF(J619="","",SUMPRODUCT(($A$2:$A$636=1)*($G$2:$G$636=J619)*(ISNUMBER($B$2:$B$636))*($B$2:$B$636&lt;0.5)))</f>
        <v/>
      </c>
      <c r="M619">
        <f>IFERROR(L619/K619,"")</f>
        <v/>
      </c>
      <c r="N619">
        <f>IF(K619="","",M619+K619/100000+ROW()/100000000)</f>
        <v/>
      </c>
      <c r="R619">
        <f>IF(A619=1,IFERROR(I619,0)+ROW()/100000000,-1E+99)</f>
        <v/>
      </c>
      <c r="S619">
        <f>IF(A619=1,IFERROR(Raw_data!$T619,""),"")</f>
        <v/>
      </c>
      <c r="T619">
        <f>IF(A619=1,IFERROR(Raw_data!$AA619,""),"")</f>
        <v/>
      </c>
      <c r="U619">
        <f>IF(A619=1,IFERROR(Raw_data!$U619,""),"")</f>
        <v/>
      </c>
      <c r="V619">
        <f>IF(A619=1,IFERROR(Raw_data!$AB619,""),"")</f>
        <v/>
      </c>
    </row>
    <row r="620">
      <c r="A620">
        <f>--(AND(OR(Dashboard!$B$4="All",Raw_data!$AL620=Dashboard!$B$4),OR(Dashboard!$B$5="All",Raw_data!$AM620=Dashboard!$B$5),OR(Dashboard!$B$6="All",Raw_data!$AN620=Dashboard!$B$6),OR(Dashboard!$B$7="All",Raw_data!$AO620=Dashboard!$B$7),OR(Dashboard!$B$8="All",Raw_data!$AP620=Dashboard!$B$8),OR(Dashboard!$B$9="All",Raw_data!$AQ620=Dashboard!$B$9),OR(Dashboard!$B$10="All",Raw_data!$AF620=Dashboard!$B$10),OR(Raw_data!$F620="",Raw_data!$F620&lt;=TODAY())))</f>
        <v/>
      </c>
      <c r="B620">
        <f>IFERROR(IF(Dashboard!$B$3="Weighted",Raw_data!$U620,Raw_data!$T620),"")</f>
        <v/>
      </c>
      <c r="C620">
        <f>IFERROR(IF(Dashboard!$B$3="Weighted",Raw_data!$AB620,Raw_data!$AA620),"")</f>
        <v/>
      </c>
      <c r="D620">
        <f>IF(OR(Raw_data!$J620="",Raw_data!$J620&lt;=0,Raw_data!$K620=""),"",IF(Raw_data!$K620&gt;TODAY(),0,DATEDIF(Raw_data!$K620,TODAY(),"M")))</f>
        <v/>
      </c>
      <c r="E620">
        <f>--(AND(Raw_data!$AF620="No",OR(Raw_data!$AG620&lt;&gt;"",Raw_data!$AJ620&gt;0,Raw_data!$AK620&lt;&gt;"")))</f>
        <v/>
      </c>
      <c r="F620">
        <f>--(OR(AND(ISNUMBER(B620),B620&lt;0.5,OR(D620&gt;=24,Raw_data!$I620&gt;0)),Raw_data!$AE620=TRUE))</f>
        <v/>
      </c>
      <c r="G620">
        <f>IF(Dashboard!$B$11="Department",Raw_data!$AL620,IF(Dashboard!$B$11="Team",Raw_data!$AM620,IF(Dashboard!$B$11="Unit",Raw_data!$AN620,IF(Dashboard!$B$11="Legal entity",Raw_data!$AO620,IF(Dashboard!$B$11="Location",Raw_data!$AP620,Raw_data!$AQ620)))))</f>
        <v/>
      </c>
      <c r="H620">
        <f>--(AND(ISNUMBER(B620),B620&lt;0.5))</f>
        <v/>
      </c>
      <c r="I620">
        <f>IFERROR(MAX(0,(0.5-B620)*100),0)+IF(D620&gt;=24,20,0)+IF(Raw_data!$I620&gt;0,20,0)+IF(Raw_data!$AE620=TRUE,10,0)</f>
        <v/>
      </c>
      <c r="J620">
        <f>IFERROR(CHOOSE(MATCH(Dashboard!$B$11,{"Department","Team","Unit","Legal entity","Location","Lead"},0),INDEX(Lists!$B$3:$B$20,ROW()-1),INDEX(Lists!$C$3:$C$146,ROW()-1),INDEX(Lists!$D$3:$D$67,ROW()-1),INDEX(Lists!$E$3:$E$5,ROW()-1),INDEX(Lists!$F$3:$F$12,ROW()-1),INDEX(Lists!$G$3:$G$126,ROW()-1)),"")</f>
        <v/>
      </c>
      <c r="K620">
        <f>IF(J620="","",SUMPRODUCT(($A$2:$A$636=1)*($G$2:$G$636=J620)))</f>
        <v/>
      </c>
      <c r="L620">
        <f>IF(J620="","",SUMPRODUCT(($A$2:$A$636=1)*($G$2:$G$636=J620)*(ISNUMBER($B$2:$B$636))*($B$2:$B$636&lt;0.5)))</f>
        <v/>
      </c>
      <c r="M620">
        <f>IFERROR(L620/K620,"")</f>
        <v/>
      </c>
      <c r="N620">
        <f>IF(K620="","",M620+K620/100000+ROW()/100000000)</f>
        <v/>
      </c>
      <c r="R620">
        <f>IF(A620=1,IFERROR(I620,0)+ROW()/100000000,-1E+99)</f>
        <v/>
      </c>
      <c r="S620">
        <f>IF(A620=1,IFERROR(Raw_data!$T620,""),"")</f>
        <v/>
      </c>
      <c r="T620">
        <f>IF(A620=1,IFERROR(Raw_data!$AA620,""),"")</f>
        <v/>
      </c>
      <c r="U620">
        <f>IF(A620=1,IFERROR(Raw_data!$U620,""),"")</f>
        <v/>
      </c>
      <c r="V620">
        <f>IF(A620=1,IFERROR(Raw_data!$AB620,""),"")</f>
        <v/>
      </c>
    </row>
    <row r="621">
      <c r="A621">
        <f>--(AND(OR(Dashboard!$B$4="All",Raw_data!$AL621=Dashboard!$B$4),OR(Dashboard!$B$5="All",Raw_data!$AM621=Dashboard!$B$5),OR(Dashboard!$B$6="All",Raw_data!$AN621=Dashboard!$B$6),OR(Dashboard!$B$7="All",Raw_data!$AO621=Dashboard!$B$7),OR(Dashboard!$B$8="All",Raw_data!$AP621=Dashboard!$B$8),OR(Dashboard!$B$9="All",Raw_data!$AQ621=Dashboard!$B$9),OR(Dashboard!$B$10="All",Raw_data!$AF621=Dashboard!$B$10),OR(Raw_data!$F621="",Raw_data!$F621&lt;=TODAY())))</f>
        <v/>
      </c>
      <c r="B621">
        <f>IFERROR(IF(Dashboard!$B$3="Weighted",Raw_data!$U621,Raw_data!$T621),"")</f>
        <v/>
      </c>
      <c r="C621">
        <f>IFERROR(IF(Dashboard!$B$3="Weighted",Raw_data!$AB621,Raw_data!$AA621),"")</f>
        <v/>
      </c>
      <c r="D621">
        <f>IF(OR(Raw_data!$J621="",Raw_data!$J621&lt;=0,Raw_data!$K621=""),"",IF(Raw_data!$K621&gt;TODAY(),0,DATEDIF(Raw_data!$K621,TODAY(),"M")))</f>
        <v/>
      </c>
      <c r="E621">
        <f>--(AND(Raw_data!$AF621="No",OR(Raw_data!$AG621&lt;&gt;"",Raw_data!$AJ621&gt;0,Raw_data!$AK621&lt;&gt;"")))</f>
        <v/>
      </c>
      <c r="F621">
        <f>--(OR(AND(ISNUMBER(B621),B621&lt;0.5,OR(D621&gt;=24,Raw_data!$I621&gt;0)),Raw_data!$AE621=TRUE))</f>
        <v/>
      </c>
      <c r="G621">
        <f>IF(Dashboard!$B$11="Department",Raw_data!$AL621,IF(Dashboard!$B$11="Team",Raw_data!$AM621,IF(Dashboard!$B$11="Unit",Raw_data!$AN621,IF(Dashboard!$B$11="Legal entity",Raw_data!$AO621,IF(Dashboard!$B$11="Location",Raw_data!$AP621,Raw_data!$AQ621)))))</f>
        <v/>
      </c>
      <c r="H621">
        <f>--(AND(ISNUMBER(B621),B621&lt;0.5))</f>
        <v/>
      </c>
      <c r="I621">
        <f>IFERROR(MAX(0,(0.5-B621)*100),0)+IF(D621&gt;=24,20,0)+IF(Raw_data!$I621&gt;0,20,0)+IF(Raw_data!$AE621=TRUE,10,0)</f>
        <v/>
      </c>
      <c r="J621">
        <f>IFERROR(CHOOSE(MATCH(Dashboard!$B$11,{"Department","Team","Unit","Legal entity","Location","Lead"},0),INDEX(Lists!$B$3:$B$20,ROW()-1),INDEX(Lists!$C$3:$C$146,ROW()-1),INDEX(Lists!$D$3:$D$67,ROW()-1),INDEX(Lists!$E$3:$E$5,ROW()-1),INDEX(Lists!$F$3:$F$12,ROW()-1),INDEX(Lists!$G$3:$G$126,ROW()-1)),"")</f>
        <v/>
      </c>
      <c r="K621">
        <f>IF(J621="","",SUMPRODUCT(($A$2:$A$636=1)*($G$2:$G$636=J621)))</f>
        <v/>
      </c>
      <c r="L621">
        <f>IF(J621="","",SUMPRODUCT(($A$2:$A$636=1)*($G$2:$G$636=J621)*(ISNUMBER($B$2:$B$636))*($B$2:$B$636&lt;0.5)))</f>
        <v/>
      </c>
      <c r="M621">
        <f>IFERROR(L621/K621,"")</f>
        <v/>
      </c>
      <c r="N621">
        <f>IF(K621="","",M621+K621/100000+ROW()/100000000)</f>
        <v/>
      </c>
      <c r="R621">
        <f>IF(A621=1,IFERROR(I621,0)+ROW()/100000000,-1E+99)</f>
        <v/>
      </c>
      <c r="S621">
        <f>IF(A621=1,IFERROR(Raw_data!$T621,""),"")</f>
        <v/>
      </c>
      <c r="T621">
        <f>IF(A621=1,IFERROR(Raw_data!$AA621,""),"")</f>
        <v/>
      </c>
      <c r="U621">
        <f>IF(A621=1,IFERROR(Raw_data!$U621,""),"")</f>
        <v/>
      </c>
      <c r="V621">
        <f>IF(A621=1,IFERROR(Raw_data!$AB621,""),"")</f>
        <v/>
      </c>
    </row>
    <row r="622">
      <c r="A622">
        <f>--(AND(OR(Dashboard!$B$4="All",Raw_data!$AL622=Dashboard!$B$4),OR(Dashboard!$B$5="All",Raw_data!$AM622=Dashboard!$B$5),OR(Dashboard!$B$6="All",Raw_data!$AN622=Dashboard!$B$6),OR(Dashboard!$B$7="All",Raw_data!$AO622=Dashboard!$B$7),OR(Dashboard!$B$8="All",Raw_data!$AP622=Dashboard!$B$8),OR(Dashboard!$B$9="All",Raw_data!$AQ622=Dashboard!$B$9),OR(Dashboard!$B$10="All",Raw_data!$AF622=Dashboard!$B$10),OR(Raw_data!$F622="",Raw_data!$F622&lt;=TODAY())))</f>
        <v/>
      </c>
      <c r="B622">
        <f>IFERROR(IF(Dashboard!$B$3="Weighted",Raw_data!$U622,Raw_data!$T622),"")</f>
        <v/>
      </c>
      <c r="C622">
        <f>IFERROR(IF(Dashboard!$B$3="Weighted",Raw_data!$AB622,Raw_data!$AA622),"")</f>
        <v/>
      </c>
      <c r="D622">
        <f>IF(OR(Raw_data!$J622="",Raw_data!$J622&lt;=0,Raw_data!$K622=""),"",IF(Raw_data!$K622&gt;TODAY(),0,DATEDIF(Raw_data!$K622,TODAY(),"M")))</f>
        <v/>
      </c>
      <c r="E622">
        <f>--(AND(Raw_data!$AF622="No",OR(Raw_data!$AG622&lt;&gt;"",Raw_data!$AJ622&gt;0,Raw_data!$AK622&lt;&gt;"")))</f>
        <v/>
      </c>
      <c r="F622">
        <f>--(OR(AND(ISNUMBER(B622),B622&lt;0.5,OR(D622&gt;=24,Raw_data!$I622&gt;0)),Raw_data!$AE622=TRUE))</f>
        <v/>
      </c>
      <c r="G622">
        <f>IF(Dashboard!$B$11="Department",Raw_data!$AL622,IF(Dashboard!$B$11="Team",Raw_data!$AM622,IF(Dashboard!$B$11="Unit",Raw_data!$AN622,IF(Dashboard!$B$11="Legal entity",Raw_data!$AO622,IF(Dashboard!$B$11="Location",Raw_data!$AP622,Raw_data!$AQ622)))))</f>
        <v/>
      </c>
      <c r="H622">
        <f>--(AND(ISNUMBER(B622),B622&lt;0.5))</f>
        <v/>
      </c>
      <c r="I622">
        <f>IFERROR(MAX(0,(0.5-B622)*100),0)+IF(D622&gt;=24,20,0)+IF(Raw_data!$I622&gt;0,20,0)+IF(Raw_data!$AE622=TRUE,10,0)</f>
        <v/>
      </c>
      <c r="J622">
        <f>IFERROR(CHOOSE(MATCH(Dashboard!$B$11,{"Department","Team","Unit","Legal entity","Location","Lead"},0),INDEX(Lists!$B$3:$B$20,ROW()-1),INDEX(Lists!$C$3:$C$146,ROW()-1),INDEX(Lists!$D$3:$D$67,ROW()-1),INDEX(Lists!$E$3:$E$5,ROW()-1),INDEX(Lists!$F$3:$F$12,ROW()-1),INDEX(Lists!$G$3:$G$126,ROW()-1)),"")</f>
        <v/>
      </c>
      <c r="K622">
        <f>IF(J622="","",SUMPRODUCT(($A$2:$A$636=1)*($G$2:$G$636=J622)))</f>
        <v/>
      </c>
      <c r="L622">
        <f>IF(J622="","",SUMPRODUCT(($A$2:$A$636=1)*($G$2:$G$636=J622)*(ISNUMBER($B$2:$B$636))*($B$2:$B$636&lt;0.5)))</f>
        <v/>
      </c>
      <c r="M622">
        <f>IFERROR(L622/K622,"")</f>
        <v/>
      </c>
      <c r="N622">
        <f>IF(K622="","",M622+K622/100000+ROW()/100000000)</f>
        <v/>
      </c>
      <c r="R622">
        <f>IF(A622=1,IFERROR(I622,0)+ROW()/100000000,-1E+99)</f>
        <v/>
      </c>
      <c r="S622">
        <f>IF(A622=1,IFERROR(Raw_data!$T622,""),"")</f>
        <v/>
      </c>
      <c r="T622">
        <f>IF(A622=1,IFERROR(Raw_data!$AA622,""),"")</f>
        <v/>
      </c>
      <c r="U622">
        <f>IF(A622=1,IFERROR(Raw_data!$U622,""),"")</f>
        <v/>
      </c>
      <c r="V622">
        <f>IF(A622=1,IFERROR(Raw_data!$AB622,""),"")</f>
        <v/>
      </c>
    </row>
    <row r="623">
      <c r="A623">
        <f>--(AND(OR(Dashboard!$B$4="All",Raw_data!$AL623=Dashboard!$B$4),OR(Dashboard!$B$5="All",Raw_data!$AM623=Dashboard!$B$5),OR(Dashboard!$B$6="All",Raw_data!$AN623=Dashboard!$B$6),OR(Dashboard!$B$7="All",Raw_data!$AO623=Dashboard!$B$7),OR(Dashboard!$B$8="All",Raw_data!$AP623=Dashboard!$B$8),OR(Dashboard!$B$9="All",Raw_data!$AQ623=Dashboard!$B$9),OR(Dashboard!$B$10="All",Raw_data!$AF623=Dashboard!$B$10),OR(Raw_data!$F623="",Raw_data!$F623&lt;=TODAY())))</f>
        <v/>
      </c>
      <c r="B623">
        <f>IFERROR(IF(Dashboard!$B$3="Weighted",Raw_data!$U623,Raw_data!$T623),"")</f>
        <v/>
      </c>
      <c r="C623">
        <f>IFERROR(IF(Dashboard!$B$3="Weighted",Raw_data!$AB623,Raw_data!$AA623),"")</f>
        <v/>
      </c>
      <c r="D623">
        <f>IF(OR(Raw_data!$J623="",Raw_data!$J623&lt;=0,Raw_data!$K623=""),"",IF(Raw_data!$K623&gt;TODAY(),0,DATEDIF(Raw_data!$K623,TODAY(),"M")))</f>
        <v/>
      </c>
      <c r="E623">
        <f>--(AND(Raw_data!$AF623="No",OR(Raw_data!$AG623&lt;&gt;"",Raw_data!$AJ623&gt;0,Raw_data!$AK623&lt;&gt;"")))</f>
        <v/>
      </c>
      <c r="F623">
        <f>--(OR(AND(ISNUMBER(B623),B623&lt;0.5,OR(D623&gt;=24,Raw_data!$I623&gt;0)),Raw_data!$AE623=TRUE))</f>
        <v/>
      </c>
      <c r="G623">
        <f>IF(Dashboard!$B$11="Department",Raw_data!$AL623,IF(Dashboard!$B$11="Team",Raw_data!$AM623,IF(Dashboard!$B$11="Unit",Raw_data!$AN623,IF(Dashboard!$B$11="Legal entity",Raw_data!$AO623,IF(Dashboard!$B$11="Location",Raw_data!$AP623,Raw_data!$AQ623)))))</f>
        <v/>
      </c>
      <c r="H623">
        <f>--(AND(ISNUMBER(B623),B623&lt;0.5))</f>
        <v/>
      </c>
      <c r="I623">
        <f>IFERROR(MAX(0,(0.5-B623)*100),0)+IF(D623&gt;=24,20,0)+IF(Raw_data!$I623&gt;0,20,0)+IF(Raw_data!$AE623=TRUE,10,0)</f>
        <v/>
      </c>
      <c r="J623">
        <f>IFERROR(CHOOSE(MATCH(Dashboard!$B$11,{"Department","Team","Unit","Legal entity","Location","Lead"},0),INDEX(Lists!$B$3:$B$20,ROW()-1),INDEX(Lists!$C$3:$C$146,ROW()-1),INDEX(Lists!$D$3:$D$67,ROW()-1),INDEX(Lists!$E$3:$E$5,ROW()-1),INDEX(Lists!$F$3:$F$12,ROW()-1),INDEX(Lists!$G$3:$G$126,ROW()-1)),"")</f>
        <v/>
      </c>
      <c r="K623">
        <f>IF(J623="","",SUMPRODUCT(($A$2:$A$636=1)*($G$2:$G$636=J623)))</f>
        <v/>
      </c>
      <c r="L623">
        <f>IF(J623="","",SUMPRODUCT(($A$2:$A$636=1)*($G$2:$G$636=J623)*(ISNUMBER($B$2:$B$636))*($B$2:$B$636&lt;0.5)))</f>
        <v/>
      </c>
      <c r="M623">
        <f>IFERROR(L623/K623,"")</f>
        <v/>
      </c>
      <c r="N623">
        <f>IF(K623="","",M623+K623/100000+ROW()/100000000)</f>
        <v/>
      </c>
      <c r="R623">
        <f>IF(A623=1,IFERROR(I623,0)+ROW()/100000000,-1E+99)</f>
        <v/>
      </c>
      <c r="S623">
        <f>IF(A623=1,IFERROR(Raw_data!$T623,""),"")</f>
        <v/>
      </c>
      <c r="T623">
        <f>IF(A623=1,IFERROR(Raw_data!$AA623,""),"")</f>
        <v/>
      </c>
      <c r="U623">
        <f>IF(A623=1,IFERROR(Raw_data!$U623,""),"")</f>
        <v/>
      </c>
      <c r="V623">
        <f>IF(A623=1,IFERROR(Raw_data!$AB623,""),"")</f>
        <v/>
      </c>
    </row>
    <row r="624">
      <c r="A624">
        <f>--(AND(OR(Dashboard!$B$4="All",Raw_data!$AL624=Dashboard!$B$4),OR(Dashboard!$B$5="All",Raw_data!$AM624=Dashboard!$B$5),OR(Dashboard!$B$6="All",Raw_data!$AN624=Dashboard!$B$6),OR(Dashboard!$B$7="All",Raw_data!$AO624=Dashboard!$B$7),OR(Dashboard!$B$8="All",Raw_data!$AP624=Dashboard!$B$8),OR(Dashboard!$B$9="All",Raw_data!$AQ624=Dashboard!$B$9),OR(Dashboard!$B$10="All",Raw_data!$AF624=Dashboard!$B$10),OR(Raw_data!$F624="",Raw_data!$F624&lt;=TODAY())))</f>
        <v/>
      </c>
      <c r="B624">
        <f>IFERROR(IF(Dashboard!$B$3="Weighted",Raw_data!$U624,Raw_data!$T624),"")</f>
        <v/>
      </c>
      <c r="C624">
        <f>IFERROR(IF(Dashboard!$B$3="Weighted",Raw_data!$AB624,Raw_data!$AA624),"")</f>
        <v/>
      </c>
      <c r="D624">
        <f>IF(OR(Raw_data!$J624="",Raw_data!$J624&lt;=0,Raw_data!$K624=""),"",IF(Raw_data!$K624&gt;TODAY(),0,DATEDIF(Raw_data!$K624,TODAY(),"M")))</f>
        <v/>
      </c>
      <c r="E624">
        <f>--(AND(Raw_data!$AF624="No",OR(Raw_data!$AG624&lt;&gt;"",Raw_data!$AJ624&gt;0,Raw_data!$AK624&lt;&gt;"")))</f>
        <v/>
      </c>
      <c r="F624">
        <f>--(OR(AND(ISNUMBER(B624),B624&lt;0.5,OR(D624&gt;=24,Raw_data!$I624&gt;0)),Raw_data!$AE624=TRUE))</f>
        <v/>
      </c>
      <c r="G624">
        <f>IF(Dashboard!$B$11="Department",Raw_data!$AL624,IF(Dashboard!$B$11="Team",Raw_data!$AM624,IF(Dashboard!$B$11="Unit",Raw_data!$AN624,IF(Dashboard!$B$11="Legal entity",Raw_data!$AO624,IF(Dashboard!$B$11="Location",Raw_data!$AP624,Raw_data!$AQ624)))))</f>
        <v/>
      </c>
      <c r="H624">
        <f>--(AND(ISNUMBER(B624),B624&lt;0.5))</f>
        <v/>
      </c>
      <c r="I624">
        <f>IFERROR(MAX(0,(0.5-B624)*100),0)+IF(D624&gt;=24,20,0)+IF(Raw_data!$I624&gt;0,20,0)+IF(Raw_data!$AE624=TRUE,10,0)</f>
        <v/>
      </c>
      <c r="J624">
        <f>IFERROR(CHOOSE(MATCH(Dashboard!$B$11,{"Department","Team","Unit","Legal entity","Location","Lead"},0),INDEX(Lists!$B$3:$B$20,ROW()-1),INDEX(Lists!$C$3:$C$146,ROW()-1),INDEX(Lists!$D$3:$D$67,ROW()-1),INDEX(Lists!$E$3:$E$5,ROW()-1),INDEX(Lists!$F$3:$F$12,ROW()-1),INDEX(Lists!$G$3:$G$126,ROW()-1)),"")</f>
        <v/>
      </c>
      <c r="K624">
        <f>IF(J624="","",SUMPRODUCT(($A$2:$A$636=1)*($G$2:$G$636=J624)))</f>
        <v/>
      </c>
      <c r="L624">
        <f>IF(J624="","",SUMPRODUCT(($A$2:$A$636=1)*($G$2:$G$636=J624)*(ISNUMBER($B$2:$B$636))*($B$2:$B$636&lt;0.5)))</f>
        <v/>
      </c>
      <c r="M624">
        <f>IFERROR(L624/K624,"")</f>
        <v/>
      </c>
      <c r="N624">
        <f>IF(K624="","",M624+K624/100000+ROW()/100000000)</f>
        <v/>
      </c>
      <c r="R624">
        <f>IF(A624=1,IFERROR(I624,0)+ROW()/100000000,-1E+99)</f>
        <v/>
      </c>
      <c r="S624">
        <f>IF(A624=1,IFERROR(Raw_data!$T624,""),"")</f>
        <v/>
      </c>
      <c r="T624">
        <f>IF(A624=1,IFERROR(Raw_data!$AA624,""),"")</f>
        <v/>
      </c>
      <c r="U624">
        <f>IF(A624=1,IFERROR(Raw_data!$U624,""),"")</f>
        <v/>
      </c>
      <c r="V624">
        <f>IF(A624=1,IFERROR(Raw_data!$AB624,""),"")</f>
        <v/>
      </c>
    </row>
    <row r="625">
      <c r="A625">
        <f>--(AND(OR(Dashboard!$B$4="All",Raw_data!$AL625=Dashboard!$B$4),OR(Dashboard!$B$5="All",Raw_data!$AM625=Dashboard!$B$5),OR(Dashboard!$B$6="All",Raw_data!$AN625=Dashboard!$B$6),OR(Dashboard!$B$7="All",Raw_data!$AO625=Dashboard!$B$7),OR(Dashboard!$B$8="All",Raw_data!$AP625=Dashboard!$B$8),OR(Dashboard!$B$9="All",Raw_data!$AQ625=Dashboard!$B$9),OR(Dashboard!$B$10="All",Raw_data!$AF625=Dashboard!$B$10),OR(Raw_data!$F625="",Raw_data!$F625&lt;=TODAY())))</f>
        <v/>
      </c>
      <c r="B625">
        <f>IFERROR(IF(Dashboard!$B$3="Weighted",Raw_data!$U625,Raw_data!$T625),"")</f>
        <v/>
      </c>
      <c r="C625">
        <f>IFERROR(IF(Dashboard!$B$3="Weighted",Raw_data!$AB625,Raw_data!$AA625),"")</f>
        <v/>
      </c>
      <c r="D625">
        <f>IF(OR(Raw_data!$J625="",Raw_data!$J625&lt;=0,Raw_data!$K625=""),"",IF(Raw_data!$K625&gt;TODAY(),0,DATEDIF(Raw_data!$K625,TODAY(),"M")))</f>
        <v/>
      </c>
      <c r="E625">
        <f>--(AND(Raw_data!$AF625="No",OR(Raw_data!$AG625&lt;&gt;"",Raw_data!$AJ625&gt;0,Raw_data!$AK625&lt;&gt;"")))</f>
        <v/>
      </c>
      <c r="F625">
        <f>--(OR(AND(ISNUMBER(B625),B625&lt;0.5,OR(D625&gt;=24,Raw_data!$I625&gt;0)),Raw_data!$AE625=TRUE))</f>
        <v/>
      </c>
      <c r="G625">
        <f>IF(Dashboard!$B$11="Department",Raw_data!$AL625,IF(Dashboard!$B$11="Team",Raw_data!$AM625,IF(Dashboard!$B$11="Unit",Raw_data!$AN625,IF(Dashboard!$B$11="Legal entity",Raw_data!$AO625,IF(Dashboard!$B$11="Location",Raw_data!$AP625,Raw_data!$AQ625)))))</f>
        <v/>
      </c>
      <c r="H625">
        <f>--(AND(ISNUMBER(B625),B625&lt;0.5))</f>
        <v/>
      </c>
      <c r="I625">
        <f>IFERROR(MAX(0,(0.5-B625)*100),0)+IF(D625&gt;=24,20,0)+IF(Raw_data!$I625&gt;0,20,0)+IF(Raw_data!$AE625=TRUE,10,0)</f>
        <v/>
      </c>
      <c r="J625">
        <f>IFERROR(CHOOSE(MATCH(Dashboard!$B$11,{"Department","Team","Unit","Legal entity","Location","Lead"},0),INDEX(Lists!$B$3:$B$20,ROW()-1),INDEX(Lists!$C$3:$C$146,ROW()-1),INDEX(Lists!$D$3:$D$67,ROW()-1),INDEX(Lists!$E$3:$E$5,ROW()-1),INDEX(Lists!$F$3:$F$12,ROW()-1),INDEX(Lists!$G$3:$G$126,ROW()-1)),"")</f>
        <v/>
      </c>
      <c r="K625">
        <f>IF(J625="","",SUMPRODUCT(($A$2:$A$636=1)*($G$2:$G$636=J625)))</f>
        <v/>
      </c>
      <c r="L625">
        <f>IF(J625="","",SUMPRODUCT(($A$2:$A$636=1)*($G$2:$G$636=J625)*(ISNUMBER($B$2:$B$636))*($B$2:$B$636&lt;0.5)))</f>
        <v/>
      </c>
      <c r="M625">
        <f>IFERROR(L625/K625,"")</f>
        <v/>
      </c>
      <c r="N625">
        <f>IF(K625="","",M625+K625/100000+ROW()/100000000)</f>
        <v/>
      </c>
      <c r="R625">
        <f>IF(A625=1,IFERROR(I625,0)+ROW()/100000000,-1E+99)</f>
        <v/>
      </c>
      <c r="S625">
        <f>IF(A625=1,IFERROR(Raw_data!$T625,""),"")</f>
        <v/>
      </c>
      <c r="T625">
        <f>IF(A625=1,IFERROR(Raw_data!$AA625,""),"")</f>
        <v/>
      </c>
      <c r="U625">
        <f>IF(A625=1,IFERROR(Raw_data!$U625,""),"")</f>
        <v/>
      </c>
      <c r="V625">
        <f>IF(A625=1,IFERROR(Raw_data!$AB625,""),"")</f>
        <v/>
      </c>
    </row>
    <row r="626">
      <c r="A626">
        <f>--(AND(OR(Dashboard!$B$4="All",Raw_data!$AL626=Dashboard!$B$4),OR(Dashboard!$B$5="All",Raw_data!$AM626=Dashboard!$B$5),OR(Dashboard!$B$6="All",Raw_data!$AN626=Dashboard!$B$6),OR(Dashboard!$B$7="All",Raw_data!$AO626=Dashboard!$B$7),OR(Dashboard!$B$8="All",Raw_data!$AP626=Dashboard!$B$8),OR(Dashboard!$B$9="All",Raw_data!$AQ626=Dashboard!$B$9),OR(Dashboard!$B$10="All",Raw_data!$AF626=Dashboard!$B$10),OR(Raw_data!$F626="",Raw_data!$F626&lt;=TODAY())))</f>
        <v/>
      </c>
      <c r="B626">
        <f>IFERROR(IF(Dashboard!$B$3="Weighted",Raw_data!$U626,Raw_data!$T626),"")</f>
        <v/>
      </c>
      <c r="C626">
        <f>IFERROR(IF(Dashboard!$B$3="Weighted",Raw_data!$AB626,Raw_data!$AA626),"")</f>
        <v/>
      </c>
      <c r="D626">
        <f>IF(OR(Raw_data!$J626="",Raw_data!$J626&lt;=0,Raw_data!$K626=""),"",IF(Raw_data!$K626&gt;TODAY(),0,DATEDIF(Raw_data!$K626,TODAY(),"M")))</f>
        <v/>
      </c>
      <c r="E626">
        <f>--(AND(Raw_data!$AF626="No",OR(Raw_data!$AG626&lt;&gt;"",Raw_data!$AJ626&gt;0,Raw_data!$AK626&lt;&gt;"")))</f>
        <v/>
      </c>
      <c r="F626">
        <f>--(OR(AND(ISNUMBER(B626),B626&lt;0.5,OR(D626&gt;=24,Raw_data!$I626&gt;0)),Raw_data!$AE626=TRUE))</f>
        <v/>
      </c>
      <c r="G626">
        <f>IF(Dashboard!$B$11="Department",Raw_data!$AL626,IF(Dashboard!$B$11="Team",Raw_data!$AM626,IF(Dashboard!$B$11="Unit",Raw_data!$AN626,IF(Dashboard!$B$11="Legal entity",Raw_data!$AO626,IF(Dashboard!$B$11="Location",Raw_data!$AP626,Raw_data!$AQ626)))))</f>
        <v/>
      </c>
      <c r="H626">
        <f>--(AND(ISNUMBER(B626),B626&lt;0.5))</f>
        <v/>
      </c>
      <c r="I626">
        <f>IFERROR(MAX(0,(0.5-B626)*100),0)+IF(D626&gt;=24,20,0)+IF(Raw_data!$I626&gt;0,20,0)+IF(Raw_data!$AE626=TRUE,10,0)</f>
        <v/>
      </c>
      <c r="J626">
        <f>IFERROR(CHOOSE(MATCH(Dashboard!$B$11,{"Department","Team","Unit","Legal entity","Location","Lead"},0),INDEX(Lists!$B$3:$B$20,ROW()-1),INDEX(Lists!$C$3:$C$146,ROW()-1),INDEX(Lists!$D$3:$D$67,ROW()-1),INDEX(Lists!$E$3:$E$5,ROW()-1),INDEX(Lists!$F$3:$F$12,ROW()-1),INDEX(Lists!$G$3:$G$126,ROW()-1)),"")</f>
        <v/>
      </c>
      <c r="K626">
        <f>IF(J626="","",SUMPRODUCT(($A$2:$A$636=1)*($G$2:$G$636=J626)))</f>
        <v/>
      </c>
      <c r="L626">
        <f>IF(J626="","",SUMPRODUCT(($A$2:$A$636=1)*($G$2:$G$636=J626)*(ISNUMBER($B$2:$B$636))*($B$2:$B$636&lt;0.5)))</f>
        <v/>
      </c>
      <c r="M626">
        <f>IFERROR(L626/K626,"")</f>
        <v/>
      </c>
      <c r="N626">
        <f>IF(K626="","",M626+K626/100000+ROW()/100000000)</f>
        <v/>
      </c>
      <c r="R626">
        <f>IF(A626=1,IFERROR(I626,0)+ROW()/100000000,-1E+99)</f>
        <v/>
      </c>
      <c r="S626">
        <f>IF(A626=1,IFERROR(Raw_data!$T626,""),"")</f>
        <v/>
      </c>
      <c r="T626">
        <f>IF(A626=1,IFERROR(Raw_data!$AA626,""),"")</f>
        <v/>
      </c>
      <c r="U626">
        <f>IF(A626=1,IFERROR(Raw_data!$U626,""),"")</f>
        <v/>
      </c>
      <c r="V626">
        <f>IF(A626=1,IFERROR(Raw_data!$AB626,""),"")</f>
        <v/>
      </c>
    </row>
    <row r="627">
      <c r="A627">
        <f>--(AND(OR(Dashboard!$B$4="All",Raw_data!$AL627=Dashboard!$B$4),OR(Dashboard!$B$5="All",Raw_data!$AM627=Dashboard!$B$5),OR(Dashboard!$B$6="All",Raw_data!$AN627=Dashboard!$B$6),OR(Dashboard!$B$7="All",Raw_data!$AO627=Dashboard!$B$7),OR(Dashboard!$B$8="All",Raw_data!$AP627=Dashboard!$B$8),OR(Dashboard!$B$9="All",Raw_data!$AQ627=Dashboard!$B$9),OR(Dashboard!$B$10="All",Raw_data!$AF627=Dashboard!$B$10),OR(Raw_data!$F627="",Raw_data!$F627&lt;=TODAY())))</f>
        <v/>
      </c>
      <c r="B627">
        <f>IFERROR(IF(Dashboard!$B$3="Weighted",Raw_data!$U627,Raw_data!$T627),"")</f>
        <v/>
      </c>
      <c r="C627">
        <f>IFERROR(IF(Dashboard!$B$3="Weighted",Raw_data!$AB627,Raw_data!$AA627),"")</f>
        <v/>
      </c>
      <c r="D627">
        <f>IF(OR(Raw_data!$J627="",Raw_data!$J627&lt;=0,Raw_data!$K627=""),"",IF(Raw_data!$K627&gt;TODAY(),0,DATEDIF(Raw_data!$K627,TODAY(),"M")))</f>
        <v/>
      </c>
      <c r="E627">
        <f>--(AND(Raw_data!$AF627="No",OR(Raw_data!$AG627&lt;&gt;"",Raw_data!$AJ627&gt;0,Raw_data!$AK627&lt;&gt;"")))</f>
        <v/>
      </c>
      <c r="F627">
        <f>--(OR(AND(ISNUMBER(B627),B627&lt;0.5,OR(D627&gt;=24,Raw_data!$I627&gt;0)),Raw_data!$AE627=TRUE))</f>
        <v/>
      </c>
      <c r="G627">
        <f>IF(Dashboard!$B$11="Department",Raw_data!$AL627,IF(Dashboard!$B$11="Team",Raw_data!$AM627,IF(Dashboard!$B$11="Unit",Raw_data!$AN627,IF(Dashboard!$B$11="Legal entity",Raw_data!$AO627,IF(Dashboard!$B$11="Location",Raw_data!$AP627,Raw_data!$AQ627)))))</f>
        <v/>
      </c>
      <c r="H627">
        <f>--(AND(ISNUMBER(B627),B627&lt;0.5))</f>
        <v/>
      </c>
      <c r="I627">
        <f>IFERROR(MAX(0,(0.5-B627)*100),0)+IF(D627&gt;=24,20,0)+IF(Raw_data!$I627&gt;0,20,0)+IF(Raw_data!$AE627=TRUE,10,0)</f>
        <v/>
      </c>
      <c r="J627">
        <f>IFERROR(CHOOSE(MATCH(Dashboard!$B$11,{"Department","Team","Unit","Legal entity","Location","Lead"},0),INDEX(Lists!$B$3:$B$20,ROW()-1),INDEX(Lists!$C$3:$C$146,ROW()-1),INDEX(Lists!$D$3:$D$67,ROW()-1),INDEX(Lists!$E$3:$E$5,ROW()-1),INDEX(Lists!$F$3:$F$12,ROW()-1),INDEX(Lists!$G$3:$G$126,ROW()-1)),"")</f>
        <v/>
      </c>
      <c r="K627">
        <f>IF(J627="","",SUMPRODUCT(($A$2:$A$636=1)*($G$2:$G$636=J627)))</f>
        <v/>
      </c>
      <c r="L627">
        <f>IF(J627="","",SUMPRODUCT(($A$2:$A$636=1)*($G$2:$G$636=J627)*(ISNUMBER($B$2:$B$636))*($B$2:$B$636&lt;0.5)))</f>
        <v/>
      </c>
      <c r="M627">
        <f>IFERROR(L627/K627,"")</f>
        <v/>
      </c>
      <c r="N627">
        <f>IF(K627="","",M627+K627/100000+ROW()/100000000)</f>
        <v/>
      </c>
      <c r="R627">
        <f>IF(A627=1,IFERROR(I627,0)+ROW()/100000000,-1E+99)</f>
        <v/>
      </c>
      <c r="S627">
        <f>IF(A627=1,IFERROR(Raw_data!$T627,""),"")</f>
        <v/>
      </c>
      <c r="T627">
        <f>IF(A627=1,IFERROR(Raw_data!$AA627,""),"")</f>
        <v/>
      </c>
      <c r="U627">
        <f>IF(A627=1,IFERROR(Raw_data!$U627,""),"")</f>
        <v/>
      </c>
      <c r="V627">
        <f>IF(A627=1,IFERROR(Raw_data!$AB627,""),"")</f>
        <v/>
      </c>
    </row>
    <row r="628">
      <c r="A628">
        <f>--(AND(OR(Dashboard!$B$4="All",Raw_data!$AL628=Dashboard!$B$4),OR(Dashboard!$B$5="All",Raw_data!$AM628=Dashboard!$B$5),OR(Dashboard!$B$6="All",Raw_data!$AN628=Dashboard!$B$6),OR(Dashboard!$B$7="All",Raw_data!$AO628=Dashboard!$B$7),OR(Dashboard!$B$8="All",Raw_data!$AP628=Dashboard!$B$8),OR(Dashboard!$B$9="All",Raw_data!$AQ628=Dashboard!$B$9),OR(Dashboard!$B$10="All",Raw_data!$AF628=Dashboard!$B$10),OR(Raw_data!$F628="",Raw_data!$F628&lt;=TODAY())))</f>
        <v/>
      </c>
      <c r="B628">
        <f>IFERROR(IF(Dashboard!$B$3="Weighted",Raw_data!$U628,Raw_data!$T628),"")</f>
        <v/>
      </c>
      <c r="C628">
        <f>IFERROR(IF(Dashboard!$B$3="Weighted",Raw_data!$AB628,Raw_data!$AA628),"")</f>
        <v/>
      </c>
      <c r="D628">
        <f>IF(OR(Raw_data!$J628="",Raw_data!$J628&lt;=0,Raw_data!$K628=""),"",IF(Raw_data!$K628&gt;TODAY(),0,DATEDIF(Raw_data!$K628,TODAY(),"M")))</f>
        <v/>
      </c>
      <c r="E628">
        <f>--(AND(Raw_data!$AF628="No",OR(Raw_data!$AG628&lt;&gt;"",Raw_data!$AJ628&gt;0,Raw_data!$AK628&lt;&gt;"")))</f>
        <v/>
      </c>
      <c r="F628">
        <f>--(OR(AND(ISNUMBER(B628),B628&lt;0.5,OR(D628&gt;=24,Raw_data!$I628&gt;0)),Raw_data!$AE628=TRUE))</f>
        <v/>
      </c>
      <c r="G628">
        <f>IF(Dashboard!$B$11="Department",Raw_data!$AL628,IF(Dashboard!$B$11="Team",Raw_data!$AM628,IF(Dashboard!$B$11="Unit",Raw_data!$AN628,IF(Dashboard!$B$11="Legal entity",Raw_data!$AO628,IF(Dashboard!$B$11="Location",Raw_data!$AP628,Raw_data!$AQ628)))))</f>
        <v/>
      </c>
      <c r="H628">
        <f>--(AND(ISNUMBER(B628),B628&lt;0.5))</f>
        <v/>
      </c>
      <c r="I628">
        <f>IFERROR(MAX(0,(0.5-B628)*100),0)+IF(D628&gt;=24,20,0)+IF(Raw_data!$I628&gt;0,20,0)+IF(Raw_data!$AE628=TRUE,10,0)</f>
        <v/>
      </c>
      <c r="J628">
        <f>IFERROR(CHOOSE(MATCH(Dashboard!$B$11,{"Department","Team","Unit","Legal entity","Location","Lead"},0),INDEX(Lists!$B$3:$B$20,ROW()-1),INDEX(Lists!$C$3:$C$146,ROW()-1),INDEX(Lists!$D$3:$D$67,ROW()-1),INDEX(Lists!$E$3:$E$5,ROW()-1),INDEX(Lists!$F$3:$F$12,ROW()-1),INDEX(Lists!$G$3:$G$126,ROW()-1)),"")</f>
        <v/>
      </c>
      <c r="K628">
        <f>IF(J628="","",SUMPRODUCT(($A$2:$A$636=1)*($G$2:$G$636=J628)))</f>
        <v/>
      </c>
      <c r="L628">
        <f>IF(J628="","",SUMPRODUCT(($A$2:$A$636=1)*($G$2:$G$636=J628)*(ISNUMBER($B$2:$B$636))*($B$2:$B$636&lt;0.5)))</f>
        <v/>
      </c>
      <c r="M628">
        <f>IFERROR(L628/K628,"")</f>
        <v/>
      </c>
      <c r="N628">
        <f>IF(K628="","",M628+K628/100000+ROW()/100000000)</f>
        <v/>
      </c>
      <c r="R628">
        <f>IF(A628=1,IFERROR(I628,0)+ROW()/100000000,-1E+99)</f>
        <v/>
      </c>
      <c r="S628">
        <f>IF(A628=1,IFERROR(Raw_data!$T628,""),"")</f>
        <v/>
      </c>
      <c r="T628">
        <f>IF(A628=1,IFERROR(Raw_data!$AA628,""),"")</f>
        <v/>
      </c>
      <c r="U628">
        <f>IF(A628=1,IFERROR(Raw_data!$U628,""),"")</f>
        <v/>
      </c>
      <c r="V628">
        <f>IF(A628=1,IFERROR(Raw_data!$AB628,""),"")</f>
        <v/>
      </c>
    </row>
    <row r="629">
      <c r="A629">
        <f>--(AND(OR(Dashboard!$B$4="All",Raw_data!$AL629=Dashboard!$B$4),OR(Dashboard!$B$5="All",Raw_data!$AM629=Dashboard!$B$5),OR(Dashboard!$B$6="All",Raw_data!$AN629=Dashboard!$B$6),OR(Dashboard!$B$7="All",Raw_data!$AO629=Dashboard!$B$7),OR(Dashboard!$B$8="All",Raw_data!$AP629=Dashboard!$B$8),OR(Dashboard!$B$9="All",Raw_data!$AQ629=Dashboard!$B$9),OR(Dashboard!$B$10="All",Raw_data!$AF629=Dashboard!$B$10),OR(Raw_data!$F629="",Raw_data!$F629&lt;=TODAY())))</f>
        <v/>
      </c>
      <c r="B629">
        <f>IFERROR(IF(Dashboard!$B$3="Weighted",Raw_data!$U629,Raw_data!$T629),"")</f>
        <v/>
      </c>
      <c r="C629">
        <f>IFERROR(IF(Dashboard!$B$3="Weighted",Raw_data!$AB629,Raw_data!$AA629),"")</f>
        <v/>
      </c>
      <c r="D629">
        <f>IF(OR(Raw_data!$J629="",Raw_data!$J629&lt;=0,Raw_data!$K629=""),"",IF(Raw_data!$K629&gt;TODAY(),0,DATEDIF(Raw_data!$K629,TODAY(),"M")))</f>
        <v/>
      </c>
      <c r="E629">
        <f>--(AND(Raw_data!$AF629="No",OR(Raw_data!$AG629&lt;&gt;"",Raw_data!$AJ629&gt;0,Raw_data!$AK629&lt;&gt;"")))</f>
        <v/>
      </c>
      <c r="F629">
        <f>--(OR(AND(ISNUMBER(B629),B629&lt;0.5,OR(D629&gt;=24,Raw_data!$I629&gt;0)),Raw_data!$AE629=TRUE))</f>
        <v/>
      </c>
      <c r="G629">
        <f>IF(Dashboard!$B$11="Department",Raw_data!$AL629,IF(Dashboard!$B$11="Team",Raw_data!$AM629,IF(Dashboard!$B$11="Unit",Raw_data!$AN629,IF(Dashboard!$B$11="Legal entity",Raw_data!$AO629,IF(Dashboard!$B$11="Location",Raw_data!$AP629,Raw_data!$AQ629)))))</f>
        <v/>
      </c>
      <c r="H629">
        <f>--(AND(ISNUMBER(B629),B629&lt;0.5))</f>
        <v/>
      </c>
      <c r="I629">
        <f>IFERROR(MAX(0,(0.5-B629)*100),0)+IF(D629&gt;=24,20,0)+IF(Raw_data!$I629&gt;0,20,0)+IF(Raw_data!$AE629=TRUE,10,0)</f>
        <v/>
      </c>
      <c r="J629">
        <f>IFERROR(CHOOSE(MATCH(Dashboard!$B$11,{"Department","Team","Unit","Legal entity","Location","Lead"},0),INDEX(Lists!$B$3:$B$20,ROW()-1),INDEX(Lists!$C$3:$C$146,ROW()-1),INDEX(Lists!$D$3:$D$67,ROW()-1),INDEX(Lists!$E$3:$E$5,ROW()-1),INDEX(Lists!$F$3:$F$12,ROW()-1),INDEX(Lists!$G$3:$G$126,ROW()-1)),"")</f>
        <v/>
      </c>
      <c r="K629">
        <f>IF(J629="","",SUMPRODUCT(($A$2:$A$636=1)*($G$2:$G$636=J629)))</f>
        <v/>
      </c>
      <c r="L629">
        <f>IF(J629="","",SUMPRODUCT(($A$2:$A$636=1)*($G$2:$G$636=J629)*(ISNUMBER($B$2:$B$636))*($B$2:$B$636&lt;0.5)))</f>
        <v/>
      </c>
      <c r="M629">
        <f>IFERROR(L629/K629,"")</f>
        <v/>
      </c>
      <c r="N629">
        <f>IF(K629="","",M629+K629/100000+ROW()/100000000)</f>
        <v/>
      </c>
      <c r="R629">
        <f>IF(A629=1,IFERROR(I629,0)+ROW()/100000000,-1E+99)</f>
        <v/>
      </c>
      <c r="S629">
        <f>IF(A629=1,IFERROR(Raw_data!$T629,""),"")</f>
        <v/>
      </c>
      <c r="T629">
        <f>IF(A629=1,IFERROR(Raw_data!$AA629,""),"")</f>
        <v/>
      </c>
      <c r="U629">
        <f>IF(A629=1,IFERROR(Raw_data!$U629,""),"")</f>
        <v/>
      </c>
      <c r="V629">
        <f>IF(A629=1,IFERROR(Raw_data!$AB629,""),"")</f>
        <v/>
      </c>
    </row>
    <row r="630">
      <c r="A630">
        <f>--(AND(OR(Dashboard!$B$4="All",Raw_data!$AL630=Dashboard!$B$4),OR(Dashboard!$B$5="All",Raw_data!$AM630=Dashboard!$B$5),OR(Dashboard!$B$6="All",Raw_data!$AN630=Dashboard!$B$6),OR(Dashboard!$B$7="All",Raw_data!$AO630=Dashboard!$B$7),OR(Dashboard!$B$8="All",Raw_data!$AP630=Dashboard!$B$8),OR(Dashboard!$B$9="All",Raw_data!$AQ630=Dashboard!$B$9),OR(Dashboard!$B$10="All",Raw_data!$AF630=Dashboard!$B$10),OR(Raw_data!$F630="",Raw_data!$F630&lt;=TODAY())))</f>
        <v/>
      </c>
      <c r="B630">
        <f>IFERROR(IF(Dashboard!$B$3="Weighted",Raw_data!$U630,Raw_data!$T630),"")</f>
        <v/>
      </c>
      <c r="C630">
        <f>IFERROR(IF(Dashboard!$B$3="Weighted",Raw_data!$AB630,Raw_data!$AA630),"")</f>
        <v/>
      </c>
      <c r="D630">
        <f>IF(OR(Raw_data!$J630="",Raw_data!$J630&lt;=0,Raw_data!$K630=""),"",IF(Raw_data!$K630&gt;TODAY(),0,DATEDIF(Raw_data!$K630,TODAY(),"M")))</f>
        <v/>
      </c>
      <c r="E630">
        <f>--(AND(Raw_data!$AF630="No",OR(Raw_data!$AG630&lt;&gt;"",Raw_data!$AJ630&gt;0,Raw_data!$AK630&lt;&gt;"")))</f>
        <v/>
      </c>
      <c r="F630">
        <f>--(OR(AND(ISNUMBER(B630),B630&lt;0.5,OR(D630&gt;=24,Raw_data!$I630&gt;0)),Raw_data!$AE630=TRUE))</f>
        <v/>
      </c>
      <c r="G630">
        <f>IF(Dashboard!$B$11="Department",Raw_data!$AL630,IF(Dashboard!$B$11="Team",Raw_data!$AM630,IF(Dashboard!$B$11="Unit",Raw_data!$AN630,IF(Dashboard!$B$11="Legal entity",Raw_data!$AO630,IF(Dashboard!$B$11="Location",Raw_data!$AP630,Raw_data!$AQ630)))))</f>
        <v/>
      </c>
      <c r="H630">
        <f>--(AND(ISNUMBER(B630),B630&lt;0.5))</f>
        <v/>
      </c>
      <c r="I630">
        <f>IFERROR(MAX(0,(0.5-B630)*100),0)+IF(D630&gt;=24,20,0)+IF(Raw_data!$I630&gt;0,20,0)+IF(Raw_data!$AE630=TRUE,10,0)</f>
        <v/>
      </c>
      <c r="J630">
        <f>IFERROR(CHOOSE(MATCH(Dashboard!$B$11,{"Department","Team","Unit","Legal entity","Location","Lead"},0),INDEX(Lists!$B$3:$B$20,ROW()-1),INDEX(Lists!$C$3:$C$146,ROW()-1),INDEX(Lists!$D$3:$D$67,ROW()-1),INDEX(Lists!$E$3:$E$5,ROW()-1),INDEX(Lists!$F$3:$F$12,ROW()-1),INDEX(Lists!$G$3:$G$126,ROW()-1)),"")</f>
        <v/>
      </c>
      <c r="K630">
        <f>IF(J630="","",SUMPRODUCT(($A$2:$A$636=1)*($G$2:$G$636=J630)))</f>
        <v/>
      </c>
      <c r="L630">
        <f>IF(J630="","",SUMPRODUCT(($A$2:$A$636=1)*($G$2:$G$636=J630)*(ISNUMBER($B$2:$B$636))*($B$2:$B$636&lt;0.5)))</f>
        <v/>
      </c>
      <c r="M630">
        <f>IFERROR(L630/K630,"")</f>
        <v/>
      </c>
      <c r="N630">
        <f>IF(K630="","",M630+K630/100000+ROW()/100000000)</f>
        <v/>
      </c>
      <c r="R630">
        <f>IF(A630=1,IFERROR(I630,0)+ROW()/100000000,-1E+99)</f>
        <v/>
      </c>
      <c r="S630">
        <f>IF(A630=1,IFERROR(Raw_data!$T630,""),"")</f>
        <v/>
      </c>
      <c r="T630">
        <f>IF(A630=1,IFERROR(Raw_data!$AA630,""),"")</f>
        <v/>
      </c>
      <c r="U630">
        <f>IF(A630=1,IFERROR(Raw_data!$U630,""),"")</f>
        <v/>
      </c>
      <c r="V630">
        <f>IF(A630=1,IFERROR(Raw_data!$AB630,""),"")</f>
        <v/>
      </c>
    </row>
    <row r="631">
      <c r="A631">
        <f>--(AND(OR(Dashboard!$B$4="All",Raw_data!$AL631=Dashboard!$B$4),OR(Dashboard!$B$5="All",Raw_data!$AM631=Dashboard!$B$5),OR(Dashboard!$B$6="All",Raw_data!$AN631=Dashboard!$B$6),OR(Dashboard!$B$7="All",Raw_data!$AO631=Dashboard!$B$7),OR(Dashboard!$B$8="All",Raw_data!$AP631=Dashboard!$B$8),OR(Dashboard!$B$9="All",Raw_data!$AQ631=Dashboard!$B$9),OR(Dashboard!$B$10="All",Raw_data!$AF631=Dashboard!$B$10),OR(Raw_data!$F631="",Raw_data!$F631&lt;=TODAY())))</f>
        <v/>
      </c>
      <c r="B631">
        <f>IFERROR(IF(Dashboard!$B$3="Weighted",Raw_data!$U631,Raw_data!$T631),"")</f>
        <v/>
      </c>
      <c r="C631">
        <f>IFERROR(IF(Dashboard!$B$3="Weighted",Raw_data!$AB631,Raw_data!$AA631),"")</f>
        <v/>
      </c>
      <c r="D631">
        <f>IF(OR(Raw_data!$J631="",Raw_data!$J631&lt;=0,Raw_data!$K631=""),"",IF(Raw_data!$K631&gt;TODAY(),0,DATEDIF(Raw_data!$K631,TODAY(),"M")))</f>
        <v/>
      </c>
      <c r="E631">
        <f>--(AND(Raw_data!$AF631="No",OR(Raw_data!$AG631&lt;&gt;"",Raw_data!$AJ631&gt;0,Raw_data!$AK631&lt;&gt;"")))</f>
        <v/>
      </c>
      <c r="F631">
        <f>--(OR(AND(ISNUMBER(B631),B631&lt;0.5,OR(D631&gt;=24,Raw_data!$I631&gt;0)),Raw_data!$AE631=TRUE))</f>
        <v/>
      </c>
      <c r="G631">
        <f>IF(Dashboard!$B$11="Department",Raw_data!$AL631,IF(Dashboard!$B$11="Team",Raw_data!$AM631,IF(Dashboard!$B$11="Unit",Raw_data!$AN631,IF(Dashboard!$B$11="Legal entity",Raw_data!$AO631,IF(Dashboard!$B$11="Location",Raw_data!$AP631,Raw_data!$AQ631)))))</f>
        <v/>
      </c>
      <c r="H631">
        <f>--(AND(ISNUMBER(B631),B631&lt;0.5))</f>
        <v/>
      </c>
      <c r="I631">
        <f>IFERROR(MAX(0,(0.5-B631)*100),0)+IF(D631&gt;=24,20,0)+IF(Raw_data!$I631&gt;0,20,0)+IF(Raw_data!$AE631=TRUE,10,0)</f>
        <v/>
      </c>
      <c r="J631">
        <f>IFERROR(CHOOSE(MATCH(Dashboard!$B$11,{"Department","Team","Unit","Legal entity","Location","Lead"},0),INDEX(Lists!$B$3:$B$20,ROW()-1),INDEX(Lists!$C$3:$C$146,ROW()-1),INDEX(Lists!$D$3:$D$67,ROW()-1),INDEX(Lists!$E$3:$E$5,ROW()-1),INDEX(Lists!$F$3:$F$12,ROW()-1),INDEX(Lists!$G$3:$G$126,ROW()-1)),"")</f>
        <v/>
      </c>
      <c r="K631">
        <f>IF(J631="","",SUMPRODUCT(($A$2:$A$636=1)*($G$2:$G$636=J631)))</f>
        <v/>
      </c>
      <c r="L631">
        <f>IF(J631="","",SUMPRODUCT(($A$2:$A$636=1)*($G$2:$G$636=J631)*(ISNUMBER($B$2:$B$636))*($B$2:$B$636&lt;0.5)))</f>
        <v/>
      </c>
      <c r="M631">
        <f>IFERROR(L631/K631,"")</f>
        <v/>
      </c>
      <c r="N631">
        <f>IF(K631="","",M631+K631/100000+ROW()/100000000)</f>
        <v/>
      </c>
      <c r="R631">
        <f>IF(A631=1,IFERROR(I631,0)+ROW()/100000000,-1E+99)</f>
        <v/>
      </c>
      <c r="S631">
        <f>IF(A631=1,IFERROR(Raw_data!$T631,""),"")</f>
        <v/>
      </c>
      <c r="T631">
        <f>IF(A631=1,IFERROR(Raw_data!$AA631,""),"")</f>
        <v/>
      </c>
      <c r="U631">
        <f>IF(A631=1,IFERROR(Raw_data!$U631,""),"")</f>
        <v/>
      </c>
      <c r="V631">
        <f>IF(A631=1,IFERROR(Raw_data!$AB631,""),"")</f>
        <v/>
      </c>
    </row>
    <row r="632">
      <c r="A632">
        <f>--(AND(OR(Dashboard!$B$4="All",Raw_data!$AL632=Dashboard!$B$4),OR(Dashboard!$B$5="All",Raw_data!$AM632=Dashboard!$B$5),OR(Dashboard!$B$6="All",Raw_data!$AN632=Dashboard!$B$6),OR(Dashboard!$B$7="All",Raw_data!$AO632=Dashboard!$B$7),OR(Dashboard!$B$8="All",Raw_data!$AP632=Dashboard!$B$8),OR(Dashboard!$B$9="All",Raw_data!$AQ632=Dashboard!$B$9),OR(Dashboard!$B$10="All",Raw_data!$AF632=Dashboard!$B$10),OR(Raw_data!$F632="",Raw_data!$F632&lt;=TODAY())))</f>
        <v/>
      </c>
      <c r="B632">
        <f>IFERROR(IF(Dashboard!$B$3="Weighted",Raw_data!$U632,Raw_data!$T632),"")</f>
        <v/>
      </c>
      <c r="C632">
        <f>IFERROR(IF(Dashboard!$B$3="Weighted",Raw_data!$AB632,Raw_data!$AA632),"")</f>
        <v/>
      </c>
      <c r="D632">
        <f>IF(OR(Raw_data!$J632="",Raw_data!$J632&lt;=0,Raw_data!$K632=""),"",IF(Raw_data!$K632&gt;TODAY(),0,DATEDIF(Raw_data!$K632,TODAY(),"M")))</f>
        <v/>
      </c>
      <c r="E632">
        <f>--(AND(Raw_data!$AF632="No",OR(Raw_data!$AG632&lt;&gt;"",Raw_data!$AJ632&gt;0,Raw_data!$AK632&lt;&gt;"")))</f>
        <v/>
      </c>
      <c r="F632">
        <f>--(OR(AND(ISNUMBER(B632),B632&lt;0.5,OR(D632&gt;=24,Raw_data!$I632&gt;0)),Raw_data!$AE632=TRUE))</f>
        <v/>
      </c>
      <c r="G632">
        <f>IF(Dashboard!$B$11="Department",Raw_data!$AL632,IF(Dashboard!$B$11="Team",Raw_data!$AM632,IF(Dashboard!$B$11="Unit",Raw_data!$AN632,IF(Dashboard!$B$11="Legal entity",Raw_data!$AO632,IF(Dashboard!$B$11="Location",Raw_data!$AP632,Raw_data!$AQ632)))))</f>
        <v/>
      </c>
      <c r="H632">
        <f>--(AND(ISNUMBER(B632),B632&lt;0.5))</f>
        <v/>
      </c>
      <c r="I632">
        <f>IFERROR(MAX(0,(0.5-B632)*100),0)+IF(D632&gt;=24,20,0)+IF(Raw_data!$I632&gt;0,20,0)+IF(Raw_data!$AE632=TRUE,10,0)</f>
        <v/>
      </c>
      <c r="J632">
        <f>IFERROR(CHOOSE(MATCH(Dashboard!$B$11,{"Department","Team","Unit","Legal entity","Location","Lead"},0),INDEX(Lists!$B$3:$B$20,ROW()-1),INDEX(Lists!$C$3:$C$146,ROW()-1),INDEX(Lists!$D$3:$D$67,ROW()-1),INDEX(Lists!$E$3:$E$5,ROW()-1),INDEX(Lists!$F$3:$F$12,ROW()-1),INDEX(Lists!$G$3:$G$126,ROW()-1)),"")</f>
        <v/>
      </c>
      <c r="K632">
        <f>IF(J632="","",SUMPRODUCT(($A$2:$A$636=1)*($G$2:$G$636=J632)))</f>
        <v/>
      </c>
      <c r="L632">
        <f>IF(J632="","",SUMPRODUCT(($A$2:$A$636=1)*($G$2:$G$636=J632)*(ISNUMBER($B$2:$B$636))*($B$2:$B$636&lt;0.5)))</f>
        <v/>
      </c>
      <c r="M632">
        <f>IFERROR(L632/K632,"")</f>
        <v/>
      </c>
      <c r="N632">
        <f>IF(K632="","",M632+K632/100000+ROW()/100000000)</f>
        <v/>
      </c>
      <c r="R632">
        <f>IF(A632=1,IFERROR(I632,0)+ROW()/100000000,-1E+99)</f>
        <v/>
      </c>
      <c r="S632">
        <f>IF(A632=1,IFERROR(Raw_data!$T632,""),"")</f>
        <v/>
      </c>
      <c r="T632">
        <f>IF(A632=1,IFERROR(Raw_data!$AA632,""),"")</f>
        <v/>
      </c>
      <c r="U632">
        <f>IF(A632=1,IFERROR(Raw_data!$U632,""),"")</f>
        <v/>
      </c>
      <c r="V632">
        <f>IF(A632=1,IFERROR(Raw_data!$AB632,""),"")</f>
        <v/>
      </c>
    </row>
    <row r="633">
      <c r="A633">
        <f>--(AND(OR(Dashboard!$B$4="All",Raw_data!$AL633=Dashboard!$B$4),OR(Dashboard!$B$5="All",Raw_data!$AM633=Dashboard!$B$5),OR(Dashboard!$B$6="All",Raw_data!$AN633=Dashboard!$B$6),OR(Dashboard!$B$7="All",Raw_data!$AO633=Dashboard!$B$7),OR(Dashboard!$B$8="All",Raw_data!$AP633=Dashboard!$B$8),OR(Dashboard!$B$9="All",Raw_data!$AQ633=Dashboard!$B$9),OR(Dashboard!$B$10="All",Raw_data!$AF633=Dashboard!$B$10),OR(Raw_data!$F633="",Raw_data!$F633&lt;=TODAY())))</f>
        <v/>
      </c>
      <c r="B633">
        <f>IFERROR(IF(Dashboard!$B$3="Weighted",Raw_data!$U633,Raw_data!$T633),"")</f>
        <v/>
      </c>
      <c r="C633">
        <f>IFERROR(IF(Dashboard!$B$3="Weighted",Raw_data!$AB633,Raw_data!$AA633),"")</f>
        <v/>
      </c>
      <c r="D633">
        <f>IF(OR(Raw_data!$J633="",Raw_data!$J633&lt;=0,Raw_data!$K633=""),"",IF(Raw_data!$K633&gt;TODAY(),0,DATEDIF(Raw_data!$K633,TODAY(),"M")))</f>
        <v/>
      </c>
      <c r="E633">
        <f>--(AND(Raw_data!$AF633="No",OR(Raw_data!$AG633&lt;&gt;"",Raw_data!$AJ633&gt;0,Raw_data!$AK633&lt;&gt;"")))</f>
        <v/>
      </c>
      <c r="F633">
        <f>--(OR(AND(ISNUMBER(B633),B633&lt;0.5,OR(D633&gt;=24,Raw_data!$I633&gt;0)),Raw_data!$AE633=TRUE))</f>
        <v/>
      </c>
      <c r="G633">
        <f>IF(Dashboard!$B$11="Department",Raw_data!$AL633,IF(Dashboard!$B$11="Team",Raw_data!$AM633,IF(Dashboard!$B$11="Unit",Raw_data!$AN633,IF(Dashboard!$B$11="Legal entity",Raw_data!$AO633,IF(Dashboard!$B$11="Location",Raw_data!$AP633,Raw_data!$AQ633)))))</f>
        <v/>
      </c>
      <c r="H633">
        <f>--(AND(ISNUMBER(B633),B633&lt;0.5))</f>
        <v/>
      </c>
      <c r="I633">
        <f>IFERROR(MAX(0,(0.5-B633)*100),0)+IF(D633&gt;=24,20,0)+IF(Raw_data!$I633&gt;0,20,0)+IF(Raw_data!$AE633=TRUE,10,0)</f>
        <v/>
      </c>
      <c r="J633">
        <f>IFERROR(CHOOSE(MATCH(Dashboard!$B$11,{"Department","Team","Unit","Legal entity","Location","Lead"},0),INDEX(Lists!$B$3:$B$20,ROW()-1),INDEX(Lists!$C$3:$C$146,ROW()-1),INDEX(Lists!$D$3:$D$67,ROW()-1),INDEX(Lists!$E$3:$E$5,ROW()-1),INDEX(Lists!$F$3:$F$12,ROW()-1),INDEX(Lists!$G$3:$G$126,ROW()-1)),"")</f>
        <v/>
      </c>
      <c r="K633">
        <f>IF(J633="","",SUMPRODUCT(($A$2:$A$636=1)*($G$2:$G$636=J633)))</f>
        <v/>
      </c>
      <c r="L633">
        <f>IF(J633="","",SUMPRODUCT(($A$2:$A$636=1)*($G$2:$G$636=J633)*(ISNUMBER($B$2:$B$636))*($B$2:$B$636&lt;0.5)))</f>
        <v/>
      </c>
      <c r="M633">
        <f>IFERROR(L633/K633,"")</f>
        <v/>
      </c>
      <c r="N633">
        <f>IF(K633="","",M633+K633/100000+ROW()/100000000)</f>
        <v/>
      </c>
      <c r="R633">
        <f>IF(A633=1,IFERROR(I633,0)+ROW()/100000000,-1E+99)</f>
        <v/>
      </c>
      <c r="S633">
        <f>IF(A633=1,IFERROR(Raw_data!$T633,""),"")</f>
        <v/>
      </c>
      <c r="T633">
        <f>IF(A633=1,IFERROR(Raw_data!$AA633,""),"")</f>
        <v/>
      </c>
      <c r="U633">
        <f>IF(A633=1,IFERROR(Raw_data!$U633,""),"")</f>
        <v/>
      </c>
      <c r="V633">
        <f>IF(A633=1,IFERROR(Raw_data!$AB633,""),"")</f>
        <v/>
      </c>
    </row>
    <row r="634">
      <c r="A634">
        <f>--(AND(OR(Dashboard!$B$4="All",Raw_data!$AL634=Dashboard!$B$4),OR(Dashboard!$B$5="All",Raw_data!$AM634=Dashboard!$B$5),OR(Dashboard!$B$6="All",Raw_data!$AN634=Dashboard!$B$6),OR(Dashboard!$B$7="All",Raw_data!$AO634=Dashboard!$B$7),OR(Dashboard!$B$8="All",Raw_data!$AP634=Dashboard!$B$8),OR(Dashboard!$B$9="All",Raw_data!$AQ634=Dashboard!$B$9),OR(Dashboard!$B$10="All",Raw_data!$AF634=Dashboard!$B$10),OR(Raw_data!$F634="",Raw_data!$F634&lt;=TODAY())))</f>
        <v/>
      </c>
      <c r="B634">
        <f>IFERROR(IF(Dashboard!$B$3="Weighted",Raw_data!$U634,Raw_data!$T634),"")</f>
        <v/>
      </c>
      <c r="C634">
        <f>IFERROR(IF(Dashboard!$B$3="Weighted",Raw_data!$AB634,Raw_data!$AA634),"")</f>
        <v/>
      </c>
      <c r="D634">
        <f>IF(OR(Raw_data!$J634="",Raw_data!$J634&lt;=0,Raw_data!$K634=""),"",IF(Raw_data!$K634&gt;TODAY(),0,DATEDIF(Raw_data!$K634,TODAY(),"M")))</f>
        <v/>
      </c>
      <c r="E634">
        <f>--(AND(Raw_data!$AF634="No",OR(Raw_data!$AG634&lt;&gt;"",Raw_data!$AJ634&gt;0,Raw_data!$AK634&lt;&gt;"")))</f>
        <v/>
      </c>
      <c r="F634">
        <f>--(OR(AND(ISNUMBER(B634),B634&lt;0.5,OR(D634&gt;=24,Raw_data!$I634&gt;0)),Raw_data!$AE634=TRUE))</f>
        <v/>
      </c>
      <c r="G634">
        <f>IF(Dashboard!$B$11="Department",Raw_data!$AL634,IF(Dashboard!$B$11="Team",Raw_data!$AM634,IF(Dashboard!$B$11="Unit",Raw_data!$AN634,IF(Dashboard!$B$11="Legal entity",Raw_data!$AO634,IF(Dashboard!$B$11="Location",Raw_data!$AP634,Raw_data!$AQ634)))))</f>
        <v/>
      </c>
      <c r="H634">
        <f>--(AND(ISNUMBER(B634),B634&lt;0.5))</f>
        <v/>
      </c>
      <c r="I634">
        <f>IFERROR(MAX(0,(0.5-B634)*100),0)+IF(D634&gt;=24,20,0)+IF(Raw_data!$I634&gt;0,20,0)+IF(Raw_data!$AE634=TRUE,10,0)</f>
        <v/>
      </c>
      <c r="J634">
        <f>IFERROR(CHOOSE(MATCH(Dashboard!$B$11,{"Department","Team","Unit","Legal entity","Location","Lead"},0),INDEX(Lists!$B$3:$B$20,ROW()-1),INDEX(Lists!$C$3:$C$146,ROW()-1),INDEX(Lists!$D$3:$D$67,ROW()-1),INDEX(Lists!$E$3:$E$5,ROW()-1),INDEX(Lists!$F$3:$F$12,ROW()-1),INDEX(Lists!$G$3:$G$126,ROW()-1)),"")</f>
        <v/>
      </c>
      <c r="K634">
        <f>IF(J634="","",SUMPRODUCT(($A$2:$A$636=1)*($G$2:$G$636=J634)))</f>
        <v/>
      </c>
      <c r="L634">
        <f>IF(J634="","",SUMPRODUCT(($A$2:$A$636=1)*($G$2:$G$636=J634)*(ISNUMBER($B$2:$B$636))*($B$2:$B$636&lt;0.5)))</f>
        <v/>
      </c>
      <c r="M634">
        <f>IFERROR(L634/K634,"")</f>
        <v/>
      </c>
      <c r="N634">
        <f>IF(K634="","",M634+K634/100000+ROW()/100000000)</f>
        <v/>
      </c>
      <c r="R634">
        <f>IF(A634=1,IFERROR(I634,0)+ROW()/100000000,-1E+99)</f>
        <v/>
      </c>
      <c r="S634">
        <f>IF(A634=1,IFERROR(Raw_data!$T634,""),"")</f>
        <v/>
      </c>
      <c r="T634">
        <f>IF(A634=1,IFERROR(Raw_data!$AA634,""),"")</f>
        <v/>
      </c>
      <c r="U634">
        <f>IF(A634=1,IFERROR(Raw_data!$U634,""),"")</f>
        <v/>
      </c>
      <c r="V634">
        <f>IF(A634=1,IFERROR(Raw_data!$AB634,""),"")</f>
        <v/>
      </c>
    </row>
    <row r="635">
      <c r="A635">
        <f>--(AND(OR(Dashboard!$B$4="All",Raw_data!$AL635=Dashboard!$B$4),OR(Dashboard!$B$5="All",Raw_data!$AM635=Dashboard!$B$5),OR(Dashboard!$B$6="All",Raw_data!$AN635=Dashboard!$B$6),OR(Dashboard!$B$7="All",Raw_data!$AO635=Dashboard!$B$7),OR(Dashboard!$B$8="All",Raw_data!$AP635=Dashboard!$B$8),OR(Dashboard!$B$9="All",Raw_data!$AQ635=Dashboard!$B$9),OR(Dashboard!$B$10="All",Raw_data!$AF635=Dashboard!$B$10),OR(Raw_data!$F635="",Raw_data!$F635&lt;=TODAY())))</f>
        <v/>
      </c>
      <c r="B635">
        <f>IFERROR(IF(Dashboard!$B$3="Weighted",Raw_data!$U635,Raw_data!$T635),"")</f>
        <v/>
      </c>
      <c r="C635">
        <f>IFERROR(IF(Dashboard!$B$3="Weighted",Raw_data!$AB635,Raw_data!$AA635),"")</f>
        <v/>
      </c>
      <c r="D635">
        <f>IF(OR(Raw_data!$J635="",Raw_data!$J635&lt;=0,Raw_data!$K635=""),"",IF(Raw_data!$K635&gt;TODAY(),0,DATEDIF(Raw_data!$K635,TODAY(),"M")))</f>
        <v/>
      </c>
      <c r="E635">
        <f>--(AND(Raw_data!$AF635="No",OR(Raw_data!$AG635&lt;&gt;"",Raw_data!$AJ635&gt;0,Raw_data!$AK635&lt;&gt;"")))</f>
        <v/>
      </c>
      <c r="F635">
        <f>--(OR(AND(ISNUMBER(B635),B635&lt;0.5,OR(D635&gt;=24,Raw_data!$I635&gt;0)),Raw_data!$AE635=TRUE))</f>
        <v/>
      </c>
      <c r="G635">
        <f>IF(Dashboard!$B$11="Department",Raw_data!$AL635,IF(Dashboard!$B$11="Team",Raw_data!$AM635,IF(Dashboard!$B$11="Unit",Raw_data!$AN635,IF(Dashboard!$B$11="Legal entity",Raw_data!$AO635,IF(Dashboard!$B$11="Location",Raw_data!$AP635,Raw_data!$AQ635)))))</f>
        <v/>
      </c>
      <c r="H635">
        <f>--(AND(ISNUMBER(B635),B635&lt;0.5))</f>
        <v/>
      </c>
      <c r="I635">
        <f>IFERROR(MAX(0,(0.5-B635)*100),0)+IF(D635&gt;=24,20,0)+IF(Raw_data!$I635&gt;0,20,0)+IF(Raw_data!$AE635=TRUE,10,0)</f>
        <v/>
      </c>
      <c r="J635">
        <f>IFERROR(CHOOSE(MATCH(Dashboard!$B$11,{"Department","Team","Unit","Legal entity","Location","Lead"},0),INDEX(Lists!$B$3:$B$20,ROW()-1),INDEX(Lists!$C$3:$C$146,ROW()-1),INDEX(Lists!$D$3:$D$67,ROW()-1),INDEX(Lists!$E$3:$E$5,ROW()-1),INDEX(Lists!$F$3:$F$12,ROW()-1),INDEX(Lists!$G$3:$G$126,ROW()-1)),"")</f>
        <v/>
      </c>
      <c r="K635">
        <f>IF(J635="","",SUMPRODUCT(($A$2:$A$636=1)*($G$2:$G$636=J635)))</f>
        <v/>
      </c>
      <c r="L635">
        <f>IF(J635="","",SUMPRODUCT(($A$2:$A$636=1)*($G$2:$G$636=J635)*(ISNUMBER($B$2:$B$636))*($B$2:$B$636&lt;0.5)))</f>
        <v/>
      </c>
      <c r="M635">
        <f>IFERROR(L635/K635,"")</f>
        <v/>
      </c>
      <c r="N635">
        <f>IF(K635="","",M635+K635/100000+ROW()/100000000)</f>
        <v/>
      </c>
      <c r="R635">
        <f>IF(A635=1,IFERROR(I635,0)+ROW()/100000000,-1E+99)</f>
        <v/>
      </c>
      <c r="S635">
        <f>IF(A635=1,IFERROR(Raw_data!$T635,""),"")</f>
        <v/>
      </c>
      <c r="T635">
        <f>IF(A635=1,IFERROR(Raw_data!$AA635,""),"")</f>
        <v/>
      </c>
      <c r="U635">
        <f>IF(A635=1,IFERROR(Raw_data!$U635,""),"")</f>
        <v/>
      </c>
      <c r="V635">
        <f>IF(A635=1,IFERROR(Raw_data!$AB635,""),"")</f>
        <v/>
      </c>
    </row>
    <row r="636">
      <c r="A636">
        <f>--(AND(OR(Dashboard!$B$4="All",Raw_data!$AL636=Dashboard!$B$4),OR(Dashboard!$B$5="All",Raw_data!$AM636=Dashboard!$B$5),OR(Dashboard!$B$6="All",Raw_data!$AN636=Dashboard!$B$6),OR(Dashboard!$B$7="All",Raw_data!$AO636=Dashboard!$B$7),OR(Dashboard!$B$8="All",Raw_data!$AP636=Dashboard!$B$8),OR(Dashboard!$B$9="All",Raw_data!$AQ636=Dashboard!$B$9),OR(Dashboard!$B$10="All",Raw_data!$AF636=Dashboard!$B$10),OR(Raw_data!$F636="",Raw_data!$F636&lt;=TODAY())))</f>
        <v/>
      </c>
      <c r="B636">
        <f>IFERROR(IF(Dashboard!$B$3="Weighted",Raw_data!$U636,Raw_data!$T636),"")</f>
        <v/>
      </c>
      <c r="C636">
        <f>IFERROR(IF(Dashboard!$B$3="Weighted",Raw_data!$AB636,Raw_data!$AA636),"")</f>
        <v/>
      </c>
      <c r="D636">
        <f>IF(OR(Raw_data!$J636="",Raw_data!$J636&lt;=0,Raw_data!$K636=""),"",IF(Raw_data!$K636&gt;TODAY(),0,DATEDIF(Raw_data!$K636,TODAY(),"M")))</f>
        <v/>
      </c>
      <c r="E636">
        <f>--(AND(Raw_data!$AF636="No",OR(Raw_data!$AG636&lt;&gt;"",Raw_data!$AJ636&gt;0,Raw_data!$AK636&lt;&gt;"")))</f>
        <v/>
      </c>
      <c r="F636">
        <f>--(OR(AND(ISNUMBER(B636),B636&lt;0.5,OR(D636&gt;=24,Raw_data!$I636&gt;0)),Raw_data!$AE636=TRUE))</f>
        <v/>
      </c>
      <c r="G636">
        <f>IF(Dashboard!$B$11="Department",Raw_data!$AL636,IF(Dashboard!$B$11="Team",Raw_data!$AM636,IF(Dashboard!$B$11="Unit",Raw_data!$AN636,IF(Dashboard!$B$11="Legal entity",Raw_data!$AO636,IF(Dashboard!$B$11="Location",Raw_data!$AP636,Raw_data!$AQ636)))))</f>
        <v/>
      </c>
      <c r="H636">
        <f>--(AND(ISNUMBER(B636),B636&lt;0.5))</f>
        <v/>
      </c>
      <c r="I636">
        <f>IFERROR(MAX(0,(0.5-B636)*100),0)+IF(D636&gt;=24,20,0)+IF(Raw_data!$I636&gt;0,20,0)+IF(Raw_data!$AE636=TRUE,10,0)</f>
        <v/>
      </c>
      <c r="J636">
        <f>IFERROR(CHOOSE(MATCH(Dashboard!$B$11,{"Department","Team","Unit","Legal entity","Location","Lead"},0),INDEX(Lists!$B$3:$B$20,ROW()-1),INDEX(Lists!$C$3:$C$146,ROW()-1),INDEX(Lists!$D$3:$D$67,ROW()-1),INDEX(Lists!$E$3:$E$5,ROW()-1),INDEX(Lists!$F$3:$F$12,ROW()-1),INDEX(Lists!$G$3:$G$126,ROW()-1)),"")</f>
        <v/>
      </c>
      <c r="K636">
        <f>IF(J636="","",SUMPRODUCT(($A$2:$A$636=1)*($G$2:$G$636=J636)))</f>
        <v/>
      </c>
      <c r="L636">
        <f>IF(J636="","",SUMPRODUCT(($A$2:$A$636=1)*($G$2:$G$636=J636)*(ISNUMBER($B$2:$B$636))*($B$2:$B$636&lt;0.5)))</f>
        <v/>
      </c>
      <c r="M636">
        <f>IFERROR(L636/K636,"")</f>
        <v/>
      </c>
      <c r="N636">
        <f>IF(K636="","",M636+K636/100000+ROW()/100000000)</f>
        <v/>
      </c>
      <c r="R636">
        <f>IF(A636=1,IFERROR(I636,0)+ROW()/100000000,-1E+99)</f>
        <v/>
      </c>
      <c r="S636">
        <f>IF(A636=1,IFERROR(Raw_data!$T636,""),"")</f>
        <v/>
      </c>
      <c r="T636">
        <f>IF(A636=1,IFERROR(Raw_data!$AA636,""),"")</f>
        <v/>
      </c>
      <c r="U636">
        <f>IF(A636=1,IFERROR(Raw_data!$U636,""),"")</f>
        <v/>
      </c>
      <c r="V636">
        <f>IF(A636=1,IFERROR(Raw_data!$AB636,""),"")</f>
        <v/>
      </c>
    </row>
    <row r="637">
      <c r="J637">
        <f>IFERROR(CHOOSE(MATCH(Dashboard!$B$11,{"Department","Team","Unit","Legal entity","Location","Lead"},0),INDEX(Lists!$B$3:$B$20,ROW()-1),INDEX(Lists!$C$3:$C$146,ROW()-1),INDEX(Lists!$D$3:$D$67,ROW()-1),INDEX(Lists!$E$3:$E$5,ROW()-1),INDEX(Lists!$F$3:$F$12,ROW()-1),INDEX(Lists!$G$3:$G$126,ROW()-1)),"")</f>
        <v/>
      </c>
      <c r="K637">
        <f>IF(J637="","",SUMPRODUCT(($A$2:$A$636=1)*($G$2:$G$636=J637)))</f>
        <v/>
      </c>
      <c r="L637">
        <f>IF(J637="","",SUMPRODUCT(($A$2:$A$636=1)*($G$2:$G$636=J637)*(ISNUMBER($B$2:$B$636))*($B$2:$B$636&lt;0.5)))</f>
        <v/>
      </c>
      <c r="M637">
        <f>IFERROR(L637/K637,"")</f>
        <v/>
      </c>
      <c r="N637">
        <f>IF(K637="","",M637+K637/100000+ROW()/100000000)</f>
        <v/>
      </c>
    </row>
    <row r="638">
      <c r="J638">
        <f>IFERROR(CHOOSE(MATCH(Dashboard!$B$11,{"Department","Team","Unit","Legal entity","Location","Lead"},0),INDEX(Lists!$B$3:$B$20,ROW()-1),INDEX(Lists!$C$3:$C$146,ROW()-1),INDEX(Lists!$D$3:$D$67,ROW()-1),INDEX(Lists!$E$3:$E$5,ROW()-1),INDEX(Lists!$F$3:$F$12,ROW()-1),INDEX(Lists!$G$3:$G$126,ROW()-1)),"")</f>
        <v/>
      </c>
      <c r="K638">
        <f>IF(J638="","",SUMPRODUCT(($A$2:$A$636=1)*($G$2:$G$636=J638)))</f>
        <v/>
      </c>
      <c r="L638">
        <f>IF(J638="","",SUMPRODUCT(($A$2:$A$636=1)*($G$2:$G$636=J638)*(ISNUMBER($B$2:$B$636))*($B$2:$B$636&lt;0.5)))</f>
        <v/>
      </c>
      <c r="M638">
        <f>IFERROR(L638/K638,"")</f>
        <v/>
      </c>
      <c r="N638">
        <f>IF(K638="","",M638+K638/100000+ROW()/100000000)</f>
        <v/>
      </c>
    </row>
    <row r="639">
      <c r="J639">
        <f>IFERROR(CHOOSE(MATCH(Dashboard!$B$11,{"Department","Team","Unit","Legal entity","Location","Lead"},0),INDEX(Lists!$B$3:$B$20,ROW()-1),INDEX(Lists!$C$3:$C$146,ROW()-1),INDEX(Lists!$D$3:$D$67,ROW()-1),INDEX(Lists!$E$3:$E$5,ROW()-1),INDEX(Lists!$F$3:$F$12,ROW()-1),INDEX(Lists!$G$3:$G$126,ROW()-1)),"")</f>
        <v/>
      </c>
      <c r="K639">
        <f>IF(J639="","",SUMPRODUCT(($A$2:$A$636=1)*($G$2:$G$636=J639)))</f>
        <v/>
      </c>
      <c r="L639">
        <f>IF(J639="","",SUMPRODUCT(($A$2:$A$636=1)*($G$2:$G$636=J639)*(ISNUMBER($B$2:$B$636))*($B$2:$B$636&lt;0.5)))</f>
        <v/>
      </c>
      <c r="M639">
        <f>IFERROR(L639/K639,"")</f>
        <v/>
      </c>
      <c r="N639">
        <f>IF(K639="","",M639+K639/100000+ROW()/100000000)</f>
        <v/>
      </c>
    </row>
    <row r="640">
      <c r="J640">
        <f>IFERROR(CHOOSE(MATCH(Dashboard!$B$11,{"Department","Team","Unit","Legal entity","Location","Lead"},0),INDEX(Lists!$B$3:$B$20,ROW()-1),INDEX(Lists!$C$3:$C$146,ROW()-1),INDEX(Lists!$D$3:$D$67,ROW()-1),INDEX(Lists!$E$3:$E$5,ROW()-1),INDEX(Lists!$F$3:$F$12,ROW()-1),INDEX(Lists!$G$3:$G$126,ROW()-1)),"")</f>
        <v/>
      </c>
      <c r="K640">
        <f>IF(J640="","",SUMPRODUCT(($A$2:$A$636=1)*($G$2:$G$636=J640)))</f>
        <v/>
      </c>
      <c r="L640">
        <f>IF(J640="","",SUMPRODUCT(($A$2:$A$636=1)*($G$2:$G$636=J640)*(ISNUMBER($B$2:$B$636))*($B$2:$B$636&lt;0.5)))</f>
        <v/>
      </c>
      <c r="M640">
        <f>IFERROR(L640/K640,"")</f>
        <v/>
      </c>
      <c r="N640">
        <f>IF(K640="","",M640+K640/100000+ROW()/100000000)</f>
        <v/>
      </c>
    </row>
    <row r="641">
      <c r="J641">
        <f>IFERROR(CHOOSE(MATCH(Dashboard!$B$11,{"Department","Team","Unit","Legal entity","Location","Lead"},0),INDEX(Lists!$B$3:$B$20,ROW()-1),INDEX(Lists!$C$3:$C$146,ROW()-1),INDEX(Lists!$D$3:$D$67,ROW()-1),INDEX(Lists!$E$3:$E$5,ROW()-1),INDEX(Lists!$F$3:$F$12,ROW()-1),INDEX(Lists!$G$3:$G$126,ROW()-1)),"")</f>
        <v/>
      </c>
      <c r="K641">
        <f>IF(J641="","",SUMPRODUCT(($A$2:$A$636=1)*($G$2:$G$636=J641)))</f>
        <v/>
      </c>
      <c r="L641">
        <f>IF(J641="","",SUMPRODUCT(($A$2:$A$636=1)*($G$2:$G$636=J641)*(ISNUMBER($B$2:$B$636))*($B$2:$B$636&lt;0.5)))</f>
        <v/>
      </c>
      <c r="M641">
        <f>IFERROR(L641/K641,"")</f>
        <v/>
      </c>
      <c r="N641">
        <f>IF(K641="","",M641+K641/100000+ROW()/100000000)</f>
        <v/>
      </c>
    </row>
    <row r="642">
      <c r="J642">
        <f>IFERROR(CHOOSE(MATCH(Dashboard!$B$11,{"Department","Team","Unit","Legal entity","Location","Lead"},0),INDEX(Lists!$B$3:$B$20,ROW()-1),INDEX(Lists!$C$3:$C$146,ROW()-1),INDEX(Lists!$D$3:$D$67,ROW()-1),INDEX(Lists!$E$3:$E$5,ROW()-1),INDEX(Lists!$F$3:$F$12,ROW()-1),INDEX(Lists!$G$3:$G$126,ROW()-1)),"")</f>
        <v/>
      </c>
      <c r="K642">
        <f>IF(J642="","",SUMPRODUCT(($A$2:$A$636=1)*($G$2:$G$636=J642)))</f>
        <v/>
      </c>
      <c r="L642">
        <f>IF(J642="","",SUMPRODUCT(($A$2:$A$636=1)*($G$2:$G$636=J642)*(ISNUMBER($B$2:$B$636))*($B$2:$B$636&lt;0.5)))</f>
        <v/>
      </c>
      <c r="M642">
        <f>IFERROR(L642/K642,"")</f>
        <v/>
      </c>
      <c r="N642">
        <f>IF(K642="","",M642+K642/100000+ROW()/100000000)</f>
        <v/>
      </c>
    </row>
    <row r="643">
      <c r="J643">
        <f>IFERROR(CHOOSE(MATCH(Dashboard!$B$11,{"Department","Team","Unit","Legal entity","Location","Lead"},0),INDEX(Lists!$B$3:$B$20,ROW()-1),INDEX(Lists!$C$3:$C$146,ROW()-1),INDEX(Lists!$D$3:$D$67,ROW()-1),INDEX(Lists!$E$3:$E$5,ROW()-1),INDEX(Lists!$F$3:$F$12,ROW()-1),INDEX(Lists!$G$3:$G$126,ROW()-1)),"")</f>
        <v/>
      </c>
      <c r="K643">
        <f>IF(J643="","",SUMPRODUCT(($A$2:$A$636=1)*($G$2:$G$636=J643)))</f>
        <v/>
      </c>
      <c r="L643">
        <f>IF(J643="","",SUMPRODUCT(($A$2:$A$636=1)*($G$2:$G$636=J643)*(ISNUMBER($B$2:$B$636))*($B$2:$B$636&lt;0.5)))</f>
        <v/>
      </c>
      <c r="M643">
        <f>IFERROR(L643/K643,"")</f>
        <v/>
      </c>
      <c r="N643">
        <f>IF(K643="","",M643+K643/100000+ROW()/100000000)</f>
        <v/>
      </c>
    </row>
    <row r="644">
      <c r="J644">
        <f>IFERROR(CHOOSE(MATCH(Dashboard!$B$11,{"Department","Team","Unit","Legal entity","Location","Lead"},0),INDEX(Lists!$B$3:$B$20,ROW()-1),INDEX(Lists!$C$3:$C$146,ROW()-1),INDEX(Lists!$D$3:$D$67,ROW()-1),INDEX(Lists!$E$3:$E$5,ROW()-1),INDEX(Lists!$F$3:$F$12,ROW()-1),INDEX(Lists!$G$3:$G$126,ROW()-1)),"")</f>
        <v/>
      </c>
      <c r="K644">
        <f>IF(J644="","",SUMPRODUCT(($A$2:$A$636=1)*($G$2:$G$636=J644)))</f>
        <v/>
      </c>
      <c r="L644">
        <f>IF(J644="","",SUMPRODUCT(($A$2:$A$636=1)*($G$2:$G$636=J644)*(ISNUMBER($B$2:$B$636))*($B$2:$B$636&lt;0.5)))</f>
        <v/>
      </c>
      <c r="M644">
        <f>IFERROR(L644/K644,"")</f>
        <v/>
      </c>
      <c r="N644">
        <f>IF(K644="","",M644+K644/100000+ROW()/100000000)</f>
        <v/>
      </c>
    </row>
    <row r="645">
      <c r="J645">
        <f>IFERROR(CHOOSE(MATCH(Dashboard!$B$11,{"Department","Team","Unit","Legal entity","Location","Lead"},0),INDEX(Lists!$B$3:$B$20,ROW()-1),INDEX(Lists!$C$3:$C$146,ROW()-1),INDEX(Lists!$D$3:$D$67,ROW()-1),INDEX(Lists!$E$3:$E$5,ROW()-1),INDEX(Lists!$F$3:$F$12,ROW()-1),INDEX(Lists!$G$3:$G$126,ROW()-1)),"")</f>
        <v/>
      </c>
      <c r="K645">
        <f>IF(J645="","",SUMPRODUCT(($A$2:$A$636=1)*($G$2:$G$636=J645)))</f>
        <v/>
      </c>
      <c r="L645">
        <f>IF(J645="","",SUMPRODUCT(($A$2:$A$636=1)*($G$2:$G$636=J645)*(ISNUMBER($B$2:$B$636))*($B$2:$B$636&lt;0.5)))</f>
        <v/>
      </c>
      <c r="M645">
        <f>IFERROR(L645/K645,"")</f>
        <v/>
      </c>
      <c r="N645">
        <f>IF(K645="","",M645+K645/100000+ROW()/100000000)</f>
        <v/>
      </c>
    </row>
    <row r="646">
      <c r="J646">
        <f>IFERROR(CHOOSE(MATCH(Dashboard!$B$11,{"Department","Team","Unit","Legal entity","Location","Lead"},0),INDEX(Lists!$B$3:$B$20,ROW()-1),INDEX(Lists!$C$3:$C$146,ROW()-1),INDEX(Lists!$D$3:$D$67,ROW()-1),INDEX(Lists!$E$3:$E$5,ROW()-1),INDEX(Lists!$F$3:$F$12,ROW()-1),INDEX(Lists!$G$3:$G$126,ROW()-1)),"")</f>
        <v/>
      </c>
      <c r="K646">
        <f>IF(J646="","",SUMPRODUCT(($A$2:$A$636=1)*($G$2:$G$636=J646)))</f>
        <v/>
      </c>
      <c r="L646">
        <f>IF(J646="","",SUMPRODUCT(($A$2:$A$636=1)*($G$2:$G$636=J646)*(ISNUMBER($B$2:$B$636))*($B$2:$B$636&lt;0.5)))</f>
        <v/>
      </c>
      <c r="M646">
        <f>IFERROR(L646/K646,"")</f>
        <v/>
      </c>
      <c r="N646">
        <f>IF(K646="","",M646+K646/100000+ROW()/100000000)</f>
        <v/>
      </c>
    </row>
    <row r="647">
      <c r="J647">
        <f>IFERROR(CHOOSE(MATCH(Dashboard!$B$11,{"Department","Team","Unit","Legal entity","Location","Lead"},0),INDEX(Lists!$B$3:$B$20,ROW()-1),INDEX(Lists!$C$3:$C$146,ROW()-1),INDEX(Lists!$D$3:$D$67,ROW()-1),INDEX(Lists!$E$3:$E$5,ROW()-1),INDEX(Lists!$F$3:$F$12,ROW()-1),INDEX(Lists!$G$3:$G$126,ROW()-1)),"")</f>
        <v/>
      </c>
      <c r="K647">
        <f>IF(J647="","",SUMPRODUCT(($A$2:$A$636=1)*($G$2:$G$636=J647)))</f>
        <v/>
      </c>
      <c r="L647">
        <f>IF(J647="","",SUMPRODUCT(($A$2:$A$636=1)*($G$2:$G$636=J647)*(ISNUMBER($B$2:$B$636))*($B$2:$B$636&lt;0.5)))</f>
        <v/>
      </c>
      <c r="M647">
        <f>IFERROR(L647/K647,"")</f>
        <v/>
      </c>
      <c r="N647">
        <f>IF(K647="","",M647+K647/100000+ROW()/100000000)</f>
        <v/>
      </c>
    </row>
    <row r="648">
      <c r="J648">
        <f>IFERROR(CHOOSE(MATCH(Dashboard!$B$11,{"Department","Team","Unit","Legal entity","Location","Lead"},0),INDEX(Lists!$B$3:$B$20,ROW()-1),INDEX(Lists!$C$3:$C$146,ROW()-1),INDEX(Lists!$D$3:$D$67,ROW()-1),INDEX(Lists!$E$3:$E$5,ROW()-1),INDEX(Lists!$F$3:$F$12,ROW()-1),INDEX(Lists!$G$3:$G$126,ROW()-1)),"")</f>
        <v/>
      </c>
      <c r="K648">
        <f>IF(J648="","",SUMPRODUCT(($A$2:$A$636=1)*($G$2:$G$636=J648)))</f>
        <v/>
      </c>
      <c r="L648">
        <f>IF(J648="","",SUMPRODUCT(($A$2:$A$636=1)*($G$2:$G$636=J648)*(ISNUMBER($B$2:$B$636))*($B$2:$B$636&lt;0.5)))</f>
        <v/>
      </c>
      <c r="M648">
        <f>IFERROR(L648/K648,"")</f>
        <v/>
      </c>
      <c r="N648">
        <f>IF(K648="","",M648+K648/100000+ROW()/100000000)</f>
        <v/>
      </c>
    </row>
    <row r="649">
      <c r="J649">
        <f>IFERROR(CHOOSE(MATCH(Dashboard!$B$11,{"Department","Team","Unit","Legal entity","Location","Lead"},0),INDEX(Lists!$B$3:$B$20,ROW()-1),INDEX(Lists!$C$3:$C$146,ROW()-1),INDEX(Lists!$D$3:$D$67,ROW()-1),INDEX(Lists!$E$3:$E$5,ROW()-1),INDEX(Lists!$F$3:$F$12,ROW()-1),INDEX(Lists!$G$3:$G$126,ROW()-1)),"")</f>
        <v/>
      </c>
      <c r="K649">
        <f>IF(J649="","",SUMPRODUCT(($A$2:$A$636=1)*($G$2:$G$636=J649)))</f>
        <v/>
      </c>
      <c r="L649">
        <f>IF(J649="","",SUMPRODUCT(($A$2:$A$636=1)*($G$2:$G$636=J649)*(ISNUMBER($B$2:$B$636))*($B$2:$B$636&lt;0.5)))</f>
        <v/>
      </c>
      <c r="M649">
        <f>IFERROR(L649/K649,"")</f>
        <v/>
      </c>
      <c r="N649">
        <f>IF(K649="","",M649+K649/100000+ROW()/100000000)</f>
        <v/>
      </c>
    </row>
    <row r="650">
      <c r="J650">
        <f>IFERROR(CHOOSE(MATCH(Dashboard!$B$11,{"Department","Team","Unit","Legal entity","Location","Lead"},0),INDEX(Lists!$B$3:$B$20,ROW()-1),INDEX(Lists!$C$3:$C$146,ROW()-1),INDEX(Lists!$D$3:$D$67,ROW()-1),INDEX(Lists!$E$3:$E$5,ROW()-1),INDEX(Lists!$F$3:$F$12,ROW()-1),INDEX(Lists!$G$3:$G$126,ROW()-1)),"")</f>
        <v/>
      </c>
      <c r="K650">
        <f>IF(J650="","",SUMPRODUCT(($A$2:$A$636=1)*($G$2:$G$636=J650)))</f>
        <v/>
      </c>
      <c r="L650">
        <f>IF(J650="","",SUMPRODUCT(($A$2:$A$636=1)*($G$2:$G$636=J650)*(ISNUMBER($B$2:$B$636))*($B$2:$B$636&lt;0.5)))</f>
        <v/>
      </c>
      <c r="M650">
        <f>IFERROR(L650/K650,"")</f>
        <v/>
      </c>
      <c r="N650">
        <f>IF(K650="","",M650+K650/100000+ROW()/100000000)</f>
        <v/>
      </c>
    </row>
    <row r="651">
      <c r="J651">
        <f>IFERROR(CHOOSE(MATCH(Dashboard!$B$11,{"Department","Team","Unit","Legal entity","Location","Lead"},0),INDEX(Lists!$B$3:$B$20,ROW()-1),INDEX(Lists!$C$3:$C$146,ROW()-1),INDEX(Lists!$D$3:$D$67,ROW()-1),INDEX(Lists!$E$3:$E$5,ROW()-1),INDEX(Lists!$F$3:$F$12,ROW()-1),INDEX(Lists!$G$3:$G$126,ROW()-1)),"")</f>
        <v/>
      </c>
      <c r="K651">
        <f>IF(J651="","",SUMPRODUCT(($A$2:$A$636=1)*($G$2:$G$636=J651)))</f>
        <v/>
      </c>
      <c r="L651">
        <f>IF(J651="","",SUMPRODUCT(($A$2:$A$636=1)*($G$2:$G$636=J651)*(ISNUMBER($B$2:$B$636))*($B$2:$B$636&lt;0.5)))</f>
        <v/>
      </c>
      <c r="M651">
        <f>IFERROR(L651/K651,"")</f>
        <v/>
      </c>
      <c r="N651">
        <f>IF(K651="","",M651+K651/100000+ROW()/100000000)</f>
        <v/>
      </c>
    </row>
    <row r="652">
      <c r="J652">
        <f>IFERROR(CHOOSE(MATCH(Dashboard!$B$11,{"Department","Team","Unit","Legal entity","Location","Lead"},0),INDEX(Lists!$B$3:$B$20,ROW()-1),INDEX(Lists!$C$3:$C$146,ROW()-1),INDEX(Lists!$D$3:$D$67,ROW()-1),INDEX(Lists!$E$3:$E$5,ROW()-1),INDEX(Lists!$F$3:$F$12,ROW()-1),INDEX(Lists!$G$3:$G$126,ROW()-1)),"")</f>
        <v/>
      </c>
      <c r="K652">
        <f>IF(J652="","",SUMPRODUCT(($A$2:$A$636=1)*($G$2:$G$636=J652)))</f>
        <v/>
      </c>
      <c r="L652">
        <f>IF(J652="","",SUMPRODUCT(($A$2:$A$636=1)*($G$2:$G$636=J652)*(ISNUMBER($B$2:$B$636))*($B$2:$B$636&lt;0.5)))</f>
        <v/>
      </c>
      <c r="M652">
        <f>IFERROR(L652/K652,"")</f>
        <v/>
      </c>
      <c r="N652">
        <f>IF(K652="","",M652+K652/100000+ROW()/100000000)</f>
        <v/>
      </c>
    </row>
    <row r="653">
      <c r="J653">
        <f>IFERROR(CHOOSE(MATCH(Dashboard!$B$11,{"Department","Team","Unit","Legal entity","Location","Lead"},0),INDEX(Lists!$B$3:$B$20,ROW()-1),INDEX(Lists!$C$3:$C$146,ROW()-1),INDEX(Lists!$D$3:$D$67,ROW()-1),INDEX(Lists!$E$3:$E$5,ROW()-1),INDEX(Lists!$F$3:$F$12,ROW()-1),INDEX(Lists!$G$3:$G$126,ROW()-1)),"")</f>
        <v/>
      </c>
      <c r="K653">
        <f>IF(J653="","",SUMPRODUCT(($A$2:$A$636=1)*($G$2:$G$636=J653)))</f>
        <v/>
      </c>
      <c r="L653">
        <f>IF(J653="","",SUMPRODUCT(($A$2:$A$636=1)*($G$2:$G$636=J653)*(ISNUMBER($B$2:$B$636))*($B$2:$B$636&lt;0.5)))</f>
        <v/>
      </c>
      <c r="M653">
        <f>IFERROR(L653/K653,"")</f>
        <v/>
      </c>
      <c r="N653">
        <f>IF(K653="","",M653+K653/100000+ROW()/100000000)</f>
        <v/>
      </c>
    </row>
    <row r="654">
      <c r="J654">
        <f>IFERROR(CHOOSE(MATCH(Dashboard!$B$11,{"Department","Team","Unit","Legal entity","Location","Lead"},0),INDEX(Lists!$B$3:$B$20,ROW()-1),INDEX(Lists!$C$3:$C$146,ROW()-1),INDEX(Lists!$D$3:$D$67,ROW()-1),INDEX(Lists!$E$3:$E$5,ROW()-1),INDEX(Lists!$F$3:$F$12,ROW()-1),INDEX(Lists!$G$3:$G$126,ROW()-1)),"")</f>
        <v/>
      </c>
      <c r="K654">
        <f>IF(J654="","",SUMPRODUCT(($A$2:$A$636=1)*($G$2:$G$636=J654)))</f>
        <v/>
      </c>
      <c r="L654">
        <f>IF(J654="","",SUMPRODUCT(($A$2:$A$636=1)*($G$2:$G$636=J654)*(ISNUMBER($B$2:$B$636))*($B$2:$B$636&lt;0.5)))</f>
        <v/>
      </c>
      <c r="M654">
        <f>IFERROR(L654/K654,"")</f>
        <v/>
      </c>
      <c r="N654">
        <f>IF(K654="","",M654+K654/100000+ROW()/100000000)</f>
        <v/>
      </c>
    </row>
    <row r="655">
      <c r="J655">
        <f>IFERROR(CHOOSE(MATCH(Dashboard!$B$11,{"Department","Team","Unit","Legal entity","Location","Lead"},0),INDEX(Lists!$B$3:$B$20,ROW()-1),INDEX(Lists!$C$3:$C$146,ROW()-1),INDEX(Lists!$D$3:$D$67,ROW()-1),INDEX(Lists!$E$3:$E$5,ROW()-1),INDEX(Lists!$F$3:$F$12,ROW()-1),INDEX(Lists!$G$3:$G$126,ROW()-1)),"")</f>
        <v/>
      </c>
      <c r="K655">
        <f>IF(J655="","",SUMPRODUCT(($A$2:$A$636=1)*($G$2:$G$636=J655)))</f>
        <v/>
      </c>
      <c r="L655">
        <f>IF(J655="","",SUMPRODUCT(($A$2:$A$636=1)*($G$2:$G$636=J655)*(ISNUMBER($B$2:$B$636))*($B$2:$B$636&lt;0.5)))</f>
        <v/>
      </c>
      <c r="M655">
        <f>IFERROR(L655/K655,"")</f>
        <v/>
      </c>
      <c r="N655">
        <f>IF(K655="","",M655+K655/100000+ROW()/100000000)</f>
        <v/>
      </c>
    </row>
    <row r="656">
      <c r="J656">
        <f>IFERROR(CHOOSE(MATCH(Dashboard!$B$11,{"Department","Team","Unit","Legal entity","Location","Lead"},0),INDEX(Lists!$B$3:$B$20,ROW()-1),INDEX(Lists!$C$3:$C$146,ROW()-1),INDEX(Lists!$D$3:$D$67,ROW()-1),INDEX(Lists!$E$3:$E$5,ROW()-1),INDEX(Lists!$F$3:$F$12,ROW()-1),INDEX(Lists!$G$3:$G$126,ROW()-1)),"")</f>
        <v/>
      </c>
      <c r="K656">
        <f>IF(J656="","",SUMPRODUCT(($A$2:$A$636=1)*($G$2:$G$636=J656)))</f>
        <v/>
      </c>
      <c r="L656">
        <f>IF(J656="","",SUMPRODUCT(($A$2:$A$636=1)*($G$2:$G$636=J656)*(ISNUMBER($B$2:$B$636))*($B$2:$B$636&lt;0.5)))</f>
        <v/>
      </c>
      <c r="M656">
        <f>IFERROR(L656/K656,"")</f>
        <v/>
      </c>
      <c r="N656">
        <f>IF(K656="","",M656+K656/100000+ROW()/100000000)</f>
        <v/>
      </c>
    </row>
    <row r="657">
      <c r="J657">
        <f>IFERROR(CHOOSE(MATCH(Dashboard!$B$11,{"Department","Team","Unit","Legal entity","Location","Lead"},0),INDEX(Lists!$B$3:$B$20,ROW()-1),INDEX(Lists!$C$3:$C$146,ROW()-1),INDEX(Lists!$D$3:$D$67,ROW()-1),INDEX(Lists!$E$3:$E$5,ROW()-1),INDEX(Lists!$F$3:$F$12,ROW()-1),INDEX(Lists!$G$3:$G$126,ROW()-1)),"")</f>
        <v/>
      </c>
      <c r="K657">
        <f>IF(J657="","",SUMPRODUCT(($A$2:$A$636=1)*($G$2:$G$636=J657)))</f>
        <v/>
      </c>
      <c r="L657">
        <f>IF(J657="","",SUMPRODUCT(($A$2:$A$636=1)*($G$2:$G$636=J657)*(ISNUMBER($B$2:$B$636))*($B$2:$B$636&lt;0.5)))</f>
        <v/>
      </c>
      <c r="M657">
        <f>IFERROR(L657/K657,"")</f>
        <v/>
      </c>
      <c r="N657">
        <f>IF(K657="","",M657+K657/100000+ROW()/100000000)</f>
        <v/>
      </c>
    </row>
    <row r="658">
      <c r="J658">
        <f>IFERROR(CHOOSE(MATCH(Dashboard!$B$11,{"Department","Team","Unit","Legal entity","Location","Lead"},0),INDEX(Lists!$B$3:$B$20,ROW()-1),INDEX(Lists!$C$3:$C$146,ROW()-1),INDEX(Lists!$D$3:$D$67,ROW()-1),INDEX(Lists!$E$3:$E$5,ROW()-1),INDEX(Lists!$F$3:$F$12,ROW()-1),INDEX(Lists!$G$3:$G$126,ROW()-1)),"")</f>
        <v/>
      </c>
      <c r="K658">
        <f>IF(J658="","",SUMPRODUCT(($A$2:$A$636=1)*($G$2:$G$636=J658)))</f>
        <v/>
      </c>
      <c r="L658">
        <f>IF(J658="","",SUMPRODUCT(($A$2:$A$636=1)*($G$2:$G$636=J658)*(ISNUMBER($B$2:$B$636))*($B$2:$B$636&lt;0.5)))</f>
        <v/>
      </c>
      <c r="M658">
        <f>IFERROR(L658/K658,"")</f>
        <v/>
      </c>
      <c r="N658">
        <f>IF(K658="","",M658+K658/100000+ROW()/100000000)</f>
        <v/>
      </c>
    </row>
    <row r="659">
      <c r="J659">
        <f>IFERROR(CHOOSE(MATCH(Dashboard!$B$11,{"Department","Team","Unit","Legal entity","Location","Lead"},0),INDEX(Lists!$B$3:$B$20,ROW()-1),INDEX(Lists!$C$3:$C$146,ROW()-1),INDEX(Lists!$D$3:$D$67,ROW()-1),INDEX(Lists!$E$3:$E$5,ROW()-1),INDEX(Lists!$F$3:$F$12,ROW()-1),INDEX(Lists!$G$3:$G$126,ROW()-1)),"")</f>
        <v/>
      </c>
      <c r="K659">
        <f>IF(J659="","",SUMPRODUCT(($A$2:$A$636=1)*($G$2:$G$636=J659)))</f>
        <v/>
      </c>
      <c r="L659">
        <f>IF(J659="","",SUMPRODUCT(($A$2:$A$636=1)*($G$2:$G$636=J659)*(ISNUMBER($B$2:$B$636))*($B$2:$B$636&lt;0.5)))</f>
        <v/>
      </c>
      <c r="M659">
        <f>IFERROR(L659/K659,"")</f>
        <v/>
      </c>
      <c r="N659">
        <f>IF(K659="","",M659+K659/100000+ROW()/100000000)</f>
        <v/>
      </c>
    </row>
    <row r="660">
      <c r="J660">
        <f>IFERROR(CHOOSE(MATCH(Dashboard!$B$11,{"Department","Team","Unit","Legal entity","Location","Lead"},0),INDEX(Lists!$B$3:$B$20,ROW()-1),INDEX(Lists!$C$3:$C$146,ROW()-1),INDEX(Lists!$D$3:$D$67,ROW()-1),INDEX(Lists!$E$3:$E$5,ROW()-1),INDEX(Lists!$F$3:$F$12,ROW()-1),INDEX(Lists!$G$3:$G$126,ROW()-1)),"")</f>
        <v/>
      </c>
      <c r="K660">
        <f>IF(J660="","",SUMPRODUCT(($A$2:$A$636=1)*($G$2:$G$636=J660)))</f>
        <v/>
      </c>
      <c r="L660">
        <f>IF(J660="","",SUMPRODUCT(($A$2:$A$636=1)*($G$2:$G$636=J660)*(ISNUMBER($B$2:$B$636))*($B$2:$B$636&lt;0.5)))</f>
        <v/>
      </c>
      <c r="M660">
        <f>IFERROR(L660/K660,"")</f>
        <v/>
      </c>
      <c r="N660">
        <f>IF(K660="","",M660+K660/100000+ROW()/100000000)</f>
        <v/>
      </c>
    </row>
    <row r="661">
      <c r="J661">
        <f>IFERROR(CHOOSE(MATCH(Dashboard!$B$11,{"Department","Team","Unit","Legal entity","Location","Lead"},0),INDEX(Lists!$B$3:$B$20,ROW()-1),INDEX(Lists!$C$3:$C$146,ROW()-1),INDEX(Lists!$D$3:$D$67,ROW()-1),INDEX(Lists!$E$3:$E$5,ROW()-1),INDEX(Lists!$F$3:$F$12,ROW()-1),INDEX(Lists!$G$3:$G$126,ROW()-1)),"")</f>
        <v/>
      </c>
      <c r="K661">
        <f>IF(J661="","",SUMPRODUCT(($A$2:$A$636=1)*($G$2:$G$636=J661)))</f>
        <v/>
      </c>
      <c r="L661">
        <f>IF(J661="","",SUMPRODUCT(($A$2:$A$636=1)*($G$2:$G$636=J661)*(ISNUMBER($B$2:$B$636))*($B$2:$B$636&lt;0.5)))</f>
        <v/>
      </c>
      <c r="M661">
        <f>IFERROR(L661/K661,"")</f>
        <v/>
      </c>
      <c r="N661">
        <f>IF(K661="","",M661+K661/100000+ROW()/100000000)</f>
        <v/>
      </c>
    </row>
    <row r="662">
      <c r="J662">
        <f>IFERROR(CHOOSE(MATCH(Dashboard!$B$11,{"Department","Team","Unit","Legal entity","Location","Lead"},0),INDEX(Lists!$B$3:$B$20,ROW()-1),INDEX(Lists!$C$3:$C$146,ROW()-1),INDEX(Lists!$D$3:$D$67,ROW()-1),INDEX(Lists!$E$3:$E$5,ROW()-1),INDEX(Lists!$F$3:$F$12,ROW()-1),INDEX(Lists!$G$3:$G$126,ROW()-1)),"")</f>
        <v/>
      </c>
      <c r="K662">
        <f>IF(J662="","",SUMPRODUCT(($A$2:$A$636=1)*($G$2:$G$636=J662)))</f>
        <v/>
      </c>
      <c r="L662">
        <f>IF(J662="","",SUMPRODUCT(($A$2:$A$636=1)*($G$2:$G$636=J662)*(ISNUMBER($B$2:$B$636))*($B$2:$B$636&lt;0.5)))</f>
        <v/>
      </c>
      <c r="M662">
        <f>IFERROR(L662/K662,"")</f>
        <v/>
      </c>
      <c r="N662">
        <f>IF(K662="","",M662+K662/100000+ROW()/100000000)</f>
        <v/>
      </c>
    </row>
    <row r="663">
      <c r="J663">
        <f>IFERROR(CHOOSE(MATCH(Dashboard!$B$11,{"Department","Team","Unit","Legal entity","Location","Lead"},0),INDEX(Lists!$B$3:$B$20,ROW()-1),INDEX(Lists!$C$3:$C$146,ROW()-1),INDEX(Lists!$D$3:$D$67,ROW()-1),INDEX(Lists!$E$3:$E$5,ROW()-1),INDEX(Lists!$F$3:$F$12,ROW()-1),INDEX(Lists!$G$3:$G$126,ROW()-1)),"")</f>
        <v/>
      </c>
      <c r="K663">
        <f>IF(J663="","",SUMPRODUCT(($A$2:$A$636=1)*($G$2:$G$636=J663)))</f>
        <v/>
      </c>
      <c r="L663">
        <f>IF(J663="","",SUMPRODUCT(($A$2:$A$636=1)*($G$2:$G$636=J663)*(ISNUMBER($B$2:$B$636))*($B$2:$B$636&lt;0.5)))</f>
        <v/>
      </c>
      <c r="M663">
        <f>IFERROR(L663/K663,"")</f>
        <v/>
      </c>
      <c r="N663">
        <f>IF(K663="","",M663+K663/100000+ROW()/100000000)</f>
        <v/>
      </c>
    </row>
    <row r="664">
      <c r="J664">
        <f>IFERROR(CHOOSE(MATCH(Dashboard!$B$11,{"Department","Team","Unit","Legal entity","Location","Lead"},0),INDEX(Lists!$B$3:$B$20,ROW()-1),INDEX(Lists!$C$3:$C$146,ROW()-1),INDEX(Lists!$D$3:$D$67,ROW()-1),INDEX(Lists!$E$3:$E$5,ROW()-1),INDEX(Lists!$F$3:$F$12,ROW()-1),INDEX(Lists!$G$3:$G$126,ROW()-1)),"")</f>
        <v/>
      </c>
      <c r="K664">
        <f>IF(J664="","",SUMPRODUCT(($A$2:$A$636=1)*($G$2:$G$636=J664)))</f>
        <v/>
      </c>
      <c r="L664">
        <f>IF(J664="","",SUMPRODUCT(($A$2:$A$636=1)*($G$2:$G$636=J664)*(ISNUMBER($B$2:$B$636))*($B$2:$B$636&lt;0.5)))</f>
        <v/>
      </c>
      <c r="M664">
        <f>IFERROR(L664/K664,"")</f>
        <v/>
      </c>
      <c r="N664">
        <f>IF(K664="","",M664+K664/100000+ROW()/100000000)</f>
        <v/>
      </c>
    </row>
    <row r="665">
      <c r="J665">
        <f>IFERROR(CHOOSE(MATCH(Dashboard!$B$11,{"Department","Team","Unit","Legal entity","Location","Lead"},0),INDEX(Lists!$B$3:$B$20,ROW()-1),INDEX(Lists!$C$3:$C$146,ROW()-1),INDEX(Lists!$D$3:$D$67,ROW()-1),INDEX(Lists!$E$3:$E$5,ROW()-1),INDEX(Lists!$F$3:$F$12,ROW()-1),INDEX(Lists!$G$3:$G$126,ROW()-1)),"")</f>
        <v/>
      </c>
      <c r="K665">
        <f>IF(J665="","",SUMPRODUCT(($A$2:$A$636=1)*($G$2:$G$636=J665)))</f>
        <v/>
      </c>
      <c r="L665">
        <f>IF(J665="","",SUMPRODUCT(($A$2:$A$636=1)*($G$2:$G$636=J665)*(ISNUMBER($B$2:$B$636))*($B$2:$B$636&lt;0.5)))</f>
        <v/>
      </c>
      <c r="M665">
        <f>IFERROR(L665/K665,"")</f>
        <v/>
      </c>
      <c r="N665">
        <f>IF(K665="","",M665+K665/100000+ROW()/100000000)</f>
        <v/>
      </c>
    </row>
    <row r="666">
      <c r="J666">
        <f>IFERROR(CHOOSE(MATCH(Dashboard!$B$11,{"Department","Team","Unit","Legal entity","Location","Lead"},0),INDEX(Lists!$B$3:$B$20,ROW()-1),INDEX(Lists!$C$3:$C$146,ROW()-1),INDEX(Lists!$D$3:$D$67,ROW()-1),INDEX(Lists!$E$3:$E$5,ROW()-1),INDEX(Lists!$F$3:$F$12,ROW()-1),INDEX(Lists!$G$3:$G$126,ROW()-1)),"")</f>
        <v/>
      </c>
      <c r="K666">
        <f>IF(J666="","",SUMPRODUCT(($A$2:$A$636=1)*($G$2:$G$636=J666)))</f>
        <v/>
      </c>
      <c r="L666">
        <f>IF(J666="","",SUMPRODUCT(($A$2:$A$636=1)*($G$2:$G$636=J666)*(ISNUMBER($B$2:$B$636))*($B$2:$B$636&lt;0.5)))</f>
        <v/>
      </c>
      <c r="M666">
        <f>IFERROR(L666/K666,"")</f>
        <v/>
      </c>
      <c r="N666">
        <f>IF(K666="","",M666+K666/100000+ROW()/100000000)</f>
        <v/>
      </c>
    </row>
    <row r="667">
      <c r="J667">
        <f>IFERROR(CHOOSE(MATCH(Dashboard!$B$11,{"Department","Team","Unit","Legal entity","Location","Lead"},0),INDEX(Lists!$B$3:$B$20,ROW()-1),INDEX(Lists!$C$3:$C$146,ROW()-1),INDEX(Lists!$D$3:$D$67,ROW()-1),INDEX(Lists!$E$3:$E$5,ROW()-1),INDEX(Lists!$F$3:$F$12,ROW()-1),INDEX(Lists!$G$3:$G$126,ROW()-1)),"")</f>
        <v/>
      </c>
      <c r="K667">
        <f>IF(J667="","",SUMPRODUCT(($A$2:$A$636=1)*($G$2:$G$636=J667)))</f>
        <v/>
      </c>
      <c r="L667">
        <f>IF(J667="","",SUMPRODUCT(($A$2:$A$636=1)*($G$2:$G$636=J667)*(ISNUMBER($B$2:$B$636))*($B$2:$B$636&lt;0.5)))</f>
        <v/>
      </c>
      <c r="M667">
        <f>IFERROR(L667/K667,"")</f>
        <v/>
      </c>
      <c r="N667">
        <f>IF(K667="","",M667+K667/100000+ROW()/100000000)</f>
        <v/>
      </c>
    </row>
    <row r="668">
      <c r="J668">
        <f>IFERROR(CHOOSE(MATCH(Dashboard!$B$11,{"Department","Team","Unit","Legal entity","Location","Lead"},0),INDEX(Lists!$B$3:$B$20,ROW()-1),INDEX(Lists!$C$3:$C$146,ROW()-1),INDEX(Lists!$D$3:$D$67,ROW()-1),INDEX(Lists!$E$3:$E$5,ROW()-1),INDEX(Lists!$F$3:$F$12,ROW()-1),INDEX(Lists!$G$3:$G$126,ROW()-1)),"")</f>
        <v/>
      </c>
      <c r="K668">
        <f>IF(J668="","",SUMPRODUCT(($A$2:$A$636=1)*($G$2:$G$636=J668)))</f>
        <v/>
      </c>
      <c r="L668">
        <f>IF(J668="","",SUMPRODUCT(($A$2:$A$636=1)*($G$2:$G$636=J668)*(ISNUMBER($B$2:$B$636))*($B$2:$B$636&lt;0.5)))</f>
        <v/>
      </c>
      <c r="M668">
        <f>IFERROR(L668/K668,"")</f>
        <v/>
      </c>
      <c r="N668">
        <f>IF(K668="","",M668+K668/100000+ROW()/100000000)</f>
        <v/>
      </c>
    </row>
    <row r="669">
      <c r="J669">
        <f>IFERROR(CHOOSE(MATCH(Dashboard!$B$11,{"Department","Team","Unit","Legal entity","Location","Lead"},0),INDEX(Lists!$B$3:$B$20,ROW()-1),INDEX(Lists!$C$3:$C$146,ROW()-1),INDEX(Lists!$D$3:$D$67,ROW()-1),INDEX(Lists!$E$3:$E$5,ROW()-1),INDEX(Lists!$F$3:$F$12,ROW()-1),INDEX(Lists!$G$3:$G$126,ROW()-1)),"")</f>
        <v/>
      </c>
      <c r="K669">
        <f>IF(J669="","",SUMPRODUCT(($A$2:$A$636=1)*($G$2:$G$636=J669)))</f>
        <v/>
      </c>
      <c r="L669">
        <f>IF(J669="","",SUMPRODUCT(($A$2:$A$636=1)*($G$2:$G$636=J669)*(ISNUMBER($B$2:$B$636))*($B$2:$B$636&lt;0.5)))</f>
        <v/>
      </c>
      <c r="M669">
        <f>IFERROR(L669/K669,"")</f>
        <v/>
      </c>
      <c r="N669">
        <f>IF(K669="","",M669+K669/100000+ROW()/100000000)</f>
        <v/>
      </c>
    </row>
    <row r="670">
      <c r="J670">
        <f>IFERROR(CHOOSE(MATCH(Dashboard!$B$11,{"Department","Team","Unit","Legal entity","Location","Lead"},0),INDEX(Lists!$B$3:$B$20,ROW()-1),INDEX(Lists!$C$3:$C$146,ROW()-1),INDEX(Lists!$D$3:$D$67,ROW()-1),INDEX(Lists!$E$3:$E$5,ROW()-1),INDEX(Lists!$F$3:$F$12,ROW()-1),INDEX(Lists!$G$3:$G$126,ROW()-1)),"")</f>
        <v/>
      </c>
      <c r="K670">
        <f>IF(J670="","",SUMPRODUCT(($A$2:$A$636=1)*($G$2:$G$636=J670)))</f>
        <v/>
      </c>
      <c r="L670">
        <f>IF(J670="","",SUMPRODUCT(($A$2:$A$636=1)*($G$2:$G$636=J670)*(ISNUMBER($B$2:$B$636))*($B$2:$B$636&lt;0.5)))</f>
        <v/>
      </c>
      <c r="M670">
        <f>IFERROR(L670/K670,"")</f>
        <v/>
      </c>
      <c r="N670">
        <f>IF(K670="","",M670+K670/100000+ROW()/100000000)</f>
        <v/>
      </c>
    </row>
    <row r="671">
      <c r="J671">
        <f>IFERROR(CHOOSE(MATCH(Dashboard!$B$11,{"Department","Team","Unit","Legal entity","Location","Lead"},0),INDEX(Lists!$B$3:$B$20,ROW()-1),INDEX(Lists!$C$3:$C$146,ROW()-1),INDEX(Lists!$D$3:$D$67,ROW()-1),INDEX(Lists!$E$3:$E$5,ROW()-1),INDEX(Lists!$F$3:$F$12,ROW()-1),INDEX(Lists!$G$3:$G$126,ROW()-1)),"")</f>
        <v/>
      </c>
      <c r="K671">
        <f>IF(J671="","",SUMPRODUCT(($A$2:$A$636=1)*($G$2:$G$636=J671)))</f>
        <v/>
      </c>
      <c r="L671">
        <f>IF(J671="","",SUMPRODUCT(($A$2:$A$636=1)*($G$2:$G$636=J671)*(ISNUMBER($B$2:$B$636))*($B$2:$B$636&lt;0.5)))</f>
        <v/>
      </c>
      <c r="M671">
        <f>IFERROR(L671/K671,"")</f>
        <v/>
      </c>
      <c r="N671">
        <f>IF(K671="","",M671+K671/100000+ROW()/100000000)</f>
        <v/>
      </c>
    </row>
    <row r="672">
      <c r="J672">
        <f>IFERROR(CHOOSE(MATCH(Dashboard!$B$11,{"Department","Team","Unit","Legal entity","Location","Lead"},0),INDEX(Lists!$B$3:$B$20,ROW()-1),INDEX(Lists!$C$3:$C$146,ROW()-1),INDEX(Lists!$D$3:$D$67,ROW()-1),INDEX(Lists!$E$3:$E$5,ROW()-1),INDEX(Lists!$F$3:$F$12,ROW()-1),INDEX(Lists!$G$3:$G$126,ROW()-1)),"")</f>
        <v/>
      </c>
      <c r="K672">
        <f>IF(J672="","",SUMPRODUCT(($A$2:$A$636=1)*($G$2:$G$636=J672)))</f>
        <v/>
      </c>
      <c r="L672">
        <f>IF(J672="","",SUMPRODUCT(($A$2:$A$636=1)*($G$2:$G$636=J672)*(ISNUMBER($B$2:$B$636))*($B$2:$B$636&lt;0.5)))</f>
        <v/>
      </c>
      <c r="M672">
        <f>IFERROR(L672/K672,"")</f>
        <v/>
      </c>
      <c r="N672">
        <f>IF(K672="","",M672+K672/100000+ROW()/100000000)</f>
        <v/>
      </c>
    </row>
    <row r="673">
      <c r="J673">
        <f>IFERROR(CHOOSE(MATCH(Dashboard!$B$11,{"Department","Team","Unit","Legal entity","Location","Lead"},0),INDEX(Lists!$B$3:$B$20,ROW()-1),INDEX(Lists!$C$3:$C$146,ROW()-1),INDEX(Lists!$D$3:$D$67,ROW()-1),INDEX(Lists!$E$3:$E$5,ROW()-1),INDEX(Lists!$F$3:$F$12,ROW()-1),INDEX(Lists!$G$3:$G$126,ROW()-1)),"")</f>
        <v/>
      </c>
      <c r="K673">
        <f>IF(J673="","",SUMPRODUCT(($A$2:$A$636=1)*($G$2:$G$636=J673)))</f>
        <v/>
      </c>
      <c r="L673">
        <f>IF(J673="","",SUMPRODUCT(($A$2:$A$636=1)*($G$2:$G$636=J673)*(ISNUMBER($B$2:$B$636))*($B$2:$B$636&lt;0.5)))</f>
        <v/>
      </c>
      <c r="M673">
        <f>IFERROR(L673/K673,"")</f>
        <v/>
      </c>
      <c r="N673">
        <f>IF(K673="","",M673+K673/100000+ROW()/100000000)</f>
        <v/>
      </c>
    </row>
    <row r="674">
      <c r="J674">
        <f>IFERROR(CHOOSE(MATCH(Dashboard!$B$11,{"Department","Team","Unit","Legal entity","Location","Lead"},0),INDEX(Lists!$B$3:$B$20,ROW()-1),INDEX(Lists!$C$3:$C$146,ROW()-1),INDEX(Lists!$D$3:$D$67,ROW()-1),INDEX(Lists!$E$3:$E$5,ROW()-1),INDEX(Lists!$F$3:$F$12,ROW()-1),INDEX(Lists!$G$3:$G$126,ROW()-1)),"")</f>
        <v/>
      </c>
      <c r="K674">
        <f>IF(J674="","",SUMPRODUCT(($A$2:$A$636=1)*($G$2:$G$636=J674)))</f>
        <v/>
      </c>
      <c r="L674">
        <f>IF(J674="","",SUMPRODUCT(($A$2:$A$636=1)*($G$2:$G$636=J674)*(ISNUMBER($B$2:$B$636))*($B$2:$B$636&lt;0.5)))</f>
        <v/>
      </c>
      <c r="M674">
        <f>IFERROR(L674/K674,"")</f>
        <v/>
      </c>
      <c r="N674">
        <f>IF(K674="","",M674+K674/100000+ROW()/100000000)</f>
        <v/>
      </c>
    </row>
    <row r="675">
      <c r="J675">
        <f>IFERROR(CHOOSE(MATCH(Dashboard!$B$11,{"Department","Team","Unit","Legal entity","Location","Lead"},0),INDEX(Lists!$B$3:$B$20,ROW()-1),INDEX(Lists!$C$3:$C$146,ROW()-1),INDEX(Lists!$D$3:$D$67,ROW()-1),INDEX(Lists!$E$3:$E$5,ROW()-1),INDEX(Lists!$F$3:$F$12,ROW()-1),INDEX(Lists!$G$3:$G$126,ROW()-1)),"")</f>
        <v/>
      </c>
      <c r="K675">
        <f>IF(J675="","",SUMPRODUCT(($A$2:$A$636=1)*($G$2:$G$636=J675)))</f>
        <v/>
      </c>
      <c r="L675">
        <f>IF(J675="","",SUMPRODUCT(($A$2:$A$636=1)*($G$2:$G$636=J675)*(ISNUMBER($B$2:$B$636))*($B$2:$B$636&lt;0.5)))</f>
        <v/>
      </c>
      <c r="M675">
        <f>IFERROR(L675/K675,"")</f>
        <v/>
      </c>
      <c r="N675">
        <f>IF(K675="","",M675+K675/100000+ROW()/100000000)</f>
        <v/>
      </c>
    </row>
    <row r="676">
      <c r="J676">
        <f>IFERROR(CHOOSE(MATCH(Dashboard!$B$11,{"Department","Team","Unit","Legal entity","Location","Lead"},0),INDEX(Lists!$B$3:$B$20,ROW()-1),INDEX(Lists!$C$3:$C$146,ROW()-1),INDEX(Lists!$D$3:$D$67,ROW()-1),INDEX(Lists!$E$3:$E$5,ROW()-1),INDEX(Lists!$F$3:$F$12,ROW()-1),INDEX(Lists!$G$3:$G$126,ROW()-1)),"")</f>
        <v/>
      </c>
      <c r="K676">
        <f>IF(J676="","",SUMPRODUCT(($A$2:$A$636=1)*($G$2:$G$636=J676)))</f>
        <v/>
      </c>
      <c r="L676">
        <f>IF(J676="","",SUMPRODUCT(($A$2:$A$636=1)*($G$2:$G$636=J676)*(ISNUMBER($B$2:$B$636))*($B$2:$B$636&lt;0.5)))</f>
        <v/>
      </c>
      <c r="M676">
        <f>IFERROR(L676/K676,"")</f>
        <v/>
      </c>
      <c r="N676">
        <f>IF(K676="","",M676+K676/100000+ROW()/100000000)</f>
        <v/>
      </c>
    </row>
    <row r="677">
      <c r="J677">
        <f>IFERROR(CHOOSE(MATCH(Dashboard!$B$11,{"Department","Team","Unit","Legal entity","Location","Lead"},0),INDEX(Lists!$B$3:$B$20,ROW()-1),INDEX(Lists!$C$3:$C$146,ROW()-1),INDEX(Lists!$D$3:$D$67,ROW()-1),INDEX(Lists!$E$3:$E$5,ROW()-1),INDEX(Lists!$F$3:$F$12,ROW()-1),INDEX(Lists!$G$3:$G$126,ROW()-1)),"")</f>
        <v/>
      </c>
      <c r="K677">
        <f>IF(J677="","",SUMPRODUCT(($A$2:$A$636=1)*($G$2:$G$636=J677)))</f>
        <v/>
      </c>
      <c r="L677">
        <f>IF(J677="","",SUMPRODUCT(($A$2:$A$636=1)*($G$2:$G$636=J677)*(ISNUMBER($B$2:$B$636))*($B$2:$B$636&lt;0.5)))</f>
        <v/>
      </c>
      <c r="M677">
        <f>IFERROR(L677/K677,"")</f>
        <v/>
      </c>
      <c r="N677">
        <f>IF(K677="","",M677+K677/100000+ROW()/100000000)</f>
        <v/>
      </c>
    </row>
    <row r="678">
      <c r="J678">
        <f>IFERROR(CHOOSE(MATCH(Dashboard!$B$11,{"Department","Team","Unit","Legal entity","Location","Lead"},0),INDEX(Lists!$B$3:$B$20,ROW()-1),INDEX(Lists!$C$3:$C$146,ROW()-1),INDEX(Lists!$D$3:$D$67,ROW()-1),INDEX(Lists!$E$3:$E$5,ROW()-1),INDEX(Lists!$F$3:$F$12,ROW()-1),INDEX(Lists!$G$3:$G$126,ROW()-1)),"")</f>
        <v/>
      </c>
      <c r="K678">
        <f>IF(J678="","",SUMPRODUCT(($A$2:$A$636=1)*($G$2:$G$636=J678)))</f>
        <v/>
      </c>
      <c r="L678">
        <f>IF(J678="","",SUMPRODUCT(($A$2:$A$636=1)*($G$2:$G$636=J678)*(ISNUMBER($B$2:$B$636))*($B$2:$B$636&lt;0.5)))</f>
        <v/>
      </c>
      <c r="M678">
        <f>IFERROR(L678/K678,"")</f>
        <v/>
      </c>
      <c r="N678">
        <f>IF(K678="","",M678+K678/100000+ROW()/100000000)</f>
        <v/>
      </c>
    </row>
    <row r="679">
      <c r="J679">
        <f>IFERROR(CHOOSE(MATCH(Dashboard!$B$11,{"Department","Team","Unit","Legal entity","Location","Lead"},0),INDEX(Lists!$B$3:$B$20,ROW()-1),INDEX(Lists!$C$3:$C$146,ROW()-1),INDEX(Lists!$D$3:$D$67,ROW()-1),INDEX(Lists!$E$3:$E$5,ROW()-1),INDEX(Lists!$F$3:$F$12,ROW()-1),INDEX(Lists!$G$3:$G$126,ROW()-1)),"")</f>
        <v/>
      </c>
      <c r="K679">
        <f>IF(J679="","",SUMPRODUCT(($A$2:$A$636=1)*($G$2:$G$636=J679)))</f>
        <v/>
      </c>
      <c r="L679">
        <f>IF(J679="","",SUMPRODUCT(($A$2:$A$636=1)*($G$2:$G$636=J679)*(ISNUMBER($B$2:$B$636))*($B$2:$B$636&lt;0.5)))</f>
        <v/>
      </c>
      <c r="M679">
        <f>IFERROR(L679/K679,"")</f>
        <v/>
      </c>
      <c r="N679">
        <f>IF(K679="","",M679+K679/100000+ROW()/100000000)</f>
        <v/>
      </c>
    </row>
    <row r="680">
      <c r="J680">
        <f>IFERROR(CHOOSE(MATCH(Dashboard!$B$11,{"Department","Team","Unit","Legal entity","Location","Lead"},0),INDEX(Lists!$B$3:$B$20,ROW()-1),INDEX(Lists!$C$3:$C$146,ROW()-1),INDEX(Lists!$D$3:$D$67,ROW()-1),INDEX(Lists!$E$3:$E$5,ROW()-1),INDEX(Lists!$F$3:$F$12,ROW()-1),INDEX(Lists!$G$3:$G$126,ROW()-1)),"")</f>
        <v/>
      </c>
      <c r="K680">
        <f>IF(J680="","",SUMPRODUCT(($A$2:$A$636=1)*($G$2:$G$636=J680)))</f>
        <v/>
      </c>
      <c r="L680">
        <f>IF(J680="","",SUMPRODUCT(($A$2:$A$636=1)*($G$2:$G$636=J680)*(ISNUMBER($B$2:$B$636))*($B$2:$B$636&lt;0.5)))</f>
        <v/>
      </c>
      <c r="M680">
        <f>IFERROR(L680/K680,"")</f>
        <v/>
      </c>
      <c r="N680">
        <f>IF(K680="","",M680+K680/100000+ROW()/100000000)</f>
        <v/>
      </c>
    </row>
    <row r="681">
      <c r="J681">
        <f>IFERROR(CHOOSE(MATCH(Dashboard!$B$11,{"Department","Team","Unit","Legal entity","Location","Lead"},0),INDEX(Lists!$B$3:$B$20,ROW()-1),INDEX(Lists!$C$3:$C$146,ROW()-1),INDEX(Lists!$D$3:$D$67,ROW()-1),INDEX(Lists!$E$3:$E$5,ROW()-1),INDEX(Lists!$F$3:$F$12,ROW()-1),INDEX(Lists!$G$3:$G$126,ROW()-1)),"")</f>
        <v/>
      </c>
      <c r="K681">
        <f>IF(J681="","",SUMPRODUCT(($A$2:$A$636=1)*($G$2:$G$636=J681)))</f>
        <v/>
      </c>
      <c r="L681">
        <f>IF(J681="","",SUMPRODUCT(($A$2:$A$636=1)*($G$2:$G$636=J681)*(ISNUMBER($B$2:$B$636))*($B$2:$B$636&lt;0.5)))</f>
        <v/>
      </c>
      <c r="M681">
        <f>IFERROR(L681/K681,"")</f>
        <v/>
      </c>
      <c r="N681">
        <f>IF(K681="","",M681+K681/100000+ROW()/100000000)</f>
        <v/>
      </c>
    </row>
    <row r="682">
      <c r="J682">
        <f>IFERROR(CHOOSE(MATCH(Dashboard!$B$11,{"Department","Team","Unit","Legal entity","Location","Lead"},0),INDEX(Lists!$B$3:$B$20,ROW()-1),INDEX(Lists!$C$3:$C$146,ROW()-1),INDEX(Lists!$D$3:$D$67,ROW()-1),INDEX(Lists!$E$3:$E$5,ROW()-1),INDEX(Lists!$F$3:$F$12,ROW()-1),INDEX(Lists!$G$3:$G$126,ROW()-1)),"")</f>
        <v/>
      </c>
      <c r="K682">
        <f>IF(J682="","",SUMPRODUCT(($A$2:$A$636=1)*($G$2:$G$636=J682)))</f>
        <v/>
      </c>
      <c r="L682">
        <f>IF(J682="","",SUMPRODUCT(($A$2:$A$636=1)*($G$2:$G$636=J682)*(ISNUMBER($B$2:$B$636))*($B$2:$B$636&lt;0.5)))</f>
        <v/>
      </c>
      <c r="M682">
        <f>IFERROR(L682/K682,"")</f>
        <v/>
      </c>
      <c r="N682">
        <f>IF(K682="","",M682+K682/100000+ROW()/100000000)</f>
        <v/>
      </c>
    </row>
    <row r="683">
      <c r="J683">
        <f>IFERROR(CHOOSE(MATCH(Dashboard!$B$11,{"Department","Team","Unit","Legal entity","Location","Lead"},0),INDEX(Lists!$B$3:$B$20,ROW()-1),INDEX(Lists!$C$3:$C$146,ROW()-1),INDEX(Lists!$D$3:$D$67,ROW()-1),INDEX(Lists!$E$3:$E$5,ROW()-1),INDEX(Lists!$F$3:$F$12,ROW()-1),INDEX(Lists!$G$3:$G$126,ROW()-1)),"")</f>
        <v/>
      </c>
      <c r="K683">
        <f>IF(J683="","",SUMPRODUCT(($A$2:$A$636=1)*($G$2:$G$636=J683)))</f>
        <v/>
      </c>
      <c r="L683">
        <f>IF(J683="","",SUMPRODUCT(($A$2:$A$636=1)*($G$2:$G$636=J683)*(ISNUMBER($B$2:$B$636))*($B$2:$B$636&lt;0.5)))</f>
        <v/>
      </c>
      <c r="M683">
        <f>IFERROR(L683/K683,"")</f>
        <v/>
      </c>
      <c r="N683">
        <f>IF(K683="","",M683+K683/100000+ROW()/100000000)</f>
        <v/>
      </c>
    </row>
    <row r="684">
      <c r="J684">
        <f>IFERROR(CHOOSE(MATCH(Dashboard!$B$11,{"Department","Team","Unit","Legal entity","Location","Lead"},0),INDEX(Lists!$B$3:$B$20,ROW()-1),INDEX(Lists!$C$3:$C$146,ROW()-1),INDEX(Lists!$D$3:$D$67,ROW()-1),INDEX(Lists!$E$3:$E$5,ROW()-1),INDEX(Lists!$F$3:$F$12,ROW()-1),INDEX(Lists!$G$3:$G$126,ROW()-1)),"")</f>
        <v/>
      </c>
      <c r="K684">
        <f>IF(J684="","",SUMPRODUCT(($A$2:$A$636=1)*($G$2:$G$636=J684)))</f>
        <v/>
      </c>
      <c r="L684">
        <f>IF(J684="","",SUMPRODUCT(($A$2:$A$636=1)*($G$2:$G$636=J684)*(ISNUMBER($B$2:$B$636))*($B$2:$B$636&lt;0.5)))</f>
        <v/>
      </c>
      <c r="M684">
        <f>IFERROR(L684/K684,"")</f>
        <v/>
      </c>
      <c r="N684">
        <f>IF(K684="","",M684+K684/100000+ROW()/100000000)</f>
        <v/>
      </c>
    </row>
    <row r="685">
      <c r="J685">
        <f>IFERROR(CHOOSE(MATCH(Dashboard!$B$11,{"Department","Team","Unit","Legal entity","Location","Lead"},0),INDEX(Lists!$B$3:$B$20,ROW()-1),INDEX(Lists!$C$3:$C$146,ROW()-1),INDEX(Lists!$D$3:$D$67,ROW()-1),INDEX(Lists!$E$3:$E$5,ROW()-1),INDEX(Lists!$F$3:$F$12,ROW()-1),INDEX(Lists!$G$3:$G$126,ROW()-1)),"")</f>
        <v/>
      </c>
      <c r="K685">
        <f>IF(J685="","",SUMPRODUCT(($A$2:$A$636=1)*($G$2:$G$636=J685)))</f>
        <v/>
      </c>
      <c r="L685">
        <f>IF(J685="","",SUMPRODUCT(($A$2:$A$636=1)*($G$2:$G$636=J685)*(ISNUMBER($B$2:$B$636))*($B$2:$B$636&lt;0.5)))</f>
        <v/>
      </c>
      <c r="M685">
        <f>IFERROR(L685/K685,"")</f>
        <v/>
      </c>
      <c r="N685">
        <f>IF(K685="","",M685+K685/100000+ROW()/100000000)</f>
        <v/>
      </c>
    </row>
    <row r="686">
      <c r="J686">
        <f>IFERROR(CHOOSE(MATCH(Dashboard!$B$11,{"Department","Team","Unit","Legal entity","Location","Lead"},0),INDEX(Lists!$B$3:$B$20,ROW()-1),INDEX(Lists!$C$3:$C$146,ROW()-1),INDEX(Lists!$D$3:$D$67,ROW()-1),INDEX(Lists!$E$3:$E$5,ROW()-1),INDEX(Lists!$F$3:$F$12,ROW()-1),INDEX(Lists!$G$3:$G$126,ROW()-1)),"")</f>
        <v/>
      </c>
      <c r="K686">
        <f>IF(J686="","",SUMPRODUCT(($A$2:$A$636=1)*($G$2:$G$636=J686)))</f>
        <v/>
      </c>
      <c r="L686">
        <f>IF(J686="","",SUMPRODUCT(($A$2:$A$636=1)*($G$2:$G$636=J686)*(ISNUMBER($B$2:$B$636))*($B$2:$B$636&lt;0.5)))</f>
        <v/>
      </c>
      <c r="M686">
        <f>IFERROR(L686/K686,"")</f>
        <v/>
      </c>
      <c r="N686">
        <f>IF(K686="","",M686+K686/100000+ROW()/100000000)</f>
        <v/>
      </c>
    </row>
    <row r="687">
      <c r="J687">
        <f>IFERROR(CHOOSE(MATCH(Dashboard!$B$11,{"Department","Team","Unit","Legal entity","Location","Lead"},0),INDEX(Lists!$B$3:$B$20,ROW()-1),INDEX(Lists!$C$3:$C$146,ROW()-1),INDEX(Lists!$D$3:$D$67,ROW()-1),INDEX(Lists!$E$3:$E$5,ROW()-1),INDEX(Lists!$F$3:$F$12,ROW()-1),INDEX(Lists!$G$3:$G$126,ROW()-1)),"")</f>
        <v/>
      </c>
      <c r="K687">
        <f>IF(J687="","",SUMPRODUCT(($A$2:$A$636=1)*($G$2:$G$636=J687)))</f>
        <v/>
      </c>
      <c r="L687">
        <f>IF(J687="","",SUMPRODUCT(($A$2:$A$636=1)*($G$2:$G$636=J687)*(ISNUMBER($B$2:$B$636))*($B$2:$B$636&lt;0.5)))</f>
        <v/>
      </c>
      <c r="M687">
        <f>IFERROR(L687/K687,"")</f>
        <v/>
      </c>
      <c r="N687">
        <f>IF(K687="","",M687+K687/100000+ROW()/100000000)</f>
        <v/>
      </c>
    </row>
    <row r="688">
      <c r="J688">
        <f>IFERROR(CHOOSE(MATCH(Dashboard!$B$11,{"Department","Team","Unit","Legal entity","Location","Lead"},0),INDEX(Lists!$B$3:$B$20,ROW()-1),INDEX(Lists!$C$3:$C$146,ROW()-1),INDEX(Lists!$D$3:$D$67,ROW()-1),INDEX(Lists!$E$3:$E$5,ROW()-1),INDEX(Lists!$F$3:$F$12,ROW()-1),INDEX(Lists!$G$3:$G$126,ROW()-1)),"")</f>
        <v/>
      </c>
      <c r="K688">
        <f>IF(J688="","",SUMPRODUCT(($A$2:$A$636=1)*($G$2:$G$636=J688)))</f>
        <v/>
      </c>
      <c r="L688">
        <f>IF(J688="","",SUMPRODUCT(($A$2:$A$636=1)*($G$2:$G$636=J688)*(ISNUMBER($B$2:$B$636))*($B$2:$B$636&lt;0.5)))</f>
        <v/>
      </c>
      <c r="M688">
        <f>IFERROR(L688/K688,"")</f>
        <v/>
      </c>
      <c r="N688">
        <f>IF(K688="","",M688+K688/100000+ROW()/100000000)</f>
        <v/>
      </c>
    </row>
    <row r="689">
      <c r="J689">
        <f>IFERROR(CHOOSE(MATCH(Dashboard!$B$11,{"Department","Team","Unit","Legal entity","Location","Lead"},0),INDEX(Lists!$B$3:$B$20,ROW()-1),INDEX(Lists!$C$3:$C$146,ROW()-1),INDEX(Lists!$D$3:$D$67,ROW()-1),INDEX(Lists!$E$3:$E$5,ROW()-1),INDEX(Lists!$F$3:$F$12,ROW()-1),INDEX(Lists!$G$3:$G$126,ROW()-1)),"")</f>
        <v/>
      </c>
      <c r="K689">
        <f>IF(J689="","",SUMPRODUCT(($A$2:$A$636=1)*($G$2:$G$636=J689)))</f>
        <v/>
      </c>
      <c r="L689">
        <f>IF(J689="","",SUMPRODUCT(($A$2:$A$636=1)*($G$2:$G$636=J689)*(ISNUMBER($B$2:$B$636))*($B$2:$B$636&lt;0.5)))</f>
        <v/>
      </c>
      <c r="M689">
        <f>IFERROR(L689/K689,"")</f>
        <v/>
      </c>
      <c r="N689">
        <f>IF(K689="","",M689+K689/100000+ROW()/100000000)</f>
        <v/>
      </c>
    </row>
    <row r="690">
      <c r="J690">
        <f>IFERROR(CHOOSE(MATCH(Dashboard!$B$11,{"Department","Team","Unit","Legal entity","Location","Lead"},0),INDEX(Lists!$B$3:$B$20,ROW()-1),INDEX(Lists!$C$3:$C$146,ROW()-1),INDEX(Lists!$D$3:$D$67,ROW()-1),INDEX(Lists!$E$3:$E$5,ROW()-1),INDEX(Lists!$F$3:$F$12,ROW()-1),INDEX(Lists!$G$3:$G$126,ROW()-1)),"")</f>
        <v/>
      </c>
      <c r="K690">
        <f>IF(J690="","",SUMPRODUCT(($A$2:$A$636=1)*($G$2:$G$636=J690)))</f>
        <v/>
      </c>
      <c r="L690">
        <f>IF(J690="","",SUMPRODUCT(($A$2:$A$636=1)*($G$2:$G$636=J690)*(ISNUMBER($B$2:$B$636))*($B$2:$B$636&lt;0.5)))</f>
        <v/>
      </c>
      <c r="M690">
        <f>IFERROR(L690/K690,"")</f>
        <v/>
      </c>
      <c r="N690">
        <f>IF(K690="","",M690+K690/100000+ROW()/100000000)</f>
        <v/>
      </c>
    </row>
    <row r="691">
      <c r="J691">
        <f>IFERROR(CHOOSE(MATCH(Dashboard!$B$11,{"Department","Team","Unit","Legal entity","Location","Lead"},0),INDEX(Lists!$B$3:$B$20,ROW()-1),INDEX(Lists!$C$3:$C$146,ROW()-1),INDEX(Lists!$D$3:$D$67,ROW()-1),INDEX(Lists!$E$3:$E$5,ROW()-1),INDEX(Lists!$F$3:$F$12,ROW()-1),INDEX(Lists!$G$3:$G$126,ROW()-1)),"")</f>
        <v/>
      </c>
      <c r="K691">
        <f>IF(J691="","",SUMPRODUCT(($A$2:$A$636=1)*($G$2:$G$636=J691)))</f>
        <v/>
      </c>
      <c r="L691">
        <f>IF(J691="","",SUMPRODUCT(($A$2:$A$636=1)*($G$2:$G$636=J691)*(ISNUMBER($B$2:$B$636))*($B$2:$B$636&lt;0.5)))</f>
        <v/>
      </c>
      <c r="M691">
        <f>IFERROR(L691/K691,"")</f>
        <v/>
      </c>
      <c r="N691">
        <f>IF(K691="","",M691+K691/100000+ROW()/100000000)</f>
        <v/>
      </c>
    </row>
    <row r="692">
      <c r="J692">
        <f>IFERROR(CHOOSE(MATCH(Dashboard!$B$11,{"Department","Team","Unit","Legal entity","Location","Lead"},0),INDEX(Lists!$B$3:$B$20,ROW()-1),INDEX(Lists!$C$3:$C$146,ROW()-1),INDEX(Lists!$D$3:$D$67,ROW()-1),INDEX(Lists!$E$3:$E$5,ROW()-1),INDEX(Lists!$F$3:$F$12,ROW()-1),INDEX(Lists!$G$3:$G$126,ROW()-1)),"")</f>
        <v/>
      </c>
      <c r="K692">
        <f>IF(J692="","",SUMPRODUCT(($A$2:$A$636=1)*($G$2:$G$636=J692)))</f>
        <v/>
      </c>
      <c r="L692">
        <f>IF(J692="","",SUMPRODUCT(($A$2:$A$636=1)*($G$2:$G$636=J692)*(ISNUMBER($B$2:$B$636))*($B$2:$B$636&lt;0.5)))</f>
        <v/>
      </c>
      <c r="M692">
        <f>IFERROR(L692/K692,"")</f>
        <v/>
      </c>
      <c r="N692">
        <f>IF(K692="","",M692+K692/100000+ROW()/100000000)</f>
        <v/>
      </c>
    </row>
    <row r="693">
      <c r="J693">
        <f>IFERROR(CHOOSE(MATCH(Dashboard!$B$11,{"Department","Team","Unit","Legal entity","Location","Lead"},0),INDEX(Lists!$B$3:$B$20,ROW()-1),INDEX(Lists!$C$3:$C$146,ROW()-1),INDEX(Lists!$D$3:$D$67,ROW()-1),INDEX(Lists!$E$3:$E$5,ROW()-1),INDEX(Lists!$F$3:$F$12,ROW()-1),INDEX(Lists!$G$3:$G$126,ROW()-1)),"")</f>
        <v/>
      </c>
      <c r="K693">
        <f>IF(J693="","",SUMPRODUCT(($A$2:$A$636=1)*($G$2:$G$636=J693)))</f>
        <v/>
      </c>
      <c r="L693">
        <f>IF(J693="","",SUMPRODUCT(($A$2:$A$636=1)*($G$2:$G$636=J693)*(ISNUMBER($B$2:$B$636))*($B$2:$B$636&lt;0.5)))</f>
        <v/>
      </c>
      <c r="M693">
        <f>IFERROR(L693/K693,"")</f>
        <v/>
      </c>
      <c r="N693">
        <f>IF(K693="","",M693+K693/100000+ROW()/100000000)</f>
        <v/>
      </c>
    </row>
    <row r="694">
      <c r="J694">
        <f>IFERROR(CHOOSE(MATCH(Dashboard!$B$11,{"Department","Team","Unit","Legal entity","Location","Lead"},0),INDEX(Lists!$B$3:$B$20,ROW()-1),INDEX(Lists!$C$3:$C$146,ROW()-1),INDEX(Lists!$D$3:$D$67,ROW()-1),INDEX(Lists!$E$3:$E$5,ROW()-1),INDEX(Lists!$F$3:$F$12,ROW()-1),INDEX(Lists!$G$3:$G$126,ROW()-1)),"")</f>
        <v/>
      </c>
      <c r="K694">
        <f>IF(J694="","",SUMPRODUCT(($A$2:$A$636=1)*($G$2:$G$636=J694)))</f>
        <v/>
      </c>
      <c r="L694">
        <f>IF(J694="","",SUMPRODUCT(($A$2:$A$636=1)*($G$2:$G$636=J694)*(ISNUMBER($B$2:$B$636))*($B$2:$B$636&lt;0.5)))</f>
        <v/>
      </c>
      <c r="M694">
        <f>IFERROR(L694/K694,"")</f>
        <v/>
      </c>
      <c r="N694">
        <f>IF(K694="","",M694+K694/100000+ROW()/100000000)</f>
        <v/>
      </c>
    </row>
    <row r="695">
      <c r="J695">
        <f>IFERROR(CHOOSE(MATCH(Dashboard!$B$11,{"Department","Team","Unit","Legal entity","Location","Lead"},0),INDEX(Lists!$B$3:$B$20,ROW()-1),INDEX(Lists!$C$3:$C$146,ROW()-1),INDEX(Lists!$D$3:$D$67,ROW()-1),INDEX(Lists!$E$3:$E$5,ROW()-1),INDEX(Lists!$F$3:$F$12,ROW()-1),INDEX(Lists!$G$3:$G$126,ROW()-1)),"")</f>
        <v/>
      </c>
      <c r="K695">
        <f>IF(J695="","",SUMPRODUCT(($A$2:$A$636=1)*($G$2:$G$636=J695)))</f>
        <v/>
      </c>
      <c r="L695">
        <f>IF(J695="","",SUMPRODUCT(($A$2:$A$636=1)*($G$2:$G$636=J695)*(ISNUMBER($B$2:$B$636))*($B$2:$B$636&lt;0.5)))</f>
        <v/>
      </c>
      <c r="M695">
        <f>IFERROR(L695/K695,"")</f>
        <v/>
      </c>
      <c r="N695">
        <f>IF(K695="","",M695+K695/100000+ROW()/100000000)</f>
        <v/>
      </c>
    </row>
    <row r="696">
      <c r="J696">
        <f>IFERROR(CHOOSE(MATCH(Dashboard!$B$11,{"Department","Team","Unit","Legal entity","Location","Lead"},0),INDEX(Lists!$B$3:$B$20,ROW()-1),INDEX(Lists!$C$3:$C$146,ROW()-1),INDEX(Lists!$D$3:$D$67,ROW()-1),INDEX(Lists!$E$3:$E$5,ROW()-1),INDEX(Lists!$F$3:$F$12,ROW()-1),INDEX(Lists!$G$3:$G$126,ROW()-1)),"")</f>
        <v/>
      </c>
      <c r="K696">
        <f>IF(J696="","",SUMPRODUCT(($A$2:$A$636=1)*($G$2:$G$636=J696)))</f>
        <v/>
      </c>
      <c r="L696">
        <f>IF(J696="","",SUMPRODUCT(($A$2:$A$636=1)*($G$2:$G$636=J696)*(ISNUMBER($B$2:$B$636))*($B$2:$B$636&lt;0.5)))</f>
        <v/>
      </c>
      <c r="M696">
        <f>IFERROR(L696/K696,"")</f>
        <v/>
      </c>
      <c r="N696">
        <f>IF(K696="","",M696+K696/100000+ROW()/100000000)</f>
        <v/>
      </c>
    </row>
    <row r="697">
      <c r="J697">
        <f>IFERROR(CHOOSE(MATCH(Dashboard!$B$11,{"Department","Team","Unit","Legal entity","Location","Lead"},0),INDEX(Lists!$B$3:$B$20,ROW()-1),INDEX(Lists!$C$3:$C$146,ROW()-1),INDEX(Lists!$D$3:$D$67,ROW()-1),INDEX(Lists!$E$3:$E$5,ROW()-1),INDEX(Lists!$F$3:$F$12,ROW()-1),INDEX(Lists!$G$3:$G$126,ROW()-1)),"")</f>
        <v/>
      </c>
      <c r="K697">
        <f>IF(J697="","",SUMPRODUCT(($A$2:$A$636=1)*($G$2:$G$636=J697)))</f>
        <v/>
      </c>
      <c r="L697">
        <f>IF(J697="","",SUMPRODUCT(($A$2:$A$636=1)*($G$2:$G$636=J697)*(ISNUMBER($B$2:$B$636))*($B$2:$B$636&lt;0.5)))</f>
        <v/>
      </c>
      <c r="M697">
        <f>IFERROR(L697/K697,"")</f>
        <v/>
      </c>
      <c r="N697">
        <f>IF(K697="","",M697+K697/100000+ROW()/100000000)</f>
        <v/>
      </c>
    </row>
    <row r="698">
      <c r="J698">
        <f>IFERROR(CHOOSE(MATCH(Dashboard!$B$11,{"Department","Team","Unit","Legal entity","Location","Lead"},0),INDEX(Lists!$B$3:$B$20,ROW()-1),INDEX(Lists!$C$3:$C$146,ROW()-1),INDEX(Lists!$D$3:$D$67,ROW()-1),INDEX(Lists!$E$3:$E$5,ROW()-1),INDEX(Lists!$F$3:$F$12,ROW()-1),INDEX(Lists!$G$3:$G$126,ROW()-1)),"")</f>
        <v/>
      </c>
      <c r="K698">
        <f>IF(J698="","",SUMPRODUCT(($A$2:$A$636=1)*($G$2:$G$636=J698)))</f>
        <v/>
      </c>
      <c r="L698">
        <f>IF(J698="","",SUMPRODUCT(($A$2:$A$636=1)*($G$2:$G$636=J698)*(ISNUMBER($B$2:$B$636))*($B$2:$B$636&lt;0.5)))</f>
        <v/>
      </c>
      <c r="M698">
        <f>IFERROR(L698/K698,"")</f>
        <v/>
      </c>
      <c r="N698">
        <f>IF(K698="","",M698+K698/100000+ROW()/100000000)</f>
        <v/>
      </c>
    </row>
    <row r="699">
      <c r="J699">
        <f>IFERROR(CHOOSE(MATCH(Dashboard!$B$11,{"Department","Team","Unit","Legal entity","Location","Lead"},0),INDEX(Lists!$B$3:$B$20,ROW()-1),INDEX(Lists!$C$3:$C$146,ROW()-1),INDEX(Lists!$D$3:$D$67,ROW()-1),INDEX(Lists!$E$3:$E$5,ROW()-1),INDEX(Lists!$F$3:$F$12,ROW()-1),INDEX(Lists!$G$3:$G$126,ROW()-1)),"")</f>
        <v/>
      </c>
      <c r="K699">
        <f>IF(J699="","",SUMPRODUCT(($A$2:$A$636=1)*($G$2:$G$636=J699)))</f>
        <v/>
      </c>
      <c r="L699">
        <f>IF(J699="","",SUMPRODUCT(($A$2:$A$636=1)*($G$2:$G$636=J699)*(ISNUMBER($B$2:$B$636))*($B$2:$B$636&lt;0.5)))</f>
        <v/>
      </c>
      <c r="M699">
        <f>IFERROR(L699/K699,"")</f>
        <v/>
      </c>
      <c r="N699">
        <f>IF(K699="","",M699+K699/100000+ROW()/100000000)</f>
        <v/>
      </c>
    </row>
    <row r="700">
      <c r="J700">
        <f>IFERROR(CHOOSE(MATCH(Dashboard!$B$11,{"Department","Team","Unit","Legal entity","Location","Lead"},0),INDEX(Lists!$B$3:$B$20,ROW()-1),INDEX(Lists!$C$3:$C$146,ROW()-1),INDEX(Lists!$D$3:$D$67,ROW()-1),INDEX(Lists!$E$3:$E$5,ROW()-1),INDEX(Lists!$F$3:$F$12,ROW()-1),INDEX(Lists!$G$3:$G$126,ROW()-1)),"")</f>
        <v/>
      </c>
      <c r="K700">
        <f>IF(J700="","",SUMPRODUCT(($A$2:$A$636=1)*($G$2:$G$636=J700)))</f>
        <v/>
      </c>
      <c r="L700">
        <f>IF(J700="","",SUMPRODUCT(($A$2:$A$636=1)*($G$2:$G$636=J700)*(ISNUMBER($B$2:$B$636))*($B$2:$B$636&lt;0.5)))</f>
        <v/>
      </c>
      <c r="M700">
        <f>IFERROR(L700/K700,"")</f>
        <v/>
      </c>
      <c r="N700">
        <f>IF(K700="","",M700+K700/100000+ROW()/100000000)</f>
        <v/>
      </c>
    </row>
    <row r="701">
      <c r="J701">
        <f>IFERROR(CHOOSE(MATCH(Dashboard!$B$11,{"Department","Team","Unit","Legal entity","Location","Lead"},0),INDEX(Lists!$B$3:$B$20,ROW()-1),INDEX(Lists!$C$3:$C$146,ROW()-1),INDEX(Lists!$D$3:$D$67,ROW()-1),INDEX(Lists!$E$3:$E$5,ROW()-1),INDEX(Lists!$F$3:$F$12,ROW()-1),INDEX(Lists!$G$3:$G$126,ROW()-1)),"")</f>
        <v/>
      </c>
      <c r="K701">
        <f>IF(J701="","",SUMPRODUCT(($A$2:$A$636=1)*($G$2:$G$636=J701)))</f>
        <v/>
      </c>
      <c r="L701">
        <f>IF(J701="","",SUMPRODUCT(($A$2:$A$636=1)*($G$2:$G$636=J701)*(ISNUMBER($B$2:$B$636))*($B$2:$B$636&lt;0.5)))</f>
        <v/>
      </c>
      <c r="M701">
        <f>IFERROR(L701/K701,"")</f>
        <v/>
      </c>
      <c r="N701">
        <f>IF(K701="","",M701+K701/100000+ROW()/100000000)</f>
        <v/>
      </c>
    </row>
    <row r="702">
      <c r="J702">
        <f>IFERROR(CHOOSE(MATCH(Dashboard!$B$11,{"Department","Team","Unit","Legal entity","Location","Lead"},0),INDEX(Lists!$B$3:$B$20,ROW()-1),INDEX(Lists!$C$3:$C$146,ROW()-1),INDEX(Lists!$D$3:$D$67,ROW()-1),INDEX(Lists!$E$3:$E$5,ROW()-1),INDEX(Lists!$F$3:$F$12,ROW()-1),INDEX(Lists!$G$3:$G$126,ROW()-1)),"")</f>
        <v/>
      </c>
      <c r="K702">
        <f>IF(J702="","",SUMPRODUCT(($A$2:$A$636=1)*($G$2:$G$636=J702)))</f>
        <v/>
      </c>
      <c r="L702">
        <f>IF(J702="","",SUMPRODUCT(($A$2:$A$636=1)*($G$2:$G$636=J702)*(ISNUMBER($B$2:$B$636))*($B$2:$B$636&lt;0.5)))</f>
        <v/>
      </c>
      <c r="M702">
        <f>IFERROR(L702/K702,"")</f>
        <v/>
      </c>
      <c r="N702">
        <f>IF(K702="","",M702+K702/100000+ROW()/100000000)</f>
        <v/>
      </c>
    </row>
    <row r="703">
      <c r="J703">
        <f>IFERROR(CHOOSE(MATCH(Dashboard!$B$11,{"Department","Team","Unit","Legal entity","Location","Lead"},0),INDEX(Lists!$B$3:$B$20,ROW()-1),INDEX(Lists!$C$3:$C$146,ROW()-1),INDEX(Lists!$D$3:$D$67,ROW()-1),INDEX(Lists!$E$3:$E$5,ROW()-1),INDEX(Lists!$F$3:$F$12,ROW()-1),INDEX(Lists!$G$3:$G$126,ROW()-1)),"")</f>
        <v/>
      </c>
      <c r="K703">
        <f>IF(J703="","",SUMPRODUCT(($A$2:$A$636=1)*($G$2:$G$636=J703)))</f>
        <v/>
      </c>
      <c r="L703">
        <f>IF(J703="","",SUMPRODUCT(($A$2:$A$636=1)*($G$2:$G$636=J703)*(ISNUMBER($B$2:$B$636))*($B$2:$B$636&lt;0.5)))</f>
        <v/>
      </c>
      <c r="M703">
        <f>IFERROR(L703/K703,"")</f>
        <v/>
      </c>
      <c r="N703">
        <f>IF(K703="","",M703+K703/100000+ROW()/100000000)</f>
        <v/>
      </c>
    </row>
    <row r="704">
      <c r="J704">
        <f>IFERROR(CHOOSE(MATCH(Dashboard!$B$11,{"Department","Team","Unit","Legal entity","Location","Lead"},0),INDEX(Lists!$B$3:$B$20,ROW()-1),INDEX(Lists!$C$3:$C$146,ROW()-1),INDEX(Lists!$D$3:$D$67,ROW()-1),INDEX(Lists!$E$3:$E$5,ROW()-1),INDEX(Lists!$F$3:$F$12,ROW()-1),INDEX(Lists!$G$3:$G$126,ROW()-1)),"")</f>
        <v/>
      </c>
      <c r="K704">
        <f>IF(J704="","",SUMPRODUCT(($A$2:$A$636=1)*($G$2:$G$636=J704)))</f>
        <v/>
      </c>
      <c r="L704">
        <f>IF(J704="","",SUMPRODUCT(($A$2:$A$636=1)*($G$2:$G$636=J704)*(ISNUMBER($B$2:$B$636))*($B$2:$B$636&lt;0.5)))</f>
        <v/>
      </c>
      <c r="M704">
        <f>IFERROR(L704/K704,"")</f>
        <v/>
      </c>
      <c r="N704">
        <f>IF(K704="","",M704+K704/100000+ROW()/100000000)</f>
        <v/>
      </c>
    </row>
    <row r="705">
      <c r="J705">
        <f>IFERROR(CHOOSE(MATCH(Dashboard!$B$11,{"Department","Team","Unit","Legal entity","Location","Lead"},0),INDEX(Lists!$B$3:$B$20,ROW()-1),INDEX(Lists!$C$3:$C$146,ROW()-1),INDEX(Lists!$D$3:$D$67,ROW()-1),INDEX(Lists!$E$3:$E$5,ROW()-1),INDEX(Lists!$F$3:$F$12,ROW()-1),INDEX(Lists!$G$3:$G$126,ROW()-1)),"")</f>
        <v/>
      </c>
      <c r="K705">
        <f>IF(J705="","",SUMPRODUCT(($A$2:$A$636=1)*($G$2:$G$636=J705)))</f>
        <v/>
      </c>
      <c r="L705">
        <f>IF(J705="","",SUMPRODUCT(($A$2:$A$636=1)*($G$2:$G$636=J705)*(ISNUMBER($B$2:$B$636))*($B$2:$B$636&lt;0.5)))</f>
        <v/>
      </c>
      <c r="M705">
        <f>IFERROR(L705/K705,"")</f>
        <v/>
      </c>
      <c r="N705">
        <f>IF(K705="","",M705+K705/100000+ROW()/100000000)</f>
        <v/>
      </c>
    </row>
    <row r="706">
      <c r="J706">
        <f>IFERROR(CHOOSE(MATCH(Dashboard!$B$11,{"Department","Team","Unit","Legal entity","Location","Lead"},0),INDEX(Lists!$B$3:$B$20,ROW()-1),INDEX(Lists!$C$3:$C$146,ROW()-1),INDEX(Lists!$D$3:$D$67,ROW()-1),INDEX(Lists!$E$3:$E$5,ROW()-1),INDEX(Lists!$F$3:$F$12,ROW()-1),INDEX(Lists!$G$3:$G$126,ROW()-1)),"")</f>
        <v/>
      </c>
      <c r="K706">
        <f>IF(J706="","",SUMPRODUCT(($A$2:$A$636=1)*($G$2:$G$636=J706)))</f>
        <v/>
      </c>
      <c r="L706">
        <f>IF(J706="","",SUMPRODUCT(($A$2:$A$636=1)*($G$2:$G$636=J706)*(ISNUMBER($B$2:$B$636))*($B$2:$B$636&lt;0.5)))</f>
        <v/>
      </c>
      <c r="M706">
        <f>IFERROR(L706/K706,"")</f>
        <v/>
      </c>
      <c r="N706">
        <f>IF(K706="","",M706+K706/100000+ROW()/100000000)</f>
        <v/>
      </c>
    </row>
    <row r="707">
      <c r="J707">
        <f>IFERROR(CHOOSE(MATCH(Dashboard!$B$11,{"Department","Team","Unit","Legal entity","Location","Lead"},0),INDEX(Lists!$B$3:$B$20,ROW()-1),INDEX(Lists!$C$3:$C$146,ROW()-1),INDEX(Lists!$D$3:$D$67,ROW()-1),INDEX(Lists!$E$3:$E$5,ROW()-1),INDEX(Lists!$F$3:$F$12,ROW()-1),INDEX(Lists!$G$3:$G$126,ROW()-1)),"")</f>
        <v/>
      </c>
      <c r="K707">
        <f>IF(J707="","",SUMPRODUCT(($A$2:$A$636=1)*($G$2:$G$636=J707)))</f>
        <v/>
      </c>
      <c r="L707">
        <f>IF(J707="","",SUMPRODUCT(($A$2:$A$636=1)*($G$2:$G$636=J707)*(ISNUMBER($B$2:$B$636))*($B$2:$B$636&lt;0.5)))</f>
        <v/>
      </c>
      <c r="M707">
        <f>IFERROR(L707/K707,"")</f>
        <v/>
      </c>
      <c r="N707">
        <f>IF(K707="","",M707+K707/100000+ROW()/100000000)</f>
        <v/>
      </c>
    </row>
    <row r="708">
      <c r="J708">
        <f>IFERROR(CHOOSE(MATCH(Dashboard!$B$11,{"Department","Team","Unit","Legal entity","Location","Lead"},0),INDEX(Lists!$B$3:$B$20,ROW()-1),INDEX(Lists!$C$3:$C$146,ROW()-1),INDEX(Lists!$D$3:$D$67,ROW()-1),INDEX(Lists!$E$3:$E$5,ROW()-1),INDEX(Lists!$F$3:$F$12,ROW()-1),INDEX(Lists!$G$3:$G$126,ROW()-1)),"")</f>
        <v/>
      </c>
      <c r="K708">
        <f>IF(J708="","",SUMPRODUCT(($A$2:$A$636=1)*($G$2:$G$636=J708)))</f>
        <v/>
      </c>
      <c r="L708">
        <f>IF(J708="","",SUMPRODUCT(($A$2:$A$636=1)*($G$2:$G$636=J708)*(ISNUMBER($B$2:$B$636))*($B$2:$B$636&lt;0.5)))</f>
        <v/>
      </c>
      <c r="M708">
        <f>IFERROR(L708/K708,"")</f>
        <v/>
      </c>
      <c r="N708">
        <f>IF(K708="","",M708+K708/100000+ROW()/100000000)</f>
        <v/>
      </c>
    </row>
    <row r="709">
      <c r="J709">
        <f>IFERROR(CHOOSE(MATCH(Dashboard!$B$11,{"Department","Team","Unit","Legal entity","Location","Lead"},0),INDEX(Lists!$B$3:$B$20,ROW()-1),INDEX(Lists!$C$3:$C$146,ROW()-1),INDEX(Lists!$D$3:$D$67,ROW()-1),INDEX(Lists!$E$3:$E$5,ROW()-1),INDEX(Lists!$F$3:$F$12,ROW()-1),INDEX(Lists!$G$3:$G$126,ROW()-1)),"")</f>
        <v/>
      </c>
      <c r="K709">
        <f>IF(J709="","",SUMPRODUCT(($A$2:$A$636=1)*($G$2:$G$636=J709)))</f>
        <v/>
      </c>
      <c r="L709">
        <f>IF(J709="","",SUMPRODUCT(($A$2:$A$636=1)*($G$2:$G$636=J709)*(ISNUMBER($B$2:$B$636))*($B$2:$B$636&lt;0.5)))</f>
        <v/>
      </c>
      <c r="M709">
        <f>IFERROR(L709/K709,"")</f>
        <v/>
      </c>
      <c r="N709">
        <f>IF(K709="","",M709+K709/100000+ROW()/100000000)</f>
        <v/>
      </c>
    </row>
    <row r="710">
      <c r="J710">
        <f>IFERROR(CHOOSE(MATCH(Dashboard!$B$11,{"Department","Team","Unit","Legal entity","Location","Lead"},0),INDEX(Lists!$B$3:$B$20,ROW()-1),INDEX(Lists!$C$3:$C$146,ROW()-1),INDEX(Lists!$D$3:$D$67,ROW()-1),INDEX(Lists!$E$3:$E$5,ROW()-1),INDEX(Lists!$F$3:$F$12,ROW()-1),INDEX(Lists!$G$3:$G$126,ROW()-1)),"")</f>
        <v/>
      </c>
      <c r="K710">
        <f>IF(J710="","",SUMPRODUCT(($A$2:$A$636=1)*($G$2:$G$636=J710)))</f>
        <v/>
      </c>
      <c r="L710">
        <f>IF(J710="","",SUMPRODUCT(($A$2:$A$636=1)*($G$2:$G$636=J710)*(ISNUMBER($B$2:$B$636))*($B$2:$B$636&lt;0.5)))</f>
        <v/>
      </c>
      <c r="M710">
        <f>IFERROR(L710/K710,"")</f>
        <v/>
      </c>
      <c r="N710">
        <f>IF(K710="","",M710+K710/100000+ROW()/100000000)</f>
        <v/>
      </c>
    </row>
    <row r="711">
      <c r="J711">
        <f>IFERROR(CHOOSE(MATCH(Dashboard!$B$11,{"Department","Team","Unit","Legal entity","Location","Lead"},0),INDEX(Lists!$B$3:$B$20,ROW()-1),INDEX(Lists!$C$3:$C$146,ROW()-1),INDEX(Lists!$D$3:$D$67,ROW()-1),INDEX(Lists!$E$3:$E$5,ROW()-1),INDEX(Lists!$F$3:$F$12,ROW()-1),INDEX(Lists!$G$3:$G$126,ROW()-1)),"")</f>
        <v/>
      </c>
      <c r="K711">
        <f>IF(J711="","",SUMPRODUCT(($A$2:$A$636=1)*($G$2:$G$636=J711)))</f>
        <v/>
      </c>
      <c r="L711">
        <f>IF(J711="","",SUMPRODUCT(($A$2:$A$636=1)*($G$2:$G$636=J711)*(ISNUMBER($B$2:$B$636))*($B$2:$B$636&lt;0.5)))</f>
        <v/>
      </c>
      <c r="M711">
        <f>IFERROR(L711/K711,"")</f>
        <v/>
      </c>
      <c r="N711">
        <f>IF(K711="","",M711+K711/100000+ROW()/100000000)</f>
        <v/>
      </c>
    </row>
    <row r="712">
      <c r="J712">
        <f>IFERROR(CHOOSE(MATCH(Dashboard!$B$11,{"Department","Team","Unit","Legal entity","Location","Lead"},0),INDEX(Lists!$B$3:$B$20,ROW()-1),INDEX(Lists!$C$3:$C$146,ROW()-1),INDEX(Lists!$D$3:$D$67,ROW()-1),INDEX(Lists!$E$3:$E$5,ROW()-1),INDEX(Lists!$F$3:$F$12,ROW()-1),INDEX(Lists!$G$3:$G$126,ROW()-1)),"")</f>
        <v/>
      </c>
      <c r="K712">
        <f>IF(J712="","",SUMPRODUCT(($A$2:$A$636=1)*($G$2:$G$636=J712)))</f>
        <v/>
      </c>
      <c r="L712">
        <f>IF(J712="","",SUMPRODUCT(($A$2:$A$636=1)*($G$2:$G$636=J712)*(ISNUMBER($B$2:$B$636))*($B$2:$B$636&lt;0.5)))</f>
        <v/>
      </c>
      <c r="M712">
        <f>IFERROR(L712/K712,"")</f>
        <v/>
      </c>
      <c r="N712">
        <f>IF(K712="","",M712+K712/100000+ROW()/100000000)</f>
        <v/>
      </c>
    </row>
    <row r="713">
      <c r="J713">
        <f>IFERROR(CHOOSE(MATCH(Dashboard!$B$11,{"Department","Team","Unit","Legal entity","Location","Lead"},0),INDEX(Lists!$B$3:$B$20,ROW()-1),INDEX(Lists!$C$3:$C$146,ROW()-1),INDEX(Lists!$D$3:$D$67,ROW()-1),INDEX(Lists!$E$3:$E$5,ROW()-1),INDEX(Lists!$F$3:$F$12,ROW()-1),INDEX(Lists!$G$3:$G$126,ROW()-1)),"")</f>
        <v/>
      </c>
      <c r="K713">
        <f>IF(J713="","",SUMPRODUCT(($A$2:$A$636=1)*($G$2:$G$636=J713)))</f>
        <v/>
      </c>
      <c r="L713">
        <f>IF(J713="","",SUMPRODUCT(($A$2:$A$636=1)*($G$2:$G$636=J713)*(ISNUMBER($B$2:$B$636))*($B$2:$B$636&lt;0.5)))</f>
        <v/>
      </c>
      <c r="M713">
        <f>IFERROR(L713/K713,"")</f>
        <v/>
      </c>
      <c r="N713">
        <f>IF(K713="","",M713+K713/100000+ROW()/100000000)</f>
        <v/>
      </c>
    </row>
    <row r="714">
      <c r="J714">
        <f>IFERROR(CHOOSE(MATCH(Dashboard!$B$11,{"Department","Team","Unit","Legal entity","Location","Lead"},0),INDEX(Lists!$B$3:$B$20,ROW()-1),INDEX(Lists!$C$3:$C$146,ROW()-1),INDEX(Lists!$D$3:$D$67,ROW()-1),INDEX(Lists!$E$3:$E$5,ROW()-1),INDEX(Lists!$F$3:$F$12,ROW()-1),INDEX(Lists!$G$3:$G$126,ROW()-1)),"")</f>
        <v/>
      </c>
      <c r="K714">
        <f>IF(J714="","",SUMPRODUCT(($A$2:$A$636=1)*($G$2:$G$636=J714)))</f>
        <v/>
      </c>
      <c r="L714">
        <f>IF(J714="","",SUMPRODUCT(($A$2:$A$636=1)*($G$2:$G$636=J714)*(ISNUMBER($B$2:$B$636))*($B$2:$B$636&lt;0.5)))</f>
        <v/>
      </c>
      <c r="M714">
        <f>IFERROR(L714/K714,"")</f>
        <v/>
      </c>
      <c r="N714">
        <f>IF(K714="","",M714+K714/100000+ROW()/100000000)</f>
        <v/>
      </c>
    </row>
    <row r="715">
      <c r="J715">
        <f>IFERROR(CHOOSE(MATCH(Dashboard!$B$11,{"Department","Team","Unit","Legal entity","Location","Lead"},0),INDEX(Lists!$B$3:$B$20,ROW()-1),INDEX(Lists!$C$3:$C$146,ROW()-1),INDEX(Lists!$D$3:$D$67,ROW()-1),INDEX(Lists!$E$3:$E$5,ROW()-1),INDEX(Lists!$F$3:$F$12,ROW()-1),INDEX(Lists!$G$3:$G$126,ROW()-1)),"")</f>
        <v/>
      </c>
      <c r="K715">
        <f>IF(J715="","",SUMPRODUCT(($A$2:$A$636=1)*($G$2:$G$636=J715)))</f>
        <v/>
      </c>
      <c r="L715">
        <f>IF(J715="","",SUMPRODUCT(($A$2:$A$636=1)*($G$2:$G$636=J715)*(ISNUMBER($B$2:$B$636))*($B$2:$B$636&lt;0.5)))</f>
        <v/>
      </c>
      <c r="M715">
        <f>IFERROR(L715/K715,"")</f>
        <v/>
      </c>
      <c r="N715">
        <f>IF(K715="","",M715+K715/100000+ROW()/100000000)</f>
        <v/>
      </c>
    </row>
    <row r="716">
      <c r="J716">
        <f>IFERROR(CHOOSE(MATCH(Dashboard!$B$11,{"Department","Team","Unit","Legal entity","Location","Lead"},0),INDEX(Lists!$B$3:$B$20,ROW()-1),INDEX(Lists!$C$3:$C$146,ROW()-1),INDEX(Lists!$D$3:$D$67,ROW()-1),INDEX(Lists!$E$3:$E$5,ROW()-1),INDEX(Lists!$F$3:$F$12,ROW()-1),INDEX(Lists!$G$3:$G$126,ROW()-1)),"")</f>
        <v/>
      </c>
      <c r="K716">
        <f>IF(J716="","",SUMPRODUCT(($A$2:$A$636=1)*($G$2:$G$636=J716)))</f>
        <v/>
      </c>
      <c r="L716">
        <f>IF(J716="","",SUMPRODUCT(($A$2:$A$636=1)*($G$2:$G$636=J716)*(ISNUMBER($B$2:$B$636))*($B$2:$B$636&lt;0.5)))</f>
        <v/>
      </c>
      <c r="M716">
        <f>IFERROR(L716/K716,"")</f>
        <v/>
      </c>
      <c r="N716">
        <f>IF(K716="","",M716+K716/100000+ROW()/100000000)</f>
        <v/>
      </c>
    </row>
    <row r="717">
      <c r="J717">
        <f>IFERROR(CHOOSE(MATCH(Dashboard!$B$11,{"Department","Team","Unit","Legal entity","Location","Lead"},0),INDEX(Lists!$B$3:$B$20,ROW()-1),INDEX(Lists!$C$3:$C$146,ROW()-1),INDEX(Lists!$D$3:$D$67,ROW()-1),INDEX(Lists!$E$3:$E$5,ROW()-1),INDEX(Lists!$F$3:$F$12,ROW()-1),INDEX(Lists!$G$3:$G$126,ROW()-1)),"")</f>
        <v/>
      </c>
      <c r="K717">
        <f>IF(J717="","",SUMPRODUCT(($A$2:$A$636=1)*($G$2:$G$636=J717)))</f>
        <v/>
      </c>
      <c r="L717">
        <f>IF(J717="","",SUMPRODUCT(($A$2:$A$636=1)*($G$2:$G$636=J717)*(ISNUMBER($B$2:$B$636))*($B$2:$B$636&lt;0.5)))</f>
        <v/>
      </c>
      <c r="M717">
        <f>IFERROR(L717/K717,"")</f>
        <v/>
      </c>
      <c r="N717">
        <f>IF(K717="","",M717+K717/100000+ROW()/100000000)</f>
        <v/>
      </c>
    </row>
    <row r="718">
      <c r="J718">
        <f>IFERROR(CHOOSE(MATCH(Dashboard!$B$11,{"Department","Team","Unit","Legal entity","Location","Lead"},0),INDEX(Lists!$B$3:$B$20,ROW()-1),INDEX(Lists!$C$3:$C$146,ROW()-1),INDEX(Lists!$D$3:$D$67,ROW()-1),INDEX(Lists!$E$3:$E$5,ROW()-1),INDEX(Lists!$F$3:$F$12,ROW()-1),INDEX(Lists!$G$3:$G$126,ROW()-1)),"")</f>
        <v/>
      </c>
      <c r="K718">
        <f>IF(J718="","",SUMPRODUCT(($A$2:$A$636=1)*($G$2:$G$636=J718)))</f>
        <v/>
      </c>
      <c r="L718">
        <f>IF(J718="","",SUMPRODUCT(($A$2:$A$636=1)*($G$2:$G$636=J718)*(ISNUMBER($B$2:$B$636))*($B$2:$B$636&lt;0.5)))</f>
        <v/>
      </c>
      <c r="M718">
        <f>IFERROR(L718/K718,"")</f>
        <v/>
      </c>
      <c r="N718">
        <f>IF(K718="","",M718+K718/100000+ROW()/100000000)</f>
        <v/>
      </c>
    </row>
    <row r="719">
      <c r="J719">
        <f>IFERROR(CHOOSE(MATCH(Dashboard!$B$11,{"Department","Team","Unit","Legal entity","Location","Lead"},0),INDEX(Lists!$B$3:$B$20,ROW()-1),INDEX(Lists!$C$3:$C$146,ROW()-1),INDEX(Lists!$D$3:$D$67,ROW()-1),INDEX(Lists!$E$3:$E$5,ROW()-1),INDEX(Lists!$F$3:$F$12,ROW()-1),INDEX(Lists!$G$3:$G$126,ROW()-1)),"")</f>
        <v/>
      </c>
      <c r="K719">
        <f>IF(J719="","",SUMPRODUCT(($A$2:$A$636=1)*($G$2:$G$636=J719)))</f>
        <v/>
      </c>
      <c r="L719">
        <f>IF(J719="","",SUMPRODUCT(($A$2:$A$636=1)*($G$2:$G$636=J719)*(ISNUMBER($B$2:$B$636))*($B$2:$B$636&lt;0.5)))</f>
        <v/>
      </c>
      <c r="M719">
        <f>IFERROR(L719/K719,"")</f>
        <v/>
      </c>
      <c r="N719">
        <f>IF(K719="","",M719+K719/100000+ROW()/100000000)</f>
        <v/>
      </c>
    </row>
    <row r="720">
      <c r="J720">
        <f>IFERROR(CHOOSE(MATCH(Dashboard!$B$11,{"Department","Team","Unit","Legal entity","Location","Lead"},0),INDEX(Lists!$B$3:$B$20,ROW()-1),INDEX(Lists!$C$3:$C$146,ROW()-1),INDEX(Lists!$D$3:$D$67,ROW()-1),INDEX(Lists!$E$3:$E$5,ROW()-1),INDEX(Lists!$F$3:$F$12,ROW()-1),INDEX(Lists!$G$3:$G$126,ROW()-1)),"")</f>
        <v/>
      </c>
      <c r="K720">
        <f>IF(J720="","",SUMPRODUCT(($A$2:$A$636=1)*($G$2:$G$636=J720)))</f>
        <v/>
      </c>
      <c r="L720">
        <f>IF(J720="","",SUMPRODUCT(($A$2:$A$636=1)*($G$2:$G$636=J720)*(ISNUMBER($B$2:$B$636))*($B$2:$B$636&lt;0.5)))</f>
        <v/>
      </c>
      <c r="M720">
        <f>IFERROR(L720/K720,"")</f>
        <v/>
      </c>
      <c r="N720">
        <f>IF(K720="","",M720+K720/100000+ROW()/100000000)</f>
        <v/>
      </c>
    </row>
    <row r="721">
      <c r="J721">
        <f>IFERROR(CHOOSE(MATCH(Dashboard!$B$11,{"Department","Team","Unit","Legal entity","Location","Lead"},0),INDEX(Lists!$B$3:$B$20,ROW()-1),INDEX(Lists!$C$3:$C$146,ROW()-1),INDEX(Lists!$D$3:$D$67,ROW()-1),INDEX(Lists!$E$3:$E$5,ROW()-1),INDEX(Lists!$F$3:$F$12,ROW()-1),INDEX(Lists!$G$3:$G$126,ROW()-1)),"")</f>
        <v/>
      </c>
      <c r="K721">
        <f>IF(J721="","",SUMPRODUCT(($A$2:$A$636=1)*($G$2:$G$636=J721)))</f>
        <v/>
      </c>
      <c r="L721">
        <f>IF(J721="","",SUMPRODUCT(($A$2:$A$636=1)*($G$2:$G$636=J721)*(ISNUMBER($B$2:$B$636))*($B$2:$B$636&lt;0.5)))</f>
        <v/>
      </c>
      <c r="M721">
        <f>IFERROR(L721/K721,"")</f>
        <v/>
      </c>
      <c r="N721">
        <f>IF(K721="","",M721+K721/100000+ROW()/100000000)</f>
        <v/>
      </c>
    </row>
    <row r="722">
      <c r="J722">
        <f>IFERROR(CHOOSE(MATCH(Dashboard!$B$11,{"Department","Team","Unit","Legal entity","Location","Lead"},0),INDEX(Lists!$B$3:$B$20,ROW()-1),INDEX(Lists!$C$3:$C$146,ROW()-1),INDEX(Lists!$D$3:$D$67,ROW()-1),INDEX(Lists!$E$3:$E$5,ROW()-1),INDEX(Lists!$F$3:$F$12,ROW()-1),INDEX(Lists!$G$3:$G$126,ROW()-1)),"")</f>
        <v/>
      </c>
      <c r="K722">
        <f>IF(J722="","",SUMPRODUCT(($A$2:$A$636=1)*($G$2:$G$636=J722)))</f>
        <v/>
      </c>
      <c r="L722">
        <f>IF(J722="","",SUMPRODUCT(($A$2:$A$636=1)*($G$2:$G$636=J722)*(ISNUMBER($B$2:$B$636))*($B$2:$B$636&lt;0.5)))</f>
        <v/>
      </c>
      <c r="M722">
        <f>IFERROR(L722/K722,"")</f>
        <v/>
      </c>
      <c r="N722">
        <f>IF(K722="","",M722+K722/100000+ROW()/100000000)</f>
        <v/>
      </c>
    </row>
    <row r="723">
      <c r="J723">
        <f>IFERROR(CHOOSE(MATCH(Dashboard!$B$11,{"Department","Team","Unit","Legal entity","Location","Lead"},0),INDEX(Lists!$B$3:$B$20,ROW()-1),INDEX(Lists!$C$3:$C$146,ROW()-1),INDEX(Lists!$D$3:$D$67,ROW()-1),INDEX(Lists!$E$3:$E$5,ROW()-1),INDEX(Lists!$F$3:$F$12,ROW()-1),INDEX(Lists!$G$3:$G$126,ROW()-1)),"")</f>
        <v/>
      </c>
      <c r="K723">
        <f>IF(J723="","",SUMPRODUCT(($A$2:$A$636=1)*($G$2:$G$636=J723)))</f>
        <v/>
      </c>
      <c r="L723">
        <f>IF(J723="","",SUMPRODUCT(($A$2:$A$636=1)*($G$2:$G$636=J723)*(ISNUMBER($B$2:$B$636))*($B$2:$B$636&lt;0.5)))</f>
        <v/>
      </c>
      <c r="M723">
        <f>IFERROR(L723/K723,"")</f>
        <v/>
      </c>
      <c r="N723">
        <f>IF(K723="","",M723+K723/100000+ROW()/100000000)</f>
        <v/>
      </c>
    </row>
    <row r="724">
      <c r="J724">
        <f>IFERROR(CHOOSE(MATCH(Dashboard!$B$11,{"Department","Team","Unit","Legal entity","Location","Lead"},0),INDEX(Lists!$B$3:$B$20,ROW()-1),INDEX(Lists!$C$3:$C$146,ROW()-1),INDEX(Lists!$D$3:$D$67,ROW()-1),INDEX(Lists!$E$3:$E$5,ROW()-1),INDEX(Lists!$F$3:$F$12,ROW()-1),INDEX(Lists!$G$3:$G$126,ROW()-1)),"")</f>
        <v/>
      </c>
      <c r="K724">
        <f>IF(J724="","",SUMPRODUCT(($A$2:$A$636=1)*($G$2:$G$636=J724)))</f>
        <v/>
      </c>
      <c r="L724">
        <f>IF(J724="","",SUMPRODUCT(($A$2:$A$636=1)*($G$2:$G$636=J724)*(ISNUMBER($B$2:$B$636))*($B$2:$B$636&lt;0.5)))</f>
        <v/>
      </c>
      <c r="M724">
        <f>IFERROR(L724/K724,"")</f>
        <v/>
      </c>
      <c r="N724">
        <f>IF(K724="","",M724+K724/100000+ROW()/100000000)</f>
        <v/>
      </c>
    </row>
    <row r="725">
      <c r="J725">
        <f>IFERROR(CHOOSE(MATCH(Dashboard!$B$11,{"Department","Team","Unit","Legal entity","Location","Lead"},0),INDEX(Lists!$B$3:$B$20,ROW()-1),INDEX(Lists!$C$3:$C$146,ROW()-1),INDEX(Lists!$D$3:$D$67,ROW()-1),INDEX(Lists!$E$3:$E$5,ROW()-1),INDEX(Lists!$F$3:$F$12,ROW()-1),INDEX(Lists!$G$3:$G$126,ROW()-1)),"")</f>
        <v/>
      </c>
      <c r="K725">
        <f>IF(J725="","",SUMPRODUCT(($A$2:$A$636=1)*($G$2:$G$636=J725)))</f>
        <v/>
      </c>
      <c r="L725">
        <f>IF(J725="","",SUMPRODUCT(($A$2:$A$636=1)*($G$2:$G$636=J725)*(ISNUMBER($B$2:$B$636))*($B$2:$B$636&lt;0.5)))</f>
        <v/>
      </c>
      <c r="M725">
        <f>IFERROR(L725/K725,"")</f>
        <v/>
      </c>
      <c r="N725">
        <f>IF(K725="","",M725+K725/100000+ROW()/100000000)</f>
        <v/>
      </c>
    </row>
    <row r="726">
      <c r="J726">
        <f>IFERROR(CHOOSE(MATCH(Dashboard!$B$11,{"Department","Team","Unit","Legal entity","Location","Lead"},0),INDEX(Lists!$B$3:$B$20,ROW()-1),INDEX(Lists!$C$3:$C$146,ROW()-1),INDEX(Lists!$D$3:$D$67,ROW()-1),INDEX(Lists!$E$3:$E$5,ROW()-1),INDEX(Lists!$F$3:$F$12,ROW()-1),INDEX(Lists!$G$3:$G$126,ROW()-1)),"")</f>
        <v/>
      </c>
      <c r="K726">
        <f>IF(J726="","",SUMPRODUCT(($A$2:$A$636=1)*($G$2:$G$636=J726)))</f>
        <v/>
      </c>
      <c r="L726">
        <f>IF(J726="","",SUMPRODUCT(($A$2:$A$636=1)*($G$2:$G$636=J726)*(ISNUMBER($B$2:$B$636))*($B$2:$B$636&lt;0.5)))</f>
        <v/>
      </c>
      <c r="M726">
        <f>IFERROR(L726/K726,"")</f>
        <v/>
      </c>
      <c r="N726">
        <f>IF(K726="","",M726+K726/100000+ROW()/100000000)</f>
        <v/>
      </c>
    </row>
    <row r="727">
      <c r="J727">
        <f>IFERROR(CHOOSE(MATCH(Dashboard!$B$11,{"Department","Team","Unit","Legal entity","Location","Lead"},0),INDEX(Lists!$B$3:$B$20,ROW()-1),INDEX(Lists!$C$3:$C$146,ROW()-1),INDEX(Lists!$D$3:$D$67,ROW()-1),INDEX(Lists!$E$3:$E$5,ROW()-1),INDEX(Lists!$F$3:$F$12,ROW()-1),INDEX(Lists!$G$3:$G$126,ROW()-1)),"")</f>
        <v/>
      </c>
      <c r="K727">
        <f>IF(J727="","",SUMPRODUCT(($A$2:$A$636=1)*($G$2:$G$636=J727)))</f>
        <v/>
      </c>
      <c r="L727">
        <f>IF(J727="","",SUMPRODUCT(($A$2:$A$636=1)*($G$2:$G$636=J727)*(ISNUMBER($B$2:$B$636))*($B$2:$B$636&lt;0.5)))</f>
        <v/>
      </c>
      <c r="M727">
        <f>IFERROR(L727/K727,"")</f>
        <v/>
      </c>
      <c r="N727">
        <f>IF(K727="","",M727+K727/100000+ROW()/100000000)</f>
        <v/>
      </c>
    </row>
    <row r="728">
      <c r="J728">
        <f>IFERROR(CHOOSE(MATCH(Dashboard!$B$11,{"Department","Team","Unit","Legal entity","Location","Lead"},0),INDEX(Lists!$B$3:$B$20,ROW()-1),INDEX(Lists!$C$3:$C$146,ROW()-1),INDEX(Lists!$D$3:$D$67,ROW()-1),INDEX(Lists!$E$3:$E$5,ROW()-1),INDEX(Lists!$F$3:$F$12,ROW()-1),INDEX(Lists!$G$3:$G$126,ROW()-1)),"")</f>
        <v/>
      </c>
      <c r="K728">
        <f>IF(J728="","",SUMPRODUCT(($A$2:$A$636=1)*($G$2:$G$636=J728)))</f>
        <v/>
      </c>
      <c r="L728">
        <f>IF(J728="","",SUMPRODUCT(($A$2:$A$636=1)*($G$2:$G$636=J728)*(ISNUMBER($B$2:$B$636))*($B$2:$B$636&lt;0.5)))</f>
        <v/>
      </c>
      <c r="M728">
        <f>IFERROR(L728/K728,"")</f>
        <v/>
      </c>
      <c r="N728">
        <f>IF(K728="","",M728+K728/100000+ROW()/100000000)</f>
        <v/>
      </c>
    </row>
    <row r="729">
      <c r="J729">
        <f>IFERROR(CHOOSE(MATCH(Dashboard!$B$11,{"Department","Team","Unit","Legal entity","Location","Lead"},0),INDEX(Lists!$B$3:$B$20,ROW()-1),INDEX(Lists!$C$3:$C$146,ROW()-1),INDEX(Lists!$D$3:$D$67,ROW()-1),INDEX(Lists!$E$3:$E$5,ROW()-1),INDEX(Lists!$F$3:$F$12,ROW()-1),INDEX(Lists!$G$3:$G$126,ROW()-1)),"")</f>
        <v/>
      </c>
      <c r="K729">
        <f>IF(J729="","",SUMPRODUCT(($A$2:$A$636=1)*($G$2:$G$636=J729)))</f>
        <v/>
      </c>
      <c r="L729">
        <f>IF(J729="","",SUMPRODUCT(($A$2:$A$636=1)*($G$2:$G$636=J729)*(ISNUMBER($B$2:$B$636))*($B$2:$B$636&lt;0.5)))</f>
        <v/>
      </c>
      <c r="M729">
        <f>IFERROR(L729/K729,"")</f>
        <v/>
      </c>
      <c r="N729">
        <f>IF(K729="","",M729+K729/100000+ROW()/100000000)</f>
        <v/>
      </c>
    </row>
    <row r="730">
      <c r="J730">
        <f>IFERROR(CHOOSE(MATCH(Dashboard!$B$11,{"Department","Team","Unit","Legal entity","Location","Lead"},0),INDEX(Lists!$B$3:$B$20,ROW()-1),INDEX(Lists!$C$3:$C$146,ROW()-1),INDEX(Lists!$D$3:$D$67,ROW()-1),INDEX(Lists!$E$3:$E$5,ROW()-1),INDEX(Lists!$F$3:$F$12,ROW()-1),INDEX(Lists!$G$3:$G$126,ROW()-1)),"")</f>
        <v/>
      </c>
      <c r="K730">
        <f>IF(J730="","",SUMPRODUCT(($A$2:$A$636=1)*($G$2:$G$636=J730)))</f>
        <v/>
      </c>
      <c r="L730">
        <f>IF(J730="","",SUMPRODUCT(($A$2:$A$636=1)*($G$2:$G$636=J730)*(ISNUMBER($B$2:$B$636))*($B$2:$B$636&lt;0.5)))</f>
        <v/>
      </c>
      <c r="M730">
        <f>IFERROR(L730/K730,"")</f>
        <v/>
      </c>
      <c r="N730">
        <f>IF(K730="","",M730+K730/100000+ROW()/100000000)</f>
        <v/>
      </c>
    </row>
    <row r="731">
      <c r="J731">
        <f>IFERROR(CHOOSE(MATCH(Dashboard!$B$11,{"Department","Team","Unit","Legal entity","Location","Lead"},0),INDEX(Lists!$B$3:$B$20,ROW()-1),INDEX(Lists!$C$3:$C$146,ROW()-1),INDEX(Lists!$D$3:$D$67,ROW()-1),INDEX(Lists!$E$3:$E$5,ROW()-1),INDEX(Lists!$F$3:$F$12,ROW()-1),INDEX(Lists!$G$3:$G$126,ROW()-1)),"")</f>
        <v/>
      </c>
      <c r="K731">
        <f>IF(J731="","",SUMPRODUCT(($A$2:$A$636=1)*($G$2:$G$636=J731)))</f>
        <v/>
      </c>
      <c r="L731">
        <f>IF(J731="","",SUMPRODUCT(($A$2:$A$636=1)*($G$2:$G$636=J731)*(ISNUMBER($B$2:$B$636))*($B$2:$B$636&lt;0.5)))</f>
        <v/>
      </c>
      <c r="M731">
        <f>IFERROR(L731/K731,"")</f>
        <v/>
      </c>
      <c r="N731">
        <f>IF(K731="","",M731+K731/100000+ROW()/100000000)</f>
        <v/>
      </c>
    </row>
    <row r="732">
      <c r="J732">
        <f>IFERROR(CHOOSE(MATCH(Dashboard!$B$11,{"Department","Team","Unit","Legal entity","Location","Lead"},0),INDEX(Lists!$B$3:$B$20,ROW()-1),INDEX(Lists!$C$3:$C$146,ROW()-1),INDEX(Lists!$D$3:$D$67,ROW()-1),INDEX(Lists!$E$3:$E$5,ROW()-1),INDEX(Lists!$F$3:$F$12,ROW()-1),INDEX(Lists!$G$3:$G$126,ROW()-1)),"")</f>
        <v/>
      </c>
      <c r="K732">
        <f>IF(J732="","",SUMPRODUCT(($A$2:$A$636=1)*($G$2:$G$636=J732)))</f>
        <v/>
      </c>
      <c r="L732">
        <f>IF(J732="","",SUMPRODUCT(($A$2:$A$636=1)*($G$2:$G$636=J732)*(ISNUMBER($B$2:$B$636))*($B$2:$B$636&lt;0.5)))</f>
        <v/>
      </c>
      <c r="M732">
        <f>IFERROR(L732/K732,"")</f>
        <v/>
      </c>
      <c r="N732">
        <f>IF(K732="","",M732+K732/100000+ROW()/100000000)</f>
        <v/>
      </c>
    </row>
    <row r="733">
      <c r="J733">
        <f>IFERROR(CHOOSE(MATCH(Dashboard!$B$11,{"Department","Team","Unit","Legal entity","Location","Lead"},0),INDEX(Lists!$B$3:$B$20,ROW()-1),INDEX(Lists!$C$3:$C$146,ROW()-1),INDEX(Lists!$D$3:$D$67,ROW()-1),INDEX(Lists!$E$3:$E$5,ROW()-1),INDEX(Lists!$F$3:$F$12,ROW()-1),INDEX(Lists!$G$3:$G$126,ROW()-1)),"")</f>
        <v/>
      </c>
      <c r="K733">
        <f>IF(J733="","",SUMPRODUCT(($A$2:$A$636=1)*($G$2:$G$636=J733)))</f>
        <v/>
      </c>
      <c r="L733">
        <f>IF(J733="","",SUMPRODUCT(($A$2:$A$636=1)*($G$2:$G$636=J733)*(ISNUMBER($B$2:$B$636))*($B$2:$B$636&lt;0.5)))</f>
        <v/>
      </c>
      <c r="M733">
        <f>IFERROR(L733/K733,"")</f>
        <v/>
      </c>
      <c r="N733">
        <f>IF(K733="","",M733+K733/100000+ROW()/100000000)</f>
        <v/>
      </c>
    </row>
    <row r="734">
      <c r="J734">
        <f>IFERROR(CHOOSE(MATCH(Dashboard!$B$11,{"Department","Team","Unit","Legal entity","Location","Lead"},0),INDEX(Lists!$B$3:$B$20,ROW()-1),INDEX(Lists!$C$3:$C$146,ROW()-1),INDEX(Lists!$D$3:$D$67,ROW()-1),INDEX(Lists!$E$3:$E$5,ROW()-1),INDEX(Lists!$F$3:$F$12,ROW()-1),INDEX(Lists!$G$3:$G$126,ROW()-1)),"")</f>
        <v/>
      </c>
      <c r="K734">
        <f>IF(J734="","",SUMPRODUCT(($A$2:$A$636=1)*($G$2:$G$636=J734)))</f>
        <v/>
      </c>
      <c r="L734">
        <f>IF(J734="","",SUMPRODUCT(($A$2:$A$636=1)*($G$2:$G$636=J734)*(ISNUMBER($B$2:$B$636))*($B$2:$B$636&lt;0.5)))</f>
        <v/>
      </c>
      <c r="M734">
        <f>IFERROR(L734/K734,"")</f>
        <v/>
      </c>
      <c r="N734">
        <f>IF(K734="","",M734+K734/100000+ROW()/100000000)</f>
        <v/>
      </c>
    </row>
    <row r="735">
      <c r="J735">
        <f>IFERROR(CHOOSE(MATCH(Dashboard!$B$11,{"Department","Team","Unit","Legal entity","Location","Lead"},0),INDEX(Lists!$B$3:$B$20,ROW()-1),INDEX(Lists!$C$3:$C$146,ROW()-1),INDEX(Lists!$D$3:$D$67,ROW()-1),INDEX(Lists!$E$3:$E$5,ROW()-1),INDEX(Lists!$F$3:$F$12,ROW()-1),INDEX(Lists!$G$3:$G$126,ROW()-1)),"")</f>
        <v/>
      </c>
      <c r="K735">
        <f>IF(J735="","",SUMPRODUCT(($A$2:$A$636=1)*($G$2:$G$636=J735)))</f>
        <v/>
      </c>
      <c r="L735">
        <f>IF(J735="","",SUMPRODUCT(($A$2:$A$636=1)*($G$2:$G$636=J735)*(ISNUMBER($B$2:$B$636))*($B$2:$B$636&lt;0.5)))</f>
        <v/>
      </c>
      <c r="M735">
        <f>IFERROR(L735/K735,"")</f>
        <v/>
      </c>
      <c r="N735">
        <f>IF(K735="","",M735+K735/100000+ROW()/100000000)</f>
        <v/>
      </c>
    </row>
    <row r="736">
      <c r="J736">
        <f>IFERROR(CHOOSE(MATCH(Dashboard!$B$11,{"Department","Team","Unit","Legal entity","Location","Lead"},0),INDEX(Lists!$B$3:$B$20,ROW()-1),INDEX(Lists!$C$3:$C$146,ROW()-1),INDEX(Lists!$D$3:$D$67,ROW()-1),INDEX(Lists!$E$3:$E$5,ROW()-1),INDEX(Lists!$F$3:$F$12,ROW()-1),INDEX(Lists!$G$3:$G$126,ROW()-1)),"")</f>
        <v/>
      </c>
      <c r="K736">
        <f>IF(J736="","",SUMPRODUCT(($A$2:$A$636=1)*($G$2:$G$636=J736)))</f>
        <v/>
      </c>
      <c r="L736">
        <f>IF(J736="","",SUMPRODUCT(($A$2:$A$636=1)*($G$2:$G$636=J736)*(ISNUMBER($B$2:$B$636))*($B$2:$B$636&lt;0.5)))</f>
        <v/>
      </c>
      <c r="M736">
        <f>IFERROR(L736/K736,"")</f>
        <v/>
      </c>
      <c r="N736">
        <f>IF(K736="","",M736+K736/100000+ROW()/100000000)</f>
        <v/>
      </c>
    </row>
    <row r="737">
      <c r="J737">
        <f>IFERROR(CHOOSE(MATCH(Dashboard!$B$11,{"Department","Team","Unit","Legal entity","Location","Lead"},0),INDEX(Lists!$B$3:$B$20,ROW()-1),INDEX(Lists!$C$3:$C$146,ROW()-1),INDEX(Lists!$D$3:$D$67,ROW()-1),INDEX(Lists!$E$3:$E$5,ROW()-1),INDEX(Lists!$F$3:$F$12,ROW()-1),INDEX(Lists!$G$3:$G$126,ROW()-1)),"")</f>
        <v/>
      </c>
      <c r="K737">
        <f>IF(J737="","",SUMPRODUCT(($A$2:$A$636=1)*($G$2:$G$636=J737)))</f>
        <v/>
      </c>
      <c r="L737">
        <f>IF(J737="","",SUMPRODUCT(($A$2:$A$636=1)*($G$2:$G$636=J737)*(ISNUMBER($B$2:$B$636))*($B$2:$B$636&lt;0.5)))</f>
        <v/>
      </c>
      <c r="M737">
        <f>IFERROR(L737/K737,"")</f>
        <v/>
      </c>
      <c r="N737">
        <f>IF(K737="","",M737+K737/100000+ROW()/100000000)</f>
        <v/>
      </c>
    </row>
    <row r="738">
      <c r="J738">
        <f>IFERROR(CHOOSE(MATCH(Dashboard!$B$11,{"Department","Team","Unit","Legal entity","Location","Lead"},0),INDEX(Lists!$B$3:$B$20,ROW()-1),INDEX(Lists!$C$3:$C$146,ROW()-1),INDEX(Lists!$D$3:$D$67,ROW()-1),INDEX(Lists!$E$3:$E$5,ROW()-1),INDEX(Lists!$F$3:$F$12,ROW()-1),INDEX(Lists!$G$3:$G$126,ROW()-1)),"")</f>
        <v/>
      </c>
      <c r="K738">
        <f>IF(J738="","",SUMPRODUCT(($A$2:$A$636=1)*($G$2:$G$636=J738)))</f>
        <v/>
      </c>
      <c r="L738">
        <f>IF(J738="","",SUMPRODUCT(($A$2:$A$636=1)*($G$2:$G$636=J738)*(ISNUMBER($B$2:$B$636))*($B$2:$B$636&lt;0.5)))</f>
        <v/>
      </c>
      <c r="M738">
        <f>IFERROR(L738/K738,"")</f>
        <v/>
      </c>
      <c r="N738">
        <f>IF(K738="","",M738+K738/100000+ROW()/100000000)</f>
        <v/>
      </c>
    </row>
    <row r="739">
      <c r="J739">
        <f>IFERROR(CHOOSE(MATCH(Dashboard!$B$11,{"Department","Team","Unit","Legal entity","Location","Lead"},0),INDEX(Lists!$B$3:$B$20,ROW()-1),INDEX(Lists!$C$3:$C$146,ROW()-1),INDEX(Lists!$D$3:$D$67,ROW()-1),INDEX(Lists!$E$3:$E$5,ROW()-1),INDEX(Lists!$F$3:$F$12,ROW()-1),INDEX(Lists!$G$3:$G$126,ROW()-1)),"")</f>
        <v/>
      </c>
      <c r="K739">
        <f>IF(J739="","",SUMPRODUCT(($A$2:$A$636=1)*($G$2:$G$636=J739)))</f>
        <v/>
      </c>
      <c r="L739">
        <f>IF(J739="","",SUMPRODUCT(($A$2:$A$636=1)*($G$2:$G$636=J739)*(ISNUMBER($B$2:$B$636))*($B$2:$B$636&lt;0.5)))</f>
        <v/>
      </c>
      <c r="M739">
        <f>IFERROR(L739/K739,"")</f>
        <v/>
      </c>
      <c r="N739">
        <f>IF(K739="","",M739+K739/100000+ROW()/100000000)</f>
        <v/>
      </c>
    </row>
    <row r="740">
      <c r="J740">
        <f>IFERROR(CHOOSE(MATCH(Dashboard!$B$11,{"Department","Team","Unit","Legal entity","Location","Lead"},0),INDEX(Lists!$B$3:$B$20,ROW()-1),INDEX(Lists!$C$3:$C$146,ROW()-1),INDEX(Lists!$D$3:$D$67,ROW()-1),INDEX(Lists!$E$3:$E$5,ROW()-1),INDEX(Lists!$F$3:$F$12,ROW()-1),INDEX(Lists!$G$3:$G$126,ROW()-1)),"")</f>
        <v/>
      </c>
      <c r="K740">
        <f>IF(J740="","",SUMPRODUCT(($A$2:$A$636=1)*($G$2:$G$636=J740)))</f>
        <v/>
      </c>
      <c r="L740">
        <f>IF(J740="","",SUMPRODUCT(($A$2:$A$636=1)*($G$2:$G$636=J740)*(ISNUMBER($B$2:$B$636))*($B$2:$B$636&lt;0.5)))</f>
        <v/>
      </c>
      <c r="M740">
        <f>IFERROR(L740/K740,"")</f>
        <v/>
      </c>
      <c r="N740">
        <f>IF(K740="","",M740+K740/100000+ROW()/100000000)</f>
        <v/>
      </c>
    </row>
    <row r="741">
      <c r="J741">
        <f>IFERROR(CHOOSE(MATCH(Dashboard!$B$11,{"Department","Team","Unit","Legal entity","Location","Lead"},0),INDEX(Lists!$B$3:$B$20,ROW()-1),INDEX(Lists!$C$3:$C$146,ROW()-1),INDEX(Lists!$D$3:$D$67,ROW()-1),INDEX(Lists!$E$3:$E$5,ROW()-1),INDEX(Lists!$F$3:$F$12,ROW()-1),INDEX(Lists!$G$3:$G$126,ROW()-1)),"")</f>
        <v/>
      </c>
      <c r="K741">
        <f>IF(J741="","",SUMPRODUCT(($A$2:$A$636=1)*($G$2:$G$636=J741)))</f>
        <v/>
      </c>
      <c r="L741">
        <f>IF(J741="","",SUMPRODUCT(($A$2:$A$636=1)*($G$2:$G$636=J741)*(ISNUMBER($B$2:$B$636))*($B$2:$B$636&lt;0.5)))</f>
        <v/>
      </c>
      <c r="M741">
        <f>IFERROR(L741/K741,"")</f>
        <v/>
      </c>
      <c r="N741">
        <f>IF(K741="","",M741+K741/100000+ROW()/100000000)</f>
        <v/>
      </c>
    </row>
    <row r="742">
      <c r="J742">
        <f>IFERROR(CHOOSE(MATCH(Dashboard!$B$11,{"Department","Team","Unit","Legal entity","Location","Lead"},0),INDEX(Lists!$B$3:$B$20,ROW()-1),INDEX(Lists!$C$3:$C$146,ROW()-1),INDEX(Lists!$D$3:$D$67,ROW()-1),INDEX(Lists!$E$3:$E$5,ROW()-1),INDEX(Lists!$F$3:$F$12,ROW()-1),INDEX(Lists!$G$3:$G$126,ROW()-1)),"")</f>
        <v/>
      </c>
      <c r="K742">
        <f>IF(J742="","",SUMPRODUCT(($A$2:$A$636=1)*($G$2:$G$636=J742)))</f>
        <v/>
      </c>
      <c r="L742">
        <f>IF(J742="","",SUMPRODUCT(($A$2:$A$636=1)*($G$2:$G$636=J742)*(ISNUMBER($B$2:$B$636))*($B$2:$B$636&lt;0.5)))</f>
        <v/>
      </c>
      <c r="M742">
        <f>IFERROR(L742/K742,"")</f>
        <v/>
      </c>
      <c r="N742">
        <f>IF(K742="","",M742+K742/100000+ROW()/100000000)</f>
        <v/>
      </c>
    </row>
    <row r="743">
      <c r="J743">
        <f>IFERROR(CHOOSE(MATCH(Dashboard!$B$11,{"Department","Team","Unit","Legal entity","Location","Lead"},0),INDEX(Lists!$B$3:$B$20,ROW()-1),INDEX(Lists!$C$3:$C$146,ROW()-1),INDEX(Lists!$D$3:$D$67,ROW()-1),INDEX(Lists!$E$3:$E$5,ROW()-1),INDEX(Lists!$F$3:$F$12,ROW()-1),INDEX(Lists!$G$3:$G$126,ROW()-1)),"")</f>
        <v/>
      </c>
      <c r="K743">
        <f>IF(J743="","",SUMPRODUCT(($A$2:$A$636=1)*($G$2:$G$636=J743)))</f>
        <v/>
      </c>
      <c r="L743">
        <f>IF(J743="","",SUMPRODUCT(($A$2:$A$636=1)*($G$2:$G$636=J743)*(ISNUMBER($B$2:$B$636))*($B$2:$B$636&lt;0.5)))</f>
        <v/>
      </c>
      <c r="M743">
        <f>IFERROR(L743/K743,"")</f>
        <v/>
      </c>
      <c r="N743">
        <f>IF(K743="","",M743+K743/100000+ROW()/100000000)</f>
        <v/>
      </c>
    </row>
    <row r="744">
      <c r="J744">
        <f>IFERROR(CHOOSE(MATCH(Dashboard!$B$11,{"Department","Team","Unit","Legal entity","Location","Lead"},0),INDEX(Lists!$B$3:$B$20,ROW()-1),INDEX(Lists!$C$3:$C$146,ROW()-1),INDEX(Lists!$D$3:$D$67,ROW()-1),INDEX(Lists!$E$3:$E$5,ROW()-1),INDEX(Lists!$F$3:$F$12,ROW()-1),INDEX(Lists!$G$3:$G$126,ROW()-1)),"")</f>
        <v/>
      </c>
      <c r="K744">
        <f>IF(J744="","",SUMPRODUCT(($A$2:$A$636=1)*($G$2:$G$636=J744)))</f>
        <v/>
      </c>
      <c r="L744">
        <f>IF(J744="","",SUMPRODUCT(($A$2:$A$636=1)*($G$2:$G$636=J744)*(ISNUMBER($B$2:$B$636))*($B$2:$B$636&lt;0.5)))</f>
        <v/>
      </c>
      <c r="M744">
        <f>IFERROR(L744/K744,"")</f>
        <v/>
      </c>
      <c r="N744">
        <f>IF(K744="","",M744+K744/100000+ROW()/100000000)</f>
        <v/>
      </c>
    </row>
    <row r="745">
      <c r="J745">
        <f>IFERROR(CHOOSE(MATCH(Dashboard!$B$11,{"Department","Team","Unit","Legal entity","Location","Lead"},0),INDEX(Lists!$B$3:$B$20,ROW()-1),INDEX(Lists!$C$3:$C$146,ROW()-1),INDEX(Lists!$D$3:$D$67,ROW()-1),INDEX(Lists!$E$3:$E$5,ROW()-1),INDEX(Lists!$F$3:$F$12,ROW()-1),INDEX(Lists!$G$3:$G$126,ROW()-1)),"")</f>
        <v/>
      </c>
      <c r="K745">
        <f>IF(J745="","",SUMPRODUCT(($A$2:$A$636=1)*($G$2:$G$636=J745)))</f>
        <v/>
      </c>
      <c r="L745">
        <f>IF(J745="","",SUMPRODUCT(($A$2:$A$636=1)*($G$2:$G$636=J745)*(ISNUMBER($B$2:$B$636))*($B$2:$B$636&lt;0.5)))</f>
        <v/>
      </c>
      <c r="M745">
        <f>IFERROR(L745/K745,"")</f>
        <v/>
      </c>
      <c r="N745">
        <f>IF(K745="","",M745+K745/100000+ROW()/100000000)</f>
        <v/>
      </c>
    </row>
    <row r="746">
      <c r="J746">
        <f>IFERROR(CHOOSE(MATCH(Dashboard!$B$11,{"Department","Team","Unit","Legal entity","Location","Lead"},0),INDEX(Lists!$B$3:$B$20,ROW()-1),INDEX(Lists!$C$3:$C$146,ROW()-1),INDEX(Lists!$D$3:$D$67,ROW()-1),INDEX(Lists!$E$3:$E$5,ROW()-1),INDEX(Lists!$F$3:$F$12,ROW()-1),INDEX(Lists!$G$3:$G$126,ROW()-1)),"")</f>
        <v/>
      </c>
      <c r="K746">
        <f>IF(J746="","",SUMPRODUCT(($A$2:$A$636=1)*($G$2:$G$636=J746)))</f>
        <v/>
      </c>
      <c r="L746">
        <f>IF(J746="","",SUMPRODUCT(($A$2:$A$636=1)*($G$2:$G$636=J746)*(ISNUMBER($B$2:$B$636))*($B$2:$B$636&lt;0.5)))</f>
        <v/>
      </c>
      <c r="M746">
        <f>IFERROR(L746/K746,"")</f>
        <v/>
      </c>
      <c r="N746">
        <f>IF(K746="","",M746+K746/100000+ROW()/100000000)</f>
        <v/>
      </c>
    </row>
    <row r="747">
      <c r="J747">
        <f>IFERROR(CHOOSE(MATCH(Dashboard!$B$11,{"Department","Team","Unit","Legal entity","Location","Lead"},0),INDEX(Lists!$B$3:$B$20,ROW()-1),INDEX(Lists!$C$3:$C$146,ROW()-1),INDEX(Lists!$D$3:$D$67,ROW()-1),INDEX(Lists!$E$3:$E$5,ROW()-1),INDEX(Lists!$F$3:$F$12,ROW()-1),INDEX(Lists!$G$3:$G$126,ROW()-1)),"")</f>
        <v/>
      </c>
      <c r="K747">
        <f>IF(J747="","",SUMPRODUCT(($A$2:$A$636=1)*($G$2:$G$636=J747)))</f>
        <v/>
      </c>
      <c r="L747">
        <f>IF(J747="","",SUMPRODUCT(($A$2:$A$636=1)*($G$2:$G$636=J747)*(ISNUMBER($B$2:$B$636))*($B$2:$B$636&lt;0.5)))</f>
        <v/>
      </c>
      <c r="M747">
        <f>IFERROR(L747/K747,"")</f>
        <v/>
      </c>
      <c r="N747">
        <f>IF(K747="","",M747+K747/100000+ROW()/100000000)</f>
        <v/>
      </c>
    </row>
    <row r="748">
      <c r="J748">
        <f>IFERROR(CHOOSE(MATCH(Dashboard!$B$11,{"Department","Team","Unit","Legal entity","Location","Lead"},0),INDEX(Lists!$B$3:$B$20,ROW()-1),INDEX(Lists!$C$3:$C$146,ROW()-1),INDEX(Lists!$D$3:$D$67,ROW()-1),INDEX(Lists!$E$3:$E$5,ROW()-1),INDEX(Lists!$F$3:$F$12,ROW()-1),INDEX(Lists!$G$3:$G$126,ROW()-1)),"")</f>
        <v/>
      </c>
      <c r="K748">
        <f>IF(J748="","",SUMPRODUCT(($A$2:$A$636=1)*($G$2:$G$636=J748)))</f>
        <v/>
      </c>
      <c r="L748">
        <f>IF(J748="","",SUMPRODUCT(($A$2:$A$636=1)*($G$2:$G$636=J748)*(ISNUMBER($B$2:$B$636))*($B$2:$B$636&lt;0.5)))</f>
        <v/>
      </c>
      <c r="M748">
        <f>IFERROR(L748/K748,"")</f>
        <v/>
      </c>
      <c r="N748">
        <f>IF(K748="","",M748+K748/100000+ROW()/100000000)</f>
        <v/>
      </c>
    </row>
    <row r="749">
      <c r="J749">
        <f>IFERROR(CHOOSE(MATCH(Dashboard!$B$11,{"Department","Team","Unit","Legal entity","Location","Lead"},0),INDEX(Lists!$B$3:$B$20,ROW()-1),INDEX(Lists!$C$3:$C$146,ROW()-1),INDEX(Lists!$D$3:$D$67,ROW()-1),INDEX(Lists!$E$3:$E$5,ROW()-1),INDEX(Lists!$F$3:$F$12,ROW()-1),INDEX(Lists!$G$3:$G$126,ROW()-1)),"")</f>
        <v/>
      </c>
      <c r="K749">
        <f>IF(J749="","",SUMPRODUCT(($A$2:$A$636=1)*($G$2:$G$636=J749)))</f>
        <v/>
      </c>
      <c r="L749">
        <f>IF(J749="","",SUMPRODUCT(($A$2:$A$636=1)*($G$2:$G$636=J749)*(ISNUMBER($B$2:$B$636))*($B$2:$B$636&lt;0.5)))</f>
        <v/>
      </c>
      <c r="M749">
        <f>IFERROR(L749/K749,"")</f>
        <v/>
      </c>
      <c r="N749">
        <f>IF(K749="","",M749+K749/100000+ROW()/100000000)</f>
        <v/>
      </c>
    </row>
    <row r="750">
      <c r="J750">
        <f>IFERROR(CHOOSE(MATCH(Dashboard!$B$11,{"Department","Team","Unit","Legal entity","Location","Lead"},0),INDEX(Lists!$B$3:$B$20,ROW()-1),INDEX(Lists!$C$3:$C$146,ROW()-1),INDEX(Lists!$D$3:$D$67,ROW()-1),INDEX(Lists!$E$3:$E$5,ROW()-1),INDEX(Lists!$F$3:$F$12,ROW()-1),INDEX(Lists!$G$3:$G$126,ROW()-1)),"")</f>
        <v/>
      </c>
      <c r="K750">
        <f>IF(J750="","",SUMPRODUCT(($A$2:$A$636=1)*($G$2:$G$636=J750)))</f>
        <v/>
      </c>
      <c r="L750">
        <f>IF(J750="","",SUMPRODUCT(($A$2:$A$636=1)*($G$2:$G$636=J750)*(ISNUMBER($B$2:$B$636))*($B$2:$B$636&lt;0.5)))</f>
        <v/>
      </c>
      <c r="M750">
        <f>IFERROR(L750/K750,"")</f>
        <v/>
      </c>
      <c r="N750">
        <f>IF(K750="","",M750+K750/100000+ROW()/100000000)</f>
        <v/>
      </c>
    </row>
    <row r="751">
      <c r="J751">
        <f>IFERROR(CHOOSE(MATCH(Dashboard!$B$11,{"Department","Team","Unit","Legal entity","Location","Lead"},0),INDEX(Lists!$B$3:$B$20,ROW()-1),INDEX(Lists!$C$3:$C$146,ROW()-1),INDEX(Lists!$D$3:$D$67,ROW()-1),INDEX(Lists!$E$3:$E$5,ROW()-1),INDEX(Lists!$F$3:$F$12,ROW()-1),INDEX(Lists!$G$3:$G$126,ROW()-1)),"")</f>
        <v/>
      </c>
      <c r="K751">
        <f>IF(J751="","",SUMPRODUCT(($A$2:$A$636=1)*($G$2:$G$636=J751)))</f>
        <v/>
      </c>
      <c r="L751">
        <f>IF(J751="","",SUMPRODUCT(($A$2:$A$636=1)*($G$2:$G$636=J751)*(ISNUMBER($B$2:$B$636))*($B$2:$B$636&lt;0.5)))</f>
        <v/>
      </c>
      <c r="M751">
        <f>IFERROR(L751/K751,"")</f>
        <v/>
      </c>
      <c r="N751">
        <f>IF(K751="","",M751+K751/100000+ROW()/100000000)</f>
        <v/>
      </c>
    </row>
    <row r="752">
      <c r="J752">
        <f>IFERROR(CHOOSE(MATCH(Dashboard!$B$11,{"Department","Team","Unit","Legal entity","Location","Lead"},0),INDEX(Lists!$B$3:$B$20,ROW()-1),INDEX(Lists!$C$3:$C$146,ROW()-1),INDEX(Lists!$D$3:$D$67,ROW()-1),INDEX(Lists!$E$3:$E$5,ROW()-1),INDEX(Lists!$F$3:$F$12,ROW()-1),INDEX(Lists!$G$3:$G$126,ROW()-1)),"")</f>
        <v/>
      </c>
      <c r="K752">
        <f>IF(J752="","",SUMPRODUCT(($A$2:$A$636=1)*($G$2:$G$636=J752)))</f>
        <v/>
      </c>
      <c r="L752">
        <f>IF(J752="","",SUMPRODUCT(($A$2:$A$636=1)*($G$2:$G$636=J752)*(ISNUMBER($B$2:$B$636))*($B$2:$B$636&lt;0.5)))</f>
        <v/>
      </c>
      <c r="M752">
        <f>IFERROR(L752/K752,"")</f>
        <v/>
      </c>
      <c r="N752">
        <f>IF(K752="","",M752+K752/100000+ROW()/100000000)</f>
        <v/>
      </c>
    </row>
    <row r="753">
      <c r="J753">
        <f>IFERROR(CHOOSE(MATCH(Dashboard!$B$11,{"Department","Team","Unit","Legal entity","Location","Lead"},0),INDEX(Lists!$B$3:$B$20,ROW()-1),INDEX(Lists!$C$3:$C$146,ROW()-1),INDEX(Lists!$D$3:$D$67,ROW()-1),INDEX(Lists!$E$3:$E$5,ROW()-1),INDEX(Lists!$F$3:$F$12,ROW()-1),INDEX(Lists!$G$3:$G$126,ROW()-1)),"")</f>
        <v/>
      </c>
      <c r="K753">
        <f>IF(J753="","",SUMPRODUCT(($A$2:$A$636=1)*($G$2:$G$636=J753)))</f>
        <v/>
      </c>
      <c r="L753">
        <f>IF(J753="","",SUMPRODUCT(($A$2:$A$636=1)*($G$2:$G$636=J753)*(ISNUMBER($B$2:$B$636))*($B$2:$B$636&lt;0.5)))</f>
        <v/>
      </c>
      <c r="M753">
        <f>IFERROR(L753/K753,"")</f>
        <v/>
      </c>
      <c r="N753">
        <f>IF(K753="","",M753+K753/100000+ROW()/100000000)</f>
        <v/>
      </c>
    </row>
    <row r="754">
      <c r="J754">
        <f>IFERROR(CHOOSE(MATCH(Dashboard!$B$11,{"Department","Team","Unit","Legal entity","Location","Lead"},0),INDEX(Lists!$B$3:$B$20,ROW()-1),INDEX(Lists!$C$3:$C$146,ROW()-1),INDEX(Lists!$D$3:$D$67,ROW()-1),INDEX(Lists!$E$3:$E$5,ROW()-1),INDEX(Lists!$F$3:$F$12,ROW()-1),INDEX(Lists!$G$3:$G$126,ROW()-1)),"")</f>
        <v/>
      </c>
      <c r="K754">
        <f>IF(J754="","",SUMPRODUCT(($A$2:$A$636=1)*($G$2:$G$636=J754)))</f>
        <v/>
      </c>
      <c r="L754">
        <f>IF(J754="","",SUMPRODUCT(($A$2:$A$636=1)*($G$2:$G$636=J754)*(ISNUMBER($B$2:$B$636))*($B$2:$B$636&lt;0.5)))</f>
        <v/>
      </c>
      <c r="M754">
        <f>IFERROR(L754/K754,"")</f>
        <v/>
      </c>
      <c r="N754">
        <f>IF(K754="","",M754+K754/100000+ROW()/100000000)</f>
        <v/>
      </c>
    </row>
    <row r="755">
      <c r="J755">
        <f>IFERROR(CHOOSE(MATCH(Dashboard!$B$11,{"Department","Team","Unit","Legal entity","Location","Lead"},0),INDEX(Lists!$B$3:$B$20,ROW()-1),INDEX(Lists!$C$3:$C$146,ROW()-1),INDEX(Lists!$D$3:$D$67,ROW()-1),INDEX(Lists!$E$3:$E$5,ROW()-1),INDEX(Lists!$F$3:$F$12,ROW()-1),INDEX(Lists!$G$3:$G$126,ROW()-1)),"")</f>
        <v/>
      </c>
      <c r="K755">
        <f>IF(J755="","",SUMPRODUCT(($A$2:$A$636=1)*($G$2:$G$636=J755)))</f>
        <v/>
      </c>
      <c r="L755">
        <f>IF(J755="","",SUMPRODUCT(($A$2:$A$636=1)*($G$2:$G$636=J755)*(ISNUMBER($B$2:$B$636))*($B$2:$B$636&lt;0.5)))</f>
        <v/>
      </c>
      <c r="M755">
        <f>IFERROR(L755/K755,"")</f>
        <v/>
      </c>
      <c r="N755">
        <f>IF(K755="","",M755+K755/100000+ROW()/100000000)</f>
        <v/>
      </c>
    </row>
    <row r="756">
      <c r="J756">
        <f>IFERROR(CHOOSE(MATCH(Dashboard!$B$11,{"Department","Team","Unit","Legal entity","Location","Lead"},0),INDEX(Lists!$B$3:$B$20,ROW()-1),INDEX(Lists!$C$3:$C$146,ROW()-1),INDEX(Lists!$D$3:$D$67,ROW()-1),INDEX(Lists!$E$3:$E$5,ROW()-1),INDEX(Lists!$F$3:$F$12,ROW()-1),INDEX(Lists!$G$3:$G$126,ROW()-1)),"")</f>
        <v/>
      </c>
      <c r="K756">
        <f>IF(J756="","",SUMPRODUCT(($A$2:$A$636=1)*($G$2:$G$636=J756)))</f>
        <v/>
      </c>
      <c r="L756">
        <f>IF(J756="","",SUMPRODUCT(($A$2:$A$636=1)*($G$2:$G$636=J756)*(ISNUMBER($B$2:$B$636))*($B$2:$B$636&lt;0.5)))</f>
        <v/>
      </c>
      <c r="M756">
        <f>IFERROR(L756/K756,"")</f>
        <v/>
      </c>
      <c r="N756">
        <f>IF(K756="","",M756+K756/100000+ROW()/100000000)</f>
        <v/>
      </c>
    </row>
    <row r="757">
      <c r="J757">
        <f>IFERROR(CHOOSE(MATCH(Dashboard!$B$11,{"Department","Team","Unit","Legal entity","Location","Lead"},0),INDEX(Lists!$B$3:$B$20,ROW()-1),INDEX(Lists!$C$3:$C$146,ROW()-1),INDEX(Lists!$D$3:$D$67,ROW()-1),INDEX(Lists!$E$3:$E$5,ROW()-1),INDEX(Lists!$F$3:$F$12,ROW()-1),INDEX(Lists!$G$3:$G$126,ROW()-1)),"")</f>
        <v/>
      </c>
      <c r="K757">
        <f>IF(J757="","",SUMPRODUCT(($A$2:$A$636=1)*($G$2:$G$636=J757)))</f>
        <v/>
      </c>
      <c r="L757">
        <f>IF(J757="","",SUMPRODUCT(($A$2:$A$636=1)*($G$2:$G$636=J757)*(ISNUMBER($B$2:$B$636))*($B$2:$B$636&lt;0.5)))</f>
        <v/>
      </c>
      <c r="M757">
        <f>IFERROR(L757/K757,"")</f>
        <v/>
      </c>
      <c r="N757">
        <f>IF(K757="","",M757+K757/100000+ROW()/100000000)</f>
        <v/>
      </c>
    </row>
    <row r="758">
      <c r="J758">
        <f>IFERROR(CHOOSE(MATCH(Dashboard!$B$11,{"Department","Team","Unit","Legal entity","Location","Lead"},0),INDEX(Lists!$B$3:$B$20,ROW()-1),INDEX(Lists!$C$3:$C$146,ROW()-1),INDEX(Lists!$D$3:$D$67,ROW()-1),INDEX(Lists!$E$3:$E$5,ROW()-1),INDEX(Lists!$F$3:$F$12,ROW()-1),INDEX(Lists!$G$3:$G$126,ROW()-1)),"")</f>
        <v/>
      </c>
      <c r="K758">
        <f>IF(J758="","",SUMPRODUCT(($A$2:$A$636=1)*($G$2:$G$636=J758)))</f>
        <v/>
      </c>
      <c r="L758">
        <f>IF(J758="","",SUMPRODUCT(($A$2:$A$636=1)*($G$2:$G$636=J758)*(ISNUMBER($B$2:$B$636))*($B$2:$B$636&lt;0.5)))</f>
        <v/>
      </c>
      <c r="M758">
        <f>IFERROR(L758/K758,"")</f>
        <v/>
      </c>
      <c r="N758">
        <f>IF(K758="","",M758+K758/100000+ROW()/100000000)</f>
        <v/>
      </c>
    </row>
    <row r="759">
      <c r="J759">
        <f>IFERROR(CHOOSE(MATCH(Dashboard!$B$11,{"Department","Team","Unit","Legal entity","Location","Lead"},0),INDEX(Lists!$B$3:$B$20,ROW()-1),INDEX(Lists!$C$3:$C$146,ROW()-1),INDEX(Lists!$D$3:$D$67,ROW()-1),INDEX(Lists!$E$3:$E$5,ROW()-1),INDEX(Lists!$F$3:$F$12,ROW()-1),INDEX(Lists!$G$3:$G$126,ROW()-1)),"")</f>
        <v/>
      </c>
      <c r="K759">
        <f>IF(J759="","",SUMPRODUCT(($A$2:$A$636=1)*($G$2:$G$636=J759)))</f>
        <v/>
      </c>
      <c r="L759">
        <f>IF(J759="","",SUMPRODUCT(($A$2:$A$636=1)*($G$2:$G$636=J759)*(ISNUMBER($B$2:$B$636))*($B$2:$B$636&lt;0.5)))</f>
        <v/>
      </c>
      <c r="M759">
        <f>IFERROR(L759/K759,"")</f>
        <v/>
      </c>
      <c r="N759">
        <f>IF(K759="","",M759+K759/100000+ROW()/100000000)</f>
        <v/>
      </c>
    </row>
    <row r="760">
      <c r="J760">
        <f>IFERROR(CHOOSE(MATCH(Dashboard!$B$11,{"Department","Team","Unit","Legal entity","Location","Lead"},0),INDEX(Lists!$B$3:$B$20,ROW()-1),INDEX(Lists!$C$3:$C$146,ROW()-1),INDEX(Lists!$D$3:$D$67,ROW()-1),INDEX(Lists!$E$3:$E$5,ROW()-1),INDEX(Lists!$F$3:$F$12,ROW()-1),INDEX(Lists!$G$3:$G$126,ROW()-1)),"")</f>
        <v/>
      </c>
      <c r="K760">
        <f>IF(J760="","",SUMPRODUCT(($A$2:$A$636=1)*($G$2:$G$636=J760)))</f>
        <v/>
      </c>
      <c r="L760">
        <f>IF(J760="","",SUMPRODUCT(($A$2:$A$636=1)*($G$2:$G$636=J760)*(ISNUMBER($B$2:$B$636))*($B$2:$B$636&lt;0.5)))</f>
        <v/>
      </c>
      <c r="M760">
        <f>IFERROR(L760/K760,"")</f>
        <v/>
      </c>
      <c r="N760">
        <f>IF(K760="","",M760+K760/100000+ROW()/100000000)</f>
        <v/>
      </c>
    </row>
    <row r="761">
      <c r="J761">
        <f>IFERROR(CHOOSE(MATCH(Dashboard!$B$11,{"Department","Team","Unit","Legal entity","Location","Lead"},0),INDEX(Lists!$B$3:$B$20,ROW()-1),INDEX(Lists!$C$3:$C$146,ROW()-1),INDEX(Lists!$D$3:$D$67,ROW()-1),INDEX(Lists!$E$3:$E$5,ROW()-1),INDEX(Lists!$F$3:$F$12,ROW()-1),INDEX(Lists!$G$3:$G$126,ROW()-1)),"")</f>
        <v/>
      </c>
      <c r="K761">
        <f>IF(J761="","",SUMPRODUCT(($A$2:$A$636=1)*($G$2:$G$636=J761)))</f>
        <v/>
      </c>
      <c r="L761">
        <f>IF(J761="","",SUMPRODUCT(($A$2:$A$636=1)*($G$2:$G$636=J761)*(ISNUMBER($B$2:$B$636))*($B$2:$B$636&lt;0.5)))</f>
        <v/>
      </c>
      <c r="M761">
        <f>IFERROR(L761/K761,"")</f>
        <v/>
      </c>
      <c r="N761">
        <f>IF(K761="","",M761+K761/100000+ROW()/100000000)</f>
        <v/>
      </c>
    </row>
    <row r="762">
      <c r="J762">
        <f>IFERROR(CHOOSE(MATCH(Dashboard!$B$11,{"Department","Team","Unit","Legal entity","Location","Lead"},0),INDEX(Lists!$B$3:$B$20,ROW()-1),INDEX(Lists!$C$3:$C$146,ROW()-1),INDEX(Lists!$D$3:$D$67,ROW()-1),INDEX(Lists!$E$3:$E$5,ROW()-1),INDEX(Lists!$F$3:$F$12,ROW()-1),INDEX(Lists!$G$3:$G$126,ROW()-1)),"")</f>
        <v/>
      </c>
      <c r="K762">
        <f>IF(J762="","",SUMPRODUCT(($A$2:$A$636=1)*($G$2:$G$636=J762)))</f>
        <v/>
      </c>
      <c r="L762">
        <f>IF(J762="","",SUMPRODUCT(($A$2:$A$636=1)*($G$2:$G$636=J762)*(ISNUMBER($B$2:$B$636))*($B$2:$B$636&lt;0.5)))</f>
        <v/>
      </c>
      <c r="M762">
        <f>IFERROR(L762/K762,"")</f>
        <v/>
      </c>
      <c r="N762">
        <f>IF(K762="","",M762+K762/100000+ROW()/100000000)</f>
        <v/>
      </c>
    </row>
    <row r="763">
      <c r="J763">
        <f>IFERROR(CHOOSE(MATCH(Dashboard!$B$11,{"Department","Team","Unit","Legal entity","Location","Lead"},0),INDEX(Lists!$B$3:$B$20,ROW()-1),INDEX(Lists!$C$3:$C$146,ROW()-1),INDEX(Lists!$D$3:$D$67,ROW()-1),INDEX(Lists!$E$3:$E$5,ROW()-1),INDEX(Lists!$F$3:$F$12,ROW()-1),INDEX(Lists!$G$3:$G$126,ROW()-1)),"")</f>
        <v/>
      </c>
      <c r="K763">
        <f>IF(J763="","",SUMPRODUCT(($A$2:$A$636=1)*($G$2:$G$636=J763)))</f>
        <v/>
      </c>
      <c r="L763">
        <f>IF(J763="","",SUMPRODUCT(($A$2:$A$636=1)*($G$2:$G$636=J763)*(ISNUMBER($B$2:$B$636))*($B$2:$B$636&lt;0.5)))</f>
        <v/>
      </c>
      <c r="M763">
        <f>IFERROR(L763/K763,"")</f>
        <v/>
      </c>
      <c r="N763">
        <f>IF(K763="","",M763+K763/100000+ROW()/100000000)</f>
        <v/>
      </c>
    </row>
    <row r="764">
      <c r="J764">
        <f>IFERROR(CHOOSE(MATCH(Dashboard!$B$11,{"Department","Team","Unit","Legal entity","Location","Lead"},0),INDEX(Lists!$B$3:$B$20,ROW()-1),INDEX(Lists!$C$3:$C$146,ROW()-1),INDEX(Lists!$D$3:$D$67,ROW()-1),INDEX(Lists!$E$3:$E$5,ROW()-1),INDEX(Lists!$F$3:$F$12,ROW()-1),INDEX(Lists!$G$3:$G$126,ROW()-1)),"")</f>
        <v/>
      </c>
      <c r="K764">
        <f>IF(J764="","",SUMPRODUCT(($A$2:$A$636=1)*($G$2:$G$636=J764)))</f>
        <v/>
      </c>
      <c r="L764">
        <f>IF(J764="","",SUMPRODUCT(($A$2:$A$636=1)*($G$2:$G$636=J764)*(ISNUMBER($B$2:$B$636))*($B$2:$B$636&lt;0.5)))</f>
        <v/>
      </c>
      <c r="M764">
        <f>IFERROR(L764/K764,"")</f>
        <v/>
      </c>
      <c r="N764">
        <f>IF(K764="","",M764+K764/100000+ROW()/100000000)</f>
        <v/>
      </c>
    </row>
    <row r="765">
      <c r="J765">
        <f>IFERROR(CHOOSE(MATCH(Dashboard!$B$11,{"Department","Team","Unit","Legal entity","Location","Lead"},0),INDEX(Lists!$B$3:$B$20,ROW()-1),INDEX(Lists!$C$3:$C$146,ROW()-1),INDEX(Lists!$D$3:$D$67,ROW()-1),INDEX(Lists!$E$3:$E$5,ROW()-1),INDEX(Lists!$F$3:$F$12,ROW()-1),INDEX(Lists!$G$3:$G$126,ROW()-1)),"")</f>
        <v/>
      </c>
      <c r="K765">
        <f>IF(J765="","",SUMPRODUCT(($A$2:$A$636=1)*($G$2:$G$636=J765)))</f>
        <v/>
      </c>
      <c r="L765">
        <f>IF(J765="","",SUMPRODUCT(($A$2:$A$636=1)*($G$2:$G$636=J765)*(ISNUMBER($B$2:$B$636))*($B$2:$B$636&lt;0.5)))</f>
        <v/>
      </c>
      <c r="M765">
        <f>IFERROR(L765/K765,"")</f>
        <v/>
      </c>
      <c r="N765">
        <f>IF(K765="","",M765+K765/100000+ROW()/100000000)</f>
        <v/>
      </c>
    </row>
    <row r="766">
      <c r="J766">
        <f>IFERROR(CHOOSE(MATCH(Dashboard!$B$11,{"Department","Team","Unit","Legal entity","Location","Lead"},0),INDEX(Lists!$B$3:$B$20,ROW()-1),INDEX(Lists!$C$3:$C$146,ROW()-1),INDEX(Lists!$D$3:$D$67,ROW()-1),INDEX(Lists!$E$3:$E$5,ROW()-1),INDEX(Lists!$F$3:$F$12,ROW()-1),INDEX(Lists!$G$3:$G$126,ROW()-1)),"")</f>
        <v/>
      </c>
      <c r="K766">
        <f>IF(J766="","",SUMPRODUCT(($A$2:$A$636=1)*($G$2:$G$636=J766)))</f>
        <v/>
      </c>
      <c r="L766">
        <f>IF(J766="","",SUMPRODUCT(($A$2:$A$636=1)*($G$2:$G$636=J766)*(ISNUMBER($B$2:$B$636))*($B$2:$B$636&lt;0.5)))</f>
        <v/>
      </c>
      <c r="M766">
        <f>IFERROR(L766/K766,"")</f>
        <v/>
      </c>
      <c r="N766">
        <f>IF(K766="","",M766+K766/100000+ROW()/100000000)</f>
        <v/>
      </c>
    </row>
    <row r="767">
      <c r="J767">
        <f>IFERROR(CHOOSE(MATCH(Dashboard!$B$11,{"Department","Team","Unit","Legal entity","Location","Lead"},0),INDEX(Lists!$B$3:$B$20,ROW()-1),INDEX(Lists!$C$3:$C$146,ROW()-1),INDEX(Lists!$D$3:$D$67,ROW()-1),INDEX(Lists!$E$3:$E$5,ROW()-1),INDEX(Lists!$F$3:$F$12,ROW()-1),INDEX(Lists!$G$3:$G$126,ROW()-1)),"")</f>
        <v/>
      </c>
      <c r="K767">
        <f>IF(J767="","",SUMPRODUCT(($A$2:$A$636=1)*($G$2:$G$636=J767)))</f>
        <v/>
      </c>
      <c r="L767">
        <f>IF(J767="","",SUMPRODUCT(($A$2:$A$636=1)*($G$2:$G$636=J767)*(ISNUMBER($B$2:$B$636))*($B$2:$B$636&lt;0.5)))</f>
        <v/>
      </c>
      <c r="M767">
        <f>IFERROR(L767/K767,"")</f>
        <v/>
      </c>
      <c r="N767">
        <f>IF(K767="","",M767+K767/100000+ROW()/100000000)</f>
        <v/>
      </c>
    </row>
    <row r="768">
      <c r="J768">
        <f>IFERROR(CHOOSE(MATCH(Dashboard!$B$11,{"Department","Team","Unit","Legal entity","Location","Lead"},0),INDEX(Lists!$B$3:$B$20,ROW()-1),INDEX(Lists!$C$3:$C$146,ROW()-1),INDEX(Lists!$D$3:$D$67,ROW()-1),INDEX(Lists!$E$3:$E$5,ROW()-1),INDEX(Lists!$F$3:$F$12,ROW()-1),INDEX(Lists!$G$3:$G$126,ROW()-1)),"")</f>
        <v/>
      </c>
      <c r="K768">
        <f>IF(J768="","",SUMPRODUCT(($A$2:$A$636=1)*($G$2:$G$636=J768)))</f>
        <v/>
      </c>
      <c r="L768">
        <f>IF(J768="","",SUMPRODUCT(($A$2:$A$636=1)*($G$2:$G$636=J768)*(ISNUMBER($B$2:$B$636))*($B$2:$B$636&lt;0.5)))</f>
        <v/>
      </c>
      <c r="M768">
        <f>IFERROR(L768/K768,"")</f>
        <v/>
      </c>
      <c r="N768">
        <f>IF(K768="","",M768+K768/100000+ROW()/100000000)</f>
        <v/>
      </c>
    </row>
    <row r="769">
      <c r="J769">
        <f>IFERROR(CHOOSE(MATCH(Dashboard!$B$11,{"Department","Team","Unit","Legal entity","Location","Lead"},0),INDEX(Lists!$B$3:$B$20,ROW()-1),INDEX(Lists!$C$3:$C$146,ROW()-1),INDEX(Lists!$D$3:$D$67,ROW()-1),INDEX(Lists!$E$3:$E$5,ROW()-1),INDEX(Lists!$F$3:$F$12,ROW()-1),INDEX(Lists!$G$3:$G$126,ROW()-1)),"")</f>
        <v/>
      </c>
      <c r="K769">
        <f>IF(J769="","",SUMPRODUCT(($A$2:$A$636=1)*($G$2:$G$636=J769)))</f>
        <v/>
      </c>
      <c r="L769">
        <f>IF(J769="","",SUMPRODUCT(($A$2:$A$636=1)*($G$2:$G$636=J769)*(ISNUMBER($B$2:$B$636))*($B$2:$B$636&lt;0.5)))</f>
        <v/>
      </c>
      <c r="M769">
        <f>IFERROR(L769/K769,"")</f>
        <v/>
      </c>
      <c r="N769">
        <f>IF(K769="","",M769+K769/100000+ROW()/100000000)</f>
        <v/>
      </c>
    </row>
    <row r="770">
      <c r="J770">
        <f>IFERROR(CHOOSE(MATCH(Dashboard!$B$11,{"Department","Team","Unit","Legal entity","Location","Lead"},0),INDEX(Lists!$B$3:$B$20,ROW()-1),INDEX(Lists!$C$3:$C$146,ROW()-1),INDEX(Lists!$D$3:$D$67,ROW()-1),INDEX(Lists!$E$3:$E$5,ROW()-1),INDEX(Lists!$F$3:$F$12,ROW()-1),INDEX(Lists!$G$3:$G$126,ROW()-1)),"")</f>
        <v/>
      </c>
      <c r="K770">
        <f>IF(J770="","",SUMPRODUCT(($A$2:$A$636=1)*($G$2:$G$636=J770)))</f>
        <v/>
      </c>
      <c r="L770">
        <f>IF(J770="","",SUMPRODUCT(($A$2:$A$636=1)*($G$2:$G$636=J770)*(ISNUMBER($B$2:$B$636))*($B$2:$B$636&lt;0.5)))</f>
        <v/>
      </c>
      <c r="M770">
        <f>IFERROR(L770/K770,"")</f>
        <v/>
      </c>
      <c r="N770">
        <f>IF(K770="","",M770+K770/100000+ROW()/100000000)</f>
        <v/>
      </c>
    </row>
    <row r="771">
      <c r="J771">
        <f>IFERROR(CHOOSE(MATCH(Dashboard!$B$11,{"Department","Team","Unit","Legal entity","Location","Lead"},0),INDEX(Lists!$B$3:$B$20,ROW()-1),INDEX(Lists!$C$3:$C$146,ROW()-1),INDEX(Lists!$D$3:$D$67,ROW()-1),INDEX(Lists!$E$3:$E$5,ROW()-1),INDEX(Lists!$F$3:$F$12,ROW()-1),INDEX(Lists!$G$3:$G$126,ROW()-1)),"")</f>
        <v/>
      </c>
      <c r="K771">
        <f>IF(J771="","",SUMPRODUCT(($A$2:$A$636=1)*($G$2:$G$636=J771)))</f>
        <v/>
      </c>
      <c r="L771">
        <f>IF(J771="","",SUMPRODUCT(($A$2:$A$636=1)*($G$2:$G$636=J771)*(ISNUMBER($B$2:$B$636))*($B$2:$B$636&lt;0.5)))</f>
        <v/>
      </c>
      <c r="M771">
        <f>IFERROR(L771/K771,"")</f>
        <v/>
      </c>
      <c r="N771">
        <f>IF(K771="","",M771+K771/100000+ROW()/100000000)</f>
        <v/>
      </c>
    </row>
    <row r="772">
      <c r="J772">
        <f>IFERROR(CHOOSE(MATCH(Dashboard!$B$11,{"Department","Team","Unit","Legal entity","Location","Lead"},0),INDEX(Lists!$B$3:$B$20,ROW()-1),INDEX(Lists!$C$3:$C$146,ROW()-1),INDEX(Lists!$D$3:$D$67,ROW()-1),INDEX(Lists!$E$3:$E$5,ROW()-1),INDEX(Lists!$F$3:$F$12,ROW()-1),INDEX(Lists!$G$3:$G$126,ROW()-1)),"")</f>
        <v/>
      </c>
      <c r="K772">
        <f>IF(J772="","",SUMPRODUCT(($A$2:$A$636=1)*($G$2:$G$636=J772)))</f>
        <v/>
      </c>
      <c r="L772">
        <f>IF(J772="","",SUMPRODUCT(($A$2:$A$636=1)*($G$2:$G$636=J772)*(ISNUMBER($B$2:$B$636))*($B$2:$B$636&lt;0.5)))</f>
        <v/>
      </c>
      <c r="M772">
        <f>IFERROR(L772/K772,"")</f>
        <v/>
      </c>
      <c r="N772">
        <f>IF(K772="","",M772+K772/100000+ROW()/100000000)</f>
        <v/>
      </c>
    </row>
    <row r="773">
      <c r="J773">
        <f>IFERROR(CHOOSE(MATCH(Dashboard!$B$11,{"Department","Team","Unit","Legal entity","Location","Lead"},0),INDEX(Lists!$B$3:$B$20,ROW()-1),INDEX(Lists!$C$3:$C$146,ROW()-1),INDEX(Lists!$D$3:$D$67,ROW()-1),INDEX(Lists!$E$3:$E$5,ROW()-1),INDEX(Lists!$F$3:$F$12,ROW()-1),INDEX(Lists!$G$3:$G$126,ROW()-1)),"")</f>
        <v/>
      </c>
      <c r="K773">
        <f>IF(J773="","",SUMPRODUCT(($A$2:$A$636=1)*($G$2:$G$636=J773)))</f>
        <v/>
      </c>
      <c r="L773">
        <f>IF(J773="","",SUMPRODUCT(($A$2:$A$636=1)*($G$2:$G$636=J773)*(ISNUMBER($B$2:$B$636))*($B$2:$B$636&lt;0.5)))</f>
        <v/>
      </c>
      <c r="M773">
        <f>IFERROR(L773/K773,"")</f>
        <v/>
      </c>
      <c r="N773">
        <f>IF(K773="","",M773+K773/100000+ROW()/100000000)</f>
        <v/>
      </c>
    </row>
    <row r="774">
      <c r="J774">
        <f>IFERROR(CHOOSE(MATCH(Dashboard!$B$11,{"Department","Team","Unit","Legal entity","Location","Lead"},0),INDEX(Lists!$B$3:$B$20,ROW()-1),INDEX(Lists!$C$3:$C$146,ROW()-1),INDEX(Lists!$D$3:$D$67,ROW()-1),INDEX(Lists!$E$3:$E$5,ROW()-1),INDEX(Lists!$F$3:$F$12,ROW()-1),INDEX(Lists!$G$3:$G$126,ROW()-1)),"")</f>
        <v/>
      </c>
      <c r="K774">
        <f>IF(J774="","",SUMPRODUCT(($A$2:$A$636=1)*($G$2:$G$636=J774)))</f>
        <v/>
      </c>
      <c r="L774">
        <f>IF(J774="","",SUMPRODUCT(($A$2:$A$636=1)*($G$2:$G$636=J774)*(ISNUMBER($B$2:$B$636))*($B$2:$B$636&lt;0.5)))</f>
        <v/>
      </c>
      <c r="M774">
        <f>IFERROR(L774/K774,"")</f>
        <v/>
      </c>
      <c r="N774">
        <f>IF(K774="","",M774+K774/100000+ROW()/100000000)</f>
        <v/>
      </c>
    </row>
    <row r="775">
      <c r="J775">
        <f>IFERROR(CHOOSE(MATCH(Dashboard!$B$11,{"Department","Team","Unit","Legal entity","Location","Lead"},0),INDEX(Lists!$B$3:$B$20,ROW()-1),INDEX(Lists!$C$3:$C$146,ROW()-1),INDEX(Lists!$D$3:$D$67,ROW()-1),INDEX(Lists!$E$3:$E$5,ROW()-1),INDEX(Lists!$F$3:$F$12,ROW()-1),INDEX(Lists!$G$3:$G$126,ROW()-1)),"")</f>
        <v/>
      </c>
      <c r="K775">
        <f>IF(J775="","",SUMPRODUCT(($A$2:$A$636=1)*($G$2:$G$636=J775)))</f>
        <v/>
      </c>
      <c r="L775">
        <f>IF(J775="","",SUMPRODUCT(($A$2:$A$636=1)*($G$2:$G$636=J775)*(ISNUMBER($B$2:$B$636))*($B$2:$B$636&lt;0.5)))</f>
        <v/>
      </c>
      <c r="M775">
        <f>IFERROR(L775/K775,"")</f>
        <v/>
      </c>
      <c r="N775">
        <f>IF(K775="","",M775+K775/100000+ROW()/100000000)</f>
        <v/>
      </c>
    </row>
    <row r="776">
      <c r="J776">
        <f>IFERROR(CHOOSE(MATCH(Dashboard!$B$11,{"Department","Team","Unit","Legal entity","Location","Lead"},0),INDEX(Lists!$B$3:$B$20,ROW()-1),INDEX(Lists!$C$3:$C$146,ROW()-1),INDEX(Lists!$D$3:$D$67,ROW()-1),INDEX(Lists!$E$3:$E$5,ROW()-1),INDEX(Lists!$F$3:$F$12,ROW()-1),INDEX(Lists!$G$3:$G$126,ROW()-1)),"")</f>
        <v/>
      </c>
      <c r="K776">
        <f>IF(J776="","",SUMPRODUCT(($A$2:$A$636=1)*($G$2:$G$636=J776)))</f>
        <v/>
      </c>
      <c r="L776">
        <f>IF(J776="","",SUMPRODUCT(($A$2:$A$636=1)*($G$2:$G$636=J776)*(ISNUMBER($B$2:$B$636))*($B$2:$B$636&lt;0.5)))</f>
        <v/>
      </c>
      <c r="M776">
        <f>IFERROR(L776/K776,"")</f>
        <v/>
      </c>
      <c r="N776">
        <f>IF(K776="","",M776+K776/100000+ROW()/100000000)</f>
        <v/>
      </c>
    </row>
    <row r="777">
      <c r="J777">
        <f>IFERROR(CHOOSE(MATCH(Dashboard!$B$11,{"Department","Team","Unit","Legal entity","Location","Lead"},0),INDEX(Lists!$B$3:$B$20,ROW()-1),INDEX(Lists!$C$3:$C$146,ROW()-1),INDEX(Lists!$D$3:$D$67,ROW()-1),INDEX(Lists!$E$3:$E$5,ROW()-1),INDEX(Lists!$F$3:$F$12,ROW()-1),INDEX(Lists!$G$3:$G$126,ROW()-1)),"")</f>
        <v/>
      </c>
      <c r="K777">
        <f>IF(J777="","",SUMPRODUCT(($A$2:$A$636=1)*($G$2:$G$636=J777)))</f>
        <v/>
      </c>
      <c r="L777">
        <f>IF(J777="","",SUMPRODUCT(($A$2:$A$636=1)*($G$2:$G$636=J777)*(ISNUMBER($B$2:$B$636))*($B$2:$B$636&lt;0.5)))</f>
        <v/>
      </c>
      <c r="M777">
        <f>IFERROR(L777/K777,"")</f>
        <v/>
      </c>
      <c r="N777">
        <f>IF(K777="","",M777+K777/100000+ROW()/100000000)</f>
        <v/>
      </c>
    </row>
    <row r="778">
      <c r="J778">
        <f>IFERROR(CHOOSE(MATCH(Dashboard!$B$11,{"Department","Team","Unit","Legal entity","Location","Lead"},0),INDEX(Lists!$B$3:$B$20,ROW()-1),INDEX(Lists!$C$3:$C$146,ROW()-1),INDEX(Lists!$D$3:$D$67,ROW()-1),INDEX(Lists!$E$3:$E$5,ROW()-1),INDEX(Lists!$F$3:$F$12,ROW()-1),INDEX(Lists!$G$3:$G$126,ROW()-1)),"")</f>
        <v/>
      </c>
      <c r="K778">
        <f>IF(J778="","",SUMPRODUCT(($A$2:$A$636=1)*($G$2:$G$636=J778)))</f>
        <v/>
      </c>
      <c r="L778">
        <f>IF(J778="","",SUMPRODUCT(($A$2:$A$636=1)*($G$2:$G$636=J778)*(ISNUMBER($B$2:$B$636))*($B$2:$B$636&lt;0.5)))</f>
        <v/>
      </c>
      <c r="M778">
        <f>IFERROR(L778/K778,"")</f>
        <v/>
      </c>
      <c r="N778">
        <f>IF(K778="","",M778+K778/100000+ROW()/100000000)</f>
        <v/>
      </c>
    </row>
    <row r="779">
      <c r="J779">
        <f>IFERROR(CHOOSE(MATCH(Dashboard!$B$11,{"Department","Team","Unit","Legal entity","Location","Lead"},0),INDEX(Lists!$B$3:$B$20,ROW()-1),INDEX(Lists!$C$3:$C$146,ROW()-1),INDEX(Lists!$D$3:$D$67,ROW()-1),INDEX(Lists!$E$3:$E$5,ROW()-1),INDEX(Lists!$F$3:$F$12,ROW()-1),INDEX(Lists!$G$3:$G$126,ROW()-1)),"")</f>
        <v/>
      </c>
      <c r="K779">
        <f>IF(J779="","",SUMPRODUCT(($A$2:$A$636=1)*($G$2:$G$636=J779)))</f>
        <v/>
      </c>
      <c r="L779">
        <f>IF(J779="","",SUMPRODUCT(($A$2:$A$636=1)*($G$2:$G$636=J779)*(ISNUMBER($B$2:$B$636))*($B$2:$B$636&lt;0.5)))</f>
        <v/>
      </c>
      <c r="M779">
        <f>IFERROR(L779/K779,"")</f>
        <v/>
      </c>
      <c r="N779">
        <f>IF(K779="","",M779+K779/100000+ROW()/100000000)</f>
        <v/>
      </c>
    </row>
    <row r="780">
      <c r="J780">
        <f>IFERROR(CHOOSE(MATCH(Dashboard!$B$11,{"Department","Team","Unit","Legal entity","Location","Lead"},0),INDEX(Lists!$B$3:$B$20,ROW()-1),INDEX(Lists!$C$3:$C$146,ROW()-1),INDEX(Lists!$D$3:$D$67,ROW()-1),INDEX(Lists!$E$3:$E$5,ROW()-1),INDEX(Lists!$F$3:$F$12,ROW()-1),INDEX(Lists!$G$3:$G$126,ROW()-1)),"")</f>
        <v/>
      </c>
      <c r="K780">
        <f>IF(J780="","",SUMPRODUCT(($A$2:$A$636=1)*($G$2:$G$636=J780)))</f>
        <v/>
      </c>
      <c r="L780">
        <f>IF(J780="","",SUMPRODUCT(($A$2:$A$636=1)*($G$2:$G$636=J780)*(ISNUMBER($B$2:$B$636))*($B$2:$B$636&lt;0.5)))</f>
        <v/>
      </c>
      <c r="M780">
        <f>IFERROR(L780/K780,"")</f>
        <v/>
      </c>
      <c r="N780">
        <f>IF(K780="","",M780+K780/100000+ROW()/100000000)</f>
        <v/>
      </c>
    </row>
    <row r="781">
      <c r="J781">
        <f>IFERROR(CHOOSE(MATCH(Dashboard!$B$11,{"Department","Team","Unit","Legal entity","Location","Lead"},0),INDEX(Lists!$B$3:$B$20,ROW()-1),INDEX(Lists!$C$3:$C$146,ROW()-1),INDEX(Lists!$D$3:$D$67,ROW()-1),INDEX(Lists!$E$3:$E$5,ROW()-1),INDEX(Lists!$F$3:$F$12,ROW()-1),INDEX(Lists!$G$3:$G$126,ROW()-1)),"")</f>
        <v/>
      </c>
      <c r="K781">
        <f>IF(J781="","",SUMPRODUCT(($A$2:$A$636=1)*($G$2:$G$636=J781)))</f>
        <v/>
      </c>
      <c r="L781">
        <f>IF(J781="","",SUMPRODUCT(($A$2:$A$636=1)*($G$2:$G$636=J781)*(ISNUMBER($B$2:$B$636))*($B$2:$B$636&lt;0.5)))</f>
        <v/>
      </c>
      <c r="M781">
        <f>IFERROR(L781/K781,"")</f>
        <v/>
      </c>
      <c r="N781">
        <f>IF(K781="","",M781+K781/100000+ROW()/100000000)</f>
        <v/>
      </c>
    </row>
    <row r="782">
      <c r="J782">
        <f>IFERROR(CHOOSE(MATCH(Dashboard!$B$11,{"Department","Team","Unit","Legal entity","Location","Lead"},0),INDEX(Lists!$B$3:$B$20,ROW()-1),INDEX(Lists!$C$3:$C$146,ROW()-1),INDEX(Lists!$D$3:$D$67,ROW()-1),INDEX(Lists!$E$3:$E$5,ROW()-1),INDEX(Lists!$F$3:$F$12,ROW()-1),INDEX(Lists!$G$3:$G$126,ROW()-1)),"")</f>
        <v/>
      </c>
      <c r="K782">
        <f>IF(J782="","",SUMPRODUCT(($A$2:$A$636=1)*($G$2:$G$636=J782)))</f>
        <v/>
      </c>
      <c r="L782">
        <f>IF(J782="","",SUMPRODUCT(($A$2:$A$636=1)*($G$2:$G$636=J782)*(ISNUMBER($B$2:$B$636))*($B$2:$B$636&lt;0.5)))</f>
        <v/>
      </c>
      <c r="M782">
        <f>IFERROR(L782/K782,"")</f>
        <v/>
      </c>
      <c r="N782">
        <f>IF(K782="","",M782+K782/100000+ROW()/100000000)</f>
        <v/>
      </c>
    </row>
    <row r="783">
      <c r="J783">
        <f>IFERROR(CHOOSE(MATCH(Dashboard!$B$11,{"Department","Team","Unit","Legal entity","Location","Lead"},0),INDEX(Lists!$B$3:$B$20,ROW()-1),INDEX(Lists!$C$3:$C$146,ROW()-1),INDEX(Lists!$D$3:$D$67,ROW()-1),INDEX(Lists!$E$3:$E$5,ROW()-1),INDEX(Lists!$F$3:$F$12,ROW()-1),INDEX(Lists!$G$3:$G$126,ROW()-1)),"")</f>
        <v/>
      </c>
      <c r="K783">
        <f>IF(J783="","",SUMPRODUCT(($A$2:$A$636=1)*($G$2:$G$636=J783)))</f>
        <v/>
      </c>
      <c r="L783">
        <f>IF(J783="","",SUMPRODUCT(($A$2:$A$636=1)*($G$2:$G$636=J783)*(ISNUMBER($B$2:$B$636))*($B$2:$B$636&lt;0.5)))</f>
        <v/>
      </c>
      <c r="M783">
        <f>IFERROR(L783/K783,"")</f>
        <v/>
      </c>
      <c r="N783">
        <f>IF(K783="","",M783+K783/100000+ROW()/100000000)</f>
        <v/>
      </c>
    </row>
    <row r="784">
      <c r="J784">
        <f>IFERROR(CHOOSE(MATCH(Dashboard!$B$11,{"Department","Team","Unit","Legal entity","Location","Lead"},0),INDEX(Lists!$B$3:$B$20,ROW()-1),INDEX(Lists!$C$3:$C$146,ROW()-1),INDEX(Lists!$D$3:$D$67,ROW()-1),INDEX(Lists!$E$3:$E$5,ROW()-1),INDEX(Lists!$F$3:$F$12,ROW()-1),INDEX(Lists!$G$3:$G$126,ROW()-1)),"")</f>
        <v/>
      </c>
      <c r="K784">
        <f>IF(J784="","",SUMPRODUCT(($A$2:$A$636=1)*($G$2:$G$636=J784)))</f>
        <v/>
      </c>
      <c r="L784">
        <f>IF(J784="","",SUMPRODUCT(($A$2:$A$636=1)*($G$2:$G$636=J784)*(ISNUMBER($B$2:$B$636))*($B$2:$B$636&lt;0.5)))</f>
        <v/>
      </c>
      <c r="M784">
        <f>IFERROR(L784/K784,"")</f>
        <v/>
      </c>
      <c r="N784">
        <f>IF(K784="","",M784+K784/100000+ROW()/100000000)</f>
        <v/>
      </c>
    </row>
    <row r="785">
      <c r="J785">
        <f>IFERROR(CHOOSE(MATCH(Dashboard!$B$11,{"Department","Team","Unit","Legal entity","Location","Lead"},0),INDEX(Lists!$B$3:$B$20,ROW()-1),INDEX(Lists!$C$3:$C$146,ROW()-1),INDEX(Lists!$D$3:$D$67,ROW()-1),INDEX(Lists!$E$3:$E$5,ROW()-1),INDEX(Lists!$F$3:$F$12,ROW()-1),INDEX(Lists!$G$3:$G$126,ROW()-1)),"")</f>
        <v/>
      </c>
      <c r="K785">
        <f>IF(J785="","",SUMPRODUCT(($A$2:$A$636=1)*($G$2:$G$636=J785)))</f>
        <v/>
      </c>
      <c r="L785">
        <f>IF(J785="","",SUMPRODUCT(($A$2:$A$636=1)*($G$2:$G$636=J785)*(ISNUMBER($B$2:$B$636))*($B$2:$B$636&lt;0.5)))</f>
        <v/>
      </c>
      <c r="M785">
        <f>IFERROR(L785/K785,"")</f>
        <v/>
      </c>
      <c r="N785">
        <f>IF(K785="","",M785+K785/100000+ROW()/100000000)</f>
        <v/>
      </c>
    </row>
    <row r="786">
      <c r="J786">
        <f>IFERROR(CHOOSE(MATCH(Dashboard!$B$11,{"Department","Team","Unit","Legal entity","Location","Lead"},0),INDEX(Lists!$B$3:$B$20,ROW()-1),INDEX(Lists!$C$3:$C$146,ROW()-1),INDEX(Lists!$D$3:$D$67,ROW()-1),INDEX(Lists!$E$3:$E$5,ROW()-1),INDEX(Lists!$F$3:$F$12,ROW()-1),INDEX(Lists!$G$3:$G$126,ROW()-1)),"")</f>
        <v/>
      </c>
      <c r="K786">
        <f>IF(J786="","",SUMPRODUCT(($A$2:$A$636=1)*($G$2:$G$636=J786)))</f>
        <v/>
      </c>
      <c r="L786">
        <f>IF(J786="","",SUMPRODUCT(($A$2:$A$636=1)*($G$2:$G$636=J786)*(ISNUMBER($B$2:$B$636))*($B$2:$B$636&lt;0.5)))</f>
        <v/>
      </c>
      <c r="M786">
        <f>IFERROR(L786/K786,"")</f>
        <v/>
      </c>
      <c r="N786">
        <f>IF(K786="","",M786+K786/100000+ROW()/100000000)</f>
        <v/>
      </c>
    </row>
    <row r="787">
      <c r="J787">
        <f>IFERROR(CHOOSE(MATCH(Dashboard!$B$11,{"Department","Team","Unit","Legal entity","Location","Lead"},0),INDEX(Lists!$B$3:$B$20,ROW()-1),INDEX(Lists!$C$3:$C$146,ROW()-1),INDEX(Lists!$D$3:$D$67,ROW()-1),INDEX(Lists!$E$3:$E$5,ROW()-1),INDEX(Lists!$F$3:$F$12,ROW()-1),INDEX(Lists!$G$3:$G$126,ROW()-1)),"")</f>
        <v/>
      </c>
      <c r="K787">
        <f>IF(J787="","",SUMPRODUCT(($A$2:$A$636=1)*($G$2:$G$636=J787)))</f>
        <v/>
      </c>
      <c r="L787">
        <f>IF(J787="","",SUMPRODUCT(($A$2:$A$636=1)*($G$2:$G$636=J787)*(ISNUMBER($B$2:$B$636))*($B$2:$B$636&lt;0.5)))</f>
        <v/>
      </c>
      <c r="M787">
        <f>IFERROR(L787/K787,"")</f>
        <v/>
      </c>
      <c r="N787">
        <f>IF(K787="","",M787+K787/100000+ROW()/100000000)</f>
        <v/>
      </c>
    </row>
    <row r="788">
      <c r="J788">
        <f>IFERROR(CHOOSE(MATCH(Dashboard!$B$11,{"Department","Team","Unit","Legal entity","Location","Lead"},0),INDEX(Lists!$B$3:$B$20,ROW()-1),INDEX(Lists!$C$3:$C$146,ROW()-1),INDEX(Lists!$D$3:$D$67,ROW()-1),INDEX(Lists!$E$3:$E$5,ROW()-1),INDEX(Lists!$F$3:$F$12,ROW()-1),INDEX(Lists!$G$3:$G$126,ROW()-1)),"")</f>
        <v/>
      </c>
      <c r="K788">
        <f>IF(J788="","",SUMPRODUCT(($A$2:$A$636=1)*($G$2:$G$636=J788)))</f>
        <v/>
      </c>
      <c r="L788">
        <f>IF(J788="","",SUMPRODUCT(($A$2:$A$636=1)*($G$2:$G$636=J788)*(ISNUMBER($B$2:$B$636))*($B$2:$B$636&lt;0.5)))</f>
        <v/>
      </c>
      <c r="M788">
        <f>IFERROR(L788/K788,"")</f>
        <v/>
      </c>
      <c r="N788">
        <f>IF(K788="","",M788+K788/100000+ROW()/100000000)</f>
        <v/>
      </c>
    </row>
    <row r="789">
      <c r="J789">
        <f>IFERROR(CHOOSE(MATCH(Dashboard!$B$11,{"Department","Team","Unit","Legal entity","Location","Lead"},0),INDEX(Lists!$B$3:$B$20,ROW()-1),INDEX(Lists!$C$3:$C$146,ROW()-1),INDEX(Lists!$D$3:$D$67,ROW()-1),INDEX(Lists!$E$3:$E$5,ROW()-1),INDEX(Lists!$F$3:$F$12,ROW()-1),INDEX(Lists!$G$3:$G$126,ROW()-1)),"")</f>
        <v/>
      </c>
      <c r="K789">
        <f>IF(J789="","",SUMPRODUCT(($A$2:$A$636=1)*($G$2:$G$636=J789)))</f>
        <v/>
      </c>
      <c r="L789">
        <f>IF(J789="","",SUMPRODUCT(($A$2:$A$636=1)*($G$2:$G$636=J789)*(ISNUMBER($B$2:$B$636))*($B$2:$B$636&lt;0.5)))</f>
        <v/>
      </c>
      <c r="M789">
        <f>IFERROR(L789/K789,"")</f>
        <v/>
      </c>
      <c r="N789">
        <f>IF(K789="","",M789+K789/100000+ROW()/100000000)</f>
        <v/>
      </c>
    </row>
    <row r="790">
      <c r="J790">
        <f>IFERROR(CHOOSE(MATCH(Dashboard!$B$11,{"Department","Team","Unit","Legal entity","Location","Lead"},0),INDEX(Lists!$B$3:$B$20,ROW()-1),INDEX(Lists!$C$3:$C$146,ROW()-1),INDEX(Lists!$D$3:$D$67,ROW()-1),INDEX(Lists!$E$3:$E$5,ROW()-1),INDEX(Lists!$F$3:$F$12,ROW()-1),INDEX(Lists!$G$3:$G$126,ROW()-1)),"")</f>
        <v/>
      </c>
      <c r="K790">
        <f>IF(J790="","",SUMPRODUCT(($A$2:$A$636=1)*($G$2:$G$636=J790)))</f>
        <v/>
      </c>
      <c r="L790">
        <f>IF(J790="","",SUMPRODUCT(($A$2:$A$636=1)*($G$2:$G$636=J790)*(ISNUMBER($B$2:$B$636))*($B$2:$B$636&lt;0.5)))</f>
        <v/>
      </c>
      <c r="M790">
        <f>IFERROR(L790/K790,"")</f>
        <v/>
      </c>
      <c r="N790">
        <f>IF(K790="","",M790+K790/100000+ROW()/100000000)</f>
        <v/>
      </c>
    </row>
    <row r="791">
      <c r="J791">
        <f>IFERROR(CHOOSE(MATCH(Dashboard!$B$11,{"Department","Team","Unit","Legal entity","Location","Lead"},0),INDEX(Lists!$B$3:$B$20,ROW()-1),INDEX(Lists!$C$3:$C$146,ROW()-1),INDEX(Lists!$D$3:$D$67,ROW()-1),INDEX(Lists!$E$3:$E$5,ROW()-1),INDEX(Lists!$F$3:$F$12,ROW()-1),INDEX(Lists!$G$3:$G$126,ROW()-1)),"")</f>
        <v/>
      </c>
      <c r="K791">
        <f>IF(J791="","",SUMPRODUCT(($A$2:$A$636=1)*($G$2:$G$636=J791)))</f>
        <v/>
      </c>
      <c r="L791">
        <f>IF(J791="","",SUMPRODUCT(($A$2:$A$636=1)*($G$2:$G$636=J791)*(ISNUMBER($B$2:$B$636))*($B$2:$B$636&lt;0.5)))</f>
        <v/>
      </c>
      <c r="M791">
        <f>IFERROR(L791/K791,"")</f>
        <v/>
      </c>
      <c r="N791">
        <f>IF(K791="","",M791+K791/100000+ROW()/100000000)</f>
        <v/>
      </c>
    </row>
    <row r="792">
      <c r="J792">
        <f>IFERROR(CHOOSE(MATCH(Dashboard!$B$11,{"Department","Team","Unit","Legal entity","Location","Lead"},0),INDEX(Lists!$B$3:$B$20,ROW()-1),INDEX(Lists!$C$3:$C$146,ROW()-1),INDEX(Lists!$D$3:$D$67,ROW()-1),INDEX(Lists!$E$3:$E$5,ROW()-1),INDEX(Lists!$F$3:$F$12,ROW()-1),INDEX(Lists!$G$3:$G$126,ROW()-1)),"")</f>
        <v/>
      </c>
      <c r="K792">
        <f>IF(J792="","",SUMPRODUCT(($A$2:$A$636=1)*($G$2:$G$636=J792)))</f>
        <v/>
      </c>
      <c r="L792">
        <f>IF(J792="","",SUMPRODUCT(($A$2:$A$636=1)*($G$2:$G$636=J792)*(ISNUMBER($B$2:$B$636))*($B$2:$B$636&lt;0.5)))</f>
        <v/>
      </c>
      <c r="M792">
        <f>IFERROR(L792/K792,"")</f>
        <v/>
      </c>
      <c r="N792">
        <f>IF(K792="","",M792+K792/100000+ROW()/100000000)</f>
        <v/>
      </c>
    </row>
    <row r="793">
      <c r="J793">
        <f>IFERROR(CHOOSE(MATCH(Dashboard!$B$11,{"Department","Team","Unit","Legal entity","Location","Lead"},0),INDEX(Lists!$B$3:$B$20,ROW()-1),INDEX(Lists!$C$3:$C$146,ROW()-1),INDEX(Lists!$D$3:$D$67,ROW()-1),INDEX(Lists!$E$3:$E$5,ROW()-1),INDEX(Lists!$F$3:$F$12,ROW()-1),INDEX(Lists!$G$3:$G$126,ROW()-1)),"")</f>
        <v/>
      </c>
      <c r="K793">
        <f>IF(J793="","",SUMPRODUCT(($A$2:$A$636=1)*($G$2:$G$636=J793)))</f>
        <v/>
      </c>
      <c r="L793">
        <f>IF(J793="","",SUMPRODUCT(($A$2:$A$636=1)*($G$2:$G$636=J793)*(ISNUMBER($B$2:$B$636))*($B$2:$B$636&lt;0.5)))</f>
        <v/>
      </c>
      <c r="M793">
        <f>IFERROR(L793/K793,"")</f>
        <v/>
      </c>
      <c r="N793">
        <f>IF(K793="","",M793+K793/100000+ROW()/100000000)</f>
        <v/>
      </c>
    </row>
    <row r="794">
      <c r="J794">
        <f>IFERROR(CHOOSE(MATCH(Dashboard!$B$11,{"Department","Team","Unit","Legal entity","Location","Lead"},0),INDEX(Lists!$B$3:$B$20,ROW()-1),INDEX(Lists!$C$3:$C$146,ROW()-1),INDEX(Lists!$D$3:$D$67,ROW()-1),INDEX(Lists!$E$3:$E$5,ROW()-1),INDEX(Lists!$F$3:$F$12,ROW()-1),INDEX(Lists!$G$3:$G$126,ROW()-1)),"")</f>
        <v/>
      </c>
      <c r="K794">
        <f>IF(J794="","",SUMPRODUCT(($A$2:$A$636=1)*($G$2:$G$636=J794)))</f>
        <v/>
      </c>
      <c r="L794">
        <f>IF(J794="","",SUMPRODUCT(($A$2:$A$636=1)*($G$2:$G$636=J794)*(ISNUMBER($B$2:$B$636))*($B$2:$B$636&lt;0.5)))</f>
        <v/>
      </c>
      <c r="M794">
        <f>IFERROR(L794/K794,"")</f>
        <v/>
      </c>
      <c r="N794">
        <f>IF(K794="","",M794+K794/100000+ROW()/100000000)</f>
        <v/>
      </c>
    </row>
    <row r="795">
      <c r="J795">
        <f>IFERROR(CHOOSE(MATCH(Dashboard!$B$11,{"Department","Team","Unit","Legal entity","Location","Lead"},0),INDEX(Lists!$B$3:$B$20,ROW()-1),INDEX(Lists!$C$3:$C$146,ROW()-1),INDEX(Lists!$D$3:$D$67,ROW()-1),INDEX(Lists!$E$3:$E$5,ROW()-1),INDEX(Lists!$F$3:$F$12,ROW()-1),INDEX(Lists!$G$3:$G$126,ROW()-1)),"")</f>
        <v/>
      </c>
      <c r="K795">
        <f>IF(J795="","",SUMPRODUCT(($A$2:$A$636=1)*($G$2:$G$636=J795)))</f>
        <v/>
      </c>
      <c r="L795">
        <f>IF(J795="","",SUMPRODUCT(($A$2:$A$636=1)*($G$2:$G$636=J795)*(ISNUMBER($B$2:$B$636))*($B$2:$B$636&lt;0.5)))</f>
        <v/>
      </c>
      <c r="M795">
        <f>IFERROR(L795/K795,"")</f>
        <v/>
      </c>
      <c r="N795">
        <f>IF(K795="","",M795+K795/100000+ROW()/100000000)</f>
        <v/>
      </c>
    </row>
    <row r="796">
      <c r="J796">
        <f>IFERROR(CHOOSE(MATCH(Dashboard!$B$11,{"Department","Team","Unit","Legal entity","Location","Lead"},0),INDEX(Lists!$B$3:$B$20,ROW()-1),INDEX(Lists!$C$3:$C$146,ROW()-1),INDEX(Lists!$D$3:$D$67,ROW()-1),INDEX(Lists!$E$3:$E$5,ROW()-1),INDEX(Lists!$F$3:$F$12,ROW()-1),INDEX(Lists!$G$3:$G$126,ROW()-1)),"")</f>
        <v/>
      </c>
      <c r="K796">
        <f>IF(J796="","",SUMPRODUCT(($A$2:$A$636=1)*($G$2:$G$636=J796)))</f>
        <v/>
      </c>
      <c r="L796">
        <f>IF(J796="","",SUMPRODUCT(($A$2:$A$636=1)*($G$2:$G$636=J796)*(ISNUMBER($B$2:$B$636))*($B$2:$B$636&lt;0.5)))</f>
        <v/>
      </c>
      <c r="M796">
        <f>IFERROR(L796/K796,"")</f>
        <v/>
      </c>
      <c r="N796">
        <f>IF(K796="","",M796+K796/100000+ROW()/100000000)</f>
        <v/>
      </c>
    </row>
    <row r="797">
      <c r="J797">
        <f>IFERROR(CHOOSE(MATCH(Dashboard!$B$11,{"Department","Team","Unit","Legal entity","Location","Lead"},0),INDEX(Lists!$B$3:$B$20,ROW()-1),INDEX(Lists!$C$3:$C$146,ROW()-1),INDEX(Lists!$D$3:$D$67,ROW()-1),INDEX(Lists!$E$3:$E$5,ROW()-1),INDEX(Lists!$F$3:$F$12,ROW()-1),INDEX(Lists!$G$3:$G$126,ROW()-1)),"")</f>
        <v/>
      </c>
      <c r="K797">
        <f>IF(J797="","",SUMPRODUCT(($A$2:$A$636=1)*($G$2:$G$636=J797)))</f>
        <v/>
      </c>
      <c r="L797">
        <f>IF(J797="","",SUMPRODUCT(($A$2:$A$636=1)*($G$2:$G$636=J797)*(ISNUMBER($B$2:$B$636))*($B$2:$B$636&lt;0.5)))</f>
        <v/>
      </c>
      <c r="M797">
        <f>IFERROR(L797/K797,"")</f>
        <v/>
      </c>
      <c r="N797">
        <f>IF(K797="","",M797+K797/100000+ROW()/100000000)</f>
        <v/>
      </c>
    </row>
    <row r="798">
      <c r="J798">
        <f>IFERROR(CHOOSE(MATCH(Dashboard!$B$11,{"Department","Team","Unit","Legal entity","Location","Lead"},0),INDEX(Lists!$B$3:$B$20,ROW()-1),INDEX(Lists!$C$3:$C$146,ROW()-1),INDEX(Lists!$D$3:$D$67,ROW()-1),INDEX(Lists!$E$3:$E$5,ROW()-1),INDEX(Lists!$F$3:$F$12,ROW()-1),INDEX(Lists!$G$3:$G$126,ROW()-1)),"")</f>
        <v/>
      </c>
      <c r="K798">
        <f>IF(J798="","",SUMPRODUCT(($A$2:$A$636=1)*($G$2:$G$636=J798)))</f>
        <v/>
      </c>
      <c r="L798">
        <f>IF(J798="","",SUMPRODUCT(($A$2:$A$636=1)*($G$2:$G$636=J798)*(ISNUMBER($B$2:$B$636))*($B$2:$B$636&lt;0.5)))</f>
        <v/>
      </c>
      <c r="M798">
        <f>IFERROR(L798/K798,"")</f>
        <v/>
      </c>
      <c r="N798">
        <f>IF(K798="","",M798+K798/100000+ROW()/100000000)</f>
        <v/>
      </c>
    </row>
    <row r="799">
      <c r="J799">
        <f>IFERROR(CHOOSE(MATCH(Dashboard!$B$11,{"Department","Team","Unit","Legal entity","Location","Lead"},0),INDEX(Lists!$B$3:$B$20,ROW()-1),INDEX(Lists!$C$3:$C$146,ROW()-1),INDEX(Lists!$D$3:$D$67,ROW()-1),INDEX(Lists!$E$3:$E$5,ROW()-1),INDEX(Lists!$F$3:$F$12,ROW()-1),INDEX(Lists!$G$3:$G$126,ROW()-1)),"")</f>
        <v/>
      </c>
      <c r="K799">
        <f>IF(J799="","",SUMPRODUCT(($A$2:$A$636=1)*($G$2:$G$636=J799)))</f>
        <v/>
      </c>
      <c r="L799">
        <f>IF(J799="","",SUMPRODUCT(($A$2:$A$636=1)*($G$2:$G$636=J799)*(ISNUMBER($B$2:$B$636))*($B$2:$B$636&lt;0.5)))</f>
        <v/>
      </c>
      <c r="M799">
        <f>IFERROR(L799/K799,"")</f>
        <v/>
      </c>
      <c r="N799">
        <f>IF(K799="","",M799+K799/100000+ROW()/100000000)</f>
        <v/>
      </c>
    </row>
    <row r="800">
      <c r="J800">
        <f>IFERROR(CHOOSE(MATCH(Dashboard!$B$11,{"Department","Team","Unit","Legal entity","Location","Lead"},0),INDEX(Lists!$B$3:$B$20,ROW()-1),INDEX(Lists!$C$3:$C$146,ROW()-1),INDEX(Lists!$D$3:$D$67,ROW()-1),INDEX(Lists!$E$3:$E$5,ROW()-1),INDEX(Lists!$F$3:$F$12,ROW()-1),INDEX(Lists!$G$3:$G$126,ROW()-1)),"")</f>
        <v/>
      </c>
      <c r="K800">
        <f>IF(J800="","",SUMPRODUCT(($A$2:$A$636=1)*($G$2:$G$636=J800)))</f>
        <v/>
      </c>
      <c r="L800">
        <f>IF(J800="","",SUMPRODUCT(($A$2:$A$636=1)*($G$2:$G$636=J800)*(ISNUMBER($B$2:$B$636))*($B$2:$B$636&lt;0.5)))</f>
        <v/>
      </c>
      <c r="M800">
        <f>IFERROR(L800/K800,"")</f>
        <v/>
      </c>
      <c r="N800">
        <f>IF(K800="","",M800+K800/100000+ROW()/100000000)</f>
        <v/>
      </c>
    </row>
    <row r="801">
      <c r="J801">
        <f>IFERROR(CHOOSE(MATCH(Dashboard!$B$11,{"Department","Team","Unit","Legal entity","Location","Lead"},0),INDEX(Lists!$B$3:$B$20,ROW()-1),INDEX(Lists!$C$3:$C$146,ROW()-1),INDEX(Lists!$D$3:$D$67,ROW()-1),INDEX(Lists!$E$3:$E$5,ROW()-1),INDEX(Lists!$F$3:$F$12,ROW()-1),INDEX(Lists!$G$3:$G$126,ROW()-1)),"")</f>
        <v/>
      </c>
      <c r="K801">
        <f>IF(J801="","",SUMPRODUCT(($A$2:$A$636=1)*($G$2:$G$636=J801)))</f>
        <v/>
      </c>
      <c r="L801">
        <f>IF(J801="","",SUMPRODUCT(($A$2:$A$636=1)*($G$2:$G$636=J801)*(ISNUMBER($B$2:$B$636))*($B$2:$B$636&lt;0.5)))</f>
        <v/>
      </c>
      <c r="M801">
        <f>IFERROR(L801/K801,"")</f>
        <v/>
      </c>
      <c r="N801">
        <f>IF(K801="","",M801+K801/100000+ROW()/100000000)</f>
        <v/>
      </c>
    </row>
    <row r="802">
      <c r="J802">
        <f>IFERROR(CHOOSE(MATCH(Dashboard!$B$11,{"Department","Team","Unit","Legal entity","Location","Lead"},0),INDEX(Lists!$B$3:$B$20,ROW()-1),INDEX(Lists!$C$3:$C$146,ROW()-1),INDEX(Lists!$D$3:$D$67,ROW()-1),INDEX(Lists!$E$3:$E$5,ROW()-1),INDEX(Lists!$F$3:$F$12,ROW()-1),INDEX(Lists!$G$3:$G$126,ROW()-1)),"")</f>
        <v/>
      </c>
      <c r="K802">
        <f>IF(J802="","",SUMPRODUCT(($A$2:$A$636=1)*($G$2:$G$636=J802)))</f>
        <v/>
      </c>
      <c r="L802">
        <f>IF(J802="","",SUMPRODUCT(($A$2:$A$636=1)*($G$2:$G$636=J802)*(ISNUMBER($B$2:$B$636))*($B$2:$B$636&lt;0.5)))</f>
        <v/>
      </c>
      <c r="M802">
        <f>IFERROR(L802/K802,"")</f>
        <v/>
      </c>
      <c r="N802">
        <f>IF(K802="","",M802+K802/100000+ROW()/100000000)</f>
        <v/>
      </c>
    </row>
    <row r="803">
      <c r="J803">
        <f>IFERROR(CHOOSE(MATCH(Dashboard!$B$11,{"Department","Team","Unit","Legal entity","Location","Lead"},0),INDEX(Lists!$B$3:$B$20,ROW()-1),INDEX(Lists!$C$3:$C$146,ROW()-1),INDEX(Lists!$D$3:$D$67,ROW()-1),INDEX(Lists!$E$3:$E$5,ROW()-1),INDEX(Lists!$F$3:$F$12,ROW()-1),INDEX(Lists!$G$3:$G$126,ROW()-1)),"")</f>
        <v/>
      </c>
      <c r="K803">
        <f>IF(J803="","",SUMPRODUCT(($A$2:$A$636=1)*($G$2:$G$636=J803)))</f>
        <v/>
      </c>
      <c r="L803">
        <f>IF(J803="","",SUMPRODUCT(($A$2:$A$636=1)*($G$2:$G$636=J803)*(ISNUMBER($B$2:$B$636))*($B$2:$B$636&lt;0.5)))</f>
        <v/>
      </c>
      <c r="M803">
        <f>IFERROR(L803/K803,"")</f>
        <v/>
      </c>
      <c r="N803">
        <f>IF(K803="","",M803+K803/100000+ROW()/100000000)</f>
        <v/>
      </c>
    </row>
    <row r="804">
      <c r="J804">
        <f>IFERROR(CHOOSE(MATCH(Dashboard!$B$11,{"Department","Team","Unit","Legal entity","Location","Lead"},0),INDEX(Lists!$B$3:$B$20,ROW()-1),INDEX(Lists!$C$3:$C$146,ROW()-1),INDEX(Lists!$D$3:$D$67,ROW()-1),INDEX(Lists!$E$3:$E$5,ROW()-1),INDEX(Lists!$F$3:$F$12,ROW()-1),INDEX(Lists!$G$3:$G$126,ROW()-1)),"")</f>
        <v/>
      </c>
      <c r="K804">
        <f>IF(J804="","",SUMPRODUCT(($A$2:$A$636=1)*($G$2:$G$636=J804)))</f>
        <v/>
      </c>
      <c r="L804">
        <f>IF(J804="","",SUMPRODUCT(($A$2:$A$636=1)*($G$2:$G$636=J804)*(ISNUMBER($B$2:$B$636))*($B$2:$B$636&lt;0.5)))</f>
        <v/>
      </c>
      <c r="M804">
        <f>IFERROR(L804/K804,"")</f>
        <v/>
      </c>
      <c r="N804">
        <f>IF(K804="","",M804+K804/100000+ROW()/100000000)</f>
        <v/>
      </c>
    </row>
    <row r="805">
      <c r="J805">
        <f>IFERROR(CHOOSE(MATCH(Dashboard!$B$11,{"Department","Team","Unit","Legal entity","Location","Lead"},0),INDEX(Lists!$B$3:$B$20,ROW()-1),INDEX(Lists!$C$3:$C$146,ROW()-1),INDEX(Lists!$D$3:$D$67,ROW()-1),INDEX(Lists!$E$3:$E$5,ROW()-1),INDEX(Lists!$F$3:$F$12,ROW()-1),INDEX(Lists!$G$3:$G$126,ROW()-1)),"")</f>
        <v/>
      </c>
      <c r="K805">
        <f>IF(J805="","",SUMPRODUCT(($A$2:$A$636=1)*($G$2:$G$636=J805)))</f>
        <v/>
      </c>
      <c r="L805">
        <f>IF(J805="","",SUMPRODUCT(($A$2:$A$636=1)*($G$2:$G$636=J805)*(ISNUMBER($B$2:$B$636))*($B$2:$B$636&lt;0.5)))</f>
        <v/>
      </c>
      <c r="M805">
        <f>IFERROR(L805/K805,"")</f>
        <v/>
      </c>
      <c r="N805">
        <f>IF(K805="","",M805+K805/100000+ROW()/100000000)</f>
        <v/>
      </c>
    </row>
    <row r="806">
      <c r="J806">
        <f>IFERROR(CHOOSE(MATCH(Dashboard!$B$11,{"Department","Team","Unit","Legal entity","Location","Lead"},0),INDEX(Lists!$B$3:$B$20,ROW()-1),INDEX(Lists!$C$3:$C$146,ROW()-1),INDEX(Lists!$D$3:$D$67,ROW()-1),INDEX(Lists!$E$3:$E$5,ROW()-1),INDEX(Lists!$F$3:$F$12,ROW()-1),INDEX(Lists!$G$3:$G$126,ROW()-1)),"")</f>
        <v/>
      </c>
      <c r="K806">
        <f>IF(J806="","",SUMPRODUCT(($A$2:$A$636=1)*($G$2:$G$636=J806)))</f>
        <v/>
      </c>
      <c r="L806">
        <f>IF(J806="","",SUMPRODUCT(($A$2:$A$636=1)*($G$2:$G$636=J806)*(ISNUMBER($B$2:$B$636))*($B$2:$B$636&lt;0.5)))</f>
        <v/>
      </c>
      <c r="M806">
        <f>IFERROR(L806/K806,"")</f>
        <v/>
      </c>
      <c r="N806">
        <f>IF(K806="","",M806+K806/100000+ROW()/100000000)</f>
        <v/>
      </c>
    </row>
    <row r="807">
      <c r="J807">
        <f>IFERROR(CHOOSE(MATCH(Dashboard!$B$11,{"Department","Team","Unit","Legal entity","Location","Lead"},0),INDEX(Lists!$B$3:$B$20,ROW()-1),INDEX(Lists!$C$3:$C$146,ROW()-1),INDEX(Lists!$D$3:$D$67,ROW()-1),INDEX(Lists!$E$3:$E$5,ROW()-1),INDEX(Lists!$F$3:$F$12,ROW()-1),INDEX(Lists!$G$3:$G$126,ROW()-1)),"")</f>
        <v/>
      </c>
      <c r="K807">
        <f>IF(J807="","",SUMPRODUCT(($A$2:$A$636=1)*($G$2:$G$636=J807)))</f>
        <v/>
      </c>
      <c r="L807">
        <f>IF(J807="","",SUMPRODUCT(($A$2:$A$636=1)*($G$2:$G$636=J807)*(ISNUMBER($B$2:$B$636))*($B$2:$B$636&lt;0.5)))</f>
        <v/>
      </c>
      <c r="M807">
        <f>IFERROR(L807/K807,"")</f>
        <v/>
      </c>
      <c r="N807">
        <f>IF(K807="","",M807+K807/100000+ROW()/100000000)</f>
        <v/>
      </c>
    </row>
    <row r="808">
      <c r="J808">
        <f>IFERROR(CHOOSE(MATCH(Dashboard!$B$11,{"Department","Team","Unit","Legal entity","Location","Lead"},0),INDEX(Lists!$B$3:$B$20,ROW()-1),INDEX(Lists!$C$3:$C$146,ROW()-1),INDEX(Lists!$D$3:$D$67,ROW()-1),INDEX(Lists!$E$3:$E$5,ROW()-1),INDEX(Lists!$F$3:$F$12,ROW()-1),INDEX(Lists!$G$3:$G$126,ROW()-1)),"")</f>
        <v/>
      </c>
      <c r="K808">
        <f>IF(J808="","",SUMPRODUCT(($A$2:$A$636=1)*($G$2:$G$636=J808)))</f>
        <v/>
      </c>
      <c r="L808">
        <f>IF(J808="","",SUMPRODUCT(($A$2:$A$636=1)*($G$2:$G$636=J808)*(ISNUMBER($B$2:$B$636))*($B$2:$B$636&lt;0.5)))</f>
        <v/>
      </c>
      <c r="M808">
        <f>IFERROR(L808/K808,"")</f>
        <v/>
      </c>
      <c r="N808">
        <f>IF(K808="","",M808+K808/100000+ROW()/100000000)</f>
        <v/>
      </c>
    </row>
    <row r="809">
      <c r="J809">
        <f>IFERROR(CHOOSE(MATCH(Dashboard!$B$11,{"Department","Team","Unit","Legal entity","Location","Lead"},0),INDEX(Lists!$B$3:$B$20,ROW()-1),INDEX(Lists!$C$3:$C$146,ROW()-1),INDEX(Lists!$D$3:$D$67,ROW()-1),INDEX(Lists!$E$3:$E$5,ROW()-1),INDEX(Lists!$F$3:$F$12,ROW()-1),INDEX(Lists!$G$3:$G$126,ROW()-1)),"")</f>
        <v/>
      </c>
      <c r="K809">
        <f>IF(J809="","",SUMPRODUCT(($A$2:$A$636=1)*($G$2:$G$636=J809)))</f>
        <v/>
      </c>
      <c r="L809">
        <f>IF(J809="","",SUMPRODUCT(($A$2:$A$636=1)*($G$2:$G$636=J809)*(ISNUMBER($B$2:$B$636))*($B$2:$B$636&lt;0.5)))</f>
        <v/>
      </c>
      <c r="M809">
        <f>IFERROR(L809/K809,"")</f>
        <v/>
      </c>
      <c r="N809">
        <f>IF(K809="","",M809+K809/100000+ROW()/100000000)</f>
        <v/>
      </c>
    </row>
    <row r="810">
      <c r="J810">
        <f>IFERROR(CHOOSE(MATCH(Dashboard!$B$11,{"Department","Team","Unit","Legal entity","Location","Lead"},0),INDEX(Lists!$B$3:$B$20,ROW()-1),INDEX(Lists!$C$3:$C$146,ROW()-1),INDEX(Lists!$D$3:$D$67,ROW()-1),INDEX(Lists!$E$3:$E$5,ROW()-1),INDEX(Lists!$F$3:$F$12,ROW()-1),INDEX(Lists!$G$3:$G$126,ROW()-1)),"")</f>
        <v/>
      </c>
      <c r="K810">
        <f>IF(J810="","",SUMPRODUCT(($A$2:$A$636=1)*($G$2:$G$636=J810)))</f>
        <v/>
      </c>
      <c r="L810">
        <f>IF(J810="","",SUMPRODUCT(($A$2:$A$636=1)*($G$2:$G$636=J810)*(ISNUMBER($B$2:$B$636))*($B$2:$B$636&lt;0.5)))</f>
        <v/>
      </c>
      <c r="M810">
        <f>IFERROR(L810/K810,"")</f>
        <v/>
      </c>
      <c r="N810">
        <f>IF(K810="","",M810+K810/100000+ROW()/100000000)</f>
        <v/>
      </c>
    </row>
    <row r="811">
      <c r="J811">
        <f>IFERROR(CHOOSE(MATCH(Dashboard!$B$11,{"Department","Team","Unit","Legal entity","Location","Lead"},0),INDEX(Lists!$B$3:$B$20,ROW()-1),INDEX(Lists!$C$3:$C$146,ROW()-1),INDEX(Lists!$D$3:$D$67,ROW()-1),INDEX(Lists!$E$3:$E$5,ROW()-1),INDEX(Lists!$F$3:$F$12,ROW()-1),INDEX(Lists!$G$3:$G$126,ROW()-1)),"")</f>
        <v/>
      </c>
      <c r="K811">
        <f>IF(J811="","",SUMPRODUCT(($A$2:$A$636=1)*($G$2:$G$636=J811)))</f>
        <v/>
      </c>
      <c r="L811">
        <f>IF(J811="","",SUMPRODUCT(($A$2:$A$636=1)*($G$2:$G$636=J811)*(ISNUMBER($B$2:$B$636))*($B$2:$B$636&lt;0.5)))</f>
        <v/>
      </c>
      <c r="M811">
        <f>IFERROR(L811/K811,"")</f>
        <v/>
      </c>
      <c r="N811">
        <f>IF(K811="","",M811+K811/100000+ROW()/100000000)</f>
        <v/>
      </c>
    </row>
    <row r="812">
      <c r="J812">
        <f>IFERROR(CHOOSE(MATCH(Dashboard!$B$11,{"Department","Team","Unit","Legal entity","Location","Lead"},0),INDEX(Lists!$B$3:$B$20,ROW()-1),INDEX(Lists!$C$3:$C$146,ROW()-1),INDEX(Lists!$D$3:$D$67,ROW()-1),INDEX(Lists!$E$3:$E$5,ROW()-1),INDEX(Lists!$F$3:$F$12,ROW()-1),INDEX(Lists!$G$3:$G$126,ROW()-1)),"")</f>
        <v/>
      </c>
      <c r="K812">
        <f>IF(J812="","",SUMPRODUCT(($A$2:$A$636=1)*($G$2:$G$636=J812)))</f>
        <v/>
      </c>
      <c r="L812">
        <f>IF(J812="","",SUMPRODUCT(($A$2:$A$636=1)*($G$2:$G$636=J812)*(ISNUMBER($B$2:$B$636))*($B$2:$B$636&lt;0.5)))</f>
        <v/>
      </c>
      <c r="M812">
        <f>IFERROR(L812/K812,"")</f>
        <v/>
      </c>
      <c r="N812">
        <f>IF(K812="","",M812+K812/100000+ROW()/100000000)</f>
        <v/>
      </c>
    </row>
    <row r="813">
      <c r="J813">
        <f>IFERROR(CHOOSE(MATCH(Dashboard!$B$11,{"Department","Team","Unit","Legal entity","Location","Lead"},0),INDEX(Lists!$B$3:$B$20,ROW()-1),INDEX(Lists!$C$3:$C$146,ROW()-1),INDEX(Lists!$D$3:$D$67,ROW()-1),INDEX(Lists!$E$3:$E$5,ROW()-1),INDEX(Lists!$F$3:$F$12,ROW()-1),INDEX(Lists!$G$3:$G$126,ROW()-1)),"")</f>
        <v/>
      </c>
      <c r="K813">
        <f>IF(J813="","",SUMPRODUCT(($A$2:$A$636=1)*($G$2:$G$636=J813)))</f>
        <v/>
      </c>
      <c r="L813">
        <f>IF(J813="","",SUMPRODUCT(($A$2:$A$636=1)*($G$2:$G$636=J813)*(ISNUMBER($B$2:$B$636))*($B$2:$B$636&lt;0.5)))</f>
        <v/>
      </c>
      <c r="M813">
        <f>IFERROR(L813/K813,"")</f>
        <v/>
      </c>
      <c r="N813">
        <f>IF(K813="","",M813+K813/100000+ROW()/100000000)</f>
        <v/>
      </c>
    </row>
    <row r="814">
      <c r="J814">
        <f>IFERROR(CHOOSE(MATCH(Dashboard!$B$11,{"Department","Team","Unit","Legal entity","Location","Lead"},0),INDEX(Lists!$B$3:$B$20,ROW()-1),INDEX(Lists!$C$3:$C$146,ROW()-1),INDEX(Lists!$D$3:$D$67,ROW()-1),INDEX(Lists!$E$3:$E$5,ROW()-1),INDEX(Lists!$F$3:$F$12,ROW()-1),INDEX(Lists!$G$3:$G$126,ROW()-1)),"")</f>
        <v/>
      </c>
      <c r="K814">
        <f>IF(J814="","",SUMPRODUCT(($A$2:$A$636=1)*($G$2:$G$636=J814)))</f>
        <v/>
      </c>
      <c r="L814">
        <f>IF(J814="","",SUMPRODUCT(($A$2:$A$636=1)*($G$2:$G$636=J814)*(ISNUMBER($B$2:$B$636))*($B$2:$B$636&lt;0.5)))</f>
        <v/>
      </c>
      <c r="M814">
        <f>IFERROR(L814/K814,"")</f>
        <v/>
      </c>
      <c r="N814">
        <f>IF(K814="","",M814+K814/100000+ROW()/100000000)</f>
        <v/>
      </c>
    </row>
    <row r="815">
      <c r="J815">
        <f>IFERROR(CHOOSE(MATCH(Dashboard!$B$11,{"Department","Team","Unit","Legal entity","Location","Lead"},0),INDEX(Lists!$B$3:$B$20,ROW()-1),INDEX(Lists!$C$3:$C$146,ROW()-1),INDEX(Lists!$D$3:$D$67,ROW()-1),INDEX(Lists!$E$3:$E$5,ROW()-1),INDEX(Lists!$F$3:$F$12,ROW()-1),INDEX(Lists!$G$3:$G$126,ROW()-1)),"")</f>
        <v/>
      </c>
      <c r="K815">
        <f>IF(J815="","",SUMPRODUCT(($A$2:$A$636=1)*($G$2:$G$636=J815)))</f>
        <v/>
      </c>
      <c r="L815">
        <f>IF(J815="","",SUMPRODUCT(($A$2:$A$636=1)*($G$2:$G$636=J815)*(ISNUMBER($B$2:$B$636))*($B$2:$B$636&lt;0.5)))</f>
        <v/>
      </c>
      <c r="M815">
        <f>IFERROR(L815/K815,"")</f>
        <v/>
      </c>
      <c r="N815">
        <f>IF(K815="","",M815+K815/100000+ROW()/100000000)</f>
        <v/>
      </c>
    </row>
    <row r="816">
      <c r="J816">
        <f>IFERROR(CHOOSE(MATCH(Dashboard!$B$11,{"Department","Team","Unit","Legal entity","Location","Lead"},0),INDEX(Lists!$B$3:$B$20,ROW()-1),INDEX(Lists!$C$3:$C$146,ROW()-1),INDEX(Lists!$D$3:$D$67,ROW()-1),INDEX(Lists!$E$3:$E$5,ROW()-1),INDEX(Lists!$F$3:$F$12,ROW()-1),INDEX(Lists!$G$3:$G$126,ROW()-1)),"")</f>
        <v/>
      </c>
      <c r="K816">
        <f>IF(J816="","",SUMPRODUCT(($A$2:$A$636=1)*($G$2:$G$636=J816)))</f>
        <v/>
      </c>
      <c r="L816">
        <f>IF(J816="","",SUMPRODUCT(($A$2:$A$636=1)*($G$2:$G$636=J816)*(ISNUMBER($B$2:$B$636))*($B$2:$B$636&lt;0.5)))</f>
        <v/>
      </c>
      <c r="M816">
        <f>IFERROR(L816/K816,"")</f>
        <v/>
      </c>
      <c r="N816">
        <f>IF(K816="","",M816+K816/100000+ROW()/100000000)</f>
        <v/>
      </c>
    </row>
    <row r="817">
      <c r="J817">
        <f>IFERROR(CHOOSE(MATCH(Dashboard!$B$11,{"Department","Team","Unit","Legal entity","Location","Lead"},0),INDEX(Lists!$B$3:$B$20,ROW()-1),INDEX(Lists!$C$3:$C$146,ROW()-1),INDEX(Lists!$D$3:$D$67,ROW()-1),INDEX(Lists!$E$3:$E$5,ROW()-1),INDEX(Lists!$F$3:$F$12,ROW()-1),INDEX(Lists!$G$3:$G$126,ROW()-1)),"")</f>
        <v/>
      </c>
      <c r="K817">
        <f>IF(J817="","",SUMPRODUCT(($A$2:$A$636=1)*($G$2:$G$636=J817)))</f>
        <v/>
      </c>
      <c r="L817">
        <f>IF(J817="","",SUMPRODUCT(($A$2:$A$636=1)*($G$2:$G$636=J817)*(ISNUMBER($B$2:$B$636))*($B$2:$B$636&lt;0.5)))</f>
        <v/>
      </c>
      <c r="M817">
        <f>IFERROR(L817/K817,"")</f>
        <v/>
      </c>
      <c r="N817">
        <f>IF(K817="","",M817+K817/100000+ROW()/100000000)</f>
        <v/>
      </c>
    </row>
    <row r="818">
      <c r="J818">
        <f>IFERROR(CHOOSE(MATCH(Dashboard!$B$11,{"Department","Team","Unit","Legal entity","Location","Lead"},0),INDEX(Lists!$B$3:$B$20,ROW()-1),INDEX(Lists!$C$3:$C$146,ROW()-1),INDEX(Lists!$D$3:$D$67,ROW()-1),INDEX(Lists!$E$3:$E$5,ROW()-1),INDEX(Lists!$F$3:$F$12,ROW()-1),INDEX(Lists!$G$3:$G$126,ROW()-1)),"")</f>
        <v/>
      </c>
      <c r="K818">
        <f>IF(J818="","",SUMPRODUCT(($A$2:$A$636=1)*($G$2:$G$636=J818)))</f>
        <v/>
      </c>
      <c r="L818">
        <f>IF(J818="","",SUMPRODUCT(($A$2:$A$636=1)*($G$2:$G$636=J818)*(ISNUMBER($B$2:$B$636))*($B$2:$B$636&lt;0.5)))</f>
        <v/>
      </c>
      <c r="M818">
        <f>IFERROR(L818/K818,"")</f>
        <v/>
      </c>
      <c r="N818">
        <f>IF(K818="","",M818+K818/100000+ROW()/100000000)</f>
        <v/>
      </c>
    </row>
    <row r="819">
      <c r="J819">
        <f>IFERROR(CHOOSE(MATCH(Dashboard!$B$11,{"Department","Team","Unit","Legal entity","Location","Lead"},0),INDEX(Lists!$B$3:$B$20,ROW()-1),INDEX(Lists!$C$3:$C$146,ROW()-1),INDEX(Lists!$D$3:$D$67,ROW()-1),INDEX(Lists!$E$3:$E$5,ROW()-1),INDEX(Lists!$F$3:$F$12,ROW()-1),INDEX(Lists!$G$3:$G$126,ROW()-1)),"")</f>
        <v/>
      </c>
      <c r="K819">
        <f>IF(J819="","",SUMPRODUCT(($A$2:$A$636=1)*($G$2:$G$636=J819)))</f>
        <v/>
      </c>
      <c r="L819">
        <f>IF(J819="","",SUMPRODUCT(($A$2:$A$636=1)*($G$2:$G$636=J819)*(ISNUMBER($B$2:$B$636))*($B$2:$B$636&lt;0.5)))</f>
        <v/>
      </c>
      <c r="M819">
        <f>IFERROR(L819/K819,"")</f>
        <v/>
      </c>
      <c r="N819">
        <f>IF(K819="","",M819+K819/100000+ROW()/100000000)</f>
        <v/>
      </c>
    </row>
    <row r="820">
      <c r="J820">
        <f>IFERROR(CHOOSE(MATCH(Dashboard!$B$11,{"Department","Team","Unit","Legal entity","Location","Lead"},0),INDEX(Lists!$B$3:$B$20,ROW()-1),INDEX(Lists!$C$3:$C$146,ROW()-1),INDEX(Lists!$D$3:$D$67,ROW()-1),INDEX(Lists!$E$3:$E$5,ROW()-1),INDEX(Lists!$F$3:$F$12,ROW()-1),INDEX(Lists!$G$3:$G$126,ROW()-1)),"")</f>
        <v/>
      </c>
      <c r="K820">
        <f>IF(J820="","",SUMPRODUCT(($A$2:$A$636=1)*($G$2:$G$636=J820)))</f>
        <v/>
      </c>
      <c r="L820">
        <f>IF(J820="","",SUMPRODUCT(($A$2:$A$636=1)*($G$2:$G$636=J820)*(ISNUMBER($B$2:$B$636))*($B$2:$B$636&lt;0.5)))</f>
        <v/>
      </c>
      <c r="M820">
        <f>IFERROR(L820/K820,"")</f>
        <v/>
      </c>
      <c r="N820">
        <f>IF(K820="","",M820+K820/100000+ROW()/100000000)</f>
        <v/>
      </c>
    </row>
    <row r="821">
      <c r="J821">
        <f>IFERROR(CHOOSE(MATCH(Dashboard!$B$11,{"Department","Team","Unit","Legal entity","Location","Lead"},0),INDEX(Lists!$B$3:$B$20,ROW()-1),INDEX(Lists!$C$3:$C$146,ROW()-1),INDEX(Lists!$D$3:$D$67,ROW()-1),INDEX(Lists!$E$3:$E$5,ROW()-1),INDEX(Lists!$F$3:$F$12,ROW()-1),INDEX(Lists!$G$3:$G$126,ROW()-1)),"")</f>
        <v/>
      </c>
      <c r="K821">
        <f>IF(J821="","",SUMPRODUCT(($A$2:$A$636=1)*($G$2:$G$636=J821)))</f>
        <v/>
      </c>
      <c r="L821">
        <f>IF(J821="","",SUMPRODUCT(($A$2:$A$636=1)*($G$2:$G$636=J821)*(ISNUMBER($B$2:$B$636))*($B$2:$B$636&lt;0.5)))</f>
        <v/>
      </c>
      <c r="M821">
        <f>IFERROR(L821/K821,"")</f>
        <v/>
      </c>
      <c r="N821">
        <f>IF(K821="","",M821+K821/100000+ROW()/100000000)</f>
        <v/>
      </c>
    </row>
    <row r="822">
      <c r="J822">
        <f>IFERROR(CHOOSE(MATCH(Dashboard!$B$11,{"Department","Team","Unit","Legal entity","Location","Lead"},0),INDEX(Lists!$B$3:$B$20,ROW()-1),INDEX(Lists!$C$3:$C$146,ROW()-1),INDEX(Lists!$D$3:$D$67,ROW()-1),INDEX(Lists!$E$3:$E$5,ROW()-1),INDEX(Lists!$F$3:$F$12,ROW()-1),INDEX(Lists!$G$3:$G$126,ROW()-1)),"")</f>
        <v/>
      </c>
      <c r="K822">
        <f>IF(J822="","",SUMPRODUCT(($A$2:$A$636=1)*($G$2:$G$636=J822)))</f>
        <v/>
      </c>
      <c r="L822">
        <f>IF(J822="","",SUMPRODUCT(($A$2:$A$636=1)*($G$2:$G$636=J822)*(ISNUMBER($B$2:$B$636))*($B$2:$B$636&lt;0.5)))</f>
        <v/>
      </c>
      <c r="M822">
        <f>IFERROR(L822/K822,"")</f>
        <v/>
      </c>
      <c r="N822">
        <f>IF(K822="","",M822+K822/100000+ROW()/100000000)</f>
        <v/>
      </c>
    </row>
    <row r="823">
      <c r="J823">
        <f>IFERROR(CHOOSE(MATCH(Dashboard!$B$11,{"Department","Team","Unit","Legal entity","Location","Lead"},0),INDEX(Lists!$B$3:$B$20,ROW()-1),INDEX(Lists!$C$3:$C$146,ROW()-1),INDEX(Lists!$D$3:$D$67,ROW()-1),INDEX(Lists!$E$3:$E$5,ROW()-1),INDEX(Lists!$F$3:$F$12,ROW()-1),INDEX(Lists!$G$3:$G$126,ROW()-1)),"")</f>
        <v/>
      </c>
      <c r="K823">
        <f>IF(J823="","",SUMPRODUCT(($A$2:$A$636=1)*($G$2:$G$636=J823)))</f>
        <v/>
      </c>
      <c r="L823">
        <f>IF(J823="","",SUMPRODUCT(($A$2:$A$636=1)*($G$2:$G$636=J823)*(ISNUMBER($B$2:$B$636))*($B$2:$B$636&lt;0.5)))</f>
        <v/>
      </c>
      <c r="M823">
        <f>IFERROR(L823/K823,"")</f>
        <v/>
      </c>
      <c r="N823">
        <f>IF(K823="","",M823+K823/100000+ROW()/100000000)</f>
        <v/>
      </c>
    </row>
    <row r="824">
      <c r="J824">
        <f>IFERROR(CHOOSE(MATCH(Dashboard!$B$11,{"Department","Team","Unit","Legal entity","Location","Lead"},0),INDEX(Lists!$B$3:$B$20,ROW()-1),INDEX(Lists!$C$3:$C$146,ROW()-1),INDEX(Lists!$D$3:$D$67,ROW()-1),INDEX(Lists!$E$3:$E$5,ROW()-1),INDEX(Lists!$F$3:$F$12,ROW()-1),INDEX(Lists!$G$3:$G$126,ROW()-1)),"")</f>
        <v/>
      </c>
      <c r="K824">
        <f>IF(J824="","",SUMPRODUCT(($A$2:$A$636=1)*($G$2:$G$636=J824)))</f>
        <v/>
      </c>
      <c r="L824">
        <f>IF(J824="","",SUMPRODUCT(($A$2:$A$636=1)*($G$2:$G$636=J824)*(ISNUMBER($B$2:$B$636))*($B$2:$B$636&lt;0.5)))</f>
        <v/>
      </c>
      <c r="M824">
        <f>IFERROR(L824/K824,"")</f>
        <v/>
      </c>
      <c r="N824">
        <f>IF(K824="","",M824+K824/100000+ROW()/100000000)</f>
        <v/>
      </c>
    </row>
    <row r="825">
      <c r="J825">
        <f>IFERROR(CHOOSE(MATCH(Dashboard!$B$11,{"Department","Team","Unit","Legal entity","Location","Lead"},0),INDEX(Lists!$B$3:$B$20,ROW()-1),INDEX(Lists!$C$3:$C$146,ROW()-1),INDEX(Lists!$D$3:$D$67,ROW()-1),INDEX(Lists!$E$3:$E$5,ROW()-1),INDEX(Lists!$F$3:$F$12,ROW()-1),INDEX(Lists!$G$3:$G$126,ROW()-1)),"")</f>
        <v/>
      </c>
      <c r="K825">
        <f>IF(J825="","",SUMPRODUCT(($A$2:$A$636=1)*($G$2:$G$636=J825)))</f>
        <v/>
      </c>
      <c r="L825">
        <f>IF(J825="","",SUMPRODUCT(($A$2:$A$636=1)*($G$2:$G$636=J825)*(ISNUMBER($B$2:$B$636))*($B$2:$B$636&lt;0.5)))</f>
        <v/>
      </c>
      <c r="M825">
        <f>IFERROR(L825/K825,"")</f>
        <v/>
      </c>
      <c r="N825">
        <f>IF(K825="","",M825+K825/100000+ROW()/100000000)</f>
        <v/>
      </c>
    </row>
    <row r="826">
      <c r="J826">
        <f>IFERROR(CHOOSE(MATCH(Dashboard!$B$11,{"Department","Team","Unit","Legal entity","Location","Lead"},0),INDEX(Lists!$B$3:$B$20,ROW()-1),INDEX(Lists!$C$3:$C$146,ROW()-1),INDEX(Lists!$D$3:$D$67,ROW()-1),INDEX(Lists!$E$3:$E$5,ROW()-1),INDEX(Lists!$F$3:$F$12,ROW()-1),INDEX(Lists!$G$3:$G$126,ROW()-1)),"")</f>
        <v/>
      </c>
      <c r="K826">
        <f>IF(J826="","",SUMPRODUCT(($A$2:$A$636=1)*($G$2:$G$636=J826)))</f>
        <v/>
      </c>
      <c r="L826">
        <f>IF(J826="","",SUMPRODUCT(($A$2:$A$636=1)*($G$2:$G$636=J826)*(ISNUMBER($B$2:$B$636))*($B$2:$B$636&lt;0.5)))</f>
        <v/>
      </c>
      <c r="M826">
        <f>IFERROR(L826/K826,"")</f>
        <v/>
      </c>
      <c r="N826">
        <f>IF(K826="","",M826+K826/100000+ROW()/100000000)</f>
        <v/>
      </c>
    </row>
    <row r="827">
      <c r="J827">
        <f>IFERROR(CHOOSE(MATCH(Dashboard!$B$11,{"Department","Team","Unit","Legal entity","Location","Lead"},0),INDEX(Lists!$B$3:$B$20,ROW()-1),INDEX(Lists!$C$3:$C$146,ROW()-1),INDEX(Lists!$D$3:$D$67,ROW()-1),INDEX(Lists!$E$3:$E$5,ROW()-1),INDEX(Lists!$F$3:$F$12,ROW()-1),INDEX(Lists!$G$3:$G$126,ROW()-1)),"")</f>
        <v/>
      </c>
      <c r="K827">
        <f>IF(J827="","",SUMPRODUCT(($A$2:$A$636=1)*($G$2:$G$636=J827)))</f>
        <v/>
      </c>
      <c r="L827">
        <f>IF(J827="","",SUMPRODUCT(($A$2:$A$636=1)*($G$2:$G$636=J827)*(ISNUMBER($B$2:$B$636))*($B$2:$B$636&lt;0.5)))</f>
        <v/>
      </c>
      <c r="M827">
        <f>IFERROR(L827/K827,"")</f>
        <v/>
      </c>
      <c r="N827">
        <f>IF(K827="","",M827+K827/100000+ROW()/100000000)</f>
        <v/>
      </c>
    </row>
    <row r="828">
      <c r="J828">
        <f>IFERROR(CHOOSE(MATCH(Dashboard!$B$11,{"Department","Team","Unit","Legal entity","Location","Lead"},0),INDEX(Lists!$B$3:$B$20,ROW()-1),INDEX(Lists!$C$3:$C$146,ROW()-1),INDEX(Lists!$D$3:$D$67,ROW()-1),INDEX(Lists!$E$3:$E$5,ROW()-1),INDEX(Lists!$F$3:$F$12,ROW()-1),INDEX(Lists!$G$3:$G$126,ROW()-1)),"")</f>
        <v/>
      </c>
      <c r="K828">
        <f>IF(J828="","",SUMPRODUCT(($A$2:$A$636=1)*($G$2:$G$636=J828)))</f>
        <v/>
      </c>
      <c r="L828">
        <f>IF(J828="","",SUMPRODUCT(($A$2:$A$636=1)*($G$2:$G$636=J828)*(ISNUMBER($B$2:$B$636))*($B$2:$B$636&lt;0.5)))</f>
        <v/>
      </c>
      <c r="M828">
        <f>IFERROR(L828/K828,"")</f>
        <v/>
      </c>
      <c r="N828">
        <f>IF(K828="","",M828+K828/100000+ROW()/100000000)</f>
        <v/>
      </c>
    </row>
    <row r="829">
      <c r="J829">
        <f>IFERROR(CHOOSE(MATCH(Dashboard!$B$11,{"Department","Team","Unit","Legal entity","Location","Lead"},0),INDEX(Lists!$B$3:$B$20,ROW()-1),INDEX(Lists!$C$3:$C$146,ROW()-1),INDEX(Lists!$D$3:$D$67,ROW()-1),INDEX(Lists!$E$3:$E$5,ROW()-1),INDEX(Lists!$F$3:$F$12,ROW()-1),INDEX(Lists!$G$3:$G$126,ROW()-1)),"")</f>
        <v/>
      </c>
      <c r="K829">
        <f>IF(J829="","",SUMPRODUCT(($A$2:$A$636=1)*($G$2:$G$636=J829)))</f>
        <v/>
      </c>
      <c r="L829">
        <f>IF(J829="","",SUMPRODUCT(($A$2:$A$636=1)*($G$2:$G$636=J829)*(ISNUMBER($B$2:$B$636))*($B$2:$B$636&lt;0.5)))</f>
        <v/>
      </c>
      <c r="M829">
        <f>IFERROR(L829/K829,"")</f>
        <v/>
      </c>
      <c r="N829">
        <f>IF(K829="","",M829+K829/100000+ROW()/100000000)</f>
        <v/>
      </c>
    </row>
    <row r="830">
      <c r="J830">
        <f>IFERROR(CHOOSE(MATCH(Dashboard!$B$11,{"Department","Team","Unit","Legal entity","Location","Lead"},0),INDEX(Lists!$B$3:$B$20,ROW()-1),INDEX(Lists!$C$3:$C$146,ROW()-1),INDEX(Lists!$D$3:$D$67,ROW()-1),INDEX(Lists!$E$3:$E$5,ROW()-1),INDEX(Lists!$F$3:$F$12,ROW()-1),INDEX(Lists!$G$3:$G$126,ROW()-1)),"")</f>
        <v/>
      </c>
      <c r="K830">
        <f>IF(J830="","",SUMPRODUCT(($A$2:$A$636=1)*($G$2:$G$636=J830)))</f>
        <v/>
      </c>
      <c r="L830">
        <f>IF(J830="","",SUMPRODUCT(($A$2:$A$636=1)*($G$2:$G$636=J830)*(ISNUMBER($B$2:$B$636))*($B$2:$B$636&lt;0.5)))</f>
        <v/>
      </c>
      <c r="M830">
        <f>IFERROR(L830/K830,"")</f>
        <v/>
      </c>
      <c r="N830">
        <f>IF(K830="","",M830+K830/100000+ROW()/100000000)</f>
        <v/>
      </c>
    </row>
    <row r="831">
      <c r="J831">
        <f>IFERROR(CHOOSE(MATCH(Dashboard!$B$11,{"Department","Team","Unit","Legal entity","Location","Lead"},0),INDEX(Lists!$B$3:$B$20,ROW()-1),INDEX(Lists!$C$3:$C$146,ROW()-1),INDEX(Lists!$D$3:$D$67,ROW()-1),INDEX(Lists!$E$3:$E$5,ROW()-1),INDEX(Lists!$F$3:$F$12,ROW()-1),INDEX(Lists!$G$3:$G$126,ROW()-1)),"")</f>
        <v/>
      </c>
      <c r="K831">
        <f>IF(J831="","",SUMPRODUCT(($A$2:$A$636=1)*($G$2:$G$636=J831)))</f>
        <v/>
      </c>
      <c r="L831">
        <f>IF(J831="","",SUMPRODUCT(($A$2:$A$636=1)*($G$2:$G$636=J831)*(ISNUMBER($B$2:$B$636))*($B$2:$B$636&lt;0.5)))</f>
        <v/>
      </c>
      <c r="M831">
        <f>IFERROR(L831/K831,"")</f>
        <v/>
      </c>
      <c r="N831">
        <f>IF(K831="","",M831+K831/100000+ROW()/100000000)</f>
        <v/>
      </c>
    </row>
    <row r="832">
      <c r="J832">
        <f>IFERROR(CHOOSE(MATCH(Dashboard!$B$11,{"Department","Team","Unit","Legal entity","Location","Lead"},0),INDEX(Lists!$B$3:$B$20,ROW()-1),INDEX(Lists!$C$3:$C$146,ROW()-1),INDEX(Lists!$D$3:$D$67,ROW()-1),INDEX(Lists!$E$3:$E$5,ROW()-1),INDEX(Lists!$F$3:$F$12,ROW()-1),INDEX(Lists!$G$3:$G$126,ROW()-1)),"")</f>
        <v/>
      </c>
      <c r="K832">
        <f>IF(J832="","",SUMPRODUCT(($A$2:$A$636=1)*($G$2:$G$636=J832)))</f>
        <v/>
      </c>
      <c r="L832">
        <f>IF(J832="","",SUMPRODUCT(($A$2:$A$636=1)*($G$2:$G$636=J832)*(ISNUMBER($B$2:$B$636))*($B$2:$B$636&lt;0.5)))</f>
        <v/>
      </c>
      <c r="M832">
        <f>IFERROR(L832/K832,"")</f>
        <v/>
      </c>
      <c r="N832">
        <f>IF(K832="","",M832+K832/100000+ROW()/100000000)</f>
        <v/>
      </c>
    </row>
    <row r="833">
      <c r="J833">
        <f>IFERROR(CHOOSE(MATCH(Dashboard!$B$11,{"Department","Team","Unit","Legal entity","Location","Lead"},0),INDEX(Lists!$B$3:$B$20,ROW()-1),INDEX(Lists!$C$3:$C$146,ROW()-1),INDEX(Lists!$D$3:$D$67,ROW()-1),INDEX(Lists!$E$3:$E$5,ROW()-1),INDEX(Lists!$F$3:$F$12,ROW()-1),INDEX(Lists!$G$3:$G$126,ROW()-1)),"")</f>
        <v/>
      </c>
      <c r="K833">
        <f>IF(J833="","",SUMPRODUCT(($A$2:$A$636=1)*($G$2:$G$636=J833)))</f>
        <v/>
      </c>
      <c r="L833">
        <f>IF(J833="","",SUMPRODUCT(($A$2:$A$636=1)*($G$2:$G$636=J833)*(ISNUMBER($B$2:$B$636))*($B$2:$B$636&lt;0.5)))</f>
        <v/>
      </c>
      <c r="M833">
        <f>IFERROR(L833/K833,"")</f>
        <v/>
      </c>
      <c r="N833">
        <f>IF(K833="","",M833+K833/100000+ROW()/100000000)</f>
        <v/>
      </c>
    </row>
    <row r="834">
      <c r="J834">
        <f>IFERROR(CHOOSE(MATCH(Dashboard!$B$11,{"Department","Team","Unit","Legal entity","Location","Lead"},0),INDEX(Lists!$B$3:$B$20,ROW()-1),INDEX(Lists!$C$3:$C$146,ROW()-1),INDEX(Lists!$D$3:$D$67,ROW()-1),INDEX(Lists!$E$3:$E$5,ROW()-1),INDEX(Lists!$F$3:$F$12,ROW()-1),INDEX(Lists!$G$3:$G$126,ROW()-1)),"")</f>
        <v/>
      </c>
      <c r="K834">
        <f>IF(J834="","",SUMPRODUCT(($A$2:$A$636=1)*($G$2:$G$636=J834)))</f>
        <v/>
      </c>
      <c r="L834">
        <f>IF(J834="","",SUMPRODUCT(($A$2:$A$636=1)*($G$2:$G$636=J834)*(ISNUMBER($B$2:$B$636))*($B$2:$B$636&lt;0.5)))</f>
        <v/>
      </c>
      <c r="M834">
        <f>IFERROR(L834/K834,"")</f>
        <v/>
      </c>
      <c r="N834">
        <f>IF(K834="","",M834+K834/100000+ROW()/100000000)</f>
        <v/>
      </c>
    </row>
    <row r="835">
      <c r="J835">
        <f>IFERROR(CHOOSE(MATCH(Dashboard!$B$11,{"Department","Team","Unit","Legal entity","Location","Lead"},0),INDEX(Lists!$B$3:$B$20,ROW()-1),INDEX(Lists!$C$3:$C$146,ROW()-1),INDEX(Lists!$D$3:$D$67,ROW()-1),INDEX(Lists!$E$3:$E$5,ROW()-1),INDEX(Lists!$F$3:$F$12,ROW()-1),INDEX(Lists!$G$3:$G$126,ROW()-1)),"")</f>
        <v/>
      </c>
      <c r="K835">
        <f>IF(J835="","",SUMPRODUCT(($A$2:$A$636=1)*($G$2:$G$636=J835)))</f>
        <v/>
      </c>
      <c r="L835">
        <f>IF(J835="","",SUMPRODUCT(($A$2:$A$636=1)*($G$2:$G$636=J835)*(ISNUMBER($B$2:$B$636))*($B$2:$B$636&lt;0.5)))</f>
        <v/>
      </c>
      <c r="M835">
        <f>IFERROR(L835/K835,"")</f>
        <v/>
      </c>
      <c r="N835">
        <f>IF(K835="","",M835+K835/100000+ROW()/100000000)</f>
        <v/>
      </c>
    </row>
    <row r="836">
      <c r="J836">
        <f>IFERROR(CHOOSE(MATCH(Dashboard!$B$11,{"Department","Team","Unit","Legal entity","Location","Lead"},0),INDEX(Lists!$B$3:$B$20,ROW()-1),INDEX(Lists!$C$3:$C$146,ROW()-1),INDEX(Lists!$D$3:$D$67,ROW()-1),INDEX(Lists!$E$3:$E$5,ROW()-1),INDEX(Lists!$F$3:$F$12,ROW()-1),INDEX(Lists!$G$3:$G$126,ROW()-1)),"")</f>
        <v/>
      </c>
      <c r="K836">
        <f>IF(J836="","",SUMPRODUCT(($A$2:$A$636=1)*($G$2:$G$636=J836)))</f>
        <v/>
      </c>
      <c r="L836">
        <f>IF(J836="","",SUMPRODUCT(($A$2:$A$636=1)*($G$2:$G$636=J836)*(ISNUMBER($B$2:$B$636))*($B$2:$B$636&lt;0.5)))</f>
        <v/>
      </c>
      <c r="M836">
        <f>IFERROR(L836/K836,"")</f>
        <v/>
      </c>
      <c r="N836">
        <f>IF(K836="","",M836+K836/100000+ROW()/100000000)</f>
        <v/>
      </c>
    </row>
    <row r="837">
      <c r="J837">
        <f>IFERROR(CHOOSE(MATCH(Dashboard!$B$11,{"Department","Team","Unit","Legal entity","Location","Lead"},0),INDEX(Lists!$B$3:$B$20,ROW()-1),INDEX(Lists!$C$3:$C$146,ROW()-1),INDEX(Lists!$D$3:$D$67,ROW()-1),INDEX(Lists!$E$3:$E$5,ROW()-1),INDEX(Lists!$F$3:$F$12,ROW()-1),INDEX(Lists!$G$3:$G$126,ROW()-1)),"")</f>
        <v/>
      </c>
      <c r="K837">
        <f>IF(J837="","",SUMPRODUCT(($A$2:$A$636=1)*($G$2:$G$636=J837)))</f>
        <v/>
      </c>
      <c r="L837">
        <f>IF(J837="","",SUMPRODUCT(($A$2:$A$636=1)*($G$2:$G$636=J837)*(ISNUMBER($B$2:$B$636))*($B$2:$B$636&lt;0.5)))</f>
        <v/>
      </c>
      <c r="M837">
        <f>IFERROR(L837/K837,"")</f>
        <v/>
      </c>
      <c r="N837">
        <f>IF(K837="","",M837+K837/100000+ROW()/100000000)</f>
        <v/>
      </c>
    </row>
    <row r="838">
      <c r="J838">
        <f>IFERROR(CHOOSE(MATCH(Dashboard!$B$11,{"Department","Team","Unit","Legal entity","Location","Lead"},0),INDEX(Lists!$B$3:$B$20,ROW()-1),INDEX(Lists!$C$3:$C$146,ROW()-1),INDEX(Lists!$D$3:$D$67,ROW()-1),INDEX(Lists!$E$3:$E$5,ROW()-1),INDEX(Lists!$F$3:$F$12,ROW()-1),INDEX(Lists!$G$3:$G$126,ROW()-1)),"")</f>
        <v/>
      </c>
      <c r="K838">
        <f>IF(J838="","",SUMPRODUCT(($A$2:$A$636=1)*($G$2:$G$636=J838)))</f>
        <v/>
      </c>
      <c r="L838">
        <f>IF(J838="","",SUMPRODUCT(($A$2:$A$636=1)*($G$2:$G$636=J838)*(ISNUMBER($B$2:$B$636))*($B$2:$B$636&lt;0.5)))</f>
        <v/>
      </c>
      <c r="M838">
        <f>IFERROR(L838/K838,"")</f>
        <v/>
      </c>
      <c r="N838">
        <f>IF(K838="","",M838+K838/100000+ROW()/100000000)</f>
        <v/>
      </c>
    </row>
    <row r="839">
      <c r="J839">
        <f>IFERROR(CHOOSE(MATCH(Dashboard!$B$11,{"Department","Team","Unit","Legal entity","Location","Lead"},0),INDEX(Lists!$B$3:$B$20,ROW()-1),INDEX(Lists!$C$3:$C$146,ROW()-1),INDEX(Lists!$D$3:$D$67,ROW()-1),INDEX(Lists!$E$3:$E$5,ROW()-1),INDEX(Lists!$F$3:$F$12,ROW()-1),INDEX(Lists!$G$3:$G$126,ROW()-1)),"")</f>
        <v/>
      </c>
      <c r="K839">
        <f>IF(J839="","",SUMPRODUCT(($A$2:$A$636=1)*($G$2:$G$636=J839)))</f>
        <v/>
      </c>
      <c r="L839">
        <f>IF(J839="","",SUMPRODUCT(($A$2:$A$636=1)*($G$2:$G$636=J839)*(ISNUMBER($B$2:$B$636))*($B$2:$B$636&lt;0.5)))</f>
        <v/>
      </c>
      <c r="M839">
        <f>IFERROR(L839/K839,"")</f>
        <v/>
      </c>
      <c r="N839">
        <f>IF(K839="","",M839+K839/100000+ROW()/100000000)</f>
        <v/>
      </c>
    </row>
    <row r="840">
      <c r="J840">
        <f>IFERROR(CHOOSE(MATCH(Dashboard!$B$11,{"Department","Team","Unit","Legal entity","Location","Lead"},0),INDEX(Lists!$B$3:$B$20,ROW()-1),INDEX(Lists!$C$3:$C$146,ROW()-1),INDEX(Lists!$D$3:$D$67,ROW()-1),INDEX(Lists!$E$3:$E$5,ROW()-1),INDEX(Lists!$F$3:$F$12,ROW()-1),INDEX(Lists!$G$3:$G$126,ROW()-1)),"")</f>
        <v/>
      </c>
      <c r="K840">
        <f>IF(J840="","",SUMPRODUCT(($A$2:$A$636=1)*($G$2:$G$636=J840)))</f>
        <v/>
      </c>
      <c r="L840">
        <f>IF(J840="","",SUMPRODUCT(($A$2:$A$636=1)*($G$2:$G$636=J840)*(ISNUMBER($B$2:$B$636))*($B$2:$B$636&lt;0.5)))</f>
        <v/>
      </c>
      <c r="M840">
        <f>IFERROR(L840/K840,"")</f>
        <v/>
      </c>
      <c r="N840">
        <f>IF(K840="","",M840+K840/100000+ROW()/100000000)</f>
        <v/>
      </c>
    </row>
    <row r="841">
      <c r="J841">
        <f>IFERROR(CHOOSE(MATCH(Dashboard!$B$11,{"Department","Team","Unit","Legal entity","Location","Lead"},0),INDEX(Lists!$B$3:$B$20,ROW()-1),INDEX(Lists!$C$3:$C$146,ROW()-1),INDEX(Lists!$D$3:$D$67,ROW()-1),INDEX(Lists!$E$3:$E$5,ROW()-1),INDEX(Lists!$F$3:$F$12,ROW()-1),INDEX(Lists!$G$3:$G$126,ROW()-1)),"")</f>
        <v/>
      </c>
      <c r="K841">
        <f>IF(J841="","",SUMPRODUCT(($A$2:$A$636=1)*($G$2:$G$636=J841)))</f>
        <v/>
      </c>
      <c r="L841">
        <f>IF(J841="","",SUMPRODUCT(($A$2:$A$636=1)*($G$2:$G$636=J841)*(ISNUMBER($B$2:$B$636))*($B$2:$B$636&lt;0.5)))</f>
        <v/>
      </c>
      <c r="M841">
        <f>IFERROR(L841/K841,"")</f>
        <v/>
      </c>
      <c r="N841">
        <f>IF(K841="","",M841+K841/100000+ROW()/100000000)</f>
        <v/>
      </c>
    </row>
    <row r="842">
      <c r="J842">
        <f>IFERROR(CHOOSE(MATCH(Dashboard!$B$11,{"Department","Team","Unit","Legal entity","Location","Lead"},0),INDEX(Lists!$B$3:$B$20,ROW()-1),INDEX(Lists!$C$3:$C$146,ROW()-1),INDEX(Lists!$D$3:$D$67,ROW()-1),INDEX(Lists!$E$3:$E$5,ROW()-1),INDEX(Lists!$F$3:$F$12,ROW()-1),INDEX(Lists!$G$3:$G$126,ROW()-1)),"")</f>
        <v/>
      </c>
      <c r="K842">
        <f>IF(J842="","",SUMPRODUCT(($A$2:$A$636=1)*($G$2:$G$636=J842)))</f>
        <v/>
      </c>
      <c r="L842">
        <f>IF(J842="","",SUMPRODUCT(($A$2:$A$636=1)*($G$2:$G$636=J842)*(ISNUMBER($B$2:$B$636))*($B$2:$B$636&lt;0.5)))</f>
        <v/>
      </c>
      <c r="M842">
        <f>IFERROR(L842/K842,"")</f>
        <v/>
      </c>
      <c r="N842">
        <f>IF(K842="","",M842+K842/100000+ROW()/100000000)</f>
        <v/>
      </c>
    </row>
    <row r="843">
      <c r="J843">
        <f>IFERROR(CHOOSE(MATCH(Dashboard!$B$11,{"Department","Team","Unit","Legal entity","Location","Lead"},0),INDEX(Lists!$B$3:$B$20,ROW()-1),INDEX(Lists!$C$3:$C$146,ROW()-1),INDEX(Lists!$D$3:$D$67,ROW()-1),INDEX(Lists!$E$3:$E$5,ROW()-1),INDEX(Lists!$F$3:$F$12,ROW()-1),INDEX(Lists!$G$3:$G$126,ROW()-1)),"")</f>
        <v/>
      </c>
      <c r="K843">
        <f>IF(J843="","",SUMPRODUCT(($A$2:$A$636=1)*($G$2:$G$636=J843)))</f>
        <v/>
      </c>
      <c r="L843">
        <f>IF(J843="","",SUMPRODUCT(($A$2:$A$636=1)*($G$2:$G$636=J843)*(ISNUMBER($B$2:$B$636))*($B$2:$B$636&lt;0.5)))</f>
        <v/>
      </c>
      <c r="M843">
        <f>IFERROR(L843/K843,"")</f>
        <v/>
      </c>
      <c r="N843">
        <f>IF(K843="","",M843+K843/100000+ROW()/100000000)</f>
        <v/>
      </c>
    </row>
    <row r="844">
      <c r="J844">
        <f>IFERROR(CHOOSE(MATCH(Dashboard!$B$11,{"Department","Team","Unit","Legal entity","Location","Lead"},0),INDEX(Lists!$B$3:$B$20,ROW()-1),INDEX(Lists!$C$3:$C$146,ROW()-1),INDEX(Lists!$D$3:$D$67,ROW()-1),INDEX(Lists!$E$3:$E$5,ROW()-1),INDEX(Lists!$F$3:$F$12,ROW()-1),INDEX(Lists!$G$3:$G$126,ROW()-1)),"")</f>
        <v/>
      </c>
      <c r="K844">
        <f>IF(J844="","",SUMPRODUCT(($A$2:$A$636=1)*($G$2:$G$636=J844)))</f>
        <v/>
      </c>
      <c r="L844">
        <f>IF(J844="","",SUMPRODUCT(($A$2:$A$636=1)*($G$2:$G$636=J844)*(ISNUMBER($B$2:$B$636))*($B$2:$B$636&lt;0.5)))</f>
        <v/>
      </c>
      <c r="M844">
        <f>IFERROR(L844/K844,"")</f>
        <v/>
      </c>
      <c r="N844">
        <f>IF(K844="","",M844+K844/100000+ROW()/100000000)</f>
        <v/>
      </c>
    </row>
    <row r="845">
      <c r="J845">
        <f>IFERROR(CHOOSE(MATCH(Dashboard!$B$11,{"Department","Team","Unit","Legal entity","Location","Lead"},0),INDEX(Lists!$B$3:$B$20,ROW()-1),INDEX(Lists!$C$3:$C$146,ROW()-1),INDEX(Lists!$D$3:$D$67,ROW()-1),INDEX(Lists!$E$3:$E$5,ROW()-1),INDEX(Lists!$F$3:$F$12,ROW()-1),INDEX(Lists!$G$3:$G$126,ROW()-1)),"")</f>
        <v/>
      </c>
      <c r="K845">
        <f>IF(J845="","",SUMPRODUCT(($A$2:$A$636=1)*($G$2:$G$636=J845)))</f>
        <v/>
      </c>
      <c r="L845">
        <f>IF(J845="","",SUMPRODUCT(($A$2:$A$636=1)*($G$2:$G$636=J845)*(ISNUMBER($B$2:$B$636))*($B$2:$B$636&lt;0.5)))</f>
        <v/>
      </c>
      <c r="M845">
        <f>IFERROR(L845/K845,"")</f>
        <v/>
      </c>
      <c r="N845">
        <f>IF(K845="","",M845+K845/100000+ROW()/100000000)</f>
        <v/>
      </c>
    </row>
    <row r="846">
      <c r="J846">
        <f>IFERROR(CHOOSE(MATCH(Dashboard!$B$11,{"Department","Team","Unit","Legal entity","Location","Lead"},0),INDEX(Lists!$B$3:$B$20,ROW()-1),INDEX(Lists!$C$3:$C$146,ROW()-1),INDEX(Lists!$D$3:$D$67,ROW()-1),INDEX(Lists!$E$3:$E$5,ROW()-1),INDEX(Lists!$F$3:$F$12,ROW()-1),INDEX(Lists!$G$3:$G$126,ROW()-1)),"")</f>
        <v/>
      </c>
      <c r="K846">
        <f>IF(J846="","",SUMPRODUCT(($A$2:$A$636=1)*($G$2:$G$636=J846)))</f>
        <v/>
      </c>
      <c r="L846">
        <f>IF(J846="","",SUMPRODUCT(($A$2:$A$636=1)*($G$2:$G$636=J846)*(ISNUMBER($B$2:$B$636))*($B$2:$B$636&lt;0.5)))</f>
        <v/>
      </c>
      <c r="M846">
        <f>IFERROR(L846/K846,"")</f>
        <v/>
      </c>
      <c r="N846">
        <f>IF(K846="","",M846+K846/100000+ROW()/100000000)</f>
        <v/>
      </c>
    </row>
    <row r="847">
      <c r="J847">
        <f>IFERROR(CHOOSE(MATCH(Dashboard!$B$11,{"Department","Team","Unit","Legal entity","Location","Lead"},0),INDEX(Lists!$B$3:$B$20,ROW()-1),INDEX(Lists!$C$3:$C$146,ROW()-1),INDEX(Lists!$D$3:$D$67,ROW()-1),INDEX(Lists!$E$3:$E$5,ROW()-1),INDEX(Lists!$F$3:$F$12,ROW()-1),INDEX(Lists!$G$3:$G$126,ROW()-1)),"")</f>
        <v/>
      </c>
      <c r="K847">
        <f>IF(J847="","",SUMPRODUCT(($A$2:$A$636=1)*($G$2:$G$636=J847)))</f>
        <v/>
      </c>
      <c r="L847">
        <f>IF(J847="","",SUMPRODUCT(($A$2:$A$636=1)*($G$2:$G$636=J847)*(ISNUMBER($B$2:$B$636))*($B$2:$B$636&lt;0.5)))</f>
        <v/>
      </c>
      <c r="M847">
        <f>IFERROR(L847/K847,"")</f>
        <v/>
      </c>
      <c r="N847">
        <f>IF(K847="","",M847+K847/100000+ROW()/100000000)</f>
        <v/>
      </c>
    </row>
    <row r="848">
      <c r="J848">
        <f>IFERROR(CHOOSE(MATCH(Dashboard!$B$11,{"Department","Team","Unit","Legal entity","Location","Lead"},0),INDEX(Lists!$B$3:$B$20,ROW()-1),INDEX(Lists!$C$3:$C$146,ROW()-1),INDEX(Lists!$D$3:$D$67,ROW()-1),INDEX(Lists!$E$3:$E$5,ROW()-1),INDEX(Lists!$F$3:$F$12,ROW()-1),INDEX(Lists!$G$3:$G$126,ROW()-1)),"")</f>
        <v/>
      </c>
      <c r="K848">
        <f>IF(J848="","",SUMPRODUCT(($A$2:$A$636=1)*($G$2:$G$636=J848)))</f>
        <v/>
      </c>
      <c r="L848">
        <f>IF(J848="","",SUMPRODUCT(($A$2:$A$636=1)*($G$2:$G$636=J848)*(ISNUMBER($B$2:$B$636))*($B$2:$B$636&lt;0.5)))</f>
        <v/>
      </c>
      <c r="M848">
        <f>IFERROR(L848/K848,"")</f>
        <v/>
      </c>
      <c r="N848">
        <f>IF(K848="","",M848+K848/100000+ROW()/100000000)</f>
        <v/>
      </c>
    </row>
    <row r="849">
      <c r="J849">
        <f>IFERROR(CHOOSE(MATCH(Dashboard!$B$11,{"Department","Team","Unit","Legal entity","Location","Lead"},0),INDEX(Lists!$B$3:$B$20,ROW()-1),INDEX(Lists!$C$3:$C$146,ROW()-1),INDEX(Lists!$D$3:$D$67,ROW()-1),INDEX(Lists!$E$3:$E$5,ROW()-1),INDEX(Lists!$F$3:$F$12,ROW()-1),INDEX(Lists!$G$3:$G$126,ROW()-1)),"")</f>
        <v/>
      </c>
      <c r="K849">
        <f>IF(J849="","",SUMPRODUCT(($A$2:$A$636=1)*($G$2:$G$636=J849)))</f>
        <v/>
      </c>
      <c r="L849">
        <f>IF(J849="","",SUMPRODUCT(($A$2:$A$636=1)*($G$2:$G$636=J849)*(ISNUMBER($B$2:$B$636))*($B$2:$B$636&lt;0.5)))</f>
        <v/>
      </c>
      <c r="M849">
        <f>IFERROR(L849/K849,"")</f>
        <v/>
      </c>
      <c r="N849">
        <f>IF(K849="","",M849+K849/100000+ROW()/100000000)</f>
        <v/>
      </c>
    </row>
    <row r="850">
      <c r="J850">
        <f>IFERROR(CHOOSE(MATCH(Dashboard!$B$11,{"Department","Team","Unit","Legal entity","Location","Lead"},0),INDEX(Lists!$B$3:$B$20,ROW()-1),INDEX(Lists!$C$3:$C$146,ROW()-1),INDEX(Lists!$D$3:$D$67,ROW()-1),INDEX(Lists!$E$3:$E$5,ROW()-1),INDEX(Lists!$F$3:$F$12,ROW()-1),INDEX(Lists!$G$3:$G$126,ROW()-1)),"")</f>
        <v/>
      </c>
      <c r="K850">
        <f>IF(J850="","",SUMPRODUCT(($A$2:$A$636=1)*($G$2:$G$636=J850)))</f>
        <v/>
      </c>
      <c r="L850">
        <f>IF(J850="","",SUMPRODUCT(($A$2:$A$636=1)*($G$2:$G$636=J850)*(ISNUMBER($B$2:$B$636))*($B$2:$B$636&lt;0.5)))</f>
        <v/>
      </c>
      <c r="M850">
        <f>IFERROR(L850/K850,"")</f>
        <v/>
      </c>
      <c r="N850">
        <f>IF(K850="","",M850+K850/100000+ROW()/100000000)</f>
        <v/>
      </c>
    </row>
    <row r="851">
      <c r="J851">
        <f>IFERROR(CHOOSE(MATCH(Dashboard!$B$11,{"Department","Team","Unit","Legal entity","Location","Lead"},0),INDEX(Lists!$B$3:$B$20,ROW()-1),INDEX(Lists!$C$3:$C$146,ROW()-1),INDEX(Lists!$D$3:$D$67,ROW()-1),INDEX(Lists!$E$3:$E$5,ROW()-1),INDEX(Lists!$F$3:$F$12,ROW()-1),INDEX(Lists!$G$3:$G$126,ROW()-1)),"")</f>
        <v/>
      </c>
      <c r="K851">
        <f>IF(J851="","",SUMPRODUCT(($A$2:$A$636=1)*($G$2:$G$636=J851)))</f>
        <v/>
      </c>
      <c r="L851">
        <f>IF(J851="","",SUMPRODUCT(($A$2:$A$636=1)*($G$2:$G$636=J851)*(ISNUMBER($B$2:$B$636))*($B$2:$B$636&lt;0.5)))</f>
        <v/>
      </c>
      <c r="M851">
        <f>IFERROR(L851/K851,"")</f>
        <v/>
      </c>
      <c r="N851">
        <f>IF(K851="","",M851+K851/100000+ROW()/100000000)</f>
        <v/>
      </c>
    </row>
    <row r="852">
      <c r="J852">
        <f>IFERROR(CHOOSE(MATCH(Dashboard!$B$11,{"Department","Team","Unit","Legal entity","Location","Lead"},0),INDEX(Lists!$B$3:$B$20,ROW()-1),INDEX(Lists!$C$3:$C$146,ROW()-1),INDEX(Lists!$D$3:$D$67,ROW()-1),INDEX(Lists!$E$3:$E$5,ROW()-1),INDEX(Lists!$F$3:$F$12,ROW()-1),INDEX(Lists!$G$3:$G$126,ROW()-1)),"")</f>
        <v/>
      </c>
      <c r="K852">
        <f>IF(J852="","",SUMPRODUCT(($A$2:$A$636=1)*($G$2:$G$636=J852)))</f>
        <v/>
      </c>
      <c r="L852">
        <f>IF(J852="","",SUMPRODUCT(($A$2:$A$636=1)*($G$2:$G$636=J852)*(ISNUMBER($B$2:$B$636))*($B$2:$B$636&lt;0.5)))</f>
        <v/>
      </c>
      <c r="M852">
        <f>IFERROR(L852/K852,"")</f>
        <v/>
      </c>
      <c r="N852">
        <f>IF(K852="","",M852+K852/100000+ROW()/100000000)</f>
        <v/>
      </c>
    </row>
    <row r="853">
      <c r="J853">
        <f>IFERROR(CHOOSE(MATCH(Dashboard!$B$11,{"Department","Team","Unit","Legal entity","Location","Lead"},0),INDEX(Lists!$B$3:$B$20,ROW()-1),INDEX(Lists!$C$3:$C$146,ROW()-1),INDEX(Lists!$D$3:$D$67,ROW()-1),INDEX(Lists!$E$3:$E$5,ROW()-1),INDEX(Lists!$F$3:$F$12,ROW()-1),INDEX(Lists!$G$3:$G$126,ROW()-1)),"")</f>
        <v/>
      </c>
      <c r="K853">
        <f>IF(J853="","",SUMPRODUCT(($A$2:$A$636=1)*($G$2:$G$636=J853)))</f>
        <v/>
      </c>
      <c r="L853">
        <f>IF(J853="","",SUMPRODUCT(($A$2:$A$636=1)*($G$2:$G$636=J853)*(ISNUMBER($B$2:$B$636))*($B$2:$B$636&lt;0.5)))</f>
        <v/>
      </c>
      <c r="M853">
        <f>IFERROR(L853/K853,"")</f>
        <v/>
      </c>
      <c r="N853">
        <f>IF(K853="","",M853+K853/100000+ROW()/100000000)</f>
        <v/>
      </c>
    </row>
    <row r="854">
      <c r="J854">
        <f>IFERROR(CHOOSE(MATCH(Dashboard!$B$11,{"Department","Team","Unit","Legal entity","Location","Lead"},0),INDEX(Lists!$B$3:$B$20,ROW()-1),INDEX(Lists!$C$3:$C$146,ROW()-1),INDEX(Lists!$D$3:$D$67,ROW()-1),INDEX(Lists!$E$3:$E$5,ROW()-1),INDEX(Lists!$F$3:$F$12,ROW()-1),INDEX(Lists!$G$3:$G$126,ROW()-1)),"")</f>
        <v/>
      </c>
      <c r="K854">
        <f>IF(J854="","",SUMPRODUCT(($A$2:$A$636=1)*($G$2:$G$636=J854)))</f>
        <v/>
      </c>
      <c r="L854">
        <f>IF(J854="","",SUMPRODUCT(($A$2:$A$636=1)*($G$2:$G$636=J854)*(ISNUMBER($B$2:$B$636))*($B$2:$B$636&lt;0.5)))</f>
        <v/>
      </c>
      <c r="M854">
        <f>IFERROR(L854/K854,"")</f>
        <v/>
      </c>
      <c r="N854">
        <f>IF(K854="","",M854+K854/100000+ROW()/100000000)</f>
        <v/>
      </c>
    </row>
    <row r="855">
      <c r="J855">
        <f>IFERROR(CHOOSE(MATCH(Dashboard!$B$11,{"Department","Team","Unit","Legal entity","Location","Lead"},0),INDEX(Lists!$B$3:$B$20,ROW()-1),INDEX(Lists!$C$3:$C$146,ROW()-1),INDEX(Lists!$D$3:$D$67,ROW()-1),INDEX(Lists!$E$3:$E$5,ROW()-1),INDEX(Lists!$F$3:$F$12,ROW()-1),INDEX(Lists!$G$3:$G$126,ROW()-1)),"")</f>
        <v/>
      </c>
      <c r="K855">
        <f>IF(J855="","",SUMPRODUCT(($A$2:$A$636=1)*($G$2:$G$636=J855)))</f>
        <v/>
      </c>
      <c r="L855">
        <f>IF(J855="","",SUMPRODUCT(($A$2:$A$636=1)*($G$2:$G$636=J855)*(ISNUMBER($B$2:$B$636))*($B$2:$B$636&lt;0.5)))</f>
        <v/>
      </c>
      <c r="M855">
        <f>IFERROR(L855/K855,"")</f>
        <v/>
      </c>
      <c r="N855">
        <f>IF(K855="","",M855+K855/100000+ROW()/100000000)</f>
        <v/>
      </c>
    </row>
    <row r="856">
      <c r="J856">
        <f>IFERROR(CHOOSE(MATCH(Dashboard!$B$11,{"Department","Team","Unit","Legal entity","Location","Lead"},0),INDEX(Lists!$B$3:$B$20,ROW()-1),INDEX(Lists!$C$3:$C$146,ROW()-1),INDEX(Lists!$D$3:$D$67,ROW()-1),INDEX(Lists!$E$3:$E$5,ROW()-1),INDEX(Lists!$F$3:$F$12,ROW()-1),INDEX(Lists!$G$3:$G$126,ROW()-1)),"")</f>
        <v/>
      </c>
      <c r="K856">
        <f>IF(J856="","",SUMPRODUCT(($A$2:$A$636=1)*($G$2:$G$636=J856)))</f>
        <v/>
      </c>
      <c r="L856">
        <f>IF(J856="","",SUMPRODUCT(($A$2:$A$636=1)*($G$2:$G$636=J856)*(ISNUMBER($B$2:$B$636))*($B$2:$B$636&lt;0.5)))</f>
        <v/>
      </c>
      <c r="M856">
        <f>IFERROR(L856/K856,"")</f>
        <v/>
      </c>
      <c r="N856">
        <f>IF(K856="","",M856+K856/100000+ROW()/100000000)</f>
        <v/>
      </c>
    </row>
    <row r="857">
      <c r="J857">
        <f>IFERROR(CHOOSE(MATCH(Dashboard!$B$11,{"Department","Team","Unit","Legal entity","Location","Lead"},0),INDEX(Lists!$B$3:$B$20,ROW()-1),INDEX(Lists!$C$3:$C$146,ROW()-1),INDEX(Lists!$D$3:$D$67,ROW()-1),INDEX(Lists!$E$3:$E$5,ROW()-1),INDEX(Lists!$F$3:$F$12,ROW()-1),INDEX(Lists!$G$3:$G$126,ROW()-1)),"")</f>
        <v/>
      </c>
      <c r="K857">
        <f>IF(J857="","",SUMPRODUCT(($A$2:$A$636=1)*($G$2:$G$636=J857)))</f>
        <v/>
      </c>
      <c r="L857">
        <f>IF(J857="","",SUMPRODUCT(($A$2:$A$636=1)*($G$2:$G$636=J857)*(ISNUMBER($B$2:$B$636))*($B$2:$B$636&lt;0.5)))</f>
        <v/>
      </c>
      <c r="M857">
        <f>IFERROR(L857/K857,"")</f>
        <v/>
      </c>
      <c r="N857">
        <f>IF(K857="","",M857+K857/100000+ROW()/100000000)</f>
        <v/>
      </c>
    </row>
    <row r="858">
      <c r="J858">
        <f>IFERROR(CHOOSE(MATCH(Dashboard!$B$11,{"Department","Team","Unit","Legal entity","Location","Lead"},0),INDEX(Lists!$B$3:$B$20,ROW()-1),INDEX(Lists!$C$3:$C$146,ROW()-1),INDEX(Lists!$D$3:$D$67,ROW()-1),INDEX(Lists!$E$3:$E$5,ROW()-1),INDEX(Lists!$F$3:$F$12,ROW()-1),INDEX(Lists!$G$3:$G$126,ROW()-1)),"")</f>
        <v/>
      </c>
      <c r="K858">
        <f>IF(J858="","",SUMPRODUCT(($A$2:$A$636=1)*($G$2:$G$636=J858)))</f>
        <v/>
      </c>
      <c r="L858">
        <f>IF(J858="","",SUMPRODUCT(($A$2:$A$636=1)*($G$2:$G$636=J858)*(ISNUMBER($B$2:$B$636))*($B$2:$B$636&lt;0.5)))</f>
        <v/>
      </c>
      <c r="M858">
        <f>IFERROR(L858/K858,"")</f>
        <v/>
      </c>
      <c r="N858">
        <f>IF(K858="","",M858+K858/100000+ROW()/100000000)</f>
        <v/>
      </c>
    </row>
    <row r="859">
      <c r="J859">
        <f>IFERROR(CHOOSE(MATCH(Dashboard!$B$11,{"Department","Team","Unit","Legal entity","Location","Lead"},0),INDEX(Lists!$B$3:$B$20,ROW()-1),INDEX(Lists!$C$3:$C$146,ROW()-1),INDEX(Lists!$D$3:$D$67,ROW()-1),INDEX(Lists!$E$3:$E$5,ROW()-1),INDEX(Lists!$F$3:$F$12,ROW()-1),INDEX(Lists!$G$3:$G$126,ROW()-1)),"")</f>
        <v/>
      </c>
      <c r="K859">
        <f>IF(J859="","",SUMPRODUCT(($A$2:$A$636=1)*($G$2:$G$636=J859)))</f>
        <v/>
      </c>
      <c r="L859">
        <f>IF(J859="","",SUMPRODUCT(($A$2:$A$636=1)*($G$2:$G$636=J859)*(ISNUMBER($B$2:$B$636))*($B$2:$B$636&lt;0.5)))</f>
        <v/>
      </c>
      <c r="M859">
        <f>IFERROR(L859/K859,"")</f>
        <v/>
      </c>
      <c r="N859">
        <f>IF(K859="","",M859+K859/100000+ROW()/100000000)</f>
        <v/>
      </c>
    </row>
    <row r="860">
      <c r="J860">
        <f>IFERROR(CHOOSE(MATCH(Dashboard!$B$11,{"Department","Team","Unit","Legal entity","Location","Lead"},0),INDEX(Lists!$B$3:$B$20,ROW()-1),INDEX(Lists!$C$3:$C$146,ROW()-1),INDEX(Lists!$D$3:$D$67,ROW()-1),INDEX(Lists!$E$3:$E$5,ROW()-1),INDEX(Lists!$F$3:$F$12,ROW()-1),INDEX(Lists!$G$3:$G$126,ROW()-1)),"")</f>
        <v/>
      </c>
      <c r="K860">
        <f>IF(J860="","",SUMPRODUCT(($A$2:$A$636=1)*($G$2:$G$636=J860)))</f>
        <v/>
      </c>
      <c r="L860">
        <f>IF(J860="","",SUMPRODUCT(($A$2:$A$636=1)*($G$2:$G$636=J860)*(ISNUMBER($B$2:$B$636))*($B$2:$B$636&lt;0.5)))</f>
        <v/>
      </c>
      <c r="M860">
        <f>IFERROR(L860/K860,"")</f>
        <v/>
      </c>
      <c r="N860">
        <f>IF(K860="","",M860+K860/100000+ROW()/100000000)</f>
        <v/>
      </c>
    </row>
    <row r="861">
      <c r="J861">
        <f>IFERROR(CHOOSE(MATCH(Dashboard!$B$11,{"Department","Team","Unit","Legal entity","Location","Lead"},0),INDEX(Lists!$B$3:$B$20,ROW()-1),INDEX(Lists!$C$3:$C$146,ROW()-1),INDEX(Lists!$D$3:$D$67,ROW()-1),INDEX(Lists!$E$3:$E$5,ROW()-1),INDEX(Lists!$F$3:$F$12,ROW()-1),INDEX(Lists!$G$3:$G$126,ROW()-1)),"")</f>
        <v/>
      </c>
      <c r="K861">
        <f>IF(J861="","",SUMPRODUCT(($A$2:$A$636=1)*($G$2:$G$636=J861)))</f>
        <v/>
      </c>
      <c r="L861">
        <f>IF(J861="","",SUMPRODUCT(($A$2:$A$636=1)*($G$2:$G$636=J861)*(ISNUMBER($B$2:$B$636))*($B$2:$B$636&lt;0.5)))</f>
        <v/>
      </c>
      <c r="M861">
        <f>IFERROR(L861/K861,"")</f>
        <v/>
      </c>
      <c r="N861">
        <f>IF(K861="","",M861+K861/100000+ROW()/100000000)</f>
        <v/>
      </c>
    </row>
    <row r="862">
      <c r="J862">
        <f>IFERROR(CHOOSE(MATCH(Dashboard!$B$11,{"Department","Team","Unit","Legal entity","Location","Lead"},0),INDEX(Lists!$B$3:$B$20,ROW()-1),INDEX(Lists!$C$3:$C$146,ROW()-1),INDEX(Lists!$D$3:$D$67,ROW()-1),INDEX(Lists!$E$3:$E$5,ROW()-1),INDEX(Lists!$F$3:$F$12,ROW()-1),INDEX(Lists!$G$3:$G$126,ROW()-1)),"")</f>
        <v/>
      </c>
      <c r="K862">
        <f>IF(J862="","",SUMPRODUCT(($A$2:$A$636=1)*($G$2:$G$636=J862)))</f>
        <v/>
      </c>
      <c r="L862">
        <f>IF(J862="","",SUMPRODUCT(($A$2:$A$636=1)*($G$2:$G$636=J862)*(ISNUMBER($B$2:$B$636))*($B$2:$B$636&lt;0.5)))</f>
        <v/>
      </c>
      <c r="M862">
        <f>IFERROR(L862/K862,"")</f>
        <v/>
      </c>
      <c r="N862">
        <f>IF(K862="","",M862+K862/100000+ROW()/100000000)</f>
        <v/>
      </c>
    </row>
    <row r="863">
      <c r="J863">
        <f>IFERROR(CHOOSE(MATCH(Dashboard!$B$11,{"Department","Team","Unit","Legal entity","Location","Lead"},0),INDEX(Lists!$B$3:$B$20,ROW()-1),INDEX(Lists!$C$3:$C$146,ROW()-1),INDEX(Lists!$D$3:$D$67,ROW()-1),INDEX(Lists!$E$3:$E$5,ROW()-1),INDEX(Lists!$F$3:$F$12,ROW()-1),INDEX(Lists!$G$3:$G$126,ROW()-1)),"")</f>
        <v/>
      </c>
      <c r="K863">
        <f>IF(J863="","",SUMPRODUCT(($A$2:$A$636=1)*($G$2:$G$636=J863)))</f>
        <v/>
      </c>
      <c r="L863">
        <f>IF(J863="","",SUMPRODUCT(($A$2:$A$636=1)*($G$2:$G$636=J863)*(ISNUMBER($B$2:$B$636))*($B$2:$B$636&lt;0.5)))</f>
        <v/>
      </c>
      <c r="M863">
        <f>IFERROR(L863/K863,"")</f>
        <v/>
      </c>
      <c r="N863">
        <f>IF(K863="","",M863+K863/100000+ROW()/100000000)</f>
        <v/>
      </c>
    </row>
    <row r="864">
      <c r="J864">
        <f>IFERROR(CHOOSE(MATCH(Dashboard!$B$11,{"Department","Team","Unit","Legal entity","Location","Lead"},0),INDEX(Lists!$B$3:$B$20,ROW()-1),INDEX(Lists!$C$3:$C$146,ROW()-1),INDEX(Lists!$D$3:$D$67,ROW()-1),INDEX(Lists!$E$3:$E$5,ROW()-1),INDEX(Lists!$F$3:$F$12,ROW()-1),INDEX(Lists!$G$3:$G$126,ROW()-1)),"")</f>
        <v/>
      </c>
      <c r="K864">
        <f>IF(J864="","",SUMPRODUCT(($A$2:$A$636=1)*($G$2:$G$636=J864)))</f>
        <v/>
      </c>
      <c r="L864">
        <f>IF(J864="","",SUMPRODUCT(($A$2:$A$636=1)*($G$2:$G$636=J864)*(ISNUMBER($B$2:$B$636))*($B$2:$B$636&lt;0.5)))</f>
        <v/>
      </c>
      <c r="M864">
        <f>IFERROR(L864/K864,"")</f>
        <v/>
      </c>
      <c r="N864">
        <f>IF(K864="","",M864+K864/100000+ROW()/100000000)</f>
        <v/>
      </c>
    </row>
    <row r="865">
      <c r="J865">
        <f>IFERROR(CHOOSE(MATCH(Dashboard!$B$11,{"Department","Team","Unit","Legal entity","Location","Lead"},0),INDEX(Lists!$B$3:$B$20,ROW()-1),INDEX(Lists!$C$3:$C$146,ROW()-1),INDEX(Lists!$D$3:$D$67,ROW()-1),INDEX(Lists!$E$3:$E$5,ROW()-1),INDEX(Lists!$F$3:$F$12,ROW()-1),INDEX(Lists!$G$3:$G$126,ROW()-1)),"")</f>
        <v/>
      </c>
      <c r="K865">
        <f>IF(J865="","",SUMPRODUCT(($A$2:$A$636=1)*($G$2:$G$636=J865)))</f>
        <v/>
      </c>
      <c r="L865">
        <f>IF(J865="","",SUMPRODUCT(($A$2:$A$636=1)*($G$2:$G$636=J865)*(ISNUMBER($B$2:$B$636))*($B$2:$B$636&lt;0.5)))</f>
        <v/>
      </c>
      <c r="M865">
        <f>IFERROR(L865/K865,"")</f>
        <v/>
      </c>
      <c r="N865">
        <f>IF(K865="","",M865+K865/100000+ROW()/100000000)</f>
        <v/>
      </c>
    </row>
    <row r="866">
      <c r="J866">
        <f>IFERROR(CHOOSE(MATCH(Dashboard!$B$11,{"Department","Team","Unit","Legal entity","Location","Lead"},0),INDEX(Lists!$B$3:$B$20,ROW()-1),INDEX(Lists!$C$3:$C$146,ROW()-1),INDEX(Lists!$D$3:$D$67,ROW()-1),INDEX(Lists!$E$3:$E$5,ROW()-1),INDEX(Lists!$F$3:$F$12,ROW()-1),INDEX(Lists!$G$3:$G$126,ROW()-1)),"")</f>
        <v/>
      </c>
      <c r="K866">
        <f>IF(J866="","",SUMPRODUCT(($A$2:$A$636=1)*($G$2:$G$636=J866)))</f>
        <v/>
      </c>
      <c r="L866">
        <f>IF(J866="","",SUMPRODUCT(($A$2:$A$636=1)*($G$2:$G$636=J866)*(ISNUMBER($B$2:$B$636))*($B$2:$B$636&lt;0.5)))</f>
        <v/>
      </c>
      <c r="M866">
        <f>IFERROR(L866/K866,"")</f>
        <v/>
      </c>
      <c r="N866">
        <f>IF(K866="","",M866+K866/100000+ROW()/100000000)</f>
        <v/>
      </c>
    </row>
    <row r="867">
      <c r="J867">
        <f>IFERROR(CHOOSE(MATCH(Dashboard!$B$11,{"Department","Team","Unit","Legal entity","Location","Lead"},0),INDEX(Lists!$B$3:$B$20,ROW()-1),INDEX(Lists!$C$3:$C$146,ROW()-1),INDEX(Lists!$D$3:$D$67,ROW()-1),INDEX(Lists!$E$3:$E$5,ROW()-1),INDEX(Lists!$F$3:$F$12,ROW()-1),INDEX(Lists!$G$3:$G$126,ROW()-1)),"")</f>
        <v/>
      </c>
      <c r="K867">
        <f>IF(J867="","",SUMPRODUCT(($A$2:$A$636=1)*($G$2:$G$636=J867)))</f>
        <v/>
      </c>
      <c r="L867">
        <f>IF(J867="","",SUMPRODUCT(($A$2:$A$636=1)*($G$2:$G$636=J867)*(ISNUMBER($B$2:$B$636))*($B$2:$B$636&lt;0.5)))</f>
        <v/>
      </c>
      <c r="M867">
        <f>IFERROR(L867/K867,"")</f>
        <v/>
      </c>
      <c r="N867">
        <f>IF(K867="","",M867+K867/100000+ROW()/100000000)</f>
        <v/>
      </c>
    </row>
    <row r="868">
      <c r="J868">
        <f>IFERROR(CHOOSE(MATCH(Dashboard!$B$11,{"Department","Team","Unit","Legal entity","Location","Lead"},0),INDEX(Lists!$B$3:$B$20,ROW()-1),INDEX(Lists!$C$3:$C$146,ROW()-1),INDEX(Lists!$D$3:$D$67,ROW()-1),INDEX(Lists!$E$3:$E$5,ROW()-1),INDEX(Lists!$F$3:$F$12,ROW()-1),INDEX(Lists!$G$3:$G$126,ROW()-1)),"")</f>
        <v/>
      </c>
      <c r="K868">
        <f>IF(J868="","",SUMPRODUCT(($A$2:$A$636=1)*($G$2:$G$636=J868)))</f>
        <v/>
      </c>
      <c r="L868">
        <f>IF(J868="","",SUMPRODUCT(($A$2:$A$636=1)*($G$2:$G$636=J868)*(ISNUMBER($B$2:$B$636))*($B$2:$B$636&lt;0.5)))</f>
        <v/>
      </c>
      <c r="M868">
        <f>IFERROR(L868/K868,"")</f>
        <v/>
      </c>
      <c r="N868">
        <f>IF(K868="","",M868+K868/100000+ROW()/100000000)</f>
        <v/>
      </c>
    </row>
    <row r="869">
      <c r="J869">
        <f>IFERROR(CHOOSE(MATCH(Dashboard!$B$11,{"Department","Team","Unit","Legal entity","Location","Lead"},0),INDEX(Lists!$B$3:$B$20,ROW()-1),INDEX(Lists!$C$3:$C$146,ROW()-1),INDEX(Lists!$D$3:$D$67,ROW()-1),INDEX(Lists!$E$3:$E$5,ROW()-1),INDEX(Lists!$F$3:$F$12,ROW()-1),INDEX(Lists!$G$3:$G$126,ROW()-1)),"")</f>
        <v/>
      </c>
      <c r="K869">
        <f>IF(J869="","",SUMPRODUCT(($A$2:$A$636=1)*($G$2:$G$636=J869)))</f>
        <v/>
      </c>
      <c r="L869">
        <f>IF(J869="","",SUMPRODUCT(($A$2:$A$636=1)*($G$2:$G$636=J869)*(ISNUMBER($B$2:$B$636))*($B$2:$B$636&lt;0.5)))</f>
        <v/>
      </c>
      <c r="M869">
        <f>IFERROR(L869/K869,"")</f>
        <v/>
      </c>
      <c r="N869">
        <f>IF(K869="","",M869+K869/100000+ROW()/100000000)</f>
        <v/>
      </c>
    </row>
    <row r="870">
      <c r="J870">
        <f>IFERROR(CHOOSE(MATCH(Dashboard!$B$11,{"Department","Team","Unit","Legal entity","Location","Lead"},0),INDEX(Lists!$B$3:$B$20,ROW()-1),INDEX(Lists!$C$3:$C$146,ROW()-1),INDEX(Lists!$D$3:$D$67,ROW()-1),INDEX(Lists!$E$3:$E$5,ROW()-1),INDEX(Lists!$F$3:$F$12,ROW()-1),INDEX(Lists!$G$3:$G$126,ROW()-1)),"")</f>
        <v/>
      </c>
      <c r="K870">
        <f>IF(J870="","",SUMPRODUCT(($A$2:$A$636=1)*($G$2:$G$636=J870)))</f>
        <v/>
      </c>
      <c r="L870">
        <f>IF(J870="","",SUMPRODUCT(($A$2:$A$636=1)*($G$2:$G$636=J870)*(ISNUMBER($B$2:$B$636))*($B$2:$B$636&lt;0.5)))</f>
        <v/>
      </c>
      <c r="M870">
        <f>IFERROR(L870/K870,"")</f>
        <v/>
      </c>
      <c r="N870">
        <f>IF(K870="","",M870+K870/100000+ROW()/100000000)</f>
        <v/>
      </c>
    </row>
    <row r="871">
      <c r="J871">
        <f>IFERROR(CHOOSE(MATCH(Dashboard!$B$11,{"Department","Team","Unit","Legal entity","Location","Lead"},0),INDEX(Lists!$B$3:$B$20,ROW()-1),INDEX(Lists!$C$3:$C$146,ROW()-1),INDEX(Lists!$D$3:$D$67,ROW()-1),INDEX(Lists!$E$3:$E$5,ROW()-1),INDEX(Lists!$F$3:$F$12,ROW()-1),INDEX(Lists!$G$3:$G$126,ROW()-1)),"")</f>
        <v/>
      </c>
      <c r="K871">
        <f>IF(J871="","",SUMPRODUCT(($A$2:$A$636=1)*($G$2:$G$636=J871)))</f>
        <v/>
      </c>
      <c r="L871">
        <f>IF(J871="","",SUMPRODUCT(($A$2:$A$636=1)*($G$2:$G$636=J871)*(ISNUMBER($B$2:$B$636))*($B$2:$B$636&lt;0.5)))</f>
        <v/>
      </c>
      <c r="M871">
        <f>IFERROR(L871/K871,"")</f>
        <v/>
      </c>
      <c r="N871">
        <f>IF(K871="","",M871+K871/100000+ROW()/100000000)</f>
        <v/>
      </c>
    </row>
    <row r="872">
      <c r="J872">
        <f>IFERROR(CHOOSE(MATCH(Dashboard!$B$11,{"Department","Team","Unit","Legal entity","Location","Lead"},0),INDEX(Lists!$B$3:$B$20,ROW()-1),INDEX(Lists!$C$3:$C$146,ROW()-1),INDEX(Lists!$D$3:$D$67,ROW()-1),INDEX(Lists!$E$3:$E$5,ROW()-1),INDEX(Lists!$F$3:$F$12,ROW()-1),INDEX(Lists!$G$3:$G$126,ROW()-1)),"")</f>
        <v/>
      </c>
      <c r="K872">
        <f>IF(J872="","",SUMPRODUCT(($A$2:$A$636=1)*($G$2:$G$636=J872)))</f>
        <v/>
      </c>
      <c r="L872">
        <f>IF(J872="","",SUMPRODUCT(($A$2:$A$636=1)*($G$2:$G$636=J872)*(ISNUMBER($B$2:$B$636))*($B$2:$B$636&lt;0.5)))</f>
        <v/>
      </c>
      <c r="M872">
        <f>IFERROR(L872/K872,"")</f>
        <v/>
      </c>
      <c r="N872">
        <f>IF(K872="","",M872+K872/100000+ROW()/100000000)</f>
        <v/>
      </c>
    </row>
    <row r="873">
      <c r="J873">
        <f>IFERROR(CHOOSE(MATCH(Dashboard!$B$11,{"Department","Team","Unit","Legal entity","Location","Lead"},0),INDEX(Lists!$B$3:$B$20,ROW()-1),INDEX(Lists!$C$3:$C$146,ROW()-1),INDEX(Lists!$D$3:$D$67,ROW()-1),INDEX(Lists!$E$3:$E$5,ROW()-1),INDEX(Lists!$F$3:$F$12,ROW()-1),INDEX(Lists!$G$3:$G$126,ROW()-1)),"")</f>
        <v/>
      </c>
      <c r="K873">
        <f>IF(J873="","",SUMPRODUCT(($A$2:$A$636=1)*($G$2:$G$636=J873)))</f>
        <v/>
      </c>
      <c r="L873">
        <f>IF(J873="","",SUMPRODUCT(($A$2:$A$636=1)*($G$2:$G$636=J873)*(ISNUMBER($B$2:$B$636))*($B$2:$B$636&lt;0.5)))</f>
        <v/>
      </c>
      <c r="M873">
        <f>IFERROR(L873/K873,"")</f>
        <v/>
      </c>
      <c r="N873">
        <f>IF(K873="","",M873+K873/100000+ROW()/100000000)</f>
        <v/>
      </c>
    </row>
    <row r="874">
      <c r="J874">
        <f>IFERROR(CHOOSE(MATCH(Dashboard!$B$11,{"Department","Team","Unit","Legal entity","Location","Lead"},0),INDEX(Lists!$B$3:$B$20,ROW()-1),INDEX(Lists!$C$3:$C$146,ROW()-1),INDEX(Lists!$D$3:$D$67,ROW()-1),INDEX(Lists!$E$3:$E$5,ROW()-1),INDEX(Lists!$F$3:$F$12,ROW()-1),INDEX(Lists!$G$3:$G$126,ROW()-1)),"")</f>
        <v/>
      </c>
      <c r="K874">
        <f>IF(J874="","",SUMPRODUCT(($A$2:$A$636=1)*($G$2:$G$636=J874)))</f>
        <v/>
      </c>
      <c r="L874">
        <f>IF(J874="","",SUMPRODUCT(($A$2:$A$636=1)*($G$2:$G$636=J874)*(ISNUMBER($B$2:$B$636))*($B$2:$B$636&lt;0.5)))</f>
        <v/>
      </c>
      <c r="M874">
        <f>IFERROR(L874/K874,"")</f>
        <v/>
      </c>
      <c r="N874">
        <f>IF(K874="","",M874+K874/100000+ROW()/100000000)</f>
        <v/>
      </c>
    </row>
    <row r="875">
      <c r="J875">
        <f>IFERROR(CHOOSE(MATCH(Dashboard!$B$11,{"Department","Team","Unit","Legal entity","Location","Lead"},0),INDEX(Lists!$B$3:$B$20,ROW()-1),INDEX(Lists!$C$3:$C$146,ROW()-1),INDEX(Lists!$D$3:$D$67,ROW()-1),INDEX(Lists!$E$3:$E$5,ROW()-1),INDEX(Lists!$F$3:$F$12,ROW()-1),INDEX(Lists!$G$3:$G$126,ROW()-1)),"")</f>
        <v/>
      </c>
      <c r="K875">
        <f>IF(J875="","",SUMPRODUCT(($A$2:$A$636=1)*($G$2:$G$636=J875)))</f>
        <v/>
      </c>
      <c r="L875">
        <f>IF(J875="","",SUMPRODUCT(($A$2:$A$636=1)*($G$2:$G$636=J875)*(ISNUMBER($B$2:$B$636))*($B$2:$B$636&lt;0.5)))</f>
        <v/>
      </c>
      <c r="M875">
        <f>IFERROR(L875/K875,"")</f>
        <v/>
      </c>
      <c r="N875">
        <f>IF(K875="","",M875+K875/100000+ROW()/100000000)</f>
        <v/>
      </c>
    </row>
    <row r="876">
      <c r="J876">
        <f>IFERROR(CHOOSE(MATCH(Dashboard!$B$11,{"Department","Team","Unit","Legal entity","Location","Lead"},0),INDEX(Lists!$B$3:$B$20,ROW()-1),INDEX(Lists!$C$3:$C$146,ROW()-1),INDEX(Lists!$D$3:$D$67,ROW()-1),INDEX(Lists!$E$3:$E$5,ROW()-1),INDEX(Lists!$F$3:$F$12,ROW()-1),INDEX(Lists!$G$3:$G$126,ROW()-1)),"")</f>
        <v/>
      </c>
      <c r="K876">
        <f>IF(J876="","",SUMPRODUCT(($A$2:$A$636=1)*($G$2:$G$636=J876)))</f>
        <v/>
      </c>
      <c r="L876">
        <f>IF(J876="","",SUMPRODUCT(($A$2:$A$636=1)*($G$2:$G$636=J876)*(ISNUMBER($B$2:$B$636))*($B$2:$B$636&lt;0.5)))</f>
        <v/>
      </c>
      <c r="M876">
        <f>IFERROR(L876/K876,"")</f>
        <v/>
      </c>
      <c r="N876">
        <f>IF(K876="","",M876+K876/100000+ROW()/100000000)</f>
        <v/>
      </c>
    </row>
    <row r="877">
      <c r="J877">
        <f>IFERROR(CHOOSE(MATCH(Dashboard!$B$11,{"Department","Team","Unit","Legal entity","Location","Lead"},0),INDEX(Lists!$B$3:$B$20,ROW()-1),INDEX(Lists!$C$3:$C$146,ROW()-1),INDEX(Lists!$D$3:$D$67,ROW()-1),INDEX(Lists!$E$3:$E$5,ROW()-1),INDEX(Lists!$F$3:$F$12,ROW()-1),INDEX(Lists!$G$3:$G$126,ROW()-1)),"")</f>
        <v/>
      </c>
      <c r="K877">
        <f>IF(J877="","",SUMPRODUCT(($A$2:$A$636=1)*($G$2:$G$636=J877)))</f>
        <v/>
      </c>
      <c r="L877">
        <f>IF(J877="","",SUMPRODUCT(($A$2:$A$636=1)*($G$2:$G$636=J877)*(ISNUMBER($B$2:$B$636))*($B$2:$B$636&lt;0.5)))</f>
        <v/>
      </c>
      <c r="M877">
        <f>IFERROR(L877/K877,"")</f>
        <v/>
      </c>
      <c r="N877">
        <f>IF(K877="","",M877+K877/100000+ROW()/100000000)</f>
        <v/>
      </c>
    </row>
    <row r="878">
      <c r="J878">
        <f>IFERROR(CHOOSE(MATCH(Dashboard!$B$11,{"Department","Team","Unit","Legal entity","Location","Lead"},0),INDEX(Lists!$B$3:$B$20,ROW()-1),INDEX(Lists!$C$3:$C$146,ROW()-1),INDEX(Lists!$D$3:$D$67,ROW()-1),INDEX(Lists!$E$3:$E$5,ROW()-1),INDEX(Lists!$F$3:$F$12,ROW()-1),INDEX(Lists!$G$3:$G$126,ROW()-1)),"")</f>
        <v/>
      </c>
      <c r="K878">
        <f>IF(J878="","",SUMPRODUCT(($A$2:$A$636=1)*($G$2:$G$636=J878)))</f>
        <v/>
      </c>
      <c r="L878">
        <f>IF(J878="","",SUMPRODUCT(($A$2:$A$636=1)*($G$2:$G$636=J878)*(ISNUMBER($B$2:$B$636))*($B$2:$B$636&lt;0.5)))</f>
        <v/>
      </c>
      <c r="M878">
        <f>IFERROR(L878/K878,"")</f>
        <v/>
      </c>
      <c r="N878">
        <f>IF(K878="","",M878+K878/100000+ROW()/100000000)</f>
        <v/>
      </c>
    </row>
    <row r="879">
      <c r="J879">
        <f>IFERROR(CHOOSE(MATCH(Dashboard!$B$11,{"Department","Team","Unit","Legal entity","Location","Lead"},0),INDEX(Lists!$B$3:$B$20,ROW()-1),INDEX(Lists!$C$3:$C$146,ROW()-1),INDEX(Lists!$D$3:$D$67,ROW()-1),INDEX(Lists!$E$3:$E$5,ROW()-1),INDEX(Lists!$F$3:$F$12,ROW()-1),INDEX(Lists!$G$3:$G$126,ROW()-1)),"")</f>
        <v/>
      </c>
      <c r="K879">
        <f>IF(J879="","",SUMPRODUCT(($A$2:$A$636=1)*($G$2:$G$636=J879)))</f>
        <v/>
      </c>
      <c r="L879">
        <f>IF(J879="","",SUMPRODUCT(($A$2:$A$636=1)*($G$2:$G$636=J879)*(ISNUMBER($B$2:$B$636))*($B$2:$B$636&lt;0.5)))</f>
        <v/>
      </c>
      <c r="M879">
        <f>IFERROR(L879/K879,"")</f>
        <v/>
      </c>
      <c r="N879">
        <f>IF(K879="","",M879+K879/100000+ROW()/100000000)</f>
        <v/>
      </c>
    </row>
    <row r="880">
      <c r="J880">
        <f>IFERROR(CHOOSE(MATCH(Dashboard!$B$11,{"Department","Team","Unit","Legal entity","Location","Lead"},0),INDEX(Lists!$B$3:$B$20,ROW()-1),INDEX(Lists!$C$3:$C$146,ROW()-1),INDEX(Lists!$D$3:$D$67,ROW()-1),INDEX(Lists!$E$3:$E$5,ROW()-1),INDEX(Lists!$F$3:$F$12,ROW()-1),INDEX(Lists!$G$3:$G$126,ROW()-1)),"")</f>
        <v/>
      </c>
      <c r="K880">
        <f>IF(J880="","",SUMPRODUCT(($A$2:$A$636=1)*($G$2:$G$636=J880)))</f>
        <v/>
      </c>
      <c r="L880">
        <f>IF(J880="","",SUMPRODUCT(($A$2:$A$636=1)*($G$2:$G$636=J880)*(ISNUMBER($B$2:$B$636))*($B$2:$B$636&lt;0.5)))</f>
        <v/>
      </c>
      <c r="M880">
        <f>IFERROR(L880/K880,"")</f>
        <v/>
      </c>
      <c r="N880">
        <f>IF(K880="","",M880+K880/100000+ROW()/100000000)</f>
        <v/>
      </c>
    </row>
    <row r="881">
      <c r="J881">
        <f>IFERROR(CHOOSE(MATCH(Dashboard!$B$11,{"Department","Team","Unit","Legal entity","Location","Lead"},0),INDEX(Lists!$B$3:$B$20,ROW()-1),INDEX(Lists!$C$3:$C$146,ROW()-1),INDEX(Lists!$D$3:$D$67,ROW()-1),INDEX(Lists!$E$3:$E$5,ROW()-1),INDEX(Lists!$F$3:$F$12,ROW()-1),INDEX(Lists!$G$3:$G$126,ROW()-1)),"")</f>
        <v/>
      </c>
      <c r="K881">
        <f>IF(J881="","",SUMPRODUCT(($A$2:$A$636=1)*($G$2:$G$636=J881)))</f>
        <v/>
      </c>
      <c r="L881">
        <f>IF(J881="","",SUMPRODUCT(($A$2:$A$636=1)*($G$2:$G$636=J881)*(ISNUMBER($B$2:$B$636))*($B$2:$B$636&lt;0.5)))</f>
        <v/>
      </c>
      <c r="M881">
        <f>IFERROR(L881/K881,"")</f>
        <v/>
      </c>
      <c r="N881">
        <f>IF(K881="","",M881+K881/100000+ROW()/100000000)</f>
        <v/>
      </c>
    </row>
    <row r="882">
      <c r="J882">
        <f>IFERROR(CHOOSE(MATCH(Dashboard!$B$11,{"Department","Team","Unit","Legal entity","Location","Lead"},0),INDEX(Lists!$B$3:$B$20,ROW()-1),INDEX(Lists!$C$3:$C$146,ROW()-1),INDEX(Lists!$D$3:$D$67,ROW()-1),INDEX(Lists!$E$3:$E$5,ROW()-1),INDEX(Lists!$F$3:$F$12,ROW()-1),INDEX(Lists!$G$3:$G$126,ROW()-1)),"")</f>
        <v/>
      </c>
      <c r="K882">
        <f>IF(J882="","",SUMPRODUCT(($A$2:$A$636=1)*($G$2:$G$636=J882)))</f>
        <v/>
      </c>
      <c r="L882">
        <f>IF(J882="","",SUMPRODUCT(($A$2:$A$636=1)*($G$2:$G$636=J882)*(ISNUMBER($B$2:$B$636))*($B$2:$B$636&lt;0.5)))</f>
        <v/>
      </c>
      <c r="M882">
        <f>IFERROR(L882/K882,"")</f>
        <v/>
      </c>
      <c r="N882">
        <f>IF(K882="","",M882+K882/100000+ROW()/100000000)</f>
        <v/>
      </c>
    </row>
    <row r="883">
      <c r="J883">
        <f>IFERROR(CHOOSE(MATCH(Dashboard!$B$11,{"Department","Team","Unit","Legal entity","Location","Lead"},0),INDEX(Lists!$B$3:$B$20,ROW()-1),INDEX(Lists!$C$3:$C$146,ROW()-1),INDEX(Lists!$D$3:$D$67,ROW()-1),INDEX(Lists!$E$3:$E$5,ROW()-1),INDEX(Lists!$F$3:$F$12,ROW()-1),INDEX(Lists!$G$3:$G$126,ROW()-1)),"")</f>
        <v/>
      </c>
      <c r="K883">
        <f>IF(J883="","",SUMPRODUCT(($A$2:$A$636=1)*($G$2:$G$636=J883)))</f>
        <v/>
      </c>
      <c r="L883">
        <f>IF(J883="","",SUMPRODUCT(($A$2:$A$636=1)*($G$2:$G$636=J883)*(ISNUMBER($B$2:$B$636))*($B$2:$B$636&lt;0.5)))</f>
        <v/>
      </c>
      <c r="M883">
        <f>IFERROR(L883/K883,"")</f>
        <v/>
      </c>
      <c r="N883">
        <f>IF(K883="","",M883+K883/100000+ROW()/100000000)</f>
        <v/>
      </c>
    </row>
    <row r="884">
      <c r="J884">
        <f>IFERROR(CHOOSE(MATCH(Dashboard!$B$11,{"Department","Team","Unit","Legal entity","Location","Lead"},0),INDEX(Lists!$B$3:$B$20,ROW()-1),INDEX(Lists!$C$3:$C$146,ROW()-1),INDEX(Lists!$D$3:$D$67,ROW()-1),INDEX(Lists!$E$3:$E$5,ROW()-1),INDEX(Lists!$F$3:$F$12,ROW()-1),INDEX(Lists!$G$3:$G$126,ROW()-1)),"")</f>
        <v/>
      </c>
      <c r="K884">
        <f>IF(J884="","",SUMPRODUCT(($A$2:$A$636=1)*($G$2:$G$636=J884)))</f>
        <v/>
      </c>
      <c r="L884">
        <f>IF(J884="","",SUMPRODUCT(($A$2:$A$636=1)*($G$2:$G$636=J884)*(ISNUMBER($B$2:$B$636))*($B$2:$B$636&lt;0.5)))</f>
        <v/>
      </c>
      <c r="M884">
        <f>IFERROR(L884/K884,"")</f>
        <v/>
      </c>
      <c r="N884">
        <f>IF(K884="","",M884+K884/100000+ROW()/100000000)</f>
        <v/>
      </c>
    </row>
    <row r="885">
      <c r="J885">
        <f>IFERROR(CHOOSE(MATCH(Dashboard!$B$11,{"Department","Team","Unit","Legal entity","Location","Lead"},0),INDEX(Lists!$B$3:$B$20,ROW()-1),INDEX(Lists!$C$3:$C$146,ROW()-1),INDEX(Lists!$D$3:$D$67,ROW()-1),INDEX(Lists!$E$3:$E$5,ROW()-1),INDEX(Lists!$F$3:$F$12,ROW()-1),INDEX(Lists!$G$3:$G$126,ROW()-1)),"")</f>
        <v/>
      </c>
      <c r="K885">
        <f>IF(J885="","",SUMPRODUCT(($A$2:$A$636=1)*($G$2:$G$636=J885)))</f>
        <v/>
      </c>
      <c r="L885">
        <f>IF(J885="","",SUMPRODUCT(($A$2:$A$636=1)*($G$2:$G$636=J885)*(ISNUMBER($B$2:$B$636))*($B$2:$B$636&lt;0.5)))</f>
        <v/>
      </c>
      <c r="M885">
        <f>IFERROR(L885/K885,"")</f>
        <v/>
      </c>
      <c r="N885">
        <f>IF(K885="","",M885+K885/100000+ROW()/100000000)</f>
        <v/>
      </c>
    </row>
    <row r="886">
      <c r="J886">
        <f>IFERROR(CHOOSE(MATCH(Dashboard!$B$11,{"Department","Team","Unit","Legal entity","Location","Lead"},0),INDEX(Lists!$B$3:$B$20,ROW()-1),INDEX(Lists!$C$3:$C$146,ROW()-1),INDEX(Lists!$D$3:$D$67,ROW()-1),INDEX(Lists!$E$3:$E$5,ROW()-1),INDEX(Lists!$F$3:$F$12,ROW()-1),INDEX(Lists!$G$3:$G$126,ROW()-1)),"")</f>
        <v/>
      </c>
      <c r="K886">
        <f>IF(J886="","",SUMPRODUCT(($A$2:$A$636=1)*($G$2:$G$636=J886)))</f>
        <v/>
      </c>
      <c r="L886">
        <f>IF(J886="","",SUMPRODUCT(($A$2:$A$636=1)*($G$2:$G$636=J886)*(ISNUMBER($B$2:$B$636))*($B$2:$B$636&lt;0.5)))</f>
        <v/>
      </c>
      <c r="M886">
        <f>IFERROR(L886/K886,"")</f>
        <v/>
      </c>
      <c r="N886">
        <f>IF(K886="","",M886+K886/100000+ROW()/100000000)</f>
        <v/>
      </c>
    </row>
    <row r="887">
      <c r="J887">
        <f>IFERROR(CHOOSE(MATCH(Dashboard!$B$11,{"Department","Team","Unit","Legal entity","Location","Lead"},0),INDEX(Lists!$B$3:$B$20,ROW()-1),INDEX(Lists!$C$3:$C$146,ROW()-1),INDEX(Lists!$D$3:$D$67,ROW()-1),INDEX(Lists!$E$3:$E$5,ROW()-1),INDEX(Lists!$F$3:$F$12,ROW()-1),INDEX(Lists!$G$3:$G$126,ROW()-1)),"")</f>
        <v/>
      </c>
      <c r="K887">
        <f>IF(J887="","",SUMPRODUCT(($A$2:$A$636=1)*($G$2:$G$636=J887)))</f>
        <v/>
      </c>
      <c r="L887">
        <f>IF(J887="","",SUMPRODUCT(($A$2:$A$636=1)*($G$2:$G$636=J887)*(ISNUMBER($B$2:$B$636))*($B$2:$B$636&lt;0.5)))</f>
        <v/>
      </c>
      <c r="M887">
        <f>IFERROR(L887/K887,"")</f>
        <v/>
      </c>
      <c r="N887">
        <f>IF(K887="","",M887+K887/100000+ROW()/100000000)</f>
        <v/>
      </c>
    </row>
    <row r="888">
      <c r="J888">
        <f>IFERROR(CHOOSE(MATCH(Dashboard!$B$11,{"Department","Team","Unit","Legal entity","Location","Lead"},0),INDEX(Lists!$B$3:$B$20,ROW()-1),INDEX(Lists!$C$3:$C$146,ROW()-1),INDEX(Lists!$D$3:$D$67,ROW()-1),INDEX(Lists!$E$3:$E$5,ROW()-1),INDEX(Lists!$F$3:$F$12,ROW()-1),INDEX(Lists!$G$3:$G$126,ROW()-1)),"")</f>
        <v/>
      </c>
      <c r="K888">
        <f>IF(J888="","",SUMPRODUCT(($A$2:$A$636=1)*($G$2:$G$636=J888)))</f>
        <v/>
      </c>
      <c r="L888">
        <f>IF(J888="","",SUMPRODUCT(($A$2:$A$636=1)*($G$2:$G$636=J888)*(ISNUMBER($B$2:$B$636))*($B$2:$B$636&lt;0.5)))</f>
        <v/>
      </c>
      <c r="M888">
        <f>IFERROR(L888/K888,"")</f>
        <v/>
      </c>
      <c r="N888">
        <f>IF(K888="","",M888+K888/100000+ROW()/100000000)</f>
        <v/>
      </c>
    </row>
    <row r="889">
      <c r="J889">
        <f>IFERROR(CHOOSE(MATCH(Dashboard!$B$11,{"Department","Team","Unit","Legal entity","Location","Lead"},0),INDEX(Lists!$B$3:$B$20,ROW()-1),INDEX(Lists!$C$3:$C$146,ROW()-1),INDEX(Lists!$D$3:$D$67,ROW()-1),INDEX(Lists!$E$3:$E$5,ROW()-1),INDEX(Lists!$F$3:$F$12,ROW()-1),INDEX(Lists!$G$3:$G$126,ROW()-1)),"")</f>
        <v/>
      </c>
      <c r="K889">
        <f>IF(J889="","",SUMPRODUCT(($A$2:$A$636=1)*($G$2:$G$636=J889)))</f>
        <v/>
      </c>
      <c r="L889">
        <f>IF(J889="","",SUMPRODUCT(($A$2:$A$636=1)*($G$2:$G$636=J889)*(ISNUMBER($B$2:$B$636))*($B$2:$B$636&lt;0.5)))</f>
        <v/>
      </c>
      <c r="M889">
        <f>IFERROR(L889/K889,"")</f>
        <v/>
      </c>
      <c r="N889">
        <f>IF(K889="","",M889+K889/100000+ROW()/100000000)</f>
        <v/>
      </c>
    </row>
    <row r="890">
      <c r="J890">
        <f>IFERROR(CHOOSE(MATCH(Dashboard!$B$11,{"Department","Team","Unit","Legal entity","Location","Lead"},0),INDEX(Lists!$B$3:$B$20,ROW()-1),INDEX(Lists!$C$3:$C$146,ROW()-1),INDEX(Lists!$D$3:$D$67,ROW()-1),INDEX(Lists!$E$3:$E$5,ROW()-1),INDEX(Lists!$F$3:$F$12,ROW()-1),INDEX(Lists!$G$3:$G$126,ROW()-1)),"")</f>
        <v/>
      </c>
      <c r="K890">
        <f>IF(J890="","",SUMPRODUCT(($A$2:$A$636=1)*($G$2:$G$636=J890)))</f>
        <v/>
      </c>
      <c r="L890">
        <f>IF(J890="","",SUMPRODUCT(($A$2:$A$636=1)*($G$2:$G$636=J890)*(ISNUMBER($B$2:$B$636))*($B$2:$B$636&lt;0.5)))</f>
        <v/>
      </c>
      <c r="M890">
        <f>IFERROR(L890/K890,"")</f>
        <v/>
      </c>
      <c r="N890">
        <f>IF(K890="","",M890+K890/100000+ROW()/100000000)</f>
        <v/>
      </c>
    </row>
    <row r="891">
      <c r="J891">
        <f>IFERROR(CHOOSE(MATCH(Dashboard!$B$11,{"Department","Team","Unit","Legal entity","Location","Lead"},0),INDEX(Lists!$B$3:$B$20,ROW()-1),INDEX(Lists!$C$3:$C$146,ROW()-1),INDEX(Lists!$D$3:$D$67,ROW()-1),INDEX(Lists!$E$3:$E$5,ROW()-1),INDEX(Lists!$F$3:$F$12,ROW()-1),INDEX(Lists!$G$3:$G$126,ROW()-1)),"")</f>
        <v/>
      </c>
      <c r="K891">
        <f>IF(J891="","",SUMPRODUCT(($A$2:$A$636=1)*($G$2:$G$636=J891)))</f>
        <v/>
      </c>
      <c r="L891">
        <f>IF(J891="","",SUMPRODUCT(($A$2:$A$636=1)*($G$2:$G$636=J891)*(ISNUMBER($B$2:$B$636))*($B$2:$B$636&lt;0.5)))</f>
        <v/>
      </c>
      <c r="M891">
        <f>IFERROR(L891/K891,"")</f>
        <v/>
      </c>
      <c r="N891">
        <f>IF(K891="","",M891+K891/100000+ROW()/100000000)</f>
        <v/>
      </c>
    </row>
    <row r="892">
      <c r="J892">
        <f>IFERROR(CHOOSE(MATCH(Dashboard!$B$11,{"Department","Team","Unit","Legal entity","Location","Lead"},0),INDEX(Lists!$B$3:$B$20,ROW()-1),INDEX(Lists!$C$3:$C$146,ROW()-1),INDEX(Lists!$D$3:$D$67,ROW()-1),INDEX(Lists!$E$3:$E$5,ROW()-1),INDEX(Lists!$F$3:$F$12,ROW()-1),INDEX(Lists!$G$3:$G$126,ROW()-1)),"")</f>
        <v/>
      </c>
      <c r="K892">
        <f>IF(J892="","",SUMPRODUCT(($A$2:$A$636=1)*($G$2:$G$636=J892)))</f>
        <v/>
      </c>
      <c r="L892">
        <f>IF(J892="","",SUMPRODUCT(($A$2:$A$636=1)*($G$2:$G$636=J892)*(ISNUMBER($B$2:$B$636))*($B$2:$B$636&lt;0.5)))</f>
        <v/>
      </c>
      <c r="M892">
        <f>IFERROR(L892/K892,"")</f>
        <v/>
      </c>
      <c r="N892">
        <f>IF(K892="","",M892+K892/100000+ROW()/100000000)</f>
        <v/>
      </c>
    </row>
    <row r="893">
      <c r="J893">
        <f>IFERROR(CHOOSE(MATCH(Dashboard!$B$11,{"Department","Team","Unit","Legal entity","Location","Lead"},0),INDEX(Lists!$B$3:$B$20,ROW()-1),INDEX(Lists!$C$3:$C$146,ROW()-1),INDEX(Lists!$D$3:$D$67,ROW()-1),INDEX(Lists!$E$3:$E$5,ROW()-1),INDEX(Lists!$F$3:$F$12,ROW()-1),INDEX(Lists!$G$3:$G$126,ROW()-1)),"")</f>
        <v/>
      </c>
      <c r="K893">
        <f>IF(J893="","",SUMPRODUCT(($A$2:$A$636=1)*($G$2:$G$636=J893)))</f>
        <v/>
      </c>
      <c r="L893">
        <f>IF(J893="","",SUMPRODUCT(($A$2:$A$636=1)*($G$2:$G$636=J893)*(ISNUMBER($B$2:$B$636))*($B$2:$B$636&lt;0.5)))</f>
        <v/>
      </c>
      <c r="M893">
        <f>IFERROR(L893/K893,"")</f>
        <v/>
      </c>
      <c r="N893">
        <f>IF(K893="","",M893+K893/100000+ROW()/100000000)</f>
        <v/>
      </c>
    </row>
    <row r="894">
      <c r="J894">
        <f>IFERROR(CHOOSE(MATCH(Dashboard!$B$11,{"Department","Team","Unit","Legal entity","Location","Lead"},0),INDEX(Lists!$B$3:$B$20,ROW()-1),INDEX(Lists!$C$3:$C$146,ROW()-1),INDEX(Lists!$D$3:$D$67,ROW()-1),INDEX(Lists!$E$3:$E$5,ROW()-1),INDEX(Lists!$F$3:$F$12,ROW()-1),INDEX(Lists!$G$3:$G$126,ROW()-1)),"")</f>
        <v/>
      </c>
      <c r="K894">
        <f>IF(J894="","",SUMPRODUCT(($A$2:$A$636=1)*($G$2:$G$636=J894)))</f>
        <v/>
      </c>
      <c r="L894">
        <f>IF(J894="","",SUMPRODUCT(($A$2:$A$636=1)*($G$2:$G$636=J894)*(ISNUMBER($B$2:$B$636))*($B$2:$B$636&lt;0.5)))</f>
        <v/>
      </c>
      <c r="M894">
        <f>IFERROR(L894/K894,"")</f>
        <v/>
      </c>
      <c r="N894">
        <f>IF(K894="","",M894+K894/100000+ROW()/100000000)</f>
        <v/>
      </c>
    </row>
    <row r="895">
      <c r="J895">
        <f>IFERROR(CHOOSE(MATCH(Dashboard!$B$11,{"Department","Team","Unit","Legal entity","Location","Lead"},0),INDEX(Lists!$B$3:$B$20,ROW()-1),INDEX(Lists!$C$3:$C$146,ROW()-1),INDEX(Lists!$D$3:$D$67,ROW()-1),INDEX(Lists!$E$3:$E$5,ROW()-1),INDEX(Lists!$F$3:$F$12,ROW()-1),INDEX(Lists!$G$3:$G$126,ROW()-1)),"")</f>
        <v/>
      </c>
      <c r="K895">
        <f>IF(J895="","",SUMPRODUCT(($A$2:$A$636=1)*($G$2:$G$636=J895)))</f>
        <v/>
      </c>
      <c r="L895">
        <f>IF(J895="","",SUMPRODUCT(($A$2:$A$636=1)*($G$2:$G$636=J895)*(ISNUMBER($B$2:$B$636))*($B$2:$B$636&lt;0.5)))</f>
        <v/>
      </c>
      <c r="M895">
        <f>IFERROR(L895/K895,"")</f>
        <v/>
      </c>
      <c r="N895">
        <f>IF(K895="","",M895+K895/100000+ROW()/100000000)</f>
        <v/>
      </c>
    </row>
    <row r="896">
      <c r="J896">
        <f>IFERROR(CHOOSE(MATCH(Dashboard!$B$11,{"Department","Team","Unit","Legal entity","Location","Lead"},0),INDEX(Lists!$B$3:$B$20,ROW()-1),INDEX(Lists!$C$3:$C$146,ROW()-1),INDEX(Lists!$D$3:$D$67,ROW()-1),INDEX(Lists!$E$3:$E$5,ROW()-1),INDEX(Lists!$F$3:$F$12,ROW()-1),INDEX(Lists!$G$3:$G$126,ROW()-1)),"")</f>
        <v/>
      </c>
      <c r="K896">
        <f>IF(J896="","",SUMPRODUCT(($A$2:$A$636=1)*($G$2:$G$636=J896)))</f>
        <v/>
      </c>
      <c r="L896">
        <f>IF(J896="","",SUMPRODUCT(($A$2:$A$636=1)*($G$2:$G$636=J896)*(ISNUMBER($B$2:$B$636))*($B$2:$B$636&lt;0.5)))</f>
        <v/>
      </c>
      <c r="M896">
        <f>IFERROR(L896/K896,"")</f>
        <v/>
      </c>
      <c r="N896">
        <f>IF(K896="","",M896+K896/100000+ROW()/100000000)</f>
        <v/>
      </c>
    </row>
    <row r="897">
      <c r="J897">
        <f>IFERROR(CHOOSE(MATCH(Dashboard!$B$11,{"Department","Team","Unit","Legal entity","Location","Lead"},0),INDEX(Lists!$B$3:$B$20,ROW()-1),INDEX(Lists!$C$3:$C$146,ROW()-1),INDEX(Lists!$D$3:$D$67,ROW()-1),INDEX(Lists!$E$3:$E$5,ROW()-1),INDEX(Lists!$F$3:$F$12,ROW()-1),INDEX(Lists!$G$3:$G$126,ROW()-1)),"")</f>
        <v/>
      </c>
      <c r="K897">
        <f>IF(J897="","",SUMPRODUCT(($A$2:$A$636=1)*($G$2:$G$636=J897)))</f>
        <v/>
      </c>
      <c r="L897">
        <f>IF(J897="","",SUMPRODUCT(($A$2:$A$636=1)*($G$2:$G$636=J897)*(ISNUMBER($B$2:$B$636))*($B$2:$B$636&lt;0.5)))</f>
        <v/>
      </c>
      <c r="M897">
        <f>IFERROR(L897/K897,"")</f>
        <v/>
      </c>
      <c r="N897">
        <f>IF(K897="","",M897+K897/100000+ROW()/100000000)</f>
        <v/>
      </c>
    </row>
    <row r="898">
      <c r="J898">
        <f>IFERROR(CHOOSE(MATCH(Dashboard!$B$11,{"Department","Team","Unit","Legal entity","Location","Lead"},0),INDEX(Lists!$B$3:$B$20,ROW()-1),INDEX(Lists!$C$3:$C$146,ROW()-1),INDEX(Lists!$D$3:$D$67,ROW()-1),INDEX(Lists!$E$3:$E$5,ROW()-1),INDEX(Lists!$F$3:$F$12,ROW()-1),INDEX(Lists!$G$3:$G$126,ROW()-1)),"")</f>
        <v/>
      </c>
      <c r="K898">
        <f>IF(J898="","",SUMPRODUCT(($A$2:$A$636=1)*($G$2:$G$636=J898)))</f>
        <v/>
      </c>
      <c r="L898">
        <f>IF(J898="","",SUMPRODUCT(($A$2:$A$636=1)*($G$2:$G$636=J898)*(ISNUMBER($B$2:$B$636))*($B$2:$B$636&lt;0.5)))</f>
        <v/>
      </c>
      <c r="M898">
        <f>IFERROR(L898/K898,"")</f>
        <v/>
      </c>
      <c r="N898">
        <f>IF(K898="","",M898+K898/100000+ROW()/100000000)</f>
        <v/>
      </c>
    </row>
    <row r="899">
      <c r="J899">
        <f>IFERROR(CHOOSE(MATCH(Dashboard!$B$11,{"Department","Team","Unit","Legal entity","Location","Lead"},0),INDEX(Lists!$B$3:$B$20,ROW()-1),INDEX(Lists!$C$3:$C$146,ROW()-1),INDEX(Lists!$D$3:$D$67,ROW()-1),INDEX(Lists!$E$3:$E$5,ROW()-1),INDEX(Lists!$F$3:$F$12,ROW()-1),INDEX(Lists!$G$3:$G$126,ROW()-1)),"")</f>
        <v/>
      </c>
      <c r="K899">
        <f>IF(J899="","",SUMPRODUCT(($A$2:$A$636=1)*($G$2:$G$636=J899)))</f>
        <v/>
      </c>
      <c r="L899">
        <f>IF(J899="","",SUMPRODUCT(($A$2:$A$636=1)*($G$2:$G$636=J899)*(ISNUMBER($B$2:$B$636))*($B$2:$B$636&lt;0.5)))</f>
        <v/>
      </c>
      <c r="M899">
        <f>IFERROR(L899/K899,"")</f>
        <v/>
      </c>
      <c r="N899">
        <f>IF(K899="","",M899+K899/100000+ROW()/100000000)</f>
        <v/>
      </c>
    </row>
    <row r="900">
      <c r="J900">
        <f>IFERROR(CHOOSE(MATCH(Dashboard!$B$11,{"Department","Team","Unit","Legal entity","Location","Lead"},0),INDEX(Lists!$B$3:$B$20,ROW()-1),INDEX(Lists!$C$3:$C$146,ROW()-1),INDEX(Lists!$D$3:$D$67,ROW()-1),INDEX(Lists!$E$3:$E$5,ROW()-1),INDEX(Lists!$F$3:$F$12,ROW()-1),INDEX(Lists!$G$3:$G$126,ROW()-1)),"")</f>
        <v/>
      </c>
      <c r="K900">
        <f>IF(J900="","",SUMPRODUCT(($A$2:$A$636=1)*($G$2:$G$636=J900)))</f>
        <v/>
      </c>
      <c r="L900">
        <f>IF(J900="","",SUMPRODUCT(($A$2:$A$636=1)*($G$2:$G$636=J900)*(ISNUMBER($B$2:$B$636))*($B$2:$B$636&lt;0.5)))</f>
        <v/>
      </c>
      <c r="M900">
        <f>IFERROR(L900/K900,"")</f>
        <v/>
      </c>
      <c r="N900">
        <f>IF(K900="","",M900+K900/100000+ROW()/100000000)</f>
        <v/>
      </c>
    </row>
    <row r="901">
      <c r="J901">
        <f>IFERROR(CHOOSE(MATCH(Dashboard!$B$11,{"Department","Team","Unit","Legal entity","Location","Lead"},0),INDEX(Lists!$B$3:$B$20,ROW()-1),INDEX(Lists!$C$3:$C$146,ROW()-1),INDEX(Lists!$D$3:$D$67,ROW()-1),INDEX(Lists!$E$3:$E$5,ROW()-1),INDEX(Lists!$F$3:$F$12,ROW()-1),INDEX(Lists!$G$3:$G$126,ROW()-1)),"")</f>
        <v/>
      </c>
      <c r="K901">
        <f>IF(J901="","",SUMPRODUCT(($A$2:$A$636=1)*($G$2:$G$636=J901)))</f>
        <v/>
      </c>
      <c r="L901">
        <f>IF(J901="","",SUMPRODUCT(($A$2:$A$636=1)*($G$2:$G$636=J901)*(ISNUMBER($B$2:$B$636))*($B$2:$B$636&lt;0.5)))</f>
        <v/>
      </c>
      <c r="M901">
        <f>IFERROR(L901/K901,"")</f>
        <v/>
      </c>
      <c r="N901">
        <f>IF(K901="","",M901+K901/100000+ROW()/100000000)</f>
        <v/>
      </c>
    </row>
    <row r="902">
      <c r="J902">
        <f>IFERROR(CHOOSE(MATCH(Dashboard!$B$11,{"Department","Team","Unit","Legal entity","Location","Lead"},0),INDEX(Lists!$B$3:$B$20,ROW()-1),INDEX(Lists!$C$3:$C$146,ROW()-1),INDEX(Lists!$D$3:$D$67,ROW()-1),INDEX(Lists!$E$3:$E$5,ROW()-1),INDEX(Lists!$F$3:$F$12,ROW()-1),INDEX(Lists!$G$3:$G$126,ROW()-1)),"")</f>
        <v/>
      </c>
      <c r="K902">
        <f>IF(J902="","",SUMPRODUCT(($A$2:$A$636=1)*($G$2:$G$636=J902)))</f>
        <v/>
      </c>
      <c r="L902">
        <f>IF(J902="","",SUMPRODUCT(($A$2:$A$636=1)*($G$2:$G$636=J902)*(ISNUMBER($B$2:$B$636))*($B$2:$B$636&lt;0.5)))</f>
        <v/>
      </c>
      <c r="M902">
        <f>IFERROR(L902/K902,"")</f>
        <v/>
      </c>
      <c r="N902">
        <f>IF(K902="","",M902+K902/100000+ROW()/100000000)</f>
        <v/>
      </c>
    </row>
    <row r="903">
      <c r="J903">
        <f>IFERROR(CHOOSE(MATCH(Dashboard!$B$11,{"Department","Team","Unit","Legal entity","Location","Lead"},0),INDEX(Lists!$B$3:$B$20,ROW()-1),INDEX(Lists!$C$3:$C$146,ROW()-1),INDEX(Lists!$D$3:$D$67,ROW()-1),INDEX(Lists!$E$3:$E$5,ROW()-1),INDEX(Lists!$F$3:$F$12,ROW()-1),INDEX(Lists!$G$3:$G$126,ROW()-1)),"")</f>
        <v/>
      </c>
      <c r="K903">
        <f>IF(J903="","",SUMPRODUCT(($A$2:$A$636=1)*($G$2:$G$636=J903)))</f>
        <v/>
      </c>
      <c r="L903">
        <f>IF(J903="","",SUMPRODUCT(($A$2:$A$636=1)*($G$2:$G$636=J903)*(ISNUMBER($B$2:$B$636))*($B$2:$B$636&lt;0.5)))</f>
        <v/>
      </c>
      <c r="M903">
        <f>IFERROR(L903/K903,"")</f>
        <v/>
      </c>
      <c r="N903">
        <f>IF(K903="","",M903+K903/100000+ROW()/100000000)</f>
        <v/>
      </c>
    </row>
    <row r="904">
      <c r="J904">
        <f>IFERROR(CHOOSE(MATCH(Dashboard!$B$11,{"Department","Team","Unit","Legal entity","Location","Lead"},0),INDEX(Lists!$B$3:$B$20,ROW()-1),INDEX(Lists!$C$3:$C$146,ROW()-1),INDEX(Lists!$D$3:$D$67,ROW()-1),INDEX(Lists!$E$3:$E$5,ROW()-1),INDEX(Lists!$F$3:$F$12,ROW()-1),INDEX(Lists!$G$3:$G$126,ROW()-1)),"")</f>
        <v/>
      </c>
      <c r="K904">
        <f>IF(J904="","",SUMPRODUCT(($A$2:$A$636=1)*($G$2:$G$636=J904)))</f>
        <v/>
      </c>
      <c r="L904">
        <f>IF(J904="","",SUMPRODUCT(($A$2:$A$636=1)*($G$2:$G$636=J904)*(ISNUMBER($B$2:$B$636))*($B$2:$B$636&lt;0.5)))</f>
        <v/>
      </c>
      <c r="M904">
        <f>IFERROR(L904/K904,"")</f>
        <v/>
      </c>
      <c r="N904">
        <f>IF(K904="","",M904+K904/100000+ROW()/100000000)</f>
        <v/>
      </c>
    </row>
    <row r="905">
      <c r="J905">
        <f>IFERROR(CHOOSE(MATCH(Dashboard!$B$11,{"Department","Team","Unit","Legal entity","Location","Lead"},0),INDEX(Lists!$B$3:$B$20,ROW()-1),INDEX(Lists!$C$3:$C$146,ROW()-1),INDEX(Lists!$D$3:$D$67,ROW()-1),INDEX(Lists!$E$3:$E$5,ROW()-1),INDEX(Lists!$F$3:$F$12,ROW()-1),INDEX(Lists!$G$3:$G$126,ROW()-1)),"")</f>
        <v/>
      </c>
      <c r="K905">
        <f>IF(J905="","",SUMPRODUCT(($A$2:$A$636=1)*($G$2:$G$636=J905)))</f>
        <v/>
      </c>
      <c r="L905">
        <f>IF(J905="","",SUMPRODUCT(($A$2:$A$636=1)*($G$2:$G$636=J905)*(ISNUMBER($B$2:$B$636))*($B$2:$B$636&lt;0.5)))</f>
        <v/>
      </c>
      <c r="M905">
        <f>IFERROR(L905/K905,"")</f>
        <v/>
      </c>
      <c r="N905">
        <f>IF(K905="","",M905+K905/100000+ROW()/100000000)</f>
        <v/>
      </c>
    </row>
    <row r="906">
      <c r="J906">
        <f>IFERROR(CHOOSE(MATCH(Dashboard!$B$11,{"Department","Team","Unit","Legal entity","Location","Lead"},0),INDEX(Lists!$B$3:$B$20,ROW()-1),INDEX(Lists!$C$3:$C$146,ROW()-1),INDEX(Lists!$D$3:$D$67,ROW()-1),INDEX(Lists!$E$3:$E$5,ROW()-1),INDEX(Lists!$F$3:$F$12,ROW()-1),INDEX(Lists!$G$3:$G$126,ROW()-1)),"")</f>
        <v/>
      </c>
      <c r="K906">
        <f>IF(J906="","",SUMPRODUCT(($A$2:$A$636=1)*($G$2:$G$636=J906)))</f>
        <v/>
      </c>
      <c r="L906">
        <f>IF(J906="","",SUMPRODUCT(($A$2:$A$636=1)*($G$2:$G$636=J906)*(ISNUMBER($B$2:$B$636))*($B$2:$B$636&lt;0.5)))</f>
        <v/>
      </c>
      <c r="M906">
        <f>IFERROR(L906/K906,"")</f>
        <v/>
      </c>
      <c r="N906">
        <f>IF(K906="","",M906+K906/100000+ROW()/100000000)</f>
        <v/>
      </c>
    </row>
    <row r="907">
      <c r="J907">
        <f>IFERROR(CHOOSE(MATCH(Dashboard!$B$11,{"Department","Team","Unit","Legal entity","Location","Lead"},0),INDEX(Lists!$B$3:$B$20,ROW()-1),INDEX(Lists!$C$3:$C$146,ROW()-1),INDEX(Lists!$D$3:$D$67,ROW()-1),INDEX(Lists!$E$3:$E$5,ROW()-1),INDEX(Lists!$F$3:$F$12,ROW()-1),INDEX(Lists!$G$3:$G$126,ROW()-1)),"")</f>
        <v/>
      </c>
      <c r="K907">
        <f>IF(J907="","",SUMPRODUCT(($A$2:$A$636=1)*($G$2:$G$636=J907)))</f>
        <v/>
      </c>
      <c r="L907">
        <f>IF(J907="","",SUMPRODUCT(($A$2:$A$636=1)*($G$2:$G$636=J907)*(ISNUMBER($B$2:$B$636))*($B$2:$B$636&lt;0.5)))</f>
        <v/>
      </c>
      <c r="M907">
        <f>IFERROR(L907/K907,"")</f>
        <v/>
      </c>
      <c r="N907">
        <f>IF(K907="","",M907+K907/100000+ROW()/100000000)</f>
        <v/>
      </c>
    </row>
    <row r="908">
      <c r="J908">
        <f>IFERROR(CHOOSE(MATCH(Dashboard!$B$11,{"Department","Team","Unit","Legal entity","Location","Lead"},0),INDEX(Lists!$B$3:$B$20,ROW()-1),INDEX(Lists!$C$3:$C$146,ROW()-1),INDEX(Lists!$D$3:$D$67,ROW()-1),INDEX(Lists!$E$3:$E$5,ROW()-1),INDEX(Lists!$F$3:$F$12,ROW()-1),INDEX(Lists!$G$3:$G$126,ROW()-1)),"")</f>
        <v/>
      </c>
      <c r="K908">
        <f>IF(J908="","",SUMPRODUCT(($A$2:$A$636=1)*($G$2:$G$636=J908)))</f>
        <v/>
      </c>
      <c r="L908">
        <f>IF(J908="","",SUMPRODUCT(($A$2:$A$636=1)*($G$2:$G$636=J908)*(ISNUMBER($B$2:$B$636))*($B$2:$B$636&lt;0.5)))</f>
        <v/>
      </c>
      <c r="M908">
        <f>IFERROR(L908/K908,"")</f>
        <v/>
      </c>
      <c r="N908">
        <f>IF(K908="","",M908+K908/100000+ROW()/100000000)</f>
        <v/>
      </c>
    </row>
    <row r="909">
      <c r="J909">
        <f>IFERROR(CHOOSE(MATCH(Dashboard!$B$11,{"Department","Team","Unit","Legal entity","Location","Lead"},0),INDEX(Lists!$B$3:$B$20,ROW()-1),INDEX(Lists!$C$3:$C$146,ROW()-1),INDEX(Lists!$D$3:$D$67,ROW()-1),INDEX(Lists!$E$3:$E$5,ROW()-1),INDEX(Lists!$F$3:$F$12,ROW()-1),INDEX(Lists!$G$3:$G$126,ROW()-1)),"")</f>
        <v/>
      </c>
      <c r="K909">
        <f>IF(J909="","",SUMPRODUCT(($A$2:$A$636=1)*($G$2:$G$636=J909)))</f>
        <v/>
      </c>
      <c r="L909">
        <f>IF(J909="","",SUMPRODUCT(($A$2:$A$636=1)*($G$2:$G$636=J909)*(ISNUMBER($B$2:$B$636))*($B$2:$B$636&lt;0.5)))</f>
        <v/>
      </c>
      <c r="M909">
        <f>IFERROR(L909/K909,"")</f>
        <v/>
      </c>
      <c r="N909">
        <f>IF(K909="","",M909+K909/100000+ROW()/100000000)</f>
        <v/>
      </c>
    </row>
    <row r="910">
      <c r="J910">
        <f>IFERROR(CHOOSE(MATCH(Dashboard!$B$11,{"Department","Team","Unit","Legal entity","Location","Lead"},0),INDEX(Lists!$B$3:$B$20,ROW()-1),INDEX(Lists!$C$3:$C$146,ROW()-1),INDEX(Lists!$D$3:$D$67,ROW()-1),INDEX(Lists!$E$3:$E$5,ROW()-1),INDEX(Lists!$F$3:$F$12,ROW()-1),INDEX(Lists!$G$3:$G$126,ROW()-1)),"")</f>
        <v/>
      </c>
      <c r="K910">
        <f>IF(J910="","",SUMPRODUCT(($A$2:$A$636=1)*($G$2:$G$636=J910)))</f>
        <v/>
      </c>
      <c r="L910">
        <f>IF(J910="","",SUMPRODUCT(($A$2:$A$636=1)*($G$2:$G$636=J910)*(ISNUMBER($B$2:$B$636))*($B$2:$B$636&lt;0.5)))</f>
        <v/>
      </c>
      <c r="M910">
        <f>IFERROR(L910/K910,"")</f>
        <v/>
      </c>
      <c r="N910">
        <f>IF(K910="","",M910+K910/100000+ROW()/100000000)</f>
        <v/>
      </c>
    </row>
    <row r="911">
      <c r="J911">
        <f>IFERROR(CHOOSE(MATCH(Dashboard!$B$11,{"Department","Team","Unit","Legal entity","Location","Lead"},0),INDEX(Lists!$B$3:$B$20,ROW()-1),INDEX(Lists!$C$3:$C$146,ROW()-1),INDEX(Lists!$D$3:$D$67,ROW()-1),INDEX(Lists!$E$3:$E$5,ROW()-1),INDEX(Lists!$F$3:$F$12,ROW()-1),INDEX(Lists!$G$3:$G$126,ROW()-1)),"")</f>
        <v/>
      </c>
      <c r="K911">
        <f>IF(J911="","",SUMPRODUCT(($A$2:$A$636=1)*($G$2:$G$636=J911)))</f>
        <v/>
      </c>
      <c r="L911">
        <f>IF(J911="","",SUMPRODUCT(($A$2:$A$636=1)*($G$2:$G$636=J911)*(ISNUMBER($B$2:$B$636))*($B$2:$B$636&lt;0.5)))</f>
        <v/>
      </c>
      <c r="M911">
        <f>IFERROR(L911/K911,"")</f>
        <v/>
      </c>
      <c r="N911">
        <f>IF(K911="","",M911+K911/100000+ROW()/100000000)</f>
        <v/>
      </c>
    </row>
    <row r="912">
      <c r="J912">
        <f>IFERROR(CHOOSE(MATCH(Dashboard!$B$11,{"Department","Team","Unit","Legal entity","Location","Lead"},0),INDEX(Lists!$B$3:$B$20,ROW()-1),INDEX(Lists!$C$3:$C$146,ROW()-1),INDEX(Lists!$D$3:$D$67,ROW()-1),INDEX(Lists!$E$3:$E$5,ROW()-1),INDEX(Lists!$F$3:$F$12,ROW()-1),INDEX(Lists!$G$3:$G$126,ROW()-1)),"")</f>
        <v/>
      </c>
      <c r="K912">
        <f>IF(J912="","",SUMPRODUCT(($A$2:$A$636=1)*($G$2:$G$636=J912)))</f>
        <v/>
      </c>
      <c r="L912">
        <f>IF(J912="","",SUMPRODUCT(($A$2:$A$636=1)*($G$2:$G$636=J912)*(ISNUMBER($B$2:$B$636))*($B$2:$B$636&lt;0.5)))</f>
        <v/>
      </c>
      <c r="M912">
        <f>IFERROR(L912/K912,"")</f>
        <v/>
      </c>
      <c r="N912">
        <f>IF(K912="","",M912+K912/100000+ROW()/100000000)</f>
        <v/>
      </c>
    </row>
    <row r="913">
      <c r="J913">
        <f>IFERROR(CHOOSE(MATCH(Dashboard!$B$11,{"Department","Team","Unit","Legal entity","Location","Lead"},0),INDEX(Lists!$B$3:$B$20,ROW()-1),INDEX(Lists!$C$3:$C$146,ROW()-1),INDEX(Lists!$D$3:$D$67,ROW()-1),INDEX(Lists!$E$3:$E$5,ROW()-1),INDEX(Lists!$F$3:$F$12,ROW()-1),INDEX(Lists!$G$3:$G$126,ROW()-1)),"")</f>
        <v/>
      </c>
      <c r="K913">
        <f>IF(J913="","",SUMPRODUCT(($A$2:$A$636=1)*($G$2:$G$636=J913)))</f>
        <v/>
      </c>
      <c r="L913">
        <f>IF(J913="","",SUMPRODUCT(($A$2:$A$636=1)*($G$2:$G$636=J913)*(ISNUMBER($B$2:$B$636))*($B$2:$B$636&lt;0.5)))</f>
        <v/>
      </c>
      <c r="M913">
        <f>IFERROR(L913/K913,"")</f>
        <v/>
      </c>
      <c r="N913">
        <f>IF(K913="","",M913+K913/100000+ROW()/100000000)</f>
        <v/>
      </c>
    </row>
    <row r="914">
      <c r="J914">
        <f>IFERROR(CHOOSE(MATCH(Dashboard!$B$11,{"Department","Team","Unit","Legal entity","Location","Lead"},0),INDEX(Lists!$B$3:$B$20,ROW()-1),INDEX(Lists!$C$3:$C$146,ROW()-1),INDEX(Lists!$D$3:$D$67,ROW()-1),INDEX(Lists!$E$3:$E$5,ROW()-1),INDEX(Lists!$F$3:$F$12,ROW()-1),INDEX(Lists!$G$3:$G$126,ROW()-1)),"")</f>
        <v/>
      </c>
      <c r="K914">
        <f>IF(J914="","",SUMPRODUCT(($A$2:$A$636=1)*($G$2:$G$636=J914)))</f>
        <v/>
      </c>
      <c r="L914">
        <f>IF(J914="","",SUMPRODUCT(($A$2:$A$636=1)*($G$2:$G$636=J914)*(ISNUMBER($B$2:$B$636))*($B$2:$B$636&lt;0.5)))</f>
        <v/>
      </c>
      <c r="M914">
        <f>IFERROR(L914/K914,"")</f>
        <v/>
      </c>
      <c r="N914">
        <f>IF(K914="","",M914+K914/100000+ROW()/100000000)</f>
        <v/>
      </c>
    </row>
    <row r="915">
      <c r="J915">
        <f>IFERROR(CHOOSE(MATCH(Dashboard!$B$11,{"Department","Team","Unit","Legal entity","Location","Lead"},0),INDEX(Lists!$B$3:$B$20,ROW()-1),INDEX(Lists!$C$3:$C$146,ROW()-1),INDEX(Lists!$D$3:$D$67,ROW()-1),INDEX(Lists!$E$3:$E$5,ROW()-1),INDEX(Lists!$F$3:$F$12,ROW()-1),INDEX(Lists!$G$3:$G$126,ROW()-1)),"")</f>
        <v/>
      </c>
      <c r="K915">
        <f>IF(J915="","",SUMPRODUCT(($A$2:$A$636=1)*($G$2:$G$636=J915)))</f>
        <v/>
      </c>
      <c r="L915">
        <f>IF(J915="","",SUMPRODUCT(($A$2:$A$636=1)*($G$2:$G$636=J915)*(ISNUMBER($B$2:$B$636))*($B$2:$B$636&lt;0.5)))</f>
        <v/>
      </c>
      <c r="M915">
        <f>IFERROR(L915/K915,"")</f>
        <v/>
      </c>
      <c r="N915">
        <f>IF(K915="","",M915+K915/100000+ROW()/100000000)</f>
        <v/>
      </c>
    </row>
    <row r="916">
      <c r="J916">
        <f>IFERROR(CHOOSE(MATCH(Dashboard!$B$11,{"Department","Team","Unit","Legal entity","Location","Lead"},0),INDEX(Lists!$B$3:$B$20,ROW()-1),INDEX(Lists!$C$3:$C$146,ROW()-1),INDEX(Lists!$D$3:$D$67,ROW()-1),INDEX(Lists!$E$3:$E$5,ROW()-1),INDEX(Lists!$F$3:$F$12,ROW()-1),INDEX(Lists!$G$3:$G$126,ROW()-1)),"")</f>
        <v/>
      </c>
      <c r="K916">
        <f>IF(J916="","",SUMPRODUCT(($A$2:$A$636=1)*($G$2:$G$636=J916)))</f>
        <v/>
      </c>
      <c r="L916">
        <f>IF(J916="","",SUMPRODUCT(($A$2:$A$636=1)*($G$2:$G$636=J916)*(ISNUMBER($B$2:$B$636))*($B$2:$B$636&lt;0.5)))</f>
        <v/>
      </c>
      <c r="M916">
        <f>IFERROR(L916/K916,"")</f>
        <v/>
      </c>
      <c r="N916">
        <f>IF(K916="","",M916+K916/100000+ROW()/100000000)</f>
        <v/>
      </c>
    </row>
    <row r="917">
      <c r="J917">
        <f>IFERROR(CHOOSE(MATCH(Dashboard!$B$11,{"Department","Team","Unit","Legal entity","Location","Lead"},0),INDEX(Lists!$B$3:$B$20,ROW()-1),INDEX(Lists!$C$3:$C$146,ROW()-1),INDEX(Lists!$D$3:$D$67,ROW()-1),INDEX(Lists!$E$3:$E$5,ROW()-1),INDEX(Lists!$F$3:$F$12,ROW()-1),INDEX(Lists!$G$3:$G$126,ROW()-1)),"")</f>
        <v/>
      </c>
      <c r="K917">
        <f>IF(J917="","",SUMPRODUCT(($A$2:$A$636=1)*($G$2:$G$636=J917)))</f>
        <v/>
      </c>
      <c r="L917">
        <f>IF(J917="","",SUMPRODUCT(($A$2:$A$636=1)*($G$2:$G$636=J917)*(ISNUMBER($B$2:$B$636))*($B$2:$B$636&lt;0.5)))</f>
        <v/>
      </c>
      <c r="M917">
        <f>IFERROR(L917/K917,"")</f>
        <v/>
      </c>
      <c r="N917">
        <f>IF(K917="","",M917+K917/100000+ROW()/100000000)</f>
        <v/>
      </c>
    </row>
    <row r="918">
      <c r="J918">
        <f>IFERROR(CHOOSE(MATCH(Dashboard!$B$11,{"Department","Team","Unit","Legal entity","Location","Lead"},0),INDEX(Lists!$B$3:$B$20,ROW()-1),INDEX(Lists!$C$3:$C$146,ROW()-1),INDEX(Lists!$D$3:$D$67,ROW()-1),INDEX(Lists!$E$3:$E$5,ROW()-1),INDEX(Lists!$F$3:$F$12,ROW()-1),INDEX(Lists!$G$3:$G$126,ROW()-1)),"")</f>
        <v/>
      </c>
      <c r="K918">
        <f>IF(J918="","",SUMPRODUCT(($A$2:$A$636=1)*($G$2:$G$636=J918)))</f>
        <v/>
      </c>
      <c r="L918">
        <f>IF(J918="","",SUMPRODUCT(($A$2:$A$636=1)*($G$2:$G$636=J918)*(ISNUMBER($B$2:$B$636))*($B$2:$B$636&lt;0.5)))</f>
        <v/>
      </c>
      <c r="M918">
        <f>IFERROR(L918/K918,"")</f>
        <v/>
      </c>
      <c r="N918">
        <f>IF(K918="","",M918+K918/100000+ROW()/100000000)</f>
        <v/>
      </c>
    </row>
    <row r="919">
      <c r="J919">
        <f>IFERROR(CHOOSE(MATCH(Dashboard!$B$11,{"Department","Team","Unit","Legal entity","Location","Lead"},0),INDEX(Lists!$B$3:$B$20,ROW()-1),INDEX(Lists!$C$3:$C$146,ROW()-1),INDEX(Lists!$D$3:$D$67,ROW()-1),INDEX(Lists!$E$3:$E$5,ROW()-1),INDEX(Lists!$F$3:$F$12,ROW()-1),INDEX(Lists!$G$3:$G$126,ROW()-1)),"")</f>
        <v/>
      </c>
      <c r="K919">
        <f>IF(J919="","",SUMPRODUCT(($A$2:$A$636=1)*($G$2:$G$636=J919)))</f>
        <v/>
      </c>
      <c r="L919">
        <f>IF(J919="","",SUMPRODUCT(($A$2:$A$636=1)*($G$2:$G$636=J919)*(ISNUMBER($B$2:$B$636))*($B$2:$B$636&lt;0.5)))</f>
        <v/>
      </c>
      <c r="M919">
        <f>IFERROR(L919/K919,"")</f>
        <v/>
      </c>
      <c r="N919">
        <f>IF(K919="","",M919+K919/100000+ROW()/100000000)</f>
        <v/>
      </c>
    </row>
    <row r="920">
      <c r="J920">
        <f>IFERROR(CHOOSE(MATCH(Dashboard!$B$11,{"Department","Team","Unit","Legal entity","Location","Lead"},0),INDEX(Lists!$B$3:$B$20,ROW()-1),INDEX(Lists!$C$3:$C$146,ROW()-1),INDEX(Lists!$D$3:$D$67,ROW()-1),INDEX(Lists!$E$3:$E$5,ROW()-1),INDEX(Lists!$F$3:$F$12,ROW()-1),INDEX(Lists!$G$3:$G$126,ROW()-1)),"")</f>
        <v/>
      </c>
      <c r="K920">
        <f>IF(J920="","",SUMPRODUCT(($A$2:$A$636=1)*($G$2:$G$636=J920)))</f>
        <v/>
      </c>
      <c r="L920">
        <f>IF(J920="","",SUMPRODUCT(($A$2:$A$636=1)*($G$2:$G$636=J920)*(ISNUMBER($B$2:$B$636))*($B$2:$B$636&lt;0.5)))</f>
        <v/>
      </c>
      <c r="M920">
        <f>IFERROR(L920/K920,"")</f>
        <v/>
      </c>
      <c r="N920">
        <f>IF(K920="","",M920+K920/100000+ROW()/100000000)</f>
        <v/>
      </c>
    </row>
    <row r="921">
      <c r="J921">
        <f>IFERROR(CHOOSE(MATCH(Dashboard!$B$11,{"Department","Team","Unit","Legal entity","Location","Lead"},0),INDEX(Lists!$B$3:$B$20,ROW()-1),INDEX(Lists!$C$3:$C$146,ROW()-1),INDEX(Lists!$D$3:$D$67,ROW()-1),INDEX(Lists!$E$3:$E$5,ROW()-1),INDEX(Lists!$F$3:$F$12,ROW()-1),INDEX(Lists!$G$3:$G$126,ROW()-1)),"")</f>
        <v/>
      </c>
      <c r="K921">
        <f>IF(J921="","",SUMPRODUCT(($A$2:$A$636=1)*($G$2:$G$636=J921)))</f>
        <v/>
      </c>
      <c r="L921">
        <f>IF(J921="","",SUMPRODUCT(($A$2:$A$636=1)*($G$2:$G$636=J921)*(ISNUMBER($B$2:$B$636))*($B$2:$B$636&lt;0.5)))</f>
        <v/>
      </c>
      <c r="M921">
        <f>IFERROR(L921/K921,"")</f>
        <v/>
      </c>
      <c r="N921">
        <f>IF(K921="","",M921+K921/100000+ROW()/100000000)</f>
        <v/>
      </c>
    </row>
    <row r="922">
      <c r="J922">
        <f>IFERROR(CHOOSE(MATCH(Dashboard!$B$11,{"Department","Team","Unit","Legal entity","Location","Lead"},0),INDEX(Lists!$B$3:$B$20,ROW()-1),INDEX(Lists!$C$3:$C$146,ROW()-1),INDEX(Lists!$D$3:$D$67,ROW()-1),INDEX(Lists!$E$3:$E$5,ROW()-1),INDEX(Lists!$F$3:$F$12,ROW()-1),INDEX(Lists!$G$3:$G$126,ROW()-1)),"")</f>
        <v/>
      </c>
      <c r="K922">
        <f>IF(J922="","",SUMPRODUCT(($A$2:$A$636=1)*($G$2:$G$636=J922)))</f>
        <v/>
      </c>
      <c r="L922">
        <f>IF(J922="","",SUMPRODUCT(($A$2:$A$636=1)*($G$2:$G$636=J922)*(ISNUMBER($B$2:$B$636))*($B$2:$B$636&lt;0.5)))</f>
        <v/>
      </c>
      <c r="M922">
        <f>IFERROR(L922/K922,"")</f>
        <v/>
      </c>
      <c r="N922">
        <f>IF(K922="","",M922+K922/100000+ROW()/100000000)</f>
        <v/>
      </c>
    </row>
    <row r="923">
      <c r="J923">
        <f>IFERROR(CHOOSE(MATCH(Dashboard!$B$11,{"Department","Team","Unit","Legal entity","Location","Lead"},0),INDEX(Lists!$B$3:$B$20,ROW()-1),INDEX(Lists!$C$3:$C$146,ROW()-1),INDEX(Lists!$D$3:$D$67,ROW()-1),INDEX(Lists!$E$3:$E$5,ROW()-1),INDEX(Lists!$F$3:$F$12,ROW()-1),INDEX(Lists!$G$3:$G$126,ROW()-1)),"")</f>
        <v/>
      </c>
      <c r="K923">
        <f>IF(J923="","",SUMPRODUCT(($A$2:$A$636=1)*($G$2:$G$636=J923)))</f>
        <v/>
      </c>
      <c r="L923">
        <f>IF(J923="","",SUMPRODUCT(($A$2:$A$636=1)*($G$2:$G$636=J923)*(ISNUMBER($B$2:$B$636))*($B$2:$B$636&lt;0.5)))</f>
        <v/>
      </c>
      <c r="M923">
        <f>IFERROR(L923/K923,"")</f>
        <v/>
      </c>
      <c r="N923">
        <f>IF(K923="","",M923+K923/100000+ROW()/100000000)</f>
        <v/>
      </c>
    </row>
    <row r="924">
      <c r="J924">
        <f>IFERROR(CHOOSE(MATCH(Dashboard!$B$11,{"Department","Team","Unit","Legal entity","Location","Lead"},0),INDEX(Lists!$B$3:$B$20,ROW()-1),INDEX(Lists!$C$3:$C$146,ROW()-1),INDEX(Lists!$D$3:$D$67,ROW()-1),INDEX(Lists!$E$3:$E$5,ROW()-1),INDEX(Lists!$F$3:$F$12,ROW()-1),INDEX(Lists!$G$3:$G$126,ROW()-1)),"")</f>
        <v/>
      </c>
      <c r="K924">
        <f>IF(J924="","",SUMPRODUCT(($A$2:$A$636=1)*($G$2:$G$636=J924)))</f>
        <v/>
      </c>
      <c r="L924">
        <f>IF(J924="","",SUMPRODUCT(($A$2:$A$636=1)*($G$2:$G$636=J924)*(ISNUMBER($B$2:$B$636))*($B$2:$B$636&lt;0.5)))</f>
        <v/>
      </c>
      <c r="M924">
        <f>IFERROR(L924/K924,"")</f>
        <v/>
      </c>
      <c r="N924">
        <f>IF(K924="","",M924+K924/100000+ROW()/100000000)</f>
        <v/>
      </c>
    </row>
    <row r="925">
      <c r="J925">
        <f>IFERROR(CHOOSE(MATCH(Dashboard!$B$11,{"Department","Team","Unit","Legal entity","Location","Lead"},0),INDEX(Lists!$B$3:$B$20,ROW()-1),INDEX(Lists!$C$3:$C$146,ROW()-1),INDEX(Lists!$D$3:$D$67,ROW()-1),INDEX(Lists!$E$3:$E$5,ROW()-1),INDEX(Lists!$F$3:$F$12,ROW()-1),INDEX(Lists!$G$3:$G$126,ROW()-1)),"")</f>
        <v/>
      </c>
      <c r="K925">
        <f>IF(J925="","",SUMPRODUCT(($A$2:$A$636=1)*($G$2:$G$636=J925)))</f>
        <v/>
      </c>
      <c r="L925">
        <f>IF(J925="","",SUMPRODUCT(($A$2:$A$636=1)*($G$2:$G$636=J925)*(ISNUMBER($B$2:$B$636))*($B$2:$B$636&lt;0.5)))</f>
        <v/>
      </c>
      <c r="M925">
        <f>IFERROR(L925/K925,"")</f>
        <v/>
      </c>
      <c r="N925">
        <f>IF(K925="","",M925+K925/100000+ROW()/100000000)</f>
        <v/>
      </c>
    </row>
    <row r="926">
      <c r="J926">
        <f>IFERROR(CHOOSE(MATCH(Dashboard!$B$11,{"Department","Team","Unit","Legal entity","Location","Lead"},0),INDEX(Lists!$B$3:$B$20,ROW()-1),INDEX(Lists!$C$3:$C$146,ROW()-1),INDEX(Lists!$D$3:$D$67,ROW()-1),INDEX(Lists!$E$3:$E$5,ROW()-1),INDEX(Lists!$F$3:$F$12,ROW()-1),INDEX(Lists!$G$3:$G$126,ROW()-1)),"")</f>
        <v/>
      </c>
      <c r="K926">
        <f>IF(J926="","",SUMPRODUCT(($A$2:$A$636=1)*($G$2:$G$636=J926)))</f>
        <v/>
      </c>
      <c r="L926">
        <f>IF(J926="","",SUMPRODUCT(($A$2:$A$636=1)*($G$2:$G$636=J926)*(ISNUMBER($B$2:$B$636))*($B$2:$B$636&lt;0.5)))</f>
        <v/>
      </c>
      <c r="M926">
        <f>IFERROR(L926/K926,"")</f>
        <v/>
      </c>
      <c r="N926">
        <f>IF(K926="","",M926+K926/100000+ROW()/100000000)</f>
        <v/>
      </c>
    </row>
    <row r="927">
      <c r="J927">
        <f>IFERROR(CHOOSE(MATCH(Dashboard!$B$11,{"Department","Team","Unit","Legal entity","Location","Lead"},0),INDEX(Lists!$B$3:$B$20,ROW()-1),INDEX(Lists!$C$3:$C$146,ROW()-1),INDEX(Lists!$D$3:$D$67,ROW()-1),INDEX(Lists!$E$3:$E$5,ROW()-1),INDEX(Lists!$F$3:$F$12,ROW()-1),INDEX(Lists!$G$3:$G$126,ROW()-1)),"")</f>
        <v/>
      </c>
      <c r="K927">
        <f>IF(J927="","",SUMPRODUCT(($A$2:$A$636=1)*($G$2:$G$636=J927)))</f>
        <v/>
      </c>
      <c r="L927">
        <f>IF(J927="","",SUMPRODUCT(($A$2:$A$636=1)*($G$2:$G$636=J927)*(ISNUMBER($B$2:$B$636))*($B$2:$B$636&lt;0.5)))</f>
        <v/>
      </c>
      <c r="M927">
        <f>IFERROR(L927/K927,"")</f>
        <v/>
      </c>
      <c r="N927">
        <f>IF(K927="","",M927+K927/100000+ROW()/100000000)</f>
        <v/>
      </c>
    </row>
    <row r="928">
      <c r="J928">
        <f>IFERROR(CHOOSE(MATCH(Dashboard!$B$11,{"Department","Team","Unit","Legal entity","Location","Lead"},0),INDEX(Lists!$B$3:$B$20,ROW()-1),INDEX(Lists!$C$3:$C$146,ROW()-1),INDEX(Lists!$D$3:$D$67,ROW()-1),INDEX(Lists!$E$3:$E$5,ROW()-1),INDEX(Lists!$F$3:$F$12,ROW()-1),INDEX(Lists!$G$3:$G$126,ROW()-1)),"")</f>
        <v/>
      </c>
      <c r="K928">
        <f>IF(J928="","",SUMPRODUCT(($A$2:$A$636=1)*($G$2:$G$636=J928)))</f>
        <v/>
      </c>
      <c r="L928">
        <f>IF(J928="","",SUMPRODUCT(($A$2:$A$636=1)*($G$2:$G$636=J928)*(ISNUMBER($B$2:$B$636))*($B$2:$B$636&lt;0.5)))</f>
        <v/>
      </c>
      <c r="M928">
        <f>IFERROR(L928/K928,"")</f>
        <v/>
      </c>
      <c r="N928">
        <f>IF(K928="","",M928+K928/100000+ROW()/100000000)</f>
        <v/>
      </c>
    </row>
    <row r="929">
      <c r="J929">
        <f>IFERROR(CHOOSE(MATCH(Dashboard!$B$11,{"Department","Team","Unit","Legal entity","Location","Lead"},0),INDEX(Lists!$B$3:$B$20,ROW()-1),INDEX(Lists!$C$3:$C$146,ROW()-1),INDEX(Lists!$D$3:$D$67,ROW()-1),INDEX(Lists!$E$3:$E$5,ROW()-1),INDEX(Lists!$F$3:$F$12,ROW()-1),INDEX(Lists!$G$3:$G$126,ROW()-1)),"")</f>
        <v/>
      </c>
      <c r="K929">
        <f>IF(J929="","",SUMPRODUCT(($A$2:$A$636=1)*($G$2:$G$636=J929)))</f>
        <v/>
      </c>
      <c r="L929">
        <f>IF(J929="","",SUMPRODUCT(($A$2:$A$636=1)*($G$2:$G$636=J929)*(ISNUMBER($B$2:$B$636))*($B$2:$B$636&lt;0.5)))</f>
        <v/>
      </c>
      <c r="M929">
        <f>IFERROR(L929/K929,"")</f>
        <v/>
      </c>
      <c r="N929">
        <f>IF(K929="","",M929+K929/100000+ROW()/100000000)</f>
        <v/>
      </c>
    </row>
    <row r="930">
      <c r="J930">
        <f>IFERROR(CHOOSE(MATCH(Dashboard!$B$11,{"Department","Team","Unit","Legal entity","Location","Lead"},0),INDEX(Lists!$B$3:$B$20,ROW()-1),INDEX(Lists!$C$3:$C$146,ROW()-1),INDEX(Lists!$D$3:$D$67,ROW()-1),INDEX(Lists!$E$3:$E$5,ROW()-1),INDEX(Lists!$F$3:$F$12,ROW()-1),INDEX(Lists!$G$3:$G$126,ROW()-1)),"")</f>
        <v/>
      </c>
      <c r="K930">
        <f>IF(J930="","",SUMPRODUCT(($A$2:$A$636=1)*($G$2:$G$636=J930)))</f>
        <v/>
      </c>
      <c r="L930">
        <f>IF(J930="","",SUMPRODUCT(($A$2:$A$636=1)*($G$2:$G$636=J930)*(ISNUMBER($B$2:$B$636))*($B$2:$B$636&lt;0.5)))</f>
        <v/>
      </c>
      <c r="M930">
        <f>IFERROR(L930/K930,"")</f>
        <v/>
      </c>
      <c r="N930">
        <f>IF(K930="","",M930+K930/100000+ROW()/100000000)</f>
        <v/>
      </c>
    </row>
    <row r="931">
      <c r="J931">
        <f>IFERROR(CHOOSE(MATCH(Dashboard!$B$11,{"Department","Team","Unit","Legal entity","Location","Lead"},0),INDEX(Lists!$B$3:$B$20,ROW()-1),INDEX(Lists!$C$3:$C$146,ROW()-1),INDEX(Lists!$D$3:$D$67,ROW()-1),INDEX(Lists!$E$3:$E$5,ROW()-1),INDEX(Lists!$F$3:$F$12,ROW()-1),INDEX(Lists!$G$3:$G$126,ROW()-1)),"")</f>
        <v/>
      </c>
      <c r="K931">
        <f>IF(J931="","",SUMPRODUCT(($A$2:$A$636=1)*($G$2:$G$636=J931)))</f>
        <v/>
      </c>
      <c r="L931">
        <f>IF(J931="","",SUMPRODUCT(($A$2:$A$636=1)*($G$2:$G$636=J931)*(ISNUMBER($B$2:$B$636))*($B$2:$B$636&lt;0.5)))</f>
        <v/>
      </c>
      <c r="M931">
        <f>IFERROR(L931/K931,"")</f>
        <v/>
      </c>
      <c r="N931">
        <f>IF(K931="","",M931+K931/100000+ROW()/100000000)</f>
        <v/>
      </c>
    </row>
    <row r="932">
      <c r="J932">
        <f>IFERROR(CHOOSE(MATCH(Dashboard!$B$11,{"Department","Team","Unit","Legal entity","Location","Lead"},0),INDEX(Lists!$B$3:$B$20,ROW()-1),INDEX(Lists!$C$3:$C$146,ROW()-1),INDEX(Lists!$D$3:$D$67,ROW()-1),INDEX(Lists!$E$3:$E$5,ROW()-1),INDEX(Lists!$F$3:$F$12,ROW()-1),INDEX(Lists!$G$3:$G$126,ROW()-1)),"")</f>
        <v/>
      </c>
      <c r="K932">
        <f>IF(J932="","",SUMPRODUCT(($A$2:$A$636=1)*($G$2:$G$636=J932)))</f>
        <v/>
      </c>
      <c r="L932">
        <f>IF(J932="","",SUMPRODUCT(($A$2:$A$636=1)*($G$2:$G$636=J932)*(ISNUMBER($B$2:$B$636))*($B$2:$B$636&lt;0.5)))</f>
        <v/>
      </c>
      <c r="M932">
        <f>IFERROR(L932/K932,"")</f>
        <v/>
      </c>
      <c r="N932">
        <f>IF(K932="","",M932+K932/100000+ROW()/100000000)</f>
        <v/>
      </c>
    </row>
    <row r="933">
      <c r="J933">
        <f>IFERROR(CHOOSE(MATCH(Dashboard!$B$11,{"Department","Team","Unit","Legal entity","Location","Lead"},0),INDEX(Lists!$B$3:$B$20,ROW()-1),INDEX(Lists!$C$3:$C$146,ROW()-1),INDEX(Lists!$D$3:$D$67,ROW()-1),INDEX(Lists!$E$3:$E$5,ROW()-1),INDEX(Lists!$F$3:$F$12,ROW()-1),INDEX(Lists!$G$3:$G$126,ROW()-1)),"")</f>
        <v/>
      </c>
      <c r="K933">
        <f>IF(J933="","",SUMPRODUCT(($A$2:$A$636=1)*($G$2:$G$636=J933)))</f>
        <v/>
      </c>
      <c r="L933">
        <f>IF(J933="","",SUMPRODUCT(($A$2:$A$636=1)*($G$2:$G$636=J933)*(ISNUMBER($B$2:$B$636))*($B$2:$B$636&lt;0.5)))</f>
        <v/>
      </c>
      <c r="M933">
        <f>IFERROR(L933/K933,"")</f>
        <v/>
      </c>
      <c r="N933">
        <f>IF(K933="","",M933+K933/100000+ROW()/100000000)</f>
        <v/>
      </c>
    </row>
    <row r="934">
      <c r="J934">
        <f>IFERROR(CHOOSE(MATCH(Dashboard!$B$11,{"Department","Team","Unit","Legal entity","Location","Lead"},0),INDEX(Lists!$B$3:$B$20,ROW()-1),INDEX(Lists!$C$3:$C$146,ROW()-1),INDEX(Lists!$D$3:$D$67,ROW()-1),INDEX(Lists!$E$3:$E$5,ROW()-1),INDEX(Lists!$F$3:$F$12,ROW()-1),INDEX(Lists!$G$3:$G$126,ROW()-1)),"")</f>
        <v/>
      </c>
      <c r="K934">
        <f>IF(J934="","",SUMPRODUCT(($A$2:$A$636=1)*($G$2:$G$636=J934)))</f>
        <v/>
      </c>
      <c r="L934">
        <f>IF(J934="","",SUMPRODUCT(($A$2:$A$636=1)*($G$2:$G$636=J934)*(ISNUMBER($B$2:$B$636))*($B$2:$B$636&lt;0.5)))</f>
        <v/>
      </c>
      <c r="M934">
        <f>IFERROR(L934/K934,"")</f>
        <v/>
      </c>
      <c r="N934">
        <f>IF(K934="","",M934+K934/100000+ROW()/100000000)</f>
        <v/>
      </c>
    </row>
    <row r="935">
      <c r="J935">
        <f>IFERROR(CHOOSE(MATCH(Dashboard!$B$11,{"Department","Team","Unit","Legal entity","Location","Lead"},0),INDEX(Lists!$B$3:$B$20,ROW()-1),INDEX(Lists!$C$3:$C$146,ROW()-1),INDEX(Lists!$D$3:$D$67,ROW()-1),INDEX(Lists!$E$3:$E$5,ROW()-1),INDEX(Lists!$F$3:$F$12,ROW()-1),INDEX(Lists!$G$3:$G$126,ROW()-1)),"")</f>
        <v/>
      </c>
      <c r="K935">
        <f>IF(J935="","",SUMPRODUCT(($A$2:$A$636=1)*($G$2:$G$636=J935)))</f>
        <v/>
      </c>
      <c r="L935">
        <f>IF(J935="","",SUMPRODUCT(($A$2:$A$636=1)*($G$2:$G$636=J935)*(ISNUMBER($B$2:$B$636))*($B$2:$B$636&lt;0.5)))</f>
        <v/>
      </c>
      <c r="M935">
        <f>IFERROR(L935/K935,"")</f>
        <v/>
      </c>
      <c r="N935">
        <f>IF(K935="","",M935+K935/100000+ROW()/100000000)</f>
        <v/>
      </c>
    </row>
    <row r="936">
      <c r="J936">
        <f>IFERROR(CHOOSE(MATCH(Dashboard!$B$11,{"Department","Team","Unit","Legal entity","Location","Lead"},0),INDEX(Lists!$B$3:$B$20,ROW()-1),INDEX(Lists!$C$3:$C$146,ROW()-1),INDEX(Lists!$D$3:$D$67,ROW()-1),INDEX(Lists!$E$3:$E$5,ROW()-1),INDEX(Lists!$F$3:$F$12,ROW()-1),INDEX(Lists!$G$3:$G$126,ROW()-1)),"")</f>
        <v/>
      </c>
      <c r="K936">
        <f>IF(J936="","",SUMPRODUCT(($A$2:$A$636=1)*($G$2:$G$636=J936)))</f>
        <v/>
      </c>
      <c r="L936">
        <f>IF(J936="","",SUMPRODUCT(($A$2:$A$636=1)*($G$2:$G$636=J936)*(ISNUMBER($B$2:$B$636))*($B$2:$B$636&lt;0.5)))</f>
        <v/>
      </c>
      <c r="M936">
        <f>IFERROR(L936/K936,"")</f>
        <v/>
      </c>
      <c r="N936">
        <f>IF(K936="","",M936+K936/100000+ROW()/100000000)</f>
        <v/>
      </c>
    </row>
    <row r="937">
      <c r="J937">
        <f>IFERROR(CHOOSE(MATCH(Dashboard!$B$11,{"Department","Team","Unit","Legal entity","Location","Lead"},0),INDEX(Lists!$B$3:$B$20,ROW()-1),INDEX(Lists!$C$3:$C$146,ROW()-1),INDEX(Lists!$D$3:$D$67,ROW()-1),INDEX(Lists!$E$3:$E$5,ROW()-1),INDEX(Lists!$F$3:$F$12,ROW()-1),INDEX(Lists!$G$3:$G$126,ROW()-1)),"")</f>
        <v/>
      </c>
      <c r="K937">
        <f>IF(J937="","",SUMPRODUCT(($A$2:$A$636=1)*($G$2:$G$636=J937)))</f>
        <v/>
      </c>
      <c r="L937">
        <f>IF(J937="","",SUMPRODUCT(($A$2:$A$636=1)*($G$2:$G$636=J937)*(ISNUMBER($B$2:$B$636))*($B$2:$B$636&lt;0.5)))</f>
        <v/>
      </c>
      <c r="M937">
        <f>IFERROR(L937/K937,"")</f>
        <v/>
      </c>
      <c r="N937">
        <f>IF(K937="","",M937+K937/100000+ROW()/100000000)</f>
        <v/>
      </c>
    </row>
    <row r="938">
      <c r="J938">
        <f>IFERROR(CHOOSE(MATCH(Dashboard!$B$11,{"Department","Team","Unit","Legal entity","Location","Lead"},0),INDEX(Lists!$B$3:$B$20,ROW()-1),INDEX(Lists!$C$3:$C$146,ROW()-1),INDEX(Lists!$D$3:$D$67,ROW()-1),INDEX(Lists!$E$3:$E$5,ROW()-1),INDEX(Lists!$F$3:$F$12,ROW()-1),INDEX(Lists!$G$3:$G$126,ROW()-1)),"")</f>
        <v/>
      </c>
      <c r="K938">
        <f>IF(J938="","",SUMPRODUCT(($A$2:$A$636=1)*($G$2:$G$636=J938)))</f>
        <v/>
      </c>
      <c r="L938">
        <f>IF(J938="","",SUMPRODUCT(($A$2:$A$636=1)*($G$2:$G$636=J938)*(ISNUMBER($B$2:$B$636))*($B$2:$B$636&lt;0.5)))</f>
        <v/>
      </c>
      <c r="M938">
        <f>IFERROR(L938/K938,"")</f>
        <v/>
      </c>
      <c r="N938">
        <f>IF(K938="","",M938+K938/100000+ROW()/100000000)</f>
        <v/>
      </c>
    </row>
    <row r="939">
      <c r="J939">
        <f>IFERROR(CHOOSE(MATCH(Dashboard!$B$11,{"Department","Team","Unit","Legal entity","Location","Lead"},0),INDEX(Lists!$B$3:$B$20,ROW()-1),INDEX(Lists!$C$3:$C$146,ROW()-1),INDEX(Lists!$D$3:$D$67,ROW()-1),INDEX(Lists!$E$3:$E$5,ROW()-1),INDEX(Lists!$F$3:$F$12,ROW()-1),INDEX(Lists!$G$3:$G$126,ROW()-1)),"")</f>
        <v/>
      </c>
      <c r="K939">
        <f>IF(J939="","",SUMPRODUCT(($A$2:$A$636=1)*($G$2:$G$636=J939)))</f>
        <v/>
      </c>
      <c r="L939">
        <f>IF(J939="","",SUMPRODUCT(($A$2:$A$636=1)*($G$2:$G$636=J939)*(ISNUMBER($B$2:$B$636))*($B$2:$B$636&lt;0.5)))</f>
        <v/>
      </c>
      <c r="M939">
        <f>IFERROR(L939/K939,"")</f>
        <v/>
      </c>
      <c r="N939">
        <f>IF(K939="","",M939+K939/100000+ROW()/100000000)</f>
        <v/>
      </c>
    </row>
    <row r="940">
      <c r="J940">
        <f>IFERROR(CHOOSE(MATCH(Dashboard!$B$11,{"Department","Team","Unit","Legal entity","Location","Lead"},0),INDEX(Lists!$B$3:$B$20,ROW()-1),INDEX(Lists!$C$3:$C$146,ROW()-1),INDEX(Lists!$D$3:$D$67,ROW()-1),INDEX(Lists!$E$3:$E$5,ROW()-1),INDEX(Lists!$F$3:$F$12,ROW()-1),INDEX(Lists!$G$3:$G$126,ROW()-1)),"")</f>
        <v/>
      </c>
      <c r="K940">
        <f>IF(J940="","",SUMPRODUCT(($A$2:$A$636=1)*($G$2:$G$636=J940)))</f>
        <v/>
      </c>
      <c r="L940">
        <f>IF(J940="","",SUMPRODUCT(($A$2:$A$636=1)*($G$2:$G$636=J940)*(ISNUMBER($B$2:$B$636))*($B$2:$B$636&lt;0.5)))</f>
        <v/>
      </c>
      <c r="M940">
        <f>IFERROR(L940/K940,"")</f>
        <v/>
      </c>
      <c r="N940">
        <f>IF(K940="","",M940+K940/100000+ROW()/100000000)</f>
        <v/>
      </c>
    </row>
    <row r="941">
      <c r="J941">
        <f>IFERROR(CHOOSE(MATCH(Dashboard!$B$11,{"Department","Team","Unit","Legal entity","Location","Lead"},0),INDEX(Lists!$B$3:$B$20,ROW()-1),INDEX(Lists!$C$3:$C$146,ROW()-1),INDEX(Lists!$D$3:$D$67,ROW()-1),INDEX(Lists!$E$3:$E$5,ROW()-1),INDEX(Lists!$F$3:$F$12,ROW()-1),INDEX(Lists!$G$3:$G$126,ROW()-1)),"")</f>
        <v/>
      </c>
      <c r="K941">
        <f>IF(J941="","",SUMPRODUCT(($A$2:$A$636=1)*($G$2:$G$636=J941)))</f>
        <v/>
      </c>
      <c r="L941">
        <f>IF(J941="","",SUMPRODUCT(($A$2:$A$636=1)*($G$2:$G$636=J941)*(ISNUMBER($B$2:$B$636))*($B$2:$B$636&lt;0.5)))</f>
        <v/>
      </c>
      <c r="M941">
        <f>IFERROR(L941/K941,"")</f>
        <v/>
      </c>
      <c r="N941">
        <f>IF(K941="","",M941+K941/100000+ROW()/100000000)</f>
        <v/>
      </c>
    </row>
    <row r="942">
      <c r="J942">
        <f>IFERROR(CHOOSE(MATCH(Dashboard!$B$11,{"Department","Team","Unit","Legal entity","Location","Lead"},0),INDEX(Lists!$B$3:$B$20,ROW()-1),INDEX(Lists!$C$3:$C$146,ROW()-1),INDEX(Lists!$D$3:$D$67,ROW()-1),INDEX(Lists!$E$3:$E$5,ROW()-1),INDEX(Lists!$F$3:$F$12,ROW()-1),INDEX(Lists!$G$3:$G$126,ROW()-1)),"")</f>
        <v/>
      </c>
      <c r="K942">
        <f>IF(J942="","",SUMPRODUCT(($A$2:$A$636=1)*($G$2:$G$636=J942)))</f>
        <v/>
      </c>
      <c r="L942">
        <f>IF(J942="","",SUMPRODUCT(($A$2:$A$636=1)*($G$2:$G$636=J942)*(ISNUMBER($B$2:$B$636))*($B$2:$B$636&lt;0.5)))</f>
        <v/>
      </c>
      <c r="M942">
        <f>IFERROR(L942/K942,"")</f>
        <v/>
      </c>
      <c r="N942">
        <f>IF(K942="","",M942+K942/100000+ROW()/100000000)</f>
        <v/>
      </c>
    </row>
    <row r="943">
      <c r="J943">
        <f>IFERROR(CHOOSE(MATCH(Dashboard!$B$11,{"Department","Team","Unit","Legal entity","Location","Lead"},0),INDEX(Lists!$B$3:$B$20,ROW()-1),INDEX(Lists!$C$3:$C$146,ROW()-1),INDEX(Lists!$D$3:$D$67,ROW()-1),INDEX(Lists!$E$3:$E$5,ROW()-1),INDEX(Lists!$F$3:$F$12,ROW()-1),INDEX(Lists!$G$3:$G$126,ROW()-1)),"")</f>
        <v/>
      </c>
      <c r="K943">
        <f>IF(J943="","",SUMPRODUCT(($A$2:$A$636=1)*($G$2:$G$636=J943)))</f>
        <v/>
      </c>
      <c r="L943">
        <f>IF(J943="","",SUMPRODUCT(($A$2:$A$636=1)*($G$2:$G$636=J943)*(ISNUMBER($B$2:$B$636))*($B$2:$B$636&lt;0.5)))</f>
        <v/>
      </c>
      <c r="M943">
        <f>IFERROR(L943/K943,"")</f>
        <v/>
      </c>
      <c r="N943">
        <f>IF(K943="","",M943+K943/100000+ROW()/100000000)</f>
        <v/>
      </c>
    </row>
    <row r="944">
      <c r="J944">
        <f>IFERROR(CHOOSE(MATCH(Dashboard!$B$11,{"Department","Team","Unit","Legal entity","Location","Lead"},0),INDEX(Lists!$B$3:$B$20,ROW()-1),INDEX(Lists!$C$3:$C$146,ROW()-1),INDEX(Lists!$D$3:$D$67,ROW()-1),INDEX(Lists!$E$3:$E$5,ROW()-1),INDEX(Lists!$F$3:$F$12,ROW()-1),INDEX(Lists!$G$3:$G$126,ROW()-1)),"")</f>
        <v/>
      </c>
      <c r="K944">
        <f>IF(J944="","",SUMPRODUCT(($A$2:$A$636=1)*($G$2:$G$636=J944)))</f>
        <v/>
      </c>
      <c r="L944">
        <f>IF(J944="","",SUMPRODUCT(($A$2:$A$636=1)*($G$2:$G$636=J944)*(ISNUMBER($B$2:$B$636))*($B$2:$B$636&lt;0.5)))</f>
        <v/>
      </c>
      <c r="M944">
        <f>IFERROR(L944/K944,"")</f>
        <v/>
      </c>
      <c r="N944">
        <f>IF(K944="","",M944+K944/100000+ROW()/100000000)</f>
        <v/>
      </c>
    </row>
    <row r="945">
      <c r="J945">
        <f>IFERROR(CHOOSE(MATCH(Dashboard!$B$11,{"Department","Team","Unit","Legal entity","Location","Lead"},0),INDEX(Lists!$B$3:$B$20,ROW()-1),INDEX(Lists!$C$3:$C$146,ROW()-1),INDEX(Lists!$D$3:$D$67,ROW()-1),INDEX(Lists!$E$3:$E$5,ROW()-1),INDEX(Lists!$F$3:$F$12,ROW()-1),INDEX(Lists!$G$3:$G$126,ROW()-1)),"")</f>
        <v/>
      </c>
      <c r="K945">
        <f>IF(J945="","",SUMPRODUCT(($A$2:$A$636=1)*($G$2:$G$636=J945)))</f>
        <v/>
      </c>
      <c r="L945">
        <f>IF(J945="","",SUMPRODUCT(($A$2:$A$636=1)*($G$2:$G$636=J945)*(ISNUMBER($B$2:$B$636))*($B$2:$B$636&lt;0.5)))</f>
        <v/>
      </c>
      <c r="M945">
        <f>IFERROR(L945/K945,"")</f>
        <v/>
      </c>
      <c r="N945">
        <f>IF(K945="","",M945+K945/100000+ROW()/100000000)</f>
        <v/>
      </c>
    </row>
    <row r="946">
      <c r="J946">
        <f>IFERROR(CHOOSE(MATCH(Dashboard!$B$11,{"Department","Team","Unit","Legal entity","Location","Lead"},0),INDEX(Lists!$B$3:$B$20,ROW()-1),INDEX(Lists!$C$3:$C$146,ROW()-1),INDEX(Lists!$D$3:$D$67,ROW()-1),INDEX(Lists!$E$3:$E$5,ROW()-1),INDEX(Lists!$F$3:$F$12,ROW()-1),INDEX(Lists!$G$3:$G$126,ROW()-1)),"")</f>
        <v/>
      </c>
      <c r="K946">
        <f>IF(J946="","",SUMPRODUCT(($A$2:$A$636=1)*($G$2:$G$636=J946)))</f>
        <v/>
      </c>
      <c r="L946">
        <f>IF(J946="","",SUMPRODUCT(($A$2:$A$636=1)*($G$2:$G$636=J946)*(ISNUMBER($B$2:$B$636))*($B$2:$B$636&lt;0.5)))</f>
        <v/>
      </c>
      <c r="M946">
        <f>IFERROR(L946/K946,"")</f>
        <v/>
      </c>
      <c r="N946">
        <f>IF(K946="","",M946+K946/100000+ROW()/100000000)</f>
        <v/>
      </c>
    </row>
    <row r="947">
      <c r="J947">
        <f>IFERROR(CHOOSE(MATCH(Dashboard!$B$11,{"Department","Team","Unit","Legal entity","Location","Lead"},0),INDEX(Lists!$B$3:$B$20,ROW()-1),INDEX(Lists!$C$3:$C$146,ROW()-1),INDEX(Lists!$D$3:$D$67,ROW()-1),INDEX(Lists!$E$3:$E$5,ROW()-1),INDEX(Lists!$F$3:$F$12,ROW()-1),INDEX(Lists!$G$3:$G$126,ROW()-1)),"")</f>
        <v/>
      </c>
      <c r="K947">
        <f>IF(J947="","",SUMPRODUCT(($A$2:$A$636=1)*($G$2:$G$636=J947)))</f>
        <v/>
      </c>
      <c r="L947">
        <f>IF(J947="","",SUMPRODUCT(($A$2:$A$636=1)*($G$2:$G$636=J947)*(ISNUMBER($B$2:$B$636))*($B$2:$B$636&lt;0.5)))</f>
        <v/>
      </c>
      <c r="M947">
        <f>IFERROR(L947/K947,"")</f>
        <v/>
      </c>
      <c r="N947">
        <f>IF(K947="","",M947+K947/100000+ROW()/100000000)</f>
        <v/>
      </c>
    </row>
    <row r="948">
      <c r="J948">
        <f>IFERROR(CHOOSE(MATCH(Dashboard!$B$11,{"Department","Team","Unit","Legal entity","Location","Lead"},0),INDEX(Lists!$B$3:$B$20,ROW()-1),INDEX(Lists!$C$3:$C$146,ROW()-1),INDEX(Lists!$D$3:$D$67,ROW()-1),INDEX(Lists!$E$3:$E$5,ROW()-1),INDEX(Lists!$F$3:$F$12,ROW()-1),INDEX(Lists!$G$3:$G$126,ROW()-1)),"")</f>
        <v/>
      </c>
      <c r="K948">
        <f>IF(J948="","",SUMPRODUCT(($A$2:$A$636=1)*($G$2:$G$636=J948)))</f>
        <v/>
      </c>
      <c r="L948">
        <f>IF(J948="","",SUMPRODUCT(($A$2:$A$636=1)*($G$2:$G$636=J948)*(ISNUMBER($B$2:$B$636))*($B$2:$B$636&lt;0.5)))</f>
        <v/>
      </c>
      <c r="M948">
        <f>IFERROR(L948/K948,"")</f>
        <v/>
      </c>
      <c r="N948">
        <f>IF(K948="","",M948+K948/100000+ROW()/100000000)</f>
        <v/>
      </c>
    </row>
    <row r="949">
      <c r="J949">
        <f>IFERROR(CHOOSE(MATCH(Dashboard!$B$11,{"Department","Team","Unit","Legal entity","Location","Lead"},0),INDEX(Lists!$B$3:$B$20,ROW()-1),INDEX(Lists!$C$3:$C$146,ROW()-1),INDEX(Lists!$D$3:$D$67,ROW()-1),INDEX(Lists!$E$3:$E$5,ROW()-1),INDEX(Lists!$F$3:$F$12,ROW()-1),INDEX(Lists!$G$3:$G$126,ROW()-1)),"")</f>
        <v/>
      </c>
      <c r="K949">
        <f>IF(J949="","",SUMPRODUCT(($A$2:$A$636=1)*($G$2:$G$636=J949)))</f>
        <v/>
      </c>
      <c r="L949">
        <f>IF(J949="","",SUMPRODUCT(($A$2:$A$636=1)*($G$2:$G$636=J949)*(ISNUMBER($B$2:$B$636))*($B$2:$B$636&lt;0.5)))</f>
        <v/>
      </c>
      <c r="M949">
        <f>IFERROR(L949/K949,"")</f>
        <v/>
      </c>
      <c r="N949">
        <f>IF(K949="","",M949+K949/100000+ROW()/100000000)</f>
        <v/>
      </c>
    </row>
    <row r="950">
      <c r="J950">
        <f>IFERROR(CHOOSE(MATCH(Dashboard!$B$11,{"Department","Team","Unit","Legal entity","Location","Lead"},0),INDEX(Lists!$B$3:$B$20,ROW()-1),INDEX(Lists!$C$3:$C$146,ROW()-1),INDEX(Lists!$D$3:$D$67,ROW()-1),INDEX(Lists!$E$3:$E$5,ROW()-1),INDEX(Lists!$F$3:$F$12,ROW()-1),INDEX(Lists!$G$3:$G$126,ROW()-1)),"")</f>
        <v/>
      </c>
      <c r="K950">
        <f>IF(J950="","",SUMPRODUCT(($A$2:$A$636=1)*($G$2:$G$636=J950)))</f>
        <v/>
      </c>
      <c r="L950">
        <f>IF(J950="","",SUMPRODUCT(($A$2:$A$636=1)*($G$2:$G$636=J950)*(ISNUMBER($B$2:$B$636))*($B$2:$B$636&lt;0.5)))</f>
        <v/>
      </c>
      <c r="M950">
        <f>IFERROR(L950/K950,"")</f>
        <v/>
      </c>
      <c r="N950">
        <f>IF(K950="","",M950+K950/100000+ROW()/100000000)</f>
        <v/>
      </c>
    </row>
    <row r="951">
      <c r="J951">
        <f>IFERROR(CHOOSE(MATCH(Dashboard!$B$11,{"Department","Team","Unit","Legal entity","Location","Lead"},0),INDEX(Lists!$B$3:$B$20,ROW()-1),INDEX(Lists!$C$3:$C$146,ROW()-1),INDEX(Lists!$D$3:$D$67,ROW()-1),INDEX(Lists!$E$3:$E$5,ROW()-1),INDEX(Lists!$F$3:$F$12,ROW()-1),INDEX(Lists!$G$3:$G$126,ROW()-1)),"")</f>
        <v/>
      </c>
      <c r="K951">
        <f>IF(J951="","",SUMPRODUCT(($A$2:$A$636=1)*($G$2:$G$636=J951)))</f>
        <v/>
      </c>
      <c r="L951">
        <f>IF(J951="","",SUMPRODUCT(($A$2:$A$636=1)*($G$2:$G$636=J951)*(ISNUMBER($B$2:$B$636))*($B$2:$B$636&lt;0.5)))</f>
        <v/>
      </c>
      <c r="M951">
        <f>IFERROR(L951/K951,"")</f>
        <v/>
      </c>
      <c r="N951">
        <f>IF(K951="","",M951+K951/100000+ROW()/100000000)</f>
        <v/>
      </c>
    </row>
    <row r="952">
      <c r="J952">
        <f>IFERROR(CHOOSE(MATCH(Dashboard!$B$11,{"Department","Team","Unit","Legal entity","Location","Lead"},0),INDEX(Lists!$B$3:$B$20,ROW()-1),INDEX(Lists!$C$3:$C$146,ROW()-1),INDEX(Lists!$D$3:$D$67,ROW()-1),INDEX(Lists!$E$3:$E$5,ROW()-1),INDEX(Lists!$F$3:$F$12,ROW()-1),INDEX(Lists!$G$3:$G$126,ROW()-1)),"")</f>
        <v/>
      </c>
      <c r="K952">
        <f>IF(J952="","",SUMPRODUCT(($A$2:$A$636=1)*($G$2:$G$636=J952)))</f>
        <v/>
      </c>
      <c r="L952">
        <f>IF(J952="","",SUMPRODUCT(($A$2:$A$636=1)*($G$2:$G$636=J952)*(ISNUMBER($B$2:$B$636))*($B$2:$B$636&lt;0.5)))</f>
        <v/>
      </c>
      <c r="M952">
        <f>IFERROR(L952/K952,"")</f>
        <v/>
      </c>
      <c r="N952">
        <f>IF(K952="","",M952+K952/100000+ROW()/100000000)</f>
        <v/>
      </c>
    </row>
    <row r="953">
      <c r="J953">
        <f>IFERROR(CHOOSE(MATCH(Dashboard!$B$11,{"Department","Team","Unit","Legal entity","Location","Lead"},0),INDEX(Lists!$B$3:$B$20,ROW()-1),INDEX(Lists!$C$3:$C$146,ROW()-1),INDEX(Lists!$D$3:$D$67,ROW()-1),INDEX(Lists!$E$3:$E$5,ROW()-1),INDEX(Lists!$F$3:$F$12,ROW()-1),INDEX(Lists!$G$3:$G$126,ROW()-1)),"")</f>
        <v/>
      </c>
      <c r="K953">
        <f>IF(J953="","",SUMPRODUCT(($A$2:$A$636=1)*($G$2:$G$636=J953)))</f>
        <v/>
      </c>
      <c r="L953">
        <f>IF(J953="","",SUMPRODUCT(($A$2:$A$636=1)*($G$2:$G$636=J953)*(ISNUMBER($B$2:$B$636))*($B$2:$B$636&lt;0.5)))</f>
        <v/>
      </c>
      <c r="M953">
        <f>IFERROR(L953/K953,"")</f>
        <v/>
      </c>
      <c r="N953">
        <f>IF(K953="","",M953+K953/100000+ROW()/100000000)</f>
        <v/>
      </c>
    </row>
    <row r="954">
      <c r="J954">
        <f>IFERROR(CHOOSE(MATCH(Dashboard!$B$11,{"Department","Team","Unit","Legal entity","Location","Lead"},0),INDEX(Lists!$B$3:$B$20,ROW()-1),INDEX(Lists!$C$3:$C$146,ROW()-1),INDEX(Lists!$D$3:$D$67,ROW()-1),INDEX(Lists!$E$3:$E$5,ROW()-1),INDEX(Lists!$F$3:$F$12,ROW()-1),INDEX(Lists!$G$3:$G$126,ROW()-1)),"")</f>
        <v/>
      </c>
      <c r="K954">
        <f>IF(J954="","",SUMPRODUCT(($A$2:$A$636=1)*($G$2:$G$636=J954)))</f>
        <v/>
      </c>
      <c r="L954">
        <f>IF(J954="","",SUMPRODUCT(($A$2:$A$636=1)*($G$2:$G$636=J954)*(ISNUMBER($B$2:$B$636))*($B$2:$B$636&lt;0.5)))</f>
        <v/>
      </c>
      <c r="M954">
        <f>IFERROR(L954/K954,"")</f>
        <v/>
      </c>
      <c r="N954">
        <f>IF(K954="","",M954+K954/100000+ROW()/100000000)</f>
        <v/>
      </c>
    </row>
    <row r="955">
      <c r="J955">
        <f>IFERROR(CHOOSE(MATCH(Dashboard!$B$11,{"Department","Team","Unit","Legal entity","Location","Lead"},0),INDEX(Lists!$B$3:$B$20,ROW()-1),INDEX(Lists!$C$3:$C$146,ROW()-1),INDEX(Lists!$D$3:$D$67,ROW()-1),INDEX(Lists!$E$3:$E$5,ROW()-1),INDEX(Lists!$F$3:$F$12,ROW()-1),INDEX(Lists!$G$3:$G$126,ROW()-1)),"")</f>
        <v/>
      </c>
      <c r="K955">
        <f>IF(J955="","",SUMPRODUCT(($A$2:$A$636=1)*($G$2:$G$636=J955)))</f>
        <v/>
      </c>
      <c r="L955">
        <f>IF(J955="","",SUMPRODUCT(($A$2:$A$636=1)*($G$2:$G$636=J955)*(ISNUMBER($B$2:$B$636))*($B$2:$B$636&lt;0.5)))</f>
        <v/>
      </c>
      <c r="M955">
        <f>IFERROR(L955/K955,"")</f>
        <v/>
      </c>
      <c r="N955">
        <f>IF(K955="","",M955+K955/100000+ROW()/100000000)</f>
        <v/>
      </c>
    </row>
    <row r="956">
      <c r="J956">
        <f>IFERROR(CHOOSE(MATCH(Dashboard!$B$11,{"Department","Team","Unit","Legal entity","Location","Lead"},0),INDEX(Lists!$B$3:$B$20,ROW()-1),INDEX(Lists!$C$3:$C$146,ROW()-1),INDEX(Lists!$D$3:$D$67,ROW()-1),INDEX(Lists!$E$3:$E$5,ROW()-1),INDEX(Lists!$F$3:$F$12,ROW()-1),INDEX(Lists!$G$3:$G$126,ROW()-1)),"")</f>
        <v/>
      </c>
      <c r="K956">
        <f>IF(J956="","",SUMPRODUCT(($A$2:$A$636=1)*($G$2:$G$636=J956)))</f>
        <v/>
      </c>
      <c r="L956">
        <f>IF(J956="","",SUMPRODUCT(($A$2:$A$636=1)*($G$2:$G$636=J956)*(ISNUMBER($B$2:$B$636))*($B$2:$B$636&lt;0.5)))</f>
        <v/>
      </c>
      <c r="M956">
        <f>IFERROR(L956/K956,"")</f>
        <v/>
      </c>
      <c r="N956">
        <f>IF(K956="","",M956+K956/100000+ROW()/100000000)</f>
        <v/>
      </c>
    </row>
    <row r="957">
      <c r="J957">
        <f>IFERROR(CHOOSE(MATCH(Dashboard!$B$11,{"Department","Team","Unit","Legal entity","Location","Lead"},0),INDEX(Lists!$B$3:$B$20,ROW()-1),INDEX(Lists!$C$3:$C$146,ROW()-1),INDEX(Lists!$D$3:$D$67,ROW()-1),INDEX(Lists!$E$3:$E$5,ROW()-1),INDEX(Lists!$F$3:$F$12,ROW()-1),INDEX(Lists!$G$3:$G$126,ROW()-1)),"")</f>
        <v/>
      </c>
      <c r="K957">
        <f>IF(J957="","",SUMPRODUCT(($A$2:$A$636=1)*($G$2:$G$636=J957)))</f>
        <v/>
      </c>
      <c r="L957">
        <f>IF(J957="","",SUMPRODUCT(($A$2:$A$636=1)*($G$2:$G$636=J957)*(ISNUMBER($B$2:$B$636))*($B$2:$B$636&lt;0.5)))</f>
        <v/>
      </c>
      <c r="M957">
        <f>IFERROR(L957/K957,"")</f>
        <v/>
      </c>
      <c r="N957">
        <f>IF(K957="","",M957+K957/100000+ROW()/100000000)</f>
        <v/>
      </c>
    </row>
    <row r="958">
      <c r="J958">
        <f>IFERROR(CHOOSE(MATCH(Dashboard!$B$11,{"Department","Team","Unit","Legal entity","Location","Lead"},0),INDEX(Lists!$B$3:$B$20,ROW()-1),INDEX(Lists!$C$3:$C$146,ROW()-1),INDEX(Lists!$D$3:$D$67,ROW()-1),INDEX(Lists!$E$3:$E$5,ROW()-1),INDEX(Lists!$F$3:$F$12,ROW()-1),INDEX(Lists!$G$3:$G$126,ROW()-1)),"")</f>
        <v/>
      </c>
      <c r="K958">
        <f>IF(J958="","",SUMPRODUCT(($A$2:$A$636=1)*($G$2:$G$636=J958)))</f>
        <v/>
      </c>
      <c r="L958">
        <f>IF(J958="","",SUMPRODUCT(($A$2:$A$636=1)*($G$2:$G$636=J958)*(ISNUMBER($B$2:$B$636))*($B$2:$B$636&lt;0.5)))</f>
        <v/>
      </c>
      <c r="M958">
        <f>IFERROR(L958/K958,"")</f>
        <v/>
      </c>
      <c r="N958">
        <f>IF(K958="","",M958+K958/100000+ROW()/100000000)</f>
        <v/>
      </c>
    </row>
    <row r="959">
      <c r="J959">
        <f>IFERROR(CHOOSE(MATCH(Dashboard!$B$11,{"Department","Team","Unit","Legal entity","Location","Lead"},0),INDEX(Lists!$B$3:$B$20,ROW()-1),INDEX(Lists!$C$3:$C$146,ROW()-1),INDEX(Lists!$D$3:$D$67,ROW()-1),INDEX(Lists!$E$3:$E$5,ROW()-1),INDEX(Lists!$F$3:$F$12,ROW()-1),INDEX(Lists!$G$3:$G$126,ROW()-1)),"")</f>
        <v/>
      </c>
      <c r="K959">
        <f>IF(J959="","",SUMPRODUCT(($A$2:$A$636=1)*($G$2:$G$636=J959)))</f>
        <v/>
      </c>
      <c r="L959">
        <f>IF(J959="","",SUMPRODUCT(($A$2:$A$636=1)*($G$2:$G$636=J959)*(ISNUMBER($B$2:$B$636))*($B$2:$B$636&lt;0.5)))</f>
        <v/>
      </c>
      <c r="M959">
        <f>IFERROR(L959/K959,"")</f>
        <v/>
      </c>
      <c r="N959">
        <f>IF(K959="","",M959+K959/100000+ROW()/100000000)</f>
        <v/>
      </c>
    </row>
    <row r="960">
      <c r="J960">
        <f>IFERROR(CHOOSE(MATCH(Dashboard!$B$11,{"Department","Team","Unit","Legal entity","Location","Lead"},0),INDEX(Lists!$B$3:$B$20,ROW()-1),INDEX(Lists!$C$3:$C$146,ROW()-1),INDEX(Lists!$D$3:$D$67,ROW()-1),INDEX(Lists!$E$3:$E$5,ROW()-1),INDEX(Lists!$F$3:$F$12,ROW()-1),INDEX(Lists!$G$3:$G$126,ROW()-1)),"")</f>
        <v/>
      </c>
      <c r="K960">
        <f>IF(J960="","",SUMPRODUCT(($A$2:$A$636=1)*($G$2:$G$636=J960)))</f>
        <v/>
      </c>
      <c r="L960">
        <f>IF(J960="","",SUMPRODUCT(($A$2:$A$636=1)*($G$2:$G$636=J960)*(ISNUMBER($B$2:$B$636))*($B$2:$B$636&lt;0.5)))</f>
        <v/>
      </c>
      <c r="M960">
        <f>IFERROR(L960/K960,"")</f>
        <v/>
      </c>
      <c r="N960">
        <f>IF(K960="","",M960+K960/100000+ROW()/100000000)</f>
        <v/>
      </c>
    </row>
    <row r="961">
      <c r="J961">
        <f>IFERROR(CHOOSE(MATCH(Dashboard!$B$11,{"Department","Team","Unit","Legal entity","Location","Lead"},0),INDEX(Lists!$B$3:$B$20,ROW()-1),INDEX(Lists!$C$3:$C$146,ROW()-1),INDEX(Lists!$D$3:$D$67,ROW()-1),INDEX(Lists!$E$3:$E$5,ROW()-1),INDEX(Lists!$F$3:$F$12,ROW()-1),INDEX(Lists!$G$3:$G$126,ROW()-1)),"")</f>
        <v/>
      </c>
      <c r="K961">
        <f>IF(J961="","",SUMPRODUCT(($A$2:$A$636=1)*($G$2:$G$636=J961)))</f>
        <v/>
      </c>
      <c r="L961">
        <f>IF(J961="","",SUMPRODUCT(($A$2:$A$636=1)*($G$2:$G$636=J961)*(ISNUMBER($B$2:$B$636))*($B$2:$B$636&lt;0.5)))</f>
        <v/>
      </c>
      <c r="M961">
        <f>IFERROR(L961/K961,"")</f>
        <v/>
      </c>
      <c r="N961">
        <f>IF(K961="","",M961+K961/100000+ROW()/100000000)</f>
        <v/>
      </c>
    </row>
    <row r="962">
      <c r="J962">
        <f>IFERROR(CHOOSE(MATCH(Dashboard!$B$11,{"Department","Team","Unit","Legal entity","Location","Lead"},0),INDEX(Lists!$B$3:$B$20,ROW()-1),INDEX(Lists!$C$3:$C$146,ROW()-1),INDEX(Lists!$D$3:$D$67,ROW()-1),INDEX(Lists!$E$3:$E$5,ROW()-1),INDEX(Lists!$F$3:$F$12,ROW()-1),INDEX(Lists!$G$3:$G$126,ROW()-1)),"")</f>
        <v/>
      </c>
      <c r="K962">
        <f>IF(J962="","",SUMPRODUCT(($A$2:$A$636=1)*($G$2:$G$636=J962)))</f>
        <v/>
      </c>
      <c r="L962">
        <f>IF(J962="","",SUMPRODUCT(($A$2:$A$636=1)*($G$2:$G$636=J962)*(ISNUMBER($B$2:$B$636))*($B$2:$B$636&lt;0.5)))</f>
        <v/>
      </c>
      <c r="M962">
        <f>IFERROR(L962/K962,"")</f>
        <v/>
      </c>
      <c r="N962">
        <f>IF(K962="","",M962+K962/100000+ROW()/100000000)</f>
        <v/>
      </c>
    </row>
    <row r="963">
      <c r="J963">
        <f>IFERROR(CHOOSE(MATCH(Dashboard!$B$11,{"Department","Team","Unit","Legal entity","Location","Lead"},0),INDEX(Lists!$B$3:$B$20,ROW()-1),INDEX(Lists!$C$3:$C$146,ROW()-1),INDEX(Lists!$D$3:$D$67,ROW()-1),INDEX(Lists!$E$3:$E$5,ROW()-1),INDEX(Lists!$F$3:$F$12,ROW()-1),INDEX(Lists!$G$3:$G$126,ROW()-1)),"")</f>
        <v/>
      </c>
      <c r="K963">
        <f>IF(J963="","",SUMPRODUCT(($A$2:$A$636=1)*($G$2:$G$636=J963)))</f>
        <v/>
      </c>
      <c r="L963">
        <f>IF(J963="","",SUMPRODUCT(($A$2:$A$636=1)*($G$2:$G$636=J963)*(ISNUMBER($B$2:$B$636))*($B$2:$B$636&lt;0.5)))</f>
        <v/>
      </c>
      <c r="M963">
        <f>IFERROR(L963/K963,"")</f>
        <v/>
      </c>
      <c r="N963">
        <f>IF(K963="","",M963+K963/100000+ROW()/100000000)</f>
        <v/>
      </c>
    </row>
    <row r="964">
      <c r="J964">
        <f>IFERROR(CHOOSE(MATCH(Dashboard!$B$11,{"Department","Team","Unit","Legal entity","Location","Lead"},0),INDEX(Lists!$B$3:$B$20,ROW()-1),INDEX(Lists!$C$3:$C$146,ROW()-1),INDEX(Lists!$D$3:$D$67,ROW()-1),INDEX(Lists!$E$3:$E$5,ROW()-1),INDEX(Lists!$F$3:$F$12,ROW()-1),INDEX(Lists!$G$3:$G$126,ROW()-1)),"")</f>
        <v/>
      </c>
      <c r="K964">
        <f>IF(J964="","",SUMPRODUCT(($A$2:$A$636=1)*($G$2:$G$636=J964)))</f>
        <v/>
      </c>
      <c r="L964">
        <f>IF(J964="","",SUMPRODUCT(($A$2:$A$636=1)*($G$2:$G$636=J964)*(ISNUMBER($B$2:$B$636))*($B$2:$B$636&lt;0.5)))</f>
        <v/>
      </c>
      <c r="M964">
        <f>IFERROR(L964/K964,"")</f>
        <v/>
      </c>
      <c r="N964">
        <f>IF(K964="","",M964+K964/100000+ROW()/100000000)</f>
        <v/>
      </c>
    </row>
    <row r="965">
      <c r="J965">
        <f>IFERROR(CHOOSE(MATCH(Dashboard!$B$11,{"Department","Team","Unit","Legal entity","Location","Lead"},0),INDEX(Lists!$B$3:$B$20,ROW()-1),INDEX(Lists!$C$3:$C$146,ROW()-1),INDEX(Lists!$D$3:$D$67,ROW()-1),INDEX(Lists!$E$3:$E$5,ROW()-1),INDEX(Lists!$F$3:$F$12,ROW()-1),INDEX(Lists!$G$3:$G$126,ROW()-1)),"")</f>
        <v/>
      </c>
      <c r="K965">
        <f>IF(J965="","",SUMPRODUCT(($A$2:$A$636=1)*($G$2:$G$636=J965)))</f>
        <v/>
      </c>
      <c r="L965">
        <f>IF(J965="","",SUMPRODUCT(($A$2:$A$636=1)*($G$2:$G$636=J965)*(ISNUMBER($B$2:$B$636))*($B$2:$B$636&lt;0.5)))</f>
        <v/>
      </c>
      <c r="M965">
        <f>IFERROR(L965/K965,"")</f>
        <v/>
      </c>
      <c r="N965">
        <f>IF(K965="","",M965+K965/100000+ROW()/100000000)</f>
        <v/>
      </c>
    </row>
    <row r="966">
      <c r="J966">
        <f>IFERROR(CHOOSE(MATCH(Dashboard!$B$11,{"Department","Team","Unit","Legal entity","Location","Lead"},0),INDEX(Lists!$B$3:$B$20,ROW()-1),INDEX(Lists!$C$3:$C$146,ROW()-1),INDEX(Lists!$D$3:$D$67,ROW()-1),INDEX(Lists!$E$3:$E$5,ROW()-1),INDEX(Lists!$F$3:$F$12,ROW()-1),INDEX(Lists!$G$3:$G$126,ROW()-1)),"")</f>
        <v/>
      </c>
      <c r="K966">
        <f>IF(J966="","",SUMPRODUCT(($A$2:$A$636=1)*($G$2:$G$636=J966)))</f>
        <v/>
      </c>
      <c r="L966">
        <f>IF(J966="","",SUMPRODUCT(($A$2:$A$636=1)*($G$2:$G$636=J966)*(ISNUMBER($B$2:$B$636))*($B$2:$B$636&lt;0.5)))</f>
        <v/>
      </c>
      <c r="M966">
        <f>IFERROR(L966/K966,"")</f>
        <v/>
      </c>
      <c r="N966">
        <f>IF(K966="","",M966+K966/100000+ROW()/100000000)</f>
        <v/>
      </c>
    </row>
    <row r="967">
      <c r="J967">
        <f>IFERROR(CHOOSE(MATCH(Dashboard!$B$11,{"Department","Team","Unit","Legal entity","Location","Lead"},0),INDEX(Lists!$B$3:$B$20,ROW()-1),INDEX(Lists!$C$3:$C$146,ROW()-1),INDEX(Lists!$D$3:$D$67,ROW()-1),INDEX(Lists!$E$3:$E$5,ROW()-1),INDEX(Lists!$F$3:$F$12,ROW()-1),INDEX(Lists!$G$3:$G$126,ROW()-1)),"")</f>
        <v/>
      </c>
      <c r="K967">
        <f>IF(J967="","",SUMPRODUCT(($A$2:$A$636=1)*($G$2:$G$636=J967)))</f>
        <v/>
      </c>
      <c r="L967">
        <f>IF(J967="","",SUMPRODUCT(($A$2:$A$636=1)*($G$2:$G$636=J967)*(ISNUMBER($B$2:$B$636))*($B$2:$B$636&lt;0.5)))</f>
        <v/>
      </c>
      <c r="M967">
        <f>IFERROR(L967/K967,"")</f>
        <v/>
      </c>
      <c r="N967">
        <f>IF(K967="","",M967+K967/100000+ROW()/100000000)</f>
        <v/>
      </c>
    </row>
    <row r="968">
      <c r="J968">
        <f>IFERROR(CHOOSE(MATCH(Dashboard!$B$11,{"Department","Team","Unit","Legal entity","Location","Lead"},0),INDEX(Lists!$B$3:$B$20,ROW()-1),INDEX(Lists!$C$3:$C$146,ROW()-1),INDEX(Lists!$D$3:$D$67,ROW()-1),INDEX(Lists!$E$3:$E$5,ROW()-1),INDEX(Lists!$F$3:$F$12,ROW()-1),INDEX(Lists!$G$3:$G$126,ROW()-1)),"")</f>
        <v/>
      </c>
      <c r="K968">
        <f>IF(J968="","",SUMPRODUCT(($A$2:$A$636=1)*($G$2:$G$636=J968)))</f>
        <v/>
      </c>
      <c r="L968">
        <f>IF(J968="","",SUMPRODUCT(($A$2:$A$636=1)*($G$2:$G$636=J968)*(ISNUMBER($B$2:$B$636))*($B$2:$B$636&lt;0.5)))</f>
        <v/>
      </c>
      <c r="M968">
        <f>IFERROR(L968/K968,"")</f>
        <v/>
      </c>
      <c r="N968">
        <f>IF(K968="","",M968+K968/100000+ROW()/100000000)</f>
        <v/>
      </c>
    </row>
    <row r="969">
      <c r="J969">
        <f>IFERROR(CHOOSE(MATCH(Dashboard!$B$11,{"Department","Team","Unit","Legal entity","Location","Lead"},0),INDEX(Lists!$B$3:$B$20,ROW()-1),INDEX(Lists!$C$3:$C$146,ROW()-1),INDEX(Lists!$D$3:$D$67,ROW()-1),INDEX(Lists!$E$3:$E$5,ROW()-1),INDEX(Lists!$F$3:$F$12,ROW()-1),INDEX(Lists!$G$3:$G$126,ROW()-1)),"")</f>
        <v/>
      </c>
      <c r="K969">
        <f>IF(J969="","",SUMPRODUCT(($A$2:$A$636=1)*($G$2:$G$636=J969)))</f>
        <v/>
      </c>
      <c r="L969">
        <f>IF(J969="","",SUMPRODUCT(($A$2:$A$636=1)*($G$2:$G$636=J969)*(ISNUMBER($B$2:$B$636))*($B$2:$B$636&lt;0.5)))</f>
        <v/>
      </c>
      <c r="M969">
        <f>IFERROR(L969/K969,"")</f>
        <v/>
      </c>
      <c r="N969">
        <f>IF(K969="","",M969+K969/100000+ROW()/100000000)</f>
        <v/>
      </c>
    </row>
    <row r="970">
      <c r="J970">
        <f>IFERROR(CHOOSE(MATCH(Dashboard!$B$11,{"Department","Team","Unit","Legal entity","Location","Lead"},0),INDEX(Lists!$B$3:$B$20,ROW()-1),INDEX(Lists!$C$3:$C$146,ROW()-1),INDEX(Lists!$D$3:$D$67,ROW()-1),INDEX(Lists!$E$3:$E$5,ROW()-1),INDEX(Lists!$F$3:$F$12,ROW()-1),INDEX(Lists!$G$3:$G$126,ROW()-1)),"")</f>
        <v/>
      </c>
      <c r="K970">
        <f>IF(J970="","",SUMPRODUCT(($A$2:$A$636=1)*($G$2:$G$636=J970)))</f>
        <v/>
      </c>
      <c r="L970">
        <f>IF(J970="","",SUMPRODUCT(($A$2:$A$636=1)*($G$2:$G$636=J970)*(ISNUMBER($B$2:$B$636))*($B$2:$B$636&lt;0.5)))</f>
        <v/>
      </c>
      <c r="M970">
        <f>IFERROR(L970/K970,"")</f>
        <v/>
      </c>
      <c r="N970">
        <f>IF(K970="","",M970+K970/100000+ROW()/100000000)</f>
        <v/>
      </c>
    </row>
    <row r="971">
      <c r="J971">
        <f>IFERROR(CHOOSE(MATCH(Dashboard!$B$11,{"Department","Team","Unit","Legal entity","Location","Lead"},0),INDEX(Lists!$B$3:$B$20,ROW()-1),INDEX(Lists!$C$3:$C$146,ROW()-1),INDEX(Lists!$D$3:$D$67,ROW()-1),INDEX(Lists!$E$3:$E$5,ROW()-1),INDEX(Lists!$F$3:$F$12,ROW()-1),INDEX(Lists!$G$3:$G$126,ROW()-1)),"")</f>
        <v/>
      </c>
      <c r="K971">
        <f>IF(J971="","",SUMPRODUCT(($A$2:$A$636=1)*($G$2:$G$636=J971)))</f>
        <v/>
      </c>
      <c r="L971">
        <f>IF(J971="","",SUMPRODUCT(($A$2:$A$636=1)*($G$2:$G$636=J971)*(ISNUMBER($B$2:$B$636))*($B$2:$B$636&lt;0.5)))</f>
        <v/>
      </c>
      <c r="M971">
        <f>IFERROR(L971/K971,"")</f>
        <v/>
      </c>
      <c r="N971">
        <f>IF(K971="","",M971+K971/100000+ROW()/100000000)</f>
        <v/>
      </c>
    </row>
    <row r="972">
      <c r="J972">
        <f>IFERROR(CHOOSE(MATCH(Dashboard!$B$11,{"Department","Team","Unit","Legal entity","Location","Lead"},0),INDEX(Lists!$B$3:$B$20,ROW()-1),INDEX(Lists!$C$3:$C$146,ROW()-1),INDEX(Lists!$D$3:$D$67,ROW()-1),INDEX(Lists!$E$3:$E$5,ROW()-1),INDEX(Lists!$F$3:$F$12,ROW()-1),INDEX(Lists!$G$3:$G$126,ROW()-1)),"")</f>
        <v/>
      </c>
      <c r="K972">
        <f>IF(J972="","",SUMPRODUCT(($A$2:$A$636=1)*($G$2:$G$636=J972)))</f>
        <v/>
      </c>
      <c r="L972">
        <f>IF(J972="","",SUMPRODUCT(($A$2:$A$636=1)*($G$2:$G$636=J972)*(ISNUMBER($B$2:$B$636))*($B$2:$B$636&lt;0.5)))</f>
        <v/>
      </c>
      <c r="M972">
        <f>IFERROR(L972/K972,"")</f>
        <v/>
      </c>
      <c r="N972">
        <f>IF(K972="","",M972+K972/100000+ROW()/100000000)</f>
        <v/>
      </c>
    </row>
    <row r="973">
      <c r="J973">
        <f>IFERROR(CHOOSE(MATCH(Dashboard!$B$11,{"Department","Team","Unit","Legal entity","Location","Lead"},0),INDEX(Lists!$B$3:$B$20,ROW()-1),INDEX(Lists!$C$3:$C$146,ROW()-1),INDEX(Lists!$D$3:$D$67,ROW()-1),INDEX(Lists!$E$3:$E$5,ROW()-1),INDEX(Lists!$F$3:$F$12,ROW()-1),INDEX(Lists!$G$3:$G$126,ROW()-1)),"")</f>
        <v/>
      </c>
      <c r="K973">
        <f>IF(J973="","",SUMPRODUCT(($A$2:$A$636=1)*($G$2:$G$636=J973)))</f>
        <v/>
      </c>
      <c r="L973">
        <f>IF(J973="","",SUMPRODUCT(($A$2:$A$636=1)*($G$2:$G$636=J973)*(ISNUMBER($B$2:$B$636))*($B$2:$B$636&lt;0.5)))</f>
        <v/>
      </c>
      <c r="M973">
        <f>IFERROR(L973/K973,"")</f>
        <v/>
      </c>
      <c r="N973">
        <f>IF(K973="","",M973+K973/100000+ROW()/100000000)</f>
        <v/>
      </c>
    </row>
    <row r="974">
      <c r="J974">
        <f>IFERROR(CHOOSE(MATCH(Dashboard!$B$11,{"Department","Team","Unit","Legal entity","Location","Lead"},0),INDEX(Lists!$B$3:$B$20,ROW()-1),INDEX(Lists!$C$3:$C$146,ROW()-1),INDEX(Lists!$D$3:$D$67,ROW()-1),INDEX(Lists!$E$3:$E$5,ROW()-1),INDEX(Lists!$F$3:$F$12,ROW()-1),INDEX(Lists!$G$3:$G$126,ROW()-1)),"")</f>
        <v/>
      </c>
      <c r="K974">
        <f>IF(J974="","",SUMPRODUCT(($A$2:$A$636=1)*($G$2:$G$636=J974)))</f>
        <v/>
      </c>
      <c r="L974">
        <f>IF(J974="","",SUMPRODUCT(($A$2:$A$636=1)*($G$2:$G$636=J974)*(ISNUMBER($B$2:$B$636))*($B$2:$B$636&lt;0.5)))</f>
        <v/>
      </c>
      <c r="M974">
        <f>IFERROR(L974/K974,"")</f>
        <v/>
      </c>
      <c r="N974">
        <f>IF(K974="","",M974+K974/100000+ROW()/100000000)</f>
        <v/>
      </c>
    </row>
    <row r="975">
      <c r="J975">
        <f>IFERROR(CHOOSE(MATCH(Dashboard!$B$11,{"Department","Team","Unit","Legal entity","Location","Lead"},0),INDEX(Lists!$B$3:$B$20,ROW()-1),INDEX(Lists!$C$3:$C$146,ROW()-1),INDEX(Lists!$D$3:$D$67,ROW()-1),INDEX(Lists!$E$3:$E$5,ROW()-1),INDEX(Lists!$F$3:$F$12,ROW()-1),INDEX(Lists!$G$3:$G$126,ROW()-1)),"")</f>
        <v/>
      </c>
      <c r="K975">
        <f>IF(J975="","",SUMPRODUCT(($A$2:$A$636=1)*($G$2:$G$636=J975)))</f>
        <v/>
      </c>
      <c r="L975">
        <f>IF(J975="","",SUMPRODUCT(($A$2:$A$636=1)*($G$2:$G$636=J975)*(ISNUMBER($B$2:$B$636))*($B$2:$B$636&lt;0.5)))</f>
        <v/>
      </c>
      <c r="M975">
        <f>IFERROR(L975/K975,"")</f>
        <v/>
      </c>
      <c r="N975">
        <f>IF(K975="","",M975+K975/100000+ROW()/100000000)</f>
        <v/>
      </c>
    </row>
    <row r="976">
      <c r="J976">
        <f>IFERROR(CHOOSE(MATCH(Dashboard!$B$11,{"Department","Team","Unit","Legal entity","Location","Lead"},0),INDEX(Lists!$B$3:$B$20,ROW()-1),INDEX(Lists!$C$3:$C$146,ROW()-1),INDEX(Lists!$D$3:$D$67,ROW()-1),INDEX(Lists!$E$3:$E$5,ROW()-1),INDEX(Lists!$F$3:$F$12,ROW()-1),INDEX(Lists!$G$3:$G$126,ROW()-1)),"")</f>
        <v/>
      </c>
      <c r="K976">
        <f>IF(J976="","",SUMPRODUCT(($A$2:$A$636=1)*($G$2:$G$636=J976)))</f>
        <v/>
      </c>
      <c r="L976">
        <f>IF(J976="","",SUMPRODUCT(($A$2:$A$636=1)*($G$2:$G$636=J976)*(ISNUMBER($B$2:$B$636))*($B$2:$B$636&lt;0.5)))</f>
        <v/>
      </c>
      <c r="M976">
        <f>IFERROR(L976/K976,"")</f>
        <v/>
      </c>
      <c r="N976">
        <f>IF(K976="","",M976+K976/100000+ROW()/100000000)</f>
        <v/>
      </c>
    </row>
    <row r="977">
      <c r="J977">
        <f>IFERROR(CHOOSE(MATCH(Dashboard!$B$11,{"Department","Team","Unit","Legal entity","Location","Lead"},0),INDEX(Lists!$B$3:$B$20,ROW()-1),INDEX(Lists!$C$3:$C$146,ROW()-1),INDEX(Lists!$D$3:$D$67,ROW()-1),INDEX(Lists!$E$3:$E$5,ROW()-1),INDEX(Lists!$F$3:$F$12,ROW()-1),INDEX(Lists!$G$3:$G$126,ROW()-1)),"")</f>
        <v/>
      </c>
      <c r="K977">
        <f>IF(J977="","",SUMPRODUCT(($A$2:$A$636=1)*($G$2:$G$636=J977)))</f>
        <v/>
      </c>
      <c r="L977">
        <f>IF(J977="","",SUMPRODUCT(($A$2:$A$636=1)*($G$2:$G$636=J977)*(ISNUMBER($B$2:$B$636))*($B$2:$B$636&lt;0.5)))</f>
        <v/>
      </c>
      <c r="M977">
        <f>IFERROR(L977/K977,"")</f>
        <v/>
      </c>
      <c r="N977">
        <f>IF(K977="","",M977+K977/100000+ROW()/100000000)</f>
        <v/>
      </c>
    </row>
    <row r="978">
      <c r="J978">
        <f>IFERROR(CHOOSE(MATCH(Dashboard!$B$11,{"Department","Team","Unit","Legal entity","Location","Lead"},0),INDEX(Lists!$B$3:$B$20,ROW()-1),INDEX(Lists!$C$3:$C$146,ROW()-1),INDEX(Lists!$D$3:$D$67,ROW()-1),INDEX(Lists!$E$3:$E$5,ROW()-1),INDEX(Lists!$F$3:$F$12,ROW()-1),INDEX(Lists!$G$3:$G$126,ROW()-1)),"")</f>
        <v/>
      </c>
      <c r="K978">
        <f>IF(J978="","",SUMPRODUCT(($A$2:$A$636=1)*($G$2:$G$636=J978)))</f>
        <v/>
      </c>
      <c r="L978">
        <f>IF(J978="","",SUMPRODUCT(($A$2:$A$636=1)*($G$2:$G$636=J978)*(ISNUMBER($B$2:$B$636))*($B$2:$B$636&lt;0.5)))</f>
        <v/>
      </c>
      <c r="M978">
        <f>IFERROR(L978/K978,"")</f>
        <v/>
      </c>
      <c r="N978">
        <f>IF(K978="","",M978+K978/100000+ROW()/100000000)</f>
        <v/>
      </c>
    </row>
    <row r="979">
      <c r="J979">
        <f>IFERROR(CHOOSE(MATCH(Dashboard!$B$11,{"Department","Team","Unit","Legal entity","Location","Lead"},0),INDEX(Lists!$B$3:$B$20,ROW()-1),INDEX(Lists!$C$3:$C$146,ROW()-1),INDEX(Lists!$D$3:$D$67,ROW()-1),INDEX(Lists!$E$3:$E$5,ROW()-1),INDEX(Lists!$F$3:$F$12,ROW()-1),INDEX(Lists!$G$3:$G$126,ROW()-1)),"")</f>
        <v/>
      </c>
      <c r="K979">
        <f>IF(J979="","",SUMPRODUCT(($A$2:$A$636=1)*($G$2:$G$636=J979)))</f>
        <v/>
      </c>
      <c r="L979">
        <f>IF(J979="","",SUMPRODUCT(($A$2:$A$636=1)*($G$2:$G$636=J979)*(ISNUMBER($B$2:$B$636))*($B$2:$B$636&lt;0.5)))</f>
        <v/>
      </c>
      <c r="M979">
        <f>IFERROR(L979/K979,"")</f>
        <v/>
      </c>
      <c r="N979">
        <f>IF(K979="","",M979+K979/100000+ROW()/100000000)</f>
        <v/>
      </c>
    </row>
    <row r="980">
      <c r="J980">
        <f>IFERROR(CHOOSE(MATCH(Dashboard!$B$11,{"Department","Team","Unit","Legal entity","Location","Lead"},0),INDEX(Lists!$B$3:$B$20,ROW()-1),INDEX(Lists!$C$3:$C$146,ROW()-1),INDEX(Lists!$D$3:$D$67,ROW()-1),INDEX(Lists!$E$3:$E$5,ROW()-1),INDEX(Lists!$F$3:$F$12,ROW()-1),INDEX(Lists!$G$3:$G$126,ROW()-1)),"")</f>
        <v/>
      </c>
      <c r="K980">
        <f>IF(J980="","",SUMPRODUCT(($A$2:$A$636=1)*($G$2:$G$636=J980)))</f>
        <v/>
      </c>
      <c r="L980">
        <f>IF(J980="","",SUMPRODUCT(($A$2:$A$636=1)*($G$2:$G$636=J980)*(ISNUMBER($B$2:$B$636))*($B$2:$B$636&lt;0.5)))</f>
        <v/>
      </c>
      <c r="M980">
        <f>IFERROR(L980/K980,"")</f>
        <v/>
      </c>
      <c r="N980">
        <f>IF(K980="","",M980+K980/100000+ROW()/100000000)</f>
        <v/>
      </c>
    </row>
    <row r="981">
      <c r="J981">
        <f>IFERROR(CHOOSE(MATCH(Dashboard!$B$11,{"Department","Team","Unit","Legal entity","Location","Lead"},0),INDEX(Lists!$B$3:$B$20,ROW()-1),INDEX(Lists!$C$3:$C$146,ROW()-1),INDEX(Lists!$D$3:$D$67,ROW()-1),INDEX(Lists!$E$3:$E$5,ROW()-1),INDEX(Lists!$F$3:$F$12,ROW()-1),INDEX(Lists!$G$3:$G$126,ROW()-1)),"")</f>
        <v/>
      </c>
      <c r="K981">
        <f>IF(J981="","",SUMPRODUCT(($A$2:$A$636=1)*($G$2:$G$636=J981)))</f>
        <v/>
      </c>
      <c r="L981">
        <f>IF(J981="","",SUMPRODUCT(($A$2:$A$636=1)*($G$2:$G$636=J981)*(ISNUMBER($B$2:$B$636))*($B$2:$B$636&lt;0.5)))</f>
        <v/>
      </c>
      <c r="M981">
        <f>IFERROR(L981/K981,"")</f>
        <v/>
      </c>
      <c r="N981">
        <f>IF(K981="","",M981+K981/100000+ROW()/100000000)</f>
        <v/>
      </c>
    </row>
    <row r="982">
      <c r="J982">
        <f>IFERROR(CHOOSE(MATCH(Dashboard!$B$11,{"Department","Team","Unit","Legal entity","Location","Lead"},0),INDEX(Lists!$B$3:$B$20,ROW()-1),INDEX(Lists!$C$3:$C$146,ROW()-1),INDEX(Lists!$D$3:$D$67,ROW()-1),INDEX(Lists!$E$3:$E$5,ROW()-1),INDEX(Lists!$F$3:$F$12,ROW()-1),INDEX(Lists!$G$3:$G$126,ROW()-1)),"")</f>
        <v/>
      </c>
      <c r="K982">
        <f>IF(J982="","",SUMPRODUCT(($A$2:$A$636=1)*($G$2:$G$636=J982)))</f>
        <v/>
      </c>
      <c r="L982">
        <f>IF(J982="","",SUMPRODUCT(($A$2:$A$636=1)*($G$2:$G$636=J982)*(ISNUMBER($B$2:$B$636))*($B$2:$B$636&lt;0.5)))</f>
        <v/>
      </c>
      <c r="M982">
        <f>IFERROR(L982/K982,"")</f>
        <v/>
      </c>
      <c r="N982">
        <f>IF(K982="","",M982+K982/100000+ROW()/100000000)</f>
        <v/>
      </c>
    </row>
    <row r="983">
      <c r="J983">
        <f>IFERROR(CHOOSE(MATCH(Dashboard!$B$11,{"Department","Team","Unit","Legal entity","Location","Lead"},0),INDEX(Lists!$B$3:$B$20,ROW()-1),INDEX(Lists!$C$3:$C$146,ROW()-1),INDEX(Lists!$D$3:$D$67,ROW()-1),INDEX(Lists!$E$3:$E$5,ROW()-1),INDEX(Lists!$F$3:$F$12,ROW()-1),INDEX(Lists!$G$3:$G$126,ROW()-1)),"")</f>
        <v/>
      </c>
      <c r="K983">
        <f>IF(J983="","",SUMPRODUCT(($A$2:$A$636=1)*($G$2:$G$636=J983)))</f>
        <v/>
      </c>
      <c r="L983">
        <f>IF(J983="","",SUMPRODUCT(($A$2:$A$636=1)*($G$2:$G$636=J983)*(ISNUMBER($B$2:$B$636))*($B$2:$B$636&lt;0.5)))</f>
        <v/>
      </c>
      <c r="M983">
        <f>IFERROR(L983/K983,"")</f>
        <v/>
      </c>
      <c r="N983">
        <f>IF(K983="","",M983+K983/100000+ROW()/100000000)</f>
        <v/>
      </c>
    </row>
    <row r="984">
      <c r="J984">
        <f>IFERROR(CHOOSE(MATCH(Dashboard!$B$11,{"Department","Team","Unit","Legal entity","Location","Lead"},0),INDEX(Lists!$B$3:$B$20,ROW()-1),INDEX(Lists!$C$3:$C$146,ROW()-1),INDEX(Lists!$D$3:$D$67,ROW()-1),INDEX(Lists!$E$3:$E$5,ROW()-1),INDEX(Lists!$F$3:$F$12,ROW()-1),INDEX(Lists!$G$3:$G$126,ROW()-1)),"")</f>
        <v/>
      </c>
      <c r="K984">
        <f>IF(J984="","",SUMPRODUCT(($A$2:$A$636=1)*($G$2:$G$636=J984)))</f>
        <v/>
      </c>
      <c r="L984">
        <f>IF(J984="","",SUMPRODUCT(($A$2:$A$636=1)*($G$2:$G$636=J984)*(ISNUMBER($B$2:$B$636))*($B$2:$B$636&lt;0.5)))</f>
        <v/>
      </c>
      <c r="M984">
        <f>IFERROR(L984/K984,"")</f>
        <v/>
      </c>
      <c r="N984">
        <f>IF(K984="","",M984+K984/100000+ROW()/100000000)</f>
        <v/>
      </c>
    </row>
    <row r="985">
      <c r="J985">
        <f>IFERROR(CHOOSE(MATCH(Dashboard!$B$11,{"Department","Team","Unit","Legal entity","Location","Lead"},0),INDEX(Lists!$B$3:$B$20,ROW()-1),INDEX(Lists!$C$3:$C$146,ROW()-1),INDEX(Lists!$D$3:$D$67,ROW()-1),INDEX(Lists!$E$3:$E$5,ROW()-1),INDEX(Lists!$F$3:$F$12,ROW()-1),INDEX(Lists!$G$3:$G$126,ROW()-1)),"")</f>
        <v/>
      </c>
      <c r="K985">
        <f>IF(J985="","",SUMPRODUCT(($A$2:$A$636=1)*($G$2:$G$636=J985)))</f>
        <v/>
      </c>
      <c r="L985">
        <f>IF(J985="","",SUMPRODUCT(($A$2:$A$636=1)*($G$2:$G$636=J985)*(ISNUMBER($B$2:$B$636))*($B$2:$B$636&lt;0.5)))</f>
        <v/>
      </c>
      <c r="M985">
        <f>IFERROR(L985/K985,"")</f>
        <v/>
      </c>
      <c r="N985">
        <f>IF(K985="","",M985+K985/100000+ROW()/100000000)</f>
        <v/>
      </c>
    </row>
    <row r="986">
      <c r="J986">
        <f>IFERROR(CHOOSE(MATCH(Dashboard!$B$11,{"Department","Team","Unit","Legal entity","Location","Lead"},0),INDEX(Lists!$B$3:$B$20,ROW()-1),INDEX(Lists!$C$3:$C$146,ROW()-1),INDEX(Lists!$D$3:$D$67,ROW()-1),INDEX(Lists!$E$3:$E$5,ROW()-1),INDEX(Lists!$F$3:$F$12,ROW()-1),INDEX(Lists!$G$3:$G$126,ROW()-1)),"")</f>
        <v/>
      </c>
      <c r="K986">
        <f>IF(J986="","",SUMPRODUCT(($A$2:$A$636=1)*($G$2:$G$636=J986)))</f>
        <v/>
      </c>
      <c r="L986">
        <f>IF(J986="","",SUMPRODUCT(($A$2:$A$636=1)*($G$2:$G$636=J986)*(ISNUMBER($B$2:$B$636))*($B$2:$B$636&lt;0.5)))</f>
        <v/>
      </c>
      <c r="M986">
        <f>IFERROR(L986/K986,"")</f>
        <v/>
      </c>
      <c r="N986">
        <f>IF(K986="","",M986+K986/100000+ROW()/100000000)</f>
        <v/>
      </c>
    </row>
    <row r="987">
      <c r="J987">
        <f>IFERROR(CHOOSE(MATCH(Dashboard!$B$11,{"Department","Team","Unit","Legal entity","Location","Lead"},0),INDEX(Lists!$B$3:$B$20,ROW()-1),INDEX(Lists!$C$3:$C$146,ROW()-1),INDEX(Lists!$D$3:$D$67,ROW()-1),INDEX(Lists!$E$3:$E$5,ROW()-1),INDEX(Lists!$F$3:$F$12,ROW()-1),INDEX(Lists!$G$3:$G$126,ROW()-1)),"")</f>
        <v/>
      </c>
      <c r="K987">
        <f>IF(J987="","",SUMPRODUCT(($A$2:$A$636=1)*($G$2:$G$636=J987)))</f>
        <v/>
      </c>
      <c r="L987">
        <f>IF(J987="","",SUMPRODUCT(($A$2:$A$636=1)*($G$2:$G$636=J987)*(ISNUMBER($B$2:$B$636))*($B$2:$B$636&lt;0.5)))</f>
        <v/>
      </c>
      <c r="M987">
        <f>IFERROR(L987/K987,"")</f>
        <v/>
      </c>
      <c r="N987">
        <f>IF(K987="","",M987+K987/100000+ROW()/100000000)</f>
        <v/>
      </c>
    </row>
    <row r="988">
      <c r="J988">
        <f>IFERROR(CHOOSE(MATCH(Dashboard!$B$11,{"Department","Team","Unit","Legal entity","Location","Lead"},0),INDEX(Lists!$B$3:$B$20,ROW()-1),INDEX(Lists!$C$3:$C$146,ROW()-1),INDEX(Lists!$D$3:$D$67,ROW()-1),INDEX(Lists!$E$3:$E$5,ROW()-1),INDEX(Lists!$F$3:$F$12,ROW()-1),INDEX(Lists!$G$3:$G$126,ROW()-1)),"")</f>
        <v/>
      </c>
      <c r="K988">
        <f>IF(J988="","",SUMPRODUCT(($A$2:$A$636=1)*($G$2:$G$636=J988)))</f>
        <v/>
      </c>
      <c r="L988">
        <f>IF(J988="","",SUMPRODUCT(($A$2:$A$636=1)*($G$2:$G$636=J988)*(ISNUMBER($B$2:$B$636))*($B$2:$B$636&lt;0.5)))</f>
        <v/>
      </c>
      <c r="M988">
        <f>IFERROR(L988/K988,"")</f>
        <v/>
      </c>
      <c r="N988">
        <f>IF(K988="","",M988+K988/100000+ROW()/100000000)</f>
        <v/>
      </c>
    </row>
    <row r="989">
      <c r="J989">
        <f>IFERROR(CHOOSE(MATCH(Dashboard!$B$11,{"Department","Team","Unit","Legal entity","Location","Lead"},0),INDEX(Lists!$B$3:$B$20,ROW()-1),INDEX(Lists!$C$3:$C$146,ROW()-1),INDEX(Lists!$D$3:$D$67,ROW()-1),INDEX(Lists!$E$3:$E$5,ROW()-1),INDEX(Lists!$F$3:$F$12,ROW()-1),INDEX(Lists!$G$3:$G$126,ROW()-1)),"")</f>
        <v/>
      </c>
      <c r="K989">
        <f>IF(J989="","",SUMPRODUCT(($A$2:$A$636=1)*($G$2:$G$636=J989)))</f>
        <v/>
      </c>
      <c r="L989">
        <f>IF(J989="","",SUMPRODUCT(($A$2:$A$636=1)*($G$2:$G$636=J989)*(ISNUMBER($B$2:$B$636))*($B$2:$B$636&lt;0.5)))</f>
        <v/>
      </c>
      <c r="M989">
        <f>IFERROR(L989/K989,"")</f>
        <v/>
      </c>
      <c r="N989">
        <f>IF(K989="","",M989+K989/100000+ROW()/100000000)</f>
        <v/>
      </c>
    </row>
    <row r="990">
      <c r="J990">
        <f>IFERROR(CHOOSE(MATCH(Dashboard!$B$11,{"Department","Team","Unit","Legal entity","Location","Lead"},0),INDEX(Lists!$B$3:$B$20,ROW()-1),INDEX(Lists!$C$3:$C$146,ROW()-1),INDEX(Lists!$D$3:$D$67,ROW()-1),INDEX(Lists!$E$3:$E$5,ROW()-1),INDEX(Lists!$F$3:$F$12,ROW()-1),INDEX(Lists!$G$3:$G$126,ROW()-1)),"")</f>
        <v/>
      </c>
      <c r="K990">
        <f>IF(J990="","",SUMPRODUCT(($A$2:$A$636=1)*($G$2:$G$636=J990)))</f>
        <v/>
      </c>
      <c r="L990">
        <f>IF(J990="","",SUMPRODUCT(($A$2:$A$636=1)*($G$2:$G$636=J990)*(ISNUMBER($B$2:$B$636))*($B$2:$B$636&lt;0.5)))</f>
        <v/>
      </c>
      <c r="M990">
        <f>IFERROR(L990/K990,"")</f>
        <v/>
      </c>
      <c r="N990">
        <f>IF(K990="","",M990+K990/100000+ROW()/100000000)</f>
        <v/>
      </c>
    </row>
    <row r="991">
      <c r="J991">
        <f>IFERROR(CHOOSE(MATCH(Dashboard!$B$11,{"Department","Team","Unit","Legal entity","Location","Lead"},0),INDEX(Lists!$B$3:$B$20,ROW()-1),INDEX(Lists!$C$3:$C$146,ROW()-1),INDEX(Lists!$D$3:$D$67,ROW()-1),INDEX(Lists!$E$3:$E$5,ROW()-1),INDEX(Lists!$F$3:$F$12,ROW()-1),INDEX(Lists!$G$3:$G$126,ROW()-1)),"")</f>
        <v/>
      </c>
      <c r="K991">
        <f>IF(J991="","",SUMPRODUCT(($A$2:$A$636=1)*($G$2:$G$636=J991)))</f>
        <v/>
      </c>
      <c r="L991">
        <f>IF(J991="","",SUMPRODUCT(($A$2:$A$636=1)*($G$2:$G$636=J991)*(ISNUMBER($B$2:$B$636))*($B$2:$B$636&lt;0.5)))</f>
        <v/>
      </c>
      <c r="M991">
        <f>IFERROR(L991/K991,"")</f>
        <v/>
      </c>
      <c r="N991">
        <f>IF(K991="","",M991+K991/100000+ROW()/100000000)</f>
        <v/>
      </c>
    </row>
    <row r="992">
      <c r="J992">
        <f>IFERROR(CHOOSE(MATCH(Dashboard!$B$11,{"Department","Team","Unit","Legal entity","Location","Lead"},0),INDEX(Lists!$B$3:$B$20,ROW()-1),INDEX(Lists!$C$3:$C$146,ROW()-1),INDEX(Lists!$D$3:$D$67,ROW()-1),INDEX(Lists!$E$3:$E$5,ROW()-1),INDEX(Lists!$F$3:$F$12,ROW()-1),INDEX(Lists!$G$3:$G$126,ROW()-1)),"")</f>
        <v/>
      </c>
      <c r="K992">
        <f>IF(J992="","",SUMPRODUCT(($A$2:$A$636=1)*($G$2:$G$636=J992)))</f>
        <v/>
      </c>
      <c r="L992">
        <f>IF(J992="","",SUMPRODUCT(($A$2:$A$636=1)*($G$2:$G$636=J992)*(ISNUMBER($B$2:$B$636))*($B$2:$B$636&lt;0.5)))</f>
        <v/>
      </c>
      <c r="M992">
        <f>IFERROR(L992/K992,"")</f>
        <v/>
      </c>
      <c r="N992">
        <f>IF(K992="","",M992+K992/100000+ROW()/100000000)</f>
        <v/>
      </c>
    </row>
    <row r="993">
      <c r="J993">
        <f>IFERROR(CHOOSE(MATCH(Dashboard!$B$11,{"Department","Team","Unit","Legal entity","Location","Lead"},0),INDEX(Lists!$B$3:$B$20,ROW()-1),INDEX(Lists!$C$3:$C$146,ROW()-1),INDEX(Lists!$D$3:$D$67,ROW()-1),INDEX(Lists!$E$3:$E$5,ROW()-1),INDEX(Lists!$F$3:$F$12,ROW()-1),INDEX(Lists!$G$3:$G$126,ROW()-1)),"")</f>
        <v/>
      </c>
      <c r="K993">
        <f>IF(J993="","",SUMPRODUCT(($A$2:$A$636=1)*($G$2:$G$636=J993)))</f>
        <v/>
      </c>
      <c r="L993">
        <f>IF(J993="","",SUMPRODUCT(($A$2:$A$636=1)*($G$2:$G$636=J993)*(ISNUMBER($B$2:$B$636))*($B$2:$B$636&lt;0.5)))</f>
        <v/>
      </c>
      <c r="M993">
        <f>IFERROR(L993/K993,"")</f>
        <v/>
      </c>
      <c r="N993">
        <f>IF(K993="","",M993+K993/100000+ROW()/100000000)</f>
        <v/>
      </c>
    </row>
    <row r="994">
      <c r="J994">
        <f>IFERROR(CHOOSE(MATCH(Dashboard!$B$11,{"Department","Team","Unit","Legal entity","Location","Lead"},0),INDEX(Lists!$B$3:$B$20,ROW()-1),INDEX(Lists!$C$3:$C$146,ROW()-1),INDEX(Lists!$D$3:$D$67,ROW()-1),INDEX(Lists!$E$3:$E$5,ROW()-1),INDEX(Lists!$F$3:$F$12,ROW()-1),INDEX(Lists!$G$3:$G$126,ROW()-1)),"")</f>
        <v/>
      </c>
      <c r="K994">
        <f>IF(J994="","",SUMPRODUCT(($A$2:$A$636=1)*($G$2:$G$636=J994)))</f>
        <v/>
      </c>
      <c r="L994">
        <f>IF(J994="","",SUMPRODUCT(($A$2:$A$636=1)*($G$2:$G$636=J994)*(ISNUMBER($B$2:$B$636))*($B$2:$B$636&lt;0.5)))</f>
        <v/>
      </c>
      <c r="M994">
        <f>IFERROR(L994/K994,"")</f>
        <v/>
      </c>
      <c r="N994">
        <f>IF(K994="","",M994+K994/100000+ROW()/100000000)</f>
        <v/>
      </c>
    </row>
    <row r="995">
      <c r="J995">
        <f>IFERROR(CHOOSE(MATCH(Dashboard!$B$11,{"Department","Team","Unit","Legal entity","Location","Lead"},0),INDEX(Lists!$B$3:$B$20,ROW()-1),INDEX(Lists!$C$3:$C$146,ROW()-1),INDEX(Lists!$D$3:$D$67,ROW()-1),INDEX(Lists!$E$3:$E$5,ROW()-1),INDEX(Lists!$F$3:$F$12,ROW()-1),INDEX(Lists!$G$3:$G$126,ROW()-1)),"")</f>
        <v/>
      </c>
      <c r="K995">
        <f>IF(J995="","",SUMPRODUCT(($A$2:$A$636=1)*($G$2:$G$636=J995)))</f>
        <v/>
      </c>
      <c r="L995">
        <f>IF(J995="","",SUMPRODUCT(($A$2:$A$636=1)*($G$2:$G$636=J995)*(ISNUMBER($B$2:$B$636))*($B$2:$B$636&lt;0.5)))</f>
        <v/>
      </c>
      <c r="M995">
        <f>IFERROR(L995/K995,"")</f>
        <v/>
      </c>
      <c r="N995">
        <f>IF(K995="","",M995+K995/100000+ROW()/100000000)</f>
        <v/>
      </c>
    </row>
    <row r="996">
      <c r="J996">
        <f>IFERROR(CHOOSE(MATCH(Dashboard!$B$11,{"Department","Team","Unit","Legal entity","Location","Lead"},0),INDEX(Lists!$B$3:$B$20,ROW()-1),INDEX(Lists!$C$3:$C$146,ROW()-1),INDEX(Lists!$D$3:$D$67,ROW()-1),INDEX(Lists!$E$3:$E$5,ROW()-1),INDEX(Lists!$F$3:$F$12,ROW()-1),INDEX(Lists!$G$3:$G$126,ROW()-1)),"")</f>
        <v/>
      </c>
      <c r="K996">
        <f>IF(J996="","",SUMPRODUCT(($A$2:$A$636=1)*($G$2:$G$636=J996)))</f>
        <v/>
      </c>
      <c r="L996">
        <f>IF(J996="","",SUMPRODUCT(($A$2:$A$636=1)*($G$2:$G$636=J996)*(ISNUMBER($B$2:$B$636))*($B$2:$B$636&lt;0.5)))</f>
        <v/>
      </c>
      <c r="M996">
        <f>IFERROR(L996/K996,"")</f>
        <v/>
      </c>
      <c r="N996">
        <f>IF(K996="","",M996+K996/100000+ROW()/100000000)</f>
        <v/>
      </c>
    </row>
    <row r="997">
      <c r="J997">
        <f>IFERROR(CHOOSE(MATCH(Dashboard!$B$11,{"Department","Team","Unit","Legal entity","Location","Lead"},0),INDEX(Lists!$B$3:$B$20,ROW()-1),INDEX(Lists!$C$3:$C$146,ROW()-1),INDEX(Lists!$D$3:$D$67,ROW()-1),INDEX(Lists!$E$3:$E$5,ROW()-1),INDEX(Lists!$F$3:$F$12,ROW()-1),INDEX(Lists!$G$3:$G$126,ROW()-1)),"")</f>
        <v/>
      </c>
      <c r="K997">
        <f>IF(J997="","",SUMPRODUCT(($A$2:$A$636=1)*($G$2:$G$636=J997)))</f>
        <v/>
      </c>
      <c r="L997">
        <f>IF(J997="","",SUMPRODUCT(($A$2:$A$636=1)*($G$2:$G$636=J997)*(ISNUMBER($B$2:$B$636))*($B$2:$B$636&lt;0.5)))</f>
        <v/>
      </c>
      <c r="M997">
        <f>IFERROR(L997/K997,"")</f>
        <v/>
      </c>
      <c r="N997">
        <f>IF(K997="","",M997+K997/100000+ROW()/100000000)</f>
        <v/>
      </c>
    </row>
    <row r="998">
      <c r="J998">
        <f>IFERROR(CHOOSE(MATCH(Dashboard!$B$11,{"Department","Team","Unit","Legal entity","Location","Lead"},0),INDEX(Lists!$B$3:$B$20,ROW()-1),INDEX(Lists!$C$3:$C$146,ROW()-1),INDEX(Lists!$D$3:$D$67,ROW()-1),INDEX(Lists!$E$3:$E$5,ROW()-1),INDEX(Lists!$F$3:$F$12,ROW()-1),INDEX(Lists!$G$3:$G$126,ROW()-1)),"")</f>
        <v/>
      </c>
      <c r="K998">
        <f>IF(J998="","",SUMPRODUCT(($A$2:$A$636=1)*($G$2:$G$636=J998)))</f>
        <v/>
      </c>
      <c r="L998">
        <f>IF(J998="","",SUMPRODUCT(($A$2:$A$636=1)*($G$2:$G$636=J998)*(ISNUMBER($B$2:$B$636))*($B$2:$B$636&lt;0.5)))</f>
        <v/>
      </c>
      <c r="M998">
        <f>IFERROR(L998/K998,"")</f>
        <v/>
      </c>
      <c r="N998">
        <f>IF(K998="","",M998+K998/100000+ROW()/100000000)</f>
        <v/>
      </c>
    </row>
    <row r="999">
      <c r="J999">
        <f>IFERROR(CHOOSE(MATCH(Dashboard!$B$11,{"Department","Team","Unit","Legal entity","Location","Lead"},0),INDEX(Lists!$B$3:$B$20,ROW()-1),INDEX(Lists!$C$3:$C$146,ROW()-1),INDEX(Lists!$D$3:$D$67,ROW()-1),INDEX(Lists!$E$3:$E$5,ROW()-1),INDEX(Lists!$F$3:$F$12,ROW()-1),INDEX(Lists!$G$3:$G$126,ROW()-1)),"")</f>
        <v/>
      </c>
      <c r="K999">
        <f>IF(J999="","",SUMPRODUCT(($A$2:$A$636=1)*($G$2:$G$636=J999)))</f>
        <v/>
      </c>
      <c r="L999">
        <f>IF(J999="","",SUMPRODUCT(($A$2:$A$636=1)*($G$2:$G$636=J999)*(ISNUMBER($B$2:$B$636))*($B$2:$B$636&lt;0.5)))</f>
        <v/>
      </c>
      <c r="M999">
        <f>IFERROR(L999/K999,"")</f>
        <v/>
      </c>
      <c r="N999">
        <f>IF(K999="","",M999+K999/100000+ROW()/100000000)</f>
        <v/>
      </c>
    </row>
    <row r="1000">
      <c r="J1000">
        <f>IFERROR(CHOOSE(MATCH(Dashboard!$B$11,{"Department","Team","Unit","Legal entity","Location","Lead"},0),INDEX(Lists!$B$3:$B$20,ROW()-1),INDEX(Lists!$C$3:$C$146,ROW()-1),INDEX(Lists!$D$3:$D$67,ROW()-1),INDEX(Lists!$E$3:$E$5,ROW()-1),INDEX(Lists!$F$3:$F$12,ROW()-1),INDEX(Lists!$G$3:$G$126,ROW()-1)),"")</f>
        <v/>
      </c>
      <c r="K1000">
        <f>IF(J1000="","",SUMPRODUCT(($A$2:$A$636=1)*($G$2:$G$636=J1000)))</f>
        <v/>
      </c>
      <c r="L1000">
        <f>IF(J1000="","",SUMPRODUCT(($A$2:$A$636=1)*($G$2:$G$636=J1000)*(ISNUMBER($B$2:$B$636))*($B$2:$B$636&lt;0.5)))</f>
        <v/>
      </c>
      <c r="M1000">
        <f>IFERROR(L1000/K1000,"")</f>
        <v/>
      </c>
      <c r="N1000">
        <f>IF(K1000="","",M1000+K1000/100000+ROW()/100000000)</f>
        <v/>
      </c>
    </row>
    <row r="1001">
      <c r="J1001">
        <f>IFERROR(CHOOSE(MATCH(Dashboard!$B$11,{"Department","Team","Unit","Legal entity","Location","Lead"},0),INDEX(Lists!$B$3:$B$20,ROW()-1),INDEX(Lists!$C$3:$C$146,ROW()-1),INDEX(Lists!$D$3:$D$67,ROW()-1),INDEX(Lists!$E$3:$E$5,ROW()-1),INDEX(Lists!$F$3:$F$12,ROW()-1),INDEX(Lists!$G$3:$G$126,ROW()-1)),"")</f>
        <v/>
      </c>
      <c r="K1001">
        <f>IF(J1001="","",SUMPRODUCT(($A$2:$A$636=1)*($G$2:$G$636=J1001)))</f>
        <v/>
      </c>
      <c r="L1001">
        <f>IF(J1001="","",SUMPRODUCT(($A$2:$A$636=1)*($G$2:$G$636=J1001)*(ISNUMBER($B$2:$B$636))*($B$2:$B$636&lt;0.5)))</f>
        <v/>
      </c>
      <c r="M1001">
        <f>IFERROR(L1001/K1001,"")</f>
        <v/>
      </c>
      <c r="N1001">
        <f>IF(K1001="","",M1001+K1001/100000+ROW()/100000000)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71"/>
  <sheetViews>
    <sheetView showGridLines="0" workbookViewId="0">
      <selection activeCell="A1" sqref="A1"/>
    </sheetView>
  </sheetViews>
  <sheetFormatPr baseColWidth="8" defaultRowHeight="15"/>
  <cols>
    <col width="30" customWidth="1" min="1" max="1"/>
    <col width="14" customWidth="1" min="2" max="2"/>
    <col width="26" customWidth="1" min="3" max="3"/>
    <col width="32" customWidth="1" min="4" max="4"/>
    <col width="30" customWidth="1" min="5" max="5"/>
    <col width="22" customWidth="1" min="6" max="6"/>
    <col width="16" customWidth="1" min="7" max="7"/>
    <col width="12" customWidth="1" min="8" max="8"/>
    <col width="12" customWidth="1" min="9" max="9"/>
    <col width="12" customWidth="1" min="10" max="10"/>
    <col hidden="1" width="3" customWidth="1" min="11" max="11"/>
    <col width="4"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2" customWidth="1" min="21" max="21"/>
    <col width="12" customWidth="1" min="22" max="22"/>
    <col width="12" customWidth="1" min="23" max="23"/>
    <col hidden="1" width="3" customWidth="1" min="24" max="24"/>
    <col hidden="1" width="3" customWidth="1" min="25" max="25"/>
    <col hidden="1" width="3" customWidth="1" min="26" max="26"/>
    <col hidden="1" width="3" customWidth="1" min="27" max="27"/>
    <col hidden="1" width="3" customWidth="1" min="28" max="28"/>
    <col hidden="1" width="3" customWidth="1" min="29" max="29"/>
    <col hidden="1" width="3" customWidth="1" min="30" max="30"/>
    <col hidden="1" width="3" customWidth="1" min="31" max="31"/>
    <col hidden="1" width="3" customWidth="1" min="32" max="32"/>
    <col hidden="1" width="3" customWidth="1" min="33" max="33"/>
    <col hidden="1" width="3" customWidth="1" min="34" max="34"/>
  </cols>
  <sheetData>
    <row r="1">
      <c r="A1" s="4" t="inlineStr">
        <is>
          <t>Internal Consultant Data Quality Dashboard</t>
        </is>
      </c>
    </row>
    <row r="3">
      <c r="A3" s="5" t="inlineStr">
        <is>
          <t>Metric_type</t>
        </is>
      </c>
      <c r="B3" s="6" t="inlineStr">
        <is>
          <t>Weighted</t>
        </is>
      </c>
      <c r="D3" s="7" t="inlineStr">
        <is>
          <t>Selected metric</t>
        </is>
      </c>
      <c r="E3" s="5">
        <f>B3</f>
        <v/>
      </c>
    </row>
    <row r="4">
      <c r="A4" s="5" t="inlineStr">
        <is>
          <t>Department</t>
        </is>
      </c>
      <c r="B4" s="6" t="inlineStr">
        <is>
          <t>All</t>
        </is>
      </c>
    </row>
    <row r="5">
      <c r="A5" s="5" t="inlineStr">
        <is>
          <t>Team</t>
        </is>
      </c>
      <c r="B5" s="6" t="inlineStr">
        <is>
          <t>All</t>
        </is>
      </c>
      <c r="D5" s="7" t="inlineStr">
        <is>
          <t>Consultants (filtered)</t>
        </is>
      </c>
      <c r="E5">
        <f>SUM(Model!$A$2:$A$636)</f>
        <v/>
      </c>
      <c r="H5" s="7" t="inlineStr">
        <is>
          <t>Ongoing &gt;=24 months</t>
        </is>
      </c>
      <c r="I5">
        <f>SUMPRODUCT((Model!$A$2:$A$636=1)*(Raw_data!$J$2:$J$636&gt;0)*(Model!$D$2:$D$636&gt;=24))</f>
        <v/>
      </c>
    </row>
    <row r="6">
      <c r="A6" s="5" t="inlineStr">
        <is>
          <t>Unit</t>
        </is>
      </c>
      <c r="B6" s="6" t="inlineStr">
        <is>
          <t>All</t>
        </is>
      </c>
      <c r="D6" s="7" t="inlineStr">
        <is>
          <t>Weighted median since entry</t>
        </is>
      </c>
      <c r="E6" s="8">
        <f>IFERROR(MEDIAN(Model!$U$2:$U$636),"")</f>
        <v/>
      </c>
      <c r="H6" s="7" t="inlineStr">
        <is>
          <t>Invalid-date consultants</t>
        </is>
      </c>
      <c r="I6">
        <f>SUMPRODUCT((Model!$A$2:$A$636=1)*(Raw_data!$I$2:$I$636&gt;0))</f>
        <v/>
      </c>
    </row>
    <row r="7">
      <c r="A7" s="5" t="inlineStr">
        <is>
          <t>Legal_entity</t>
        </is>
      </c>
      <c r="B7" s="6" t="inlineStr">
        <is>
          <t>All</t>
        </is>
      </c>
      <c r="D7" s="7" t="inlineStr">
        <is>
          <t>Absolute median since entry</t>
        </is>
      </c>
      <c r="E7" s="8">
        <f>IFERROR(MEDIAN(Model!$S$2:$S$636),"")</f>
        <v/>
      </c>
      <c r="H7" s="7" t="inlineStr">
        <is>
          <t>Anomaly consultants</t>
        </is>
      </c>
      <c r="I7">
        <f>SUMPRODUCT((Model!$A$2:$A$636=1)*(Model!$F$2:$F$636=1))</f>
        <v/>
      </c>
    </row>
    <row r="8">
      <c r="A8" s="5" t="inlineStr">
        <is>
          <t>Location</t>
        </is>
      </c>
      <c r="B8" s="6" t="inlineStr">
        <is>
          <t>All</t>
        </is>
      </c>
      <c r="D8" s="7" t="inlineStr">
        <is>
          <t>Weighted median before entry</t>
        </is>
      </c>
      <c r="E8" s="8">
        <f>IFERROR(MEDIAN(Model!$V$2:$V$636),"")</f>
        <v/>
      </c>
    </row>
    <row r="9">
      <c r="A9" s="5" t="inlineStr">
        <is>
          <t>Lead</t>
        </is>
      </c>
      <c r="B9" s="6" t="inlineStr">
        <is>
          <t>All</t>
        </is>
      </c>
      <c r="D9" s="7" t="inlineStr">
        <is>
          <t>Absolute median before entry</t>
        </is>
      </c>
      <c r="E9" s="8">
        <f>IFERROR(MEDIAN(Model!$T$2:$T$636),"")</f>
        <v/>
      </c>
    </row>
    <row r="10">
      <c r="A10" s="5" t="inlineStr">
        <is>
          <t>Is_available</t>
        </is>
      </c>
      <c r="B10" s="6" t="inlineStr">
        <is>
          <t>All</t>
        </is>
      </c>
    </row>
    <row r="11">
      <c r="A11" s="5" t="inlineStr">
        <is>
          <t>Segment_dimension</t>
        </is>
      </c>
      <c r="B11" s="6" t="inlineStr">
        <is>
          <t>Department</t>
        </is>
      </c>
    </row>
    <row r="13">
      <c r="A13" s="5" t="inlineStr">
        <is>
          <t>Coverage since entry bands</t>
        </is>
      </c>
      <c r="B13" t="inlineStr">
        <is>
          <t>Consultants</t>
        </is>
      </c>
      <c r="D13" s="5" t="inlineStr">
        <is>
          <t>Coverage before entry bands</t>
        </is>
      </c>
      <c r="E13" t="inlineStr">
        <is>
          <t>Consultants</t>
        </is>
      </c>
      <c r="H13" s="5" t="inlineStr">
        <is>
          <t>Ongoing age buckets</t>
        </is>
      </c>
      <c r="I13" t="inlineStr">
        <is>
          <t>Consultants</t>
        </is>
      </c>
    </row>
    <row r="14">
      <c r="A14" t="inlineStr">
        <is>
          <t>&lt;0.3</t>
        </is>
      </c>
      <c r="B14">
        <f>SUMPRODUCT((Model!$A$2:$A$636=1)*(Model!$B$2:$B$636&lt;0.3)*(ISNUMBER(Model!$B$2:$B$636)))</f>
        <v/>
      </c>
      <c r="D14" t="inlineStr">
        <is>
          <t>&lt;0.3</t>
        </is>
      </c>
      <c r="E14">
        <f>SUMPRODUCT((Model!$A$2:$A$636=1)*(Model!$C$2:$C$636&lt;0.3)*(ISNUMBER(Model!$C$2:$C$636)))</f>
        <v/>
      </c>
      <c r="H14" t="inlineStr">
        <is>
          <t>&lt;12m</t>
        </is>
      </c>
      <c r="I14">
        <f>SUMPRODUCT((Model!$A$2:$A$636=1)*(Raw_data!$J$2:$J$636&gt;0)*(Model!$D$2:$D$636&lt;&gt;"")*(Model!$D$2:$D$636&lt;12))</f>
        <v/>
      </c>
    </row>
    <row r="15">
      <c r="A15" t="inlineStr">
        <is>
          <t>0.3-0.49</t>
        </is>
      </c>
      <c r="B15">
        <f>SUMPRODUCT((Model!$A$2:$A$636=1)*(Model!$B$2:$B$636&gt;=0.3)*(Model!$B$2:$B$636&lt;0.5))</f>
        <v/>
      </c>
      <c r="D15" t="inlineStr">
        <is>
          <t>0.3-0.49</t>
        </is>
      </c>
      <c r="E15">
        <f>SUMPRODUCT((Model!$A$2:$A$636=1)*(Model!$C$2:$C$636&gt;=0.3)*(Model!$C$2:$C$636&lt;0.5))</f>
        <v/>
      </c>
      <c r="H15" t="inlineStr">
        <is>
          <t>12-24m</t>
        </is>
      </c>
      <c r="I15">
        <f>SUMPRODUCT((Model!$A$2:$A$636=1)*(Raw_data!$J$2:$J$636&gt;0)*(Model!$D$2:$D$636&gt;=12)*(Model!$D$2:$D$636&lt;24))</f>
        <v/>
      </c>
    </row>
    <row r="16">
      <c r="A16" t="inlineStr">
        <is>
          <t>0.5-0.79</t>
        </is>
      </c>
      <c r="B16">
        <f>SUMPRODUCT((Model!$A$2:$A$636=1)*(Model!$B$2:$B$636&gt;=0.5)*(Model!$B$2:$B$636&lt;0.8))</f>
        <v/>
      </c>
      <c r="D16" t="inlineStr">
        <is>
          <t>0.5-0.79</t>
        </is>
      </c>
      <c r="E16">
        <f>SUMPRODUCT((Model!$A$2:$A$636=1)*(Model!$C$2:$C$636&gt;=0.5)*(Model!$C$2:$C$636&lt;0.8))</f>
        <v/>
      </c>
      <c r="H16" t="inlineStr">
        <is>
          <t>&gt;24m</t>
        </is>
      </c>
      <c r="I16">
        <f>SUMPRODUCT((Model!$A$2:$A$636=1)*(Raw_data!$J$2:$J$636&gt;0)*(Model!$D$2:$D$636&gt;=24))</f>
        <v/>
      </c>
    </row>
    <row r="17">
      <c r="A17" t="inlineStr">
        <is>
          <t>&gt;=0.8</t>
        </is>
      </c>
      <c r="B17">
        <f>SUMPRODUCT((Model!$A$2:$A$636=1)*(ISNUMBER(Model!$B$2:$B$636))*(Model!$B$2:$B$636&gt;=0.8))</f>
        <v/>
      </c>
      <c r="D17" t="inlineStr">
        <is>
          <t>&gt;=0.8</t>
        </is>
      </c>
      <c r="E17">
        <f>SUMPRODUCT((Model!$A$2:$A$636=1)*(ISNUMBER(Model!$C$2:$C$636))*(Model!$C$2:$C$636&gt;=0.8))</f>
        <v/>
      </c>
    </row>
    <row r="21">
      <c r="A21" s="5" t="inlineStr">
        <is>
          <t>Segment hotspot (Top 10 by low coverage rate)</t>
        </is>
      </c>
    </row>
    <row r="22">
      <c r="A22" t="inlineStr">
        <is>
          <t>Segment</t>
        </is>
      </c>
      <c r="B22" t="inlineStr">
        <is>
          <t>Low coverage rate</t>
        </is>
      </c>
      <c r="C22" t="inlineStr">
        <is>
          <t>Consultants</t>
        </is>
      </c>
    </row>
    <row r="23">
      <c r="A23">
        <f>Model!$O$2</f>
        <v/>
      </c>
      <c r="B23" s="9">
        <f>Model!$P$2</f>
        <v/>
      </c>
      <c r="C23">
        <f>Model!$Q$2</f>
        <v/>
      </c>
      <c r="X23">
        <f>IF(LEN(A23)&lt;=26,A23,LEFT(A23,23)&amp;"...")</f>
        <v/>
      </c>
    </row>
    <row r="24">
      <c r="A24">
        <f>Model!$O$3</f>
        <v/>
      </c>
      <c r="B24" s="9">
        <f>Model!$P$3</f>
        <v/>
      </c>
      <c r="C24">
        <f>Model!$Q$3</f>
        <v/>
      </c>
      <c r="X24">
        <f>IF(LEN(A24)&lt;=26,A24,LEFT(A24,23)&amp;"...")</f>
        <v/>
      </c>
    </row>
    <row r="25">
      <c r="A25">
        <f>Model!$O$4</f>
        <v/>
      </c>
      <c r="B25" s="9">
        <f>Model!$P$4</f>
        <v/>
      </c>
      <c r="C25">
        <f>Model!$Q$4</f>
        <v/>
      </c>
      <c r="X25">
        <f>IF(LEN(A25)&lt;=26,A25,LEFT(A25,23)&amp;"...")</f>
        <v/>
      </c>
    </row>
    <row r="26">
      <c r="A26">
        <f>Model!$O$5</f>
        <v/>
      </c>
      <c r="B26" s="9">
        <f>Model!$P$5</f>
        <v/>
      </c>
      <c r="C26">
        <f>Model!$Q$5</f>
        <v/>
      </c>
      <c r="X26">
        <f>IF(LEN(A26)&lt;=26,A26,LEFT(A26,23)&amp;"...")</f>
        <v/>
      </c>
    </row>
    <row r="27">
      <c r="A27">
        <f>Model!$O$6</f>
        <v/>
      </c>
      <c r="B27" s="9">
        <f>Model!$P$6</f>
        <v/>
      </c>
      <c r="C27">
        <f>Model!$Q$6</f>
        <v/>
      </c>
      <c r="X27">
        <f>IF(LEN(A27)&lt;=26,A27,LEFT(A27,23)&amp;"...")</f>
        <v/>
      </c>
    </row>
    <row r="28">
      <c r="A28">
        <f>Model!$O$7</f>
        <v/>
      </c>
      <c r="B28" s="9">
        <f>Model!$P$7</f>
        <v/>
      </c>
      <c r="C28">
        <f>Model!$Q$7</f>
        <v/>
      </c>
      <c r="X28">
        <f>IF(LEN(A28)&lt;=26,A28,LEFT(A28,23)&amp;"...")</f>
        <v/>
      </c>
    </row>
    <row r="29">
      <c r="A29">
        <f>Model!$O$8</f>
        <v/>
      </c>
      <c r="B29" s="9">
        <f>Model!$P$8</f>
        <v/>
      </c>
      <c r="C29">
        <f>Model!$Q$8</f>
        <v/>
      </c>
      <c r="X29">
        <f>IF(LEN(A29)&lt;=26,A29,LEFT(A29,23)&amp;"...")</f>
        <v/>
      </c>
    </row>
    <row r="30">
      <c r="A30">
        <f>Model!$O$9</f>
        <v/>
      </c>
      <c r="B30" s="9">
        <f>Model!$P$9</f>
        <v/>
      </c>
      <c r="C30">
        <f>Model!$Q$9</f>
        <v/>
      </c>
      <c r="X30">
        <f>IF(LEN(A30)&lt;=26,A30,LEFT(A30,23)&amp;"...")</f>
        <v/>
      </c>
    </row>
    <row r="31">
      <c r="A31">
        <f>Model!$O$10</f>
        <v/>
      </c>
      <c r="B31" s="9">
        <f>Model!$P$10</f>
        <v/>
      </c>
      <c r="C31">
        <f>Model!$Q$10</f>
        <v/>
      </c>
      <c r="X31">
        <f>IF(LEN(A31)&lt;=26,A31,LEFT(A31,23)&amp;"...")</f>
        <v/>
      </c>
    </row>
    <row r="32">
      <c r="A32">
        <f>Model!$O$11</f>
        <v/>
      </c>
      <c r="B32" s="9">
        <f>Model!$P$11</f>
        <v/>
      </c>
      <c r="C32">
        <f>Model!$Q$11</f>
        <v/>
      </c>
      <c r="X32">
        <f>IF(LEN(A32)&lt;=26,A32,LEFT(A32,23)&amp;"...")</f>
        <v/>
      </c>
    </row>
    <row r="35">
      <c r="A35" s="5" t="inlineStr">
        <is>
          <t>Filtered consultant list (anomaly-first order)</t>
        </is>
      </c>
    </row>
    <row r="36">
      <c r="A36" s="10" t="inlineStr">
        <is>
          <t>Full_name</t>
        </is>
      </c>
      <c r="B36" s="10" t="inlineStr">
        <is>
          <t>Entry_date</t>
        </is>
      </c>
      <c r="C36" s="10" t="inlineStr">
        <is>
          <t>Url</t>
        </is>
      </c>
      <c r="D36" s="10" t="inlineStr">
        <is>
          <t>Department</t>
        </is>
      </c>
      <c r="E36" s="10" t="inlineStr">
        <is>
          <t>Team</t>
        </is>
      </c>
      <c r="F36" s="10" t="inlineStr">
        <is>
          <t>Lead</t>
        </is>
      </c>
      <c r="G36" s="10" t="inlineStr">
        <is>
          <t>Total_engagements</t>
        </is>
      </c>
      <c r="H36" s="10" t="inlineStr">
        <is>
          <t>Since_ratio</t>
        </is>
      </c>
      <c r="I36" s="10" t="inlineStr">
        <is>
          <t>Before_ratio</t>
        </is>
      </c>
      <c r="J36" s="10" t="inlineStr">
        <is>
          <t>Ongoing_age_m</t>
        </is>
      </c>
      <c r="K36" t="inlineStr">
        <is>
          <t>rank_key</t>
        </is>
      </c>
    </row>
    <row r="37">
      <c r="A37">
        <f>IF($K37="","",INDEX(Raw_data!$D$2:$D$636,MATCH($K37,Model!$R$2:$R$636,0)))</f>
        <v/>
      </c>
      <c r="B37" s="11">
        <f>IF($K37="","",INDEX(Raw_data!$F$2:$F$636,MATCH($K37,Model!$R$2:$R$636,0)))</f>
        <v/>
      </c>
      <c r="C37">
        <f>IF($K37="","",HYPERLINK(INDEX(Raw_data!$C$2:$C$636,MATCH($K37,Model!$R$2:$R$636,0)),INDEX(Raw_data!$C$2:$C$636,MATCH($K37,Model!$R$2:$R$636,0))))</f>
        <v/>
      </c>
      <c r="D37">
        <f>IF($K37="","",INDEX(Raw_data!$AL$2:$AL$636,MATCH($K37,Model!$R$2:$R$636,0)))</f>
        <v/>
      </c>
      <c r="E37">
        <f>IF($K37="","",INDEX(Raw_data!$AM$2:$AM$636,MATCH($K37,Model!$R$2:$R$636,0)))</f>
        <v/>
      </c>
      <c r="F37">
        <f>IF($K37="","",INDEX(Raw_data!$AQ$2:$AQ$636,MATCH($K37,Model!$R$2:$R$636,0)))</f>
        <v/>
      </c>
      <c r="G37">
        <f>IF($K37="","",INDEX(Raw_data!$H$2:$H$636,MATCH($K37,Model!$R$2:$R$636,0)))</f>
        <v/>
      </c>
      <c r="H37" s="8">
        <f>IF($K37="","",INDEX(Model!$B$2:$B$636,MATCH($K37,Model!$R$2:$R$636,0)))</f>
        <v/>
      </c>
      <c r="I37" s="8">
        <f>IF($K37="","",INDEX(Model!$C$2:$C$636,MATCH($K37,Model!$R$2:$R$636,0)))</f>
        <v/>
      </c>
      <c r="J37">
        <f>IF($K37="","",INDEX(Model!$D$2:$D$636,MATCH($K37,Model!$R$2:$R$636,0)))</f>
        <v/>
      </c>
      <c r="K37">
        <f>IF(1&lt;=$E$5,LARGE(Model!$R$2:$R$636,1),"")</f>
        <v/>
      </c>
    </row>
    <row r="38">
      <c r="A38">
        <f>IF($K38="","",INDEX(Raw_data!$D$2:$D$636,MATCH($K38,Model!$R$2:$R$636,0)))</f>
        <v/>
      </c>
      <c r="B38" s="11">
        <f>IF($K38="","",INDEX(Raw_data!$F$2:$F$636,MATCH($K38,Model!$R$2:$R$636,0)))</f>
        <v/>
      </c>
      <c r="C38">
        <f>IF($K38="","",HYPERLINK(INDEX(Raw_data!$C$2:$C$636,MATCH($K38,Model!$R$2:$R$636,0)),INDEX(Raw_data!$C$2:$C$636,MATCH($K38,Model!$R$2:$R$636,0))))</f>
        <v/>
      </c>
      <c r="D38">
        <f>IF($K38="","",INDEX(Raw_data!$AL$2:$AL$636,MATCH($K38,Model!$R$2:$R$636,0)))</f>
        <v/>
      </c>
      <c r="E38">
        <f>IF($K38="","",INDEX(Raw_data!$AM$2:$AM$636,MATCH($K38,Model!$R$2:$R$636,0)))</f>
        <v/>
      </c>
      <c r="F38">
        <f>IF($K38="","",INDEX(Raw_data!$AQ$2:$AQ$636,MATCH($K38,Model!$R$2:$R$636,0)))</f>
        <v/>
      </c>
      <c r="G38">
        <f>IF($K38="","",INDEX(Raw_data!$H$2:$H$636,MATCH($K38,Model!$R$2:$R$636,0)))</f>
        <v/>
      </c>
      <c r="H38" s="8">
        <f>IF($K38="","",INDEX(Model!$B$2:$B$636,MATCH($K38,Model!$R$2:$R$636,0)))</f>
        <v/>
      </c>
      <c r="I38" s="8">
        <f>IF($K38="","",INDEX(Model!$C$2:$C$636,MATCH($K38,Model!$R$2:$R$636,0)))</f>
        <v/>
      </c>
      <c r="J38">
        <f>IF($K38="","",INDEX(Model!$D$2:$D$636,MATCH($K38,Model!$R$2:$R$636,0)))</f>
        <v/>
      </c>
      <c r="K38">
        <f>IF(2&lt;=$E$5,LARGE(Model!$R$2:$R$636,2),"")</f>
        <v/>
      </c>
    </row>
    <row r="39">
      <c r="A39">
        <f>IF($K39="","",INDEX(Raw_data!$D$2:$D$636,MATCH($K39,Model!$R$2:$R$636,0)))</f>
        <v/>
      </c>
      <c r="B39" s="11">
        <f>IF($K39="","",INDEX(Raw_data!$F$2:$F$636,MATCH($K39,Model!$R$2:$R$636,0)))</f>
        <v/>
      </c>
      <c r="C39">
        <f>IF($K39="","",HYPERLINK(INDEX(Raw_data!$C$2:$C$636,MATCH($K39,Model!$R$2:$R$636,0)),INDEX(Raw_data!$C$2:$C$636,MATCH($K39,Model!$R$2:$R$636,0))))</f>
        <v/>
      </c>
      <c r="D39">
        <f>IF($K39="","",INDEX(Raw_data!$AL$2:$AL$636,MATCH($K39,Model!$R$2:$R$636,0)))</f>
        <v/>
      </c>
      <c r="E39">
        <f>IF($K39="","",INDEX(Raw_data!$AM$2:$AM$636,MATCH($K39,Model!$R$2:$R$636,0)))</f>
        <v/>
      </c>
      <c r="F39">
        <f>IF($K39="","",INDEX(Raw_data!$AQ$2:$AQ$636,MATCH($K39,Model!$R$2:$R$636,0)))</f>
        <v/>
      </c>
      <c r="G39">
        <f>IF($K39="","",INDEX(Raw_data!$H$2:$H$636,MATCH($K39,Model!$R$2:$R$636,0)))</f>
        <v/>
      </c>
      <c r="H39" s="8">
        <f>IF($K39="","",INDEX(Model!$B$2:$B$636,MATCH($K39,Model!$R$2:$R$636,0)))</f>
        <v/>
      </c>
      <c r="I39" s="8">
        <f>IF($K39="","",INDEX(Model!$C$2:$C$636,MATCH($K39,Model!$R$2:$R$636,0)))</f>
        <v/>
      </c>
      <c r="J39">
        <f>IF($K39="","",INDEX(Model!$D$2:$D$636,MATCH($K39,Model!$R$2:$R$636,0)))</f>
        <v/>
      </c>
      <c r="K39">
        <f>IF(3&lt;=$E$5,LARGE(Model!$R$2:$R$636,3),"")</f>
        <v/>
      </c>
    </row>
    <row r="40">
      <c r="A40">
        <f>IF($K40="","",INDEX(Raw_data!$D$2:$D$636,MATCH($K40,Model!$R$2:$R$636,0)))</f>
        <v/>
      </c>
      <c r="B40" s="11">
        <f>IF($K40="","",INDEX(Raw_data!$F$2:$F$636,MATCH($K40,Model!$R$2:$R$636,0)))</f>
        <v/>
      </c>
      <c r="C40">
        <f>IF($K40="","",HYPERLINK(INDEX(Raw_data!$C$2:$C$636,MATCH($K40,Model!$R$2:$R$636,0)),INDEX(Raw_data!$C$2:$C$636,MATCH($K40,Model!$R$2:$R$636,0))))</f>
        <v/>
      </c>
      <c r="D40">
        <f>IF($K40="","",INDEX(Raw_data!$AL$2:$AL$636,MATCH($K40,Model!$R$2:$R$636,0)))</f>
        <v/>
      </c>
      <c r="E40">
        <f>IF($K40="","",INDEX(Raw_data!$AM$2:$AM$636,MATCH($K40,Model!$R$2:$R$636,0)))</f>
        <v/>
      </c>
      <c r="F40">
        <f>IF($K40="","",INDEX(Raw_data!$AQ$2:$AQ$636,MATCH($K40,Model!$R$2:$R$636,0)))</f>
        <v/>
      </c>
      <c r="G40">
        <f>IF($K40="","",INDEX(Raw_data!$H$2:$H$636,MATCH($K40,Model!$R$2:$R$636,0)))</f>
        <v/>
      </c>
      <c r="H40" s="8">
        <f>IF($K40="","",INDEX(Model!$B$2:$B$636,MATCH($K40,Model!$R$2:$R$636,0)))</f>
        <v/>
      </c>
      <c r="I40" s="8">
        <f>IF($K40="","",INDEX(Model!$C$2:$C$636,MATCH($K40,Model!$R$2:$R$636,0)))</f>
        <v/>
      </c>
      <c r="J40">
        <f>IF($K40="","",INDEX(Model!$D$2:$D$636,MATCH($K40,Model!$R$2:$R$636,0)))</f>
        <v/>
      </c>
      <c r="K40">
        <f>IF(4&lt;=$E$5,LARGE(Model!$R$2:$R$636,4),"")</f>
        <v/>
      </c>
    </row>
    <row r="41">
      <c r="A41">
        <f>IF($K41="","",INDEX(Raw_data!$D$2:$D$636,MATCH($K41,Model!$R$2:$R$636,0)))</f>
        <v/>
      </c>
      <c r="B41" s="11">
        <f>IF($K41="","",INDEX(Raw_data!$F$2:$F$636,MATCH($K41,Model!$R$2:$R$636,0)))</f>
        <v/>
      </c>
      <c r="C41">
        <f>IF($K41="","",HYPERLINK(INDEX(Raw_data!$C$2:$C$636,MATCH($K41,Model!$R$2:$R$636,0)),INDEX(Raw_data!$C$2:$C$636,MATCH($K41,Model!$R$2:$R$636,0))))</f>
        <v/>
      </c>
      <c r="D41">
        <f>IF($K41="","",INDEX(Raw_data!$AL$2:$AL$636,MATCH($K41,Model!$R$2:$R$636,0)))</f>
        <v/>
      </c>
      <c r="E41">
        <f>IF($K41="","",INDEX(Raw_data!$AM$2:$AM$636,MATCH($K41,Model!$R$2:$R$636,0)))</f>
        <v/>
      </c>
      <c r="F41">
        <f>IF($K41="","",INDEX(Raw_data!$AQ$2:$AQ$636,MATCH($K41,Model!$R$2:$R$636,0)))</f>
        <v/>
      </c>
      <c r="G41">
        <f>IF($K41="","",INDEX(Raw_data!$H$2:$H$636,MATCH($K41,Model!$R$2:$R$636,0)))</f>
        <v/>
      </c>
      <c r="H41" s="8">
        <f>IF($K41="","",INDEX(Model!$B$2:$B$636,MATCH($K41,Model!$R$2:$R$636,0)))</f>
        <v/>
      </c>
      <c r="I41" s="8">
        <f>IF($K41="","",INDEX(Model!$C$2:$C$636,MATCH($K41,Model!$R$2:$R$636,0)))</f>
        <v/>
      </c>
      <c r="J41">
        <f>IF($K41="","",INDEX(Model!$D$2:$D$636,MATCH($K41,Model!$R$2:$R$636,0)))</f>
        <v/>
      </c>
      <c r="K41">
        <f>IF(5&lt;=$E$5,LARGE(Model!$R$2:$R$636,5),"")</f>
        <v/>
      </c>
    </row>
    <row r="42">
      <c r="A42">
        <f>IF($K42="","",INDEX(Raw_data!$D$2:$D$636,MATCH($K42,Model!$R$2:$R$636,0)))</f>
        <v/>
      </c>
      <c r="B42" s="11">
        <f>IF($K42="","",INDEX(Raw_data!$F$2:$F$636,MATCH($K42,Model!$R$2:$R$636,0)))</f>
        <v/>
      </c>
      <c r="C42">
        <f>IF($K42="","",HYPERLINK(INDEX(Raw_data!$C$2:$C$636,MATCH($K42,Model!$R$2:$R$636,0)),INDEX(Raw_data!$C$2:$C$636,MATCH($K42,Model!$R$2:$R$636,0))))</f>
        <v/>
      </c>
      <c r="D42">
        <f>IF($K42="","",INDEX(Raw_data!$AL$2:$AL$636,MATCH($K42,Model!$R$2:$R$636,0)))</f>
        <v/>
      </c>
      <c r="E42">
        <f>IF($K42="","",INDEX(Raw_data!$AM$2:$AM$636,MATCH($K42,Model!$R$2:$R$636,0)))</f>
        <v/>
      </c>
      <c r="F42">
        <f>IF($K42="","",INDEX(Raw_data!$AQ$2:$AQ$636,MATCH($K42,Model!$R$2:$R$636,0)))</f>
        <v/>
      </c>
      <c r="G42">
        <f>IF($K42="","",INDEX(Raw_data!$H$2:$H$636,MATCH($K42,Model!$R$2:$R$636,0)))</f>
        <v/>
      </c>
      <c r="H42" s="8">
        <f>IF($K42="","",INDEX(Model!$B$2:$B$636,MATCH($K42,Model!$R$2:$R$636,0)))</f>
        <v/>
      </c>
      <c r="I42" s="8">
        <f>IF($K42="","",INDEX(Model!$C$2:$C$636,MATCH($K42,Model!$R$2:$R$636,0)))</f>
        <v/>
      </c>
      <c r="J42">
        <f>IF($K42="","",INDEX(Model!$D$2:$D$636,MATCH($K42,Model!$R$2:$R$636,0)))</f>
        <v/>
      </c>
      <c r="K42">
        <f>IF(6&lt;=$E$5,LARGE(Model!$R$2:$R$636,6),"")</f>
        <v/>
      </c>
    </row>
    <row r="43">
      <c r="A43">
        <f>IF($K43="","",INDEX(Raw_data!$D$2:$D$636,MATCH($K43,Model!$R$2:$R$636,0)))</f>
        <v/>
      </c>
      <c r="B43" s="11">
        <f>IF($K43="","",INDEX(Raw_data!$F$2:$F$636,MATCH($K43,Model!$R$2:$R$636,0)))</f>
        <v/>
      </c>
      <c r="C43">
        <f>IF($K43="","",HYPERLINK(INDEX(Raw_data!$C$2:$C$636,MATCH($K43,Model!$R$2:$R$636,0)),INDEX(Raw_data!$C$2:$C$636,MATCH($K43,Model!$R$2:$R$636,0))))</f>
        <v/>
      </c>
      <c r="D43">
        <f>IF($K43="","",INDEX(Raw_data!$AL$2:$AL$636,MATCH($K43,Model!$R$2:$R$636,0)))</f>
        <v/>
      </c>
      <c r="E43">
        <f>IF($K43="","",INDEX(Raw_data!$AM$2:$AM$636,MATCH($K43,Model!$R$2:$R$636,0)))</f>
        <v/>
      </c>
      <c r="F43">
        <f>IF($K43="","",INDEX(Raw_data!$AQ$2:$AQ$636,MATCH($K43,Model!$R$2:$R$636,0)))</f>
        <v/>
      </c>
      <c r="G43">
        <f>IF($K43="","",INDEX(Raw_data!$H$2:$H$636,MATCH($K43,Model!$R$2:$R$636,0)))</f>
        <v/>
      </c>
      <c r="H43" s="8">
        <f>IF($K43="","",INDEX(Model!$B$2:$B$636,MATCH($K43,Model!$R$2:$R$636,0)))</f>
        <v/>
      </c>
      <c r="I43" s="8">
        <f>IF($K43="","",INDEX(Model!$C$2:$C$636,MATCH($K43,Model!$R$2:$R$636,0)))</f>
        <v/>
      </c>
      <c r="J43">
        <f>IF($K43="","",INDEX(Model!$D$2:$D$636,MATCH($K43,Model!$R$2:$R$636,0)))</f>
        <v/>
      </c>
      <c r="K43">
        <f>IF(7&lt;=$E$5,LARGE(Model!$R$2:$R$636,7),"")</f>
        <v/>
      </c>
    </row>
    <row r="44">
      <c r="A44">
        <f>IF($K44="","",INDEX(Raw_data!$D$2:$D$636,MATCH($K44,Model!$R$2:$R$636,0)))</f>
        <v/>
      </c>
      <c r="B44" s="11">
        <f>IF($K44="","",INDEX(Raw_data!$F$2:$F$636,MATCH($K44,Model!$R$2:$R$636,0)))</f>
        <v/>
      </c>
      <c r="C44">
        <f>IF($K44="","",HYPERLINK(INDEX(Raw_data!$C$2:$C$636,MATCH($K44,Model!$R$2:$R$636,0)),INDEX(Raw_data!$C$2:$C$636,MATCH($K44,Model!$R$2:$R$636,0))))</f>
        <v/>
      </c>
      <c r="D44">
        <f>IF($K44="","",INDEX(Raw_data!$AL$2:$AL$636,MATCH($K44,Model!$R$2:$R$636,0)))</f>
        <v/>
      </c>
      <c r="E44">
        <f>IF($K44="","",INDEX(Raw_data!$AM$2:$AM$636,MATCH($K44,Model!$R$2:$R$636,0)))</f>
        <v/>
      </c>
      <c r="F44">
        <f>IF($K44="","",INDEX(Raw_data!$AQ$2:$AQ$636,MATCH($K44,Model!$R$2:$R$636,0)))</f>
        <v/>
      </c>
      <c r="G44">
        <f>IF($K44="","",INDEX(Raw_data!$H$2:$H$636,MATCH($K44,Model!$R$2:$R$636,0)))</f>
        <v/>
      </c>
      <c r="H44" s="8">
        <f>IF($K44="","",INDEX(Model!$B$2:$B$636,MATCH($K44,Model!$R$2:$R$636,0)))</f>
        <v/>
      </c>
      <c r="I44" s="8">
        <f>IF($K44="","",INDEX(Model!$C$2:$C$636,MATCH($K44,Model!$R$2:$R$636,0)))</f>
        <v/>
      </c>
      <c r="J44">
        <f>IF($K44="","",INDEX(Model!$D$2:$D$636,MATCH($K44,Model!$R$2:$R$636,0)))</f>
        <v/>
      </c>
      <c r="K44">
        <f>IF(8&lt;=$E$5,LARGE(Model!$R$2:$R$636,8),"")</f>
        <v/>
      </c>
    </row>
    <row r="45">
      <c r="A45">
        <f>IF($K45="","",INDEX(Raw_data!$D$2:$D$636,MATCH($K45,Model!$R$2:$R$636,0)))</f>
        <v/>
      </c>
      <c r="B45" s="11">
        <f>IF($K45="","",INDEX(Raw_data!$F$2:$F$636,MATCH($K45,Model!$R$2:$R$636,0)))</f>
        <v/>
      </c>
      <c r="C45">
        <f>IF($K45="","",HYPERLINK(INDEX(Raw_data!$C$2:$C$636,MATCH($K45,Model!$R$2:$R$636,0)),INDEX(Raw_data!$C$2:$C$636,MATCH($K45,Model!$R$2:$R$636,0))))</f>
        <v/>
      </c>
      <c r="D45">
        <f>IF($K45="","",INDEX(Raw_data!$AL$2:$AL$636,MATCH($K45,Model!$R$2:$R$636,0)))</f>
        <v/>
      </c>
      <c r="E45">
        <f>IF($K45="","",INDEX(Raw_data!$AM$2:$AM$636,MATCH($K45,Model!$R$2:$R$636,0)))</f>
        <v/>
      </c>
      <c r="F45">
        <f>IF($K45="","",INDEX(Raw_data!$AQ$2:$AQ$636,MATCH($K45,Model!$R$2:$R$636,0)))</f>
        <v/>
      </c>
      <c r="G45">
        <f>IF($K45="","",INDEX(Raw_data!$H$2:$H$636,MATCH($K45,Model!$R$2:$R$636,0)))</f>
        <v/>
      </c>
      <c r="H45" s="8">
        <f>IF($K45="","",INDEX(Model!$B$2:$B$636,MATCH($K45,Model!$R$2:$R$636,0)))</f>
        <v/>
      </c>
      <c r="I45" s="8">
        <f>IF($K45="","",INDEX(Model!$C$2:$C$636,MATCH($K45,Model!$R$2:$R$636,0)))</f>
        <v/>
      </c>
      <c r="J45">
        <f>IF($K45="","",INDEX(Model!$D$2:$D$636,MATCH($K45,Model!$R$2:$R$636,0)))</f>
        <v/>
      </c>
      <c r="K45">
        <f>IF(9&lt;=$E$5,LARGE(Model!$R$2:$R$636,9),"")</f>
        <v/>
      </c>
    </row>
    <row r="46">
      <c r="A46">
        <f>IF($K46="","",INDEX(Raw_data!$D$2:$D$636,MATCH($K46,Model!$R$2:$R$636,0)))</f>
        <v/>
      </c>
      <c r="B46" s="11">
        <f>IF($K46="","",INDEX(Raw_data!$F$2:$F$636,MATCH($K46,Model!$R$2:$R$636,0)))</f>
        <v/>
      </c>
      <c r="C46">
        <f>IF($K46="","",HYPERLINK(INDEX(Raw_data!$C$2:$C$636,MATCH($K46,Model!$R$2:$R$636,0)),INDEX(Raw_data!$C$2:$C$636,MATCH($K46,Model!$R$2:$R$636,0))))</f>
        <v/>
      </c>
      <c r="D46">
        <f>IF($K46="","",INDEX(Raw_data!$AL$2:$AL$636,MATCH($K46,Model!$R$2:$R$636,0)))</f>
        <v/>
      </c>
      <c r="E46">
        <f>IF($K46="","",INDEX(Raw_data!$AM$2:$AM$636,MATCH($K46,Model!$R$2:$R$636,0)))</f>
        <v/>
      </c>
      <c r="F46">
        <f>IF($K46="","",INDEX(Raw_data!$AQ$2:$AQ$636,MATCH($K46,Model!$R$2:$R$636,0)))</f>
        <v/>
      </c>
      <c r="G46">
        <f>IF($K46="","",INDEX(Raw_data!$H$2:$H$636,MATCH($K46,Model!$R$2:$R$636,0)))</f>
        <v/>
      </c>
      <c r="H46" s="8">
        <f>IF($K46="","",INDEX(Model!$B$2:$B$636,MATCH($K46,Model!$R$2:$R$636,0)))</f>
        <v/>
      </c>
      <c r="I46" s="8">
        <f>IF($K46="","",INDEX(Model!$C$2:$C$636,MATCH($K46,Model!$R$2:$R$636,0)))</f>
        <v/>
      </c>
      <c r="J46">
        <f>IF($K46="","",INDEX(Model!$D$2:$D$636,MATCH($K46,Model!$R$2:$R$636,0)))</f>
        <v/>
      </c>
      <c r="K46">
        <f>IF(10&lt;=$E$5,LARGE(Model!$R$2:$R$636,10),"")</f>
        <v/>
      </c>
    </row>
    <row r="47">
      <c r="A47">
        <f>IF($K47="","",INDEX(Raw_data!$D$2:$D$636,MATCH($K47,Model!$R$2:$R$636,0)))</f>
        <v/>
      </c>
      <c r="B47" s="11">
        <f>IF($K47="","",INDEX(Raw_data!$F$2:$F$636,MATCH($K47,Model!$R$2:$R$636,0)))</f>
        <v/>
      </c>
      <c r="C47">
        <f>IF($K47="","",HYPERLINK(INDEX(Raw_data!$C$2:$C$636,MATCH($K47,Model!$R$2:$R$636,0)),INDEX(Raw_data!$C$2:$C$636,MATCH($K47,Model!$R$2:$R$636,0))))</f>
        <v/>
      </c>
      <c r="D47">
        <f>IF($K47="","",INDEX(Raw_data!$AL$2:$AL$636,MATCH($K47,Model!$R$2:$R$636,0)))</f>
        <v/>
      </c>
      <c r="E47">
        <f>IF($K47="","",INDEX(Raw_data!$AM$2:$AM$636,MATCH($K47,Model!$R$2:$R$636,0)))</f>
        <v/>
      </c>
      <c r="F47">
        <f>IF($K47="","",INDEX(Raw_data!$AQ$2:$AQ$636,MATCH($K47,Model!$R$2:$R$636,0)))</f>
        <v/>
      </c>
      <c r="G47">
        <f>IF($K47="","",INDEX(Raw_data!$H$2:$H$636,MATCH($K47,Model!$R$2:$R$636,0)))</f>
        <v/>
      </c>
      <c r="H47" s="8">
        <f>IF($K47="","",INDEX(Model!$B$2:$B$636,MATCH($K47,Model!$R$2:$R$636,0)))</f>
        <v/>
      </c>
      <c r="I47" s="8">
        <f>IF($K47="","",INDEX(Model!$C$2:$C$636,MATCH($K47,Model!$R$2:$R$636,0)))</f>
        <v/>
      </c>
      <c r="J47">
        <f>IF($K47="","",INDEX(Model!$D$2:$D$636,MATCH($K47,Model!$R$2:$R$636,0)))</f>
        <v/>
      </c>
      <c r="K47">
        <f>IF(11&lt;=$E$5,LARGE(Model!$R$2:$R$636,11),"")</f>
        <v/>
      </c>
    </row>
    <row r="48">
      <c r="A48">
        <f>IF($K48="","",INDEX(Raw_data!$D$2:$D$636,MATCH($K48,Model!$R$2:$R$636,0)))</f>
        <v/>
      </c>
      <c r="B48" s="11">
        <f>IF($K48="","",INDEX(Raw_data!$F$2:$F$636,MATCH($K48,Model!$R$2:$R$636,0)))</f>
        <v/>
      </c>
      <c r="C48">
        <f>IF($K48="","",HYPERLINK(INDEX(Raw_data!$C$2:$C$636,MATCH($K48,Model!$R$2:$R$636,0)),INDEX(Raw_data!$C$2:$C$636,MATCH($K48,Model!$R$2:$R$636,0))))</f>
        <v/>
      </c>
      <c r="D48">
        <f>IF($K48="","",INDEX(Raw_data!$AL$2:$AL$636,MATCH($K48,Model!$R$2:$R$636,0)))</f>
        <v/>
      </c>
      <c r="E48">
        <f>IF($K48="","",INDEX(Raw_data!$AM$2:$AM$636,MATCH($K48,Model!$R$2:$R$636,0)))</f>
        <v/>
      </c>
      <c r="F48">
        <f>IF($K48="","",INDEX(Raw_data!$AQ$2:$AQ$636,MATCH($K48,Model!$R$2:$R$636,0)))</f>
        <v/>
      </c>
      <c r="G48">
        <f>IF($K48="","",INDEX(Raw_data!$H$2:$H$636,MATCH($K48,Model!$R$2:$R$636,0)))</f>
        <v/>
      </c>
      <c r="H48" s="8">
        <f>IF($K48="","",INDEX(Model!$B$2:$B$636,MATCH($K48,Model!$R$2:$R$636,0)))</f>
        <v/>
      </c>
      <c r="I48" s="8">
        <f>IF($K48="","",INDEX(Model!$C$2:$C$636,MATCH($K48,Model!$R$2:$R$636,0)))</f>
        <v/>
      </c>
      <c r="J48">
        <f>IF($K48="","",INDEX(Model!$D$2:$D$636,MATCH($K48,Model!$R$2:$R$636,0)))</f>
        <v/>
      </c>
      <c r="K48">
        <f>IF(12&lt;=$E$5,LARGE(Model!$R$2:$R$636,12),"")</f>
        <v/>
      </c>
    </row>
    <row r="49">
      <c r="A49">
        <f>IF($K49="","",INDEX(Raw_data!$D$2:$D$636,MATCH($K49,Model!$R$2:$R$636,0)))</f>
        <v/>
      </c>
      <c r="B49" s="11">
        <f>IF($K49="","",INDEX(Raw_data!$F$2:$F$636,MATCH($K49,Model!$R$2:$R$636,0)))</f>
        <v/>
      </c>
      <c r="C49">
        <f>IF($K49="","",HYPERLINK(INDEX(Raw_data!$C$2:$C$636,MATCH($K49,Model!$R$2:$R$636,0)),INDEX(Raw_data!$C$2:$C$636,MATCH($K49,Model!$R$2:$R$636,0))))</f>
        <v/>
      </c>
      <c r="D49">
        <f>IF($K49="","",INDEX(Raw_data!$AL$2:$AL$636,MATCH($K49,Model!$R$2:$R$636,0)))</f>
        <v/>
      </c>
      <c r="E49">
        <f>IF($K49="","",INDEX(Raw_data!$AM$2:$AM$636,MATCH($K49,Model!$R$2:$R$636,0)))</f>
        <v/>
      </c>
      <c r="F49">
        <f>IF($K49="","",INDEX(Raw_data!$AQ$2:$AQ$636,MATCH($K49,Model!$R$2:$R$636,0)))</f>
        <v/>
      </c>
      <c r="G49">
        <f>IF($K49="","",INDEX(Raw_data!$H$2:$H$636,MATCH($K49,Model!$R$2:$R$636,0)))</f>
        <v/>
      </c>
      <c r="H49" s="8">
        <f>IF($K49="","",INDEX(Model!$B$2:$B$636,MATCH($K49,Model!$R$2:$R$636,0)))</f>
        <v/>
      </c>
      <c r="I49" s="8">
        <f>IF($K49="","",INDEX(Model!$C$2:$C$636,MATCH($K49,Model!$R$2:$R$636,0)))</f>
        <v/>
      </c>
      <c r="J49">
        <f>IF($K49="","",INDEX(Model!$D$2:$D$636,MATCH($K49,Model!$R$2:$R$636,0)))</f>
        <v/>
      </c>
      <c r="K49">
        <f>IF(13&lt;=$E$5,LARGE(Model!$R$2:$R$636,13),"")</f>
        <v/>
      </c>
    </row>
    <row r="50">
      <c r="A50">
        <f>IF($K50="","",INDEX(Raw_data!$D$2:$D$636,MATCH($K50,Model!$R$2:$R$636,0)))</f>
        <v/>
      </c>
      <c r="B50" s="11">
        <f>IF($K50="","",INDEX(Raw_data!$F$2:$F$636,MATCH($K50,Model!$R$2:$R$636,0)))</f>
        <v/>
      </c>
      <c r="C50">
        <f>IF($K50="","",HYPERLINK(INDEX(Raw_data!$C$2:$C$636,MATCH($K50,Model!$R$2:$R$636,0)),INDEX(Raw_data!$C$2:$C$636,MATCH($K50,Model!$R$2:$R$636,0))))</f>
        <v/>
      </c>
      <c r="D50">
        <f>IF($K50="","",INDEX(Raw_data!$AL$2:$AL$636,MATCH($K50,Model!$R$2:$R$636,0)))</f>
        <v/>
      </c>
      <c r="E50">
        <f>IF($K50="","",INDEX(Raw_data!$AM$2:$AM$636,MATCH($K50,Model!$R$2:$R$636,0)))</f>
        <v/>
      </c>
      <c r="F50">
        <f>IF($K50="","",INDEX(Raw_data!$AQ$2:$AQ$636,MATCH($K50,Model!$R$2:$R$636,0)))</f>
        <v/>
      </c>
      <c r="G50">
        <f>IF($K50="","",INDEX(Raw_data!$H$2:$H$636,MATCH($K50,Model!$R$2:$R$636,0)))</f>
        <v/>
      </c>
      <c r="H50" s="8">
        <f>IF($K50="","",INDEX(Model!$B$2:$B$636,MATCH($K50,Model!$R$2:$R$636,0)))</f>
        <v/>
      </c>
      <c r="I50" s="8">
        <f>IF($K50="","",INDEX(Model!$C$2:$C$636,MATCH($K50,Model!$R$2:$R$636,0)))</f>
        <v/>
      </c>
      <c r="J50">
        <f>IF($K50="","",INDEX(Model!$D$2:$D$636,MATCH($K50,Model!$R$2:$R$636,0)))</f>
        <v/>
      </c>
      <c r="K50">
        <f>IF(14&lt;=$E$5,LARGE(Model!$R$2:$R$636,14),"")</f>
        <v/>
      </c>
    </row>
    <row r="51">
      <c r="A51">
        <f>IF($K51="","",INDEX(Raw_data!$D$2:$D$636,MATCH($K51,Model!$R$2:$R$636,0)))</f>
        <v/>
      </c>
      <c r="B51" s="11">
        <f>IF($K51="","",INDEX(Raw_data!$F$2:$F$636,MATCH($K51,Model!$R$2:$R$636,0)))</f>
        <v/>
      </c>
      <c r="C51">
        <f>IF($K51="","",HYPERLINK(INDEX(Raw_data!$C$2:$C$636,MATCH($K51,Model!$R$2:$R$636,0)),INDEX(Raw_data!$C$2:$C$636,MATCH($K51,Model!$R$2:$R$636,0))))</f>
        <v/>
      </c>
      <c r="D51">
        <f>IF($K51="","",INDEX(Raw_data!$AL$2:$AL$636,MATCH($K51,Model!$R$2:$R$636,0)))</f>
        <v/>
      </c>
      <c r="E51">
        <f>IF($K51="","",INDEX(Raw_data!$AM$2:$AM$636,MATCH($K51,Model!$R$2:$R$636,0)))</f>
        <v/>
      </c>
      <c r="F51">
        <f>IF($K51="","",INDEX(Raw_data!$AQ$2:$AQ$636,MATCH($K51,Model!$R$2:$R$636,0)))</f>
        <v/>
      </c>
      <c r="G51">
        <f>IF($K51="","",INDEX(Raw_data!$H$2:$H$636,MATCH($K51,Model!$R$2:$R$636,0)))</f>
        <v/>
      </c>
      <c r="H51" s="8">
        <f>IF($K51="","",INDEX(Model!$B$2:$B$636,MATCH($K51,Model!$R$2:$R$636,0)))</f>
        <v/>
      </c>
      <c r="I51" s="8">
        <f>IF($K51="","",INDEX(Model!$C$2:$C$636,MATCH($K51,Model!$R$2:$R$636,0)))</f>
        <v/>
      </c>
      <c r="J51">
        <f>IF($K51="","",INDEX(Model!$D$2:$D$636,MATCH($K51,Model!$R$2:$R$636,0)))</f>
        <v/>
      </c>
      <c r="K51">
        <f>IF(15&lt;=$E$5,LARGE(Model!$R$2:$R$636,15),"")</f>
        <v/>
      </c>
    </row>
    <row r="52">
      <c r="A52">
        <f>IF($K52="","",INDEX(Raw_data!$D$2:$D$636,MATCH($K52,Model!$R$2:$R$636,0)))</f>
        <v/>
      </c>
      <c r="B52" s="11">
        <f>IF($K52="","",INDEX(Raw_data!$F$2:$F$636,MATCH($K52,Model!$R$2:$R$636,0)))</f>
        <v/>
      </c>
      <c r="C52">
        <f>IF($K52="","",HYPERLINK(INDEX(Raw_data!$C$2:$C$636,MATCH($K52,Model!$R$2:$R$636,0)),INDEX(Raw_data!$C$2:$C$636,MATCH($K52,Model!$R$2:$R$636,0))))</f>
        <v/>
      </c>
      <c r="D52">
        <f>IF($K52="","",INDEX(Raw_data!$AL$2:$AL$636,MATCH($K52,Model!$R$2:$R$636,0)))</f>
        <v/>
      </c>
      <c r="E52">
        <f>IF($K52="","",INDEX(Raw_data!$AM$2:$AM$636,MATCH($K52,Model!$R$2:$R$636,0)))</f>
        <v/>
      </c>
      <c r="F52">
        <f>IF($K52="","",INDEX(Raw_data!$AQ$2:$AQ$636,MATCH($K52,Model!$R$2:$R$636,0)))</f>
        <v/>
      </c>
      <c r="G52">
        <f>IF($K52="","",INDEX(Raw_data!$H$2:$H$636,MATCH($K52,Model!$R$2:$R$636,0)))</f>
        <v/>
      </c>
      <c r="H52" s="8">
        <f>IF($K52="","",INDEX(Model!$B$2:$B$636,MATCH($K52,Model!$R$2:$R$636,0)))</f>
        <v/>
      </c>
      <c r="I52" s="8">
        <f>IF($K52="","",INDEX(Model!$C$2:$C$636,MATCH($K52,Model!$R$2:$R$636,0)))</f>
        <v/>
      </c>
      <c r="J52">
        <f>IF($K52="","",INDEX(Model!$D$2:$D$636,MATCH($K52,Model!$R$2:$R$636,0)))</f>
        <v/>
      </c>
      <c r="K52">
        <f>IF(16&lt;=$E$5,LARGE(Model!$R$2:$R$636,16),"")</f>
        <v/>
      </c>
    </row>
    <row r="53">
      <c r="A53">
        <f>IF($K53="","",INDEX(Raw_data!$D$2:$D$636,MATCH($K53,Model!$R$2:$R$636,0)))</f>
        <v/>
      </c>
      <c r="B53" s="11">
        <f>IF($K53="","",INDEX(Raw_data!$F$2:$F$636,MATCH($K53,Model!$R$2:$R$636,0)))</f>
        <v/>
      </c>
      <c r="C53">
        <f>IF($K53="","",HYPERLINK(INDEX(Raw_data!$C$2:$C$636,MATCH($K53,Model!$R$2:$R$636,0)),INDEX(Raw_data!$C$2:$C$636,MATCH($K53,Model!$R$2:$R$636,0))))</f>
        <v/>
      </c>
      <c r="D53">
        <f>IF($K53="","",INDEX(Raw_data!$AL$2:$AL$636,MATCH($K53,Model!$R$2:$R$636,0)))</f>
        <v/>
      </c>
      <c r="E53">
        <f>IF($K53="","",INDEX(Raw_data!$AM$2:$AM$636,MATCH($K53,Model!$R$2:$R$636,0)))</f>
        <v/>
      </c>
      <c r="F53">
        <f>IF($K53="","",INDEX(Raw_data!$AQ$2:$AQ$636,MATCH($K53,Model!$R$2:$R$636,0)))</f>
        <v/>
      </c>
      <c r="G53">
        <f>IF($K53="","",INDEX(Raw_data!$H$2:$H$636,MATCH($K53,Model!$R$2:$R$636,0)))</f>
        <v/>
      </c>
      <c r="H53" s="8">
        <f>IF($K53="","",INDEX(Model!$B$2:$B$636,MATCH($K53,Model!$R$2:$R$636,0)))</f>
        <v/>
      </c>
      <c r="I53" s="8">
        <f>IF($K53="","",INDEX(Model!$C$2:$C$636,MATCH($K53,Model!$R$2:$R$636,0)))</f>
        <v/>
      </c>
      <c r="J53">
        <f>IF($K53="","",INDEX(Model!$D$2:$D$636,MATCH($K53,Model!$R$2:$R$636,0)))</f>
        <v/>
      </c>
      <c r="K53">
        <f>IF(17&lt;=$E$5,LARGE(Model!$R$2:$R$636,17),"")</f>
        <v/>
      </c>
    </row>
    <row r="54">
      <c r="A54">
        <f>IF($K54="","",INDEX(Raw_data!$D$2:$D$636,MATCH($K54,Model!$R$2:$R$636,0)))</f>
        <v/>
      </c>
      <c r="B54" s="11">
        <f>IF($K54="","",INDEX(Raw_data!$F$2:$F$636,MATCH($K54,Model!$R$2:$R$636,0)))</f>
        <v/>
      </c>
      <c r="C54">
        <f>IF($K54="","",HYPERLINK(INDEX(Raw_data!$C$2:$C$636,MATCH($K54,Model!$R$2:$R$636,0)),INDEX(Raw_data!$C$2:$C$636,MATCH($K54,Model!$R$2:$R$636,0))))</f>
        <v/>
      </c>
      <c r="D54">
        <f>IF($K54="","",INDEX(Raw_data!$AL$2:$AL$636,MATCH($K54,Model!$R$2:$R$636,0)))</f>
        <v/>
      </c>
      <c r="E54">
        <f>IF($K54="","",INDEX(Raw_data!$AM$2:$AM$636,MATCH($K54,Model!$R$2:$R$636,0)))</f>
        <v/>
      </c>
      <c r="F54">
        <f>IF($K54="","",INDEX(Raw_data!$AQ$2:$AQ$636,MATCH($K54,Model!$R$2:$R$636,0)))</f>
        <v/>
      </c>
      <c r="G54">
        <f>IF($K54="","",INDEX(Raw_data!$H$2:$H$636,MATCH($K54,Model!$R$2:$R$636,0)))</f>
        <v/>
      </c>
      <c r="H54" s="8">
        <f>IF($K54="","",INDEX(Model!$B$2:$B$636,MATCH($K54,Model!$R$2:$R$636,0)))</f>
        <v/>
      </c>
      <c r="I54" s="8">
        <f>IF($K54="","",INDEX(Model!$C$2:$C$636,MATCH($K54,Model!$R$2:$R$636,0)))</f>
        <v/>
      </c>
      <c r="J54">
        <f>IF($K54="","",INDEX(Model!$D$2:$D$636,MATCH($K54,Model!$R$2:$R$636,0)))</f>
        <v/>
      </c>
      <c r="K54">
        <f>IF(18&lt;=$E$5,LARGE(Model!$R$2:$R$636,18),"")</f>
        <v/>
      </c>
    </row>
    <row r="55">
      <c r="A55">
        <f>IF($K55="","",INDEX(Raw_data!$D$2:$D$636,MATCH($K55,Model!$R$2:$R$636,0)))</f>
        <v/>
      </c>
      <c r="B55" s="11">
        <f>IF($K55="","",INDEX(Raw_data!$F$2:$F$636,MATCH($K55,Model!$R$2:$R$636,0)))</f>
        <v/>
      </c>
      <c r="C55">
        <f>IF($K55="","",HYPERLINK(INDEX(Raw_data!$C$2:$C$636,MATCH($K55,Model!$R$2:$R$636,0)),INDEX(Raw_data!$C$2:$C$636,MATCH($K55,Model!$R$2:$R$636,0))))</f>
        <v/>
      </c>
      <c r="D55">
        <f>IF($K55="","",INDEX(Raw_data!$AL$2:$AL$636,MATCH($K55,Model!$R$2:$R$636,0)))</f>
        <v/>
      </c>
      <c r="E55">
        <f>IF($K55="","",INDEX(Raw_data!$AM$2:$AM$636,MATCH($K55,Model!$R$2:$R$636,0)))</f>
        <v/>
      </c>
      <c r="F55">
        <f>IF($K55="","",INDEX(Raw_data!$AQ$2:$AQ$636,MATCH($K55,Model!$R$2:$R$636,0)))</f>
        <v/>
      </c>
      <c r="G55">
        <f>IF($K55="","",INDEX(Raw_data!$H$2:$H$636,MATCH($K55,Model!$R$2:$R$636,0)))</f>
        <v/>
      </c>
      <c r="H55" s="8">
        <f>IF($K55="","",INDEX(Model!$B$2:$B$636,MATCH($K55,Model!$R$2:$R$636,0)))</f>
        <v/>
      </c>
      <c r="I55" s="8">
        <f>IF($K55="","",INDEX(Model!$C$2:$C$636,MATCH($K55,Model!$R$2:$R$636,0)))</f>
        <v/>
      </c>
      <c r="J55">
        <f>IF($K55="","",INDEX(Model!$D$2:$D$636,MATCH($K55,Model!$R$2:$R$636,0)))</f>
        <v/>
      </c>
      <c r="K55">
        <f>IF(19&lt;=$E$5,LARGE(Model!$R$2:$R$636,19),"")</f>
        <v/>
      </c>
    </row>
    <row r="56">
      <c r="A56">
        <f>IF($K56="","",INDEX(Raw_data!$D$2:$D$636,MATCH($K56,Model!$R$2:$R$636,0)))</f>
        <v/>
      </c>
      <c r="B56" s="11">
        <f>IF($K56="","",INDEX(Raw_data!$F$2:$F$636,MATCH($K56,Model!$R$2:$R$636,0)))</f>
        <v/>
      </c>
      <c r="C56">
        <f>IF($K56="","",HYPERLINK(INDEX(Raw_data!$C$2:$C$636,MATCH($K56,Model!$R$2:$R$636,0)),INDEX(Raw_data!$C$2:$C$636,MATCH($K56,Model!$R$2:$R$636,0))))</f>
        <v/>
      </c>
      <c r="D56">
        <f>IF($K56="","",INDEX(Raw_data!$AL$2:$AL$636,MATCH($K56,Model!$R$2:$R$636,0)))</f>
        <v/>
      </c>
      <c r="E56">
        <f>IF($K56="","",INDEX(Raw_data!$AM$2:$AM$636,MATCH($K56,Model!$R$2:$R$636,0)))</f>
        <v/>
      </c>
      <c r="F56">
        <f>IF($K56="","",INDEX(Raw_data!$AQ$2:$AQ$636,MATCH($K56,Model!$R$2:$R$636,0)))</f>
        <v/>
      </c>
      <c r="G56">
        <f>IF($K56="","",INDEX(Raw_data!$H$2:$H$636,MATCH($K56,Model!$R$2:$R$636,0)))</f>
        <v/>
      </c>
      <c r="H56" s="8">
        <f>IF($K56="","",INDEX(Model!$B$2:$B$636,MATCH($K56,Model!$R$2:$R$636,0)))</f>
        <v/>
      </c>
      <c r="I56" s="8">
        <f>IF($K56="","",INDEX(Model!$C$2:$C$636,MATCH($K56,Model!$R$2:$R$636,0)))</f>
        <v/>
      </c>
      <c r="J56">
        <f>IF($K56="","",INDEX(Model!$D$2:$D$636,MATCH($K56,Model!$R$2:$R$636,0)))</f>
        <v/>
      </c>
      <c r="K56">
        <f>IF(20&lt;=$E$5,LARGE(Model!$R$2:$R$636,20),"")</f>
        <v/>
      </c>
    </row>
    <row r="57">
      <c r="A57">
        <f>IF($K57="","",INDEX(Raw_data!$D$2:$D$636,MATCH($K57,Model!$R$2:$R$636,0)))</f>
        <v/>
      </c>
      <c r="B57" s="11">
        <f>IF($K57="","",INDEX(Raw_data!$F$2:$F$636,MATCH($K57,Model!$R$2:$R$636,0)))</f>
        <v/>
      </c>
      <c r="C57">
        <f>IF($K57="","",HYPERLINK(INDEX(Raw_data!$C$2:$C$636,MATCH($K57,Model!$R$2:$R$636,0)),INDEX(Raw_data!$C$2:$C$636,MATCH($K57,Model!$R$2:$R$636,0))))</f>
        <v/>
      </c>
      <c r="D57">
        <f>IF($K57="","",INDEX(Raw_data!$AL$2:$AL$636,MATCH($K57,Model!$R$2:$R$636,0)))</f>
        <v/>
      </c>
      <c r="E57">
        <f>IF($K57="","",INDEX(Raw_data!$AM$2:$AM$636,MATCH($K57,Model!$R$2:$R$636,0)))</f>
        <v/>
      </c>
      <c r="F57">
        <f>IF($K57="","",INDEX(Raw_data!$AQ$2:$AQ$636,MATCH($K57,Model!$R$2:$R$636,0)))</f>
        <v/>
      </c>
      <c r="G57">
        <f>IF($K57="","",INDEX(Raw_data!$H$2:$H$636,MATCH($K57,Model!$R$2:$R$636,0)))</f>
        <v/>
      </c>
      <c r="H57" s="8">
        <f>IF($K57="","",INDEX(Model!$B$2:$B$636,MATCH($K57,Model!$R$2:$R$636,0)))</f>
        <v/>
      </c>
      <c r="I57" s="8">
        <f>IF($K57="","",INDEX(Model!$C$2:$C$636,MATCH($K57,Model!$R$2:$R$636,0)))</f>
        <v/>
      </c>
      <c r="J57">
        <f>IF($K57="","",INDEX(Model!$D$2:$D$636,MATCH($K57,Model!$R$2:$R$636,0)))</f>
        <v/>
      </c>
      <c r="K57">
        <f>IF(21&lt;=$E$5,LARGE(Model!$R$2:$R$636,21),"")</f>
        <v/>
      </c>
    </row>
    <row r="58">
      <c r="A58">
        <f>IF($K58="","",INDEX(Raw_data!$D$2:$D$636,MATCH($K58,Model!$R$2:$R$636,0)))</f>
        <v/>
      </c>
      <c r="B58" s="11">
        <f>IF($K58="","",INDEX(Raw_data!$F$2:$F$636,MATCH($K58,Model!$R$2:$R$636,0)))</f>
        <v/>
      </c>
      <c r="C58">
        <f>IF($K58="","",HYPERLINK(INDEX(Raw_data!$C$2:$C$636,MATCH($K58,Model!$R$2:$R$636,0)),INDEX(Raw_data!$C$2:$C$636,MATCH($K58,Model!$R$2:$R$636,0))))</f>
        <v/>
      </c>
      <c r="D58">
        <f>IF($K58="","",INDEX(Raw_data!$AL$2:$AL$636,MATCH($K58,Model!$R$2:$R$636,0)))</f>
        <v/>
      </c>
      <c r="E58">
        <f>IF($K58="","",INDEX(Raw_data!$AM$2:$AM$636,MATCH($K58,Model!$R$2:$R$636,0)))</f>
        <v/>
      </c>
      <c r="F58">
        <f>IF($K58="","",INDEX(Raw_data!$AQ$2:$AQ$636,MATCH($K58,Model!$R$2:$R$636,0)))</f>
        <v/>
      </c>
      <c r="G58">
        <f>IF($K58="","",INDEX(Raw_data!$H$2:$H$636,MATCH($K58,Model!$R$2:$R$636,0)))</f>
        <v/>
      </c>
      <c r="H58" s="8">
        <f>IF($K58="","",INDEX(Model!$B$2:$B$636,MATCH($K58,Model!$R$2:$R$636,0)))</f>
        <v/>
      </c>
      <c r="I58" s="8">
        <f>IF($K58="","",INDEX(Model!$C$2:$C$636,MATCH($K58,Model!$R$2:$R$636,0)))</f>
        <v/>
      </c>
      <c r="J58">
        <f>IF($K58="","",INDEX(Model!$D$2:$D$636,MATCH($K58,Model!$R$2:$R$636,0)))</f>
        <v/>
      </c>
      <c r="K58">
        <f>IF(22&lt;=$E$5,LARGE(Model!$R$2:$R$636,22),"")</f>
        <v/>
      </c>
    </row>
    <row r="59">
      <c r="A59">
        <f>IF($K59="","",INDEX(Raw_data!$D$2:$D$636,MATCH($K59,Model!$R$2:$R$636,0)))</f>
        <v/>
      </c>
      <c r="B59" s="11">
        <f>IF($K59="","",INDEX(Raw_data!$F$2:$F$636,MATCH($K59,Model!$R$2:$R$636,0)))</f>
        <v/>
      </c>
      <c r="C59">
        <f>IF($K59="","",HYPERLINK(INDEX(Raw_data!$C$2:$C$636,MATCH($K59,Model!$R$2:$R$636,0)),INDEX(Raw_data!$C$2:$C$636,MATCH($K59,Model!$R$2:$R$636,0))))</f>
        <v/>
      </c>
      <c r="D59">
        <f>IF($K59="","",INDEX(Raw_data!$AL$2:$AL$636,MATCH($K59,Model!$R$2:$R$636,0)))</f>
        <v/>
      </c>
      <c r="E59">
        <f>IF($K59="","",INDEX(Raw_data!$AM$2:$AM$636,MATCH($K59,Model!$R$2:$R$636,0)))</f>
        <v/>
      </c>
      <c r="F59">
        <f>IF($K59="","",INDEX(Raw_data!$AQ$2:$AQ$636,MATCH($K59,Model!$R$2:$R$636,0)))</f>
        <v/>
      </c>
      <c r="G59">
        <f>IF($K59="","",INDEX(Raw_data!$H$2:$H$636,MATCH($K59,Model!$R$2:$R$636,0)))</f>
        <v/>
      </c>
      <c r="H59" s="8">
        <f>IF($K59="","",INDEX(Model!$B$2:$B$636,MATCH($K59,Model!$R$2:$R$636,0)))</f>
        <v/>
      </c>
      <c r="I59" s="8">
        <f>IF($K59="","",INDEX(Model!$C$2:$C$636,MATCH($K59,Model!$R$2:$R$636,0)))</f>
        <v/>
      </c>
      <c r="J59">
        <f>IF($K59="","",INDEX(Model!$D$2:$D$636,MATCH($K59,Model!$R$2:$R$636,0)))</f>
        <v/>
      </c>
      <c r="K59">
        <f>IF(23&lt;=$E$5,LARGE(Model!$R$2:$R$636,23),"")</f>
        <v/>
      </c>
    </row>
    <row r="60">
      <c r="A60">
        <f>IF($K60="","",INDEX(Raw_data!$D$2:$D$636,MATCH($K60,Model!$R$2:$R$636,0)))</f>
        <v/>
      </c>
      <c r="B60" s="11">
        <f>IF($K60="","",INDEX(Raw_data!$F$2:$F$636,MATCH($K60,Model!$R$2:$R$636,0)))</f>
        <v/>
      </c>
      <c r="C60">
        <f>IF($K60="","",HYPERLINK(INDEX(Raw_data!$C$2:$C$636,MATCH($K60,Model!$R$2:$R$636,0)),INDEX(Raw_data!$C$2:$C$636,MATCH($K60,Model!$R$2:$R$636,0))))</f>
        <v/>
      </c>
      <c r="D60">
        <f>IF($K60="","",INDEX(Raw_data!$AL$2:$AL$636,MATCH($K60,Model!$R$2:$R$636,0)))</f>
        <v/>
      </c>
      <c r="E60">
        <f>IF($K60="","",INDEX(Raw_data!$AM$2:$AM$636,MATCH($K60,Model!$R$2:$R$636,0)))</f>
        <v/>
      </c>
      <c r="F60">
        <f>IF($K60="","",INDEX(Raw_data!$AQ$2:$AQ$636,MATCH($K60,Model!$R$2:$R$636,0)))</f>
        <v/>
      </c>
      <c r="G60">
        <f>IF($K60="","",INDEX(Raw_data!$H$2:$H$636,MATCH($K60,Model!$R$2:$R$636,0)))</f>
        <v/>
      </c>
      <c r="H60" s="8">
        <f>IF($K60="","",INDEX(Model!$B$2:$B$636,MATCH($K60,Model!$R$2:$R$636,0)))</f>
        <v/>
      </c>
      <c r="I60" s="8">
        <f>IF($K60="","",INDEX(Model!$C$2:$C$636,MATCH($K60,Model!$R$2:$R$636,0)))</f>
        <v/>
      </c>
      <c r="J60">
        <f>IF($K60="","",INDEX(Model!$D$2:$D$636,MATCH($K60,Model!$R$2:$R$636,0)))</f>
        <v/>
      </c>
      <c r="K60">
        <f>IF(24&lt;=$E$5,LARGE(Model!$R$2:$R$636,24),"")</f>
        <v/>
      </c>
    </row>
    <row r="61">
      <c r="A61">
        <f>IF($K61="","",INDEX(Raw_data!$D$2:$D$636,MATCH($K61,Model!$R$2:$R$636,0)))</f>
        <v/>
      </c>
      <c r="B61" s="11">
        <f>IF($K61="","",INDEX(Raw_data!$F$2:$F$636,MATCH($K61,Model!$R$2:$R$636,0)))</f>
        <v/>
      </c>
      <c r="C61">
        <f>IF($K61="","",HYPERLINK(INDEX(Raw_data!$C$2:$C$636,MATCH($K61,Model!$R$2:$R$636,0)),INDEX(Raw_data!$C$2:$C$636,MATCH($K61,Model!$R$2:$R$636,0))))</f>
        <v/>
      </c>
      <c r="D61">
        <f>IF($K61="","",INDEX(Raw_data!$AL$2:$AL$636,MATCH($K61,Model!$R$2:$R$636,0)))</f>
        <v/>
      </c>
      <c r="E61">
        <f>IF($K61="","",INDEX(Raw_data!$AM$2:$AM$636,MATCH($K61,Model!$R$2:$R$636,0)))</f>
        <v/>
      </c>
      <c r="F61">
        <f>IF($K61="","",INDEX(Raw_data!$AQ$2:$AQ$636,MATCH($K61,Model!$R$2:$R$636,0)))</f>
        <v/>
      </c>
      <c r="G61">
        <f>IF($K61="","",INDEX(Raw_data!$H$2:$H$636,MATCH($K61,Model!$R$2:$R$636,0)))</f>
        <v/>
      </c>
      <c r="H61" s="8">
        <f>IF($K61="","",INDEX(Model!$B$2:$B$636,MATCH($K61,Model!$R$2:$R$636,0)))</f>
        <v/>
      </c>
      <c r="I61" s="8">
        <f>IF($K61="","",INDEX(Model!$C$2:$C$636,MATCH($K61,Model!$R$2:$R$636,0)))</f>
        <v/>
      </c>
      <c r="J61">
        <f>IF($K61="","",INDEX(Model!$D$2:$D$636,MATCH($K61,Model!$R$2:$R$636,0)))</f>
        <v/>
      </c>
      <c r="K61">
        <f>IF(25&lt;=$E$5,LARGE(Model!$R$2:$R$636,25),"")</f>
        <v/>
      </c>
    </row>
    <row r="62">
      <c r="A62">
        <f>IF($K62="","",INDEX(Raw_data!$D$2:$D$636,MATCH($K62,Model!$R$2:$R$636,0)))</f>
        <v/>
      </c>
      <c r="B62" s="11">
        <f>IF($K62="","",INDEX(Raw_data!$F$2:$F$636,MATCH($K62,Model!$R$2:$R$636,0)))</f>
        <v/>
      </c>
      <c r="C62">
        <f>IF($K62="","",HYPERLINK(INDEX(Raw_data!$C$2:$C$636,MATCH($K62,Model!$R$2:$R$636,0)),INDEX(Raw_data!$C$2:$C$636,MATCH($K62,Model!$R$2:$R$636,0))))</f>
        <v/>
      </c>
      <c r="D62">
        <f>IF($K62="","",INDEX(Raw_data!$AL$2:$AL$636,MATCH($K62,Model!$R$2:$R$636,0)))</f>
        <v/>
      </c>
      <c r="E62">
        <f>IF($K62="","",INDEX(Raw_data!$AM$2:$AM$636,MATCH($K62,Model!$R$2:$R$636,0)))</f>
        <v/>
      </c>
      <c r="F62">
        <f>IF($K62="","",INDEX(Raw_data!$AQ$2:$AQ$636,MATCH($K62,Model!$R$2:$R$636,0)))</f>
        <v/>
      </c>
      <c r="G62">
        <f>IF($K62="","",INDEX(Raw_data!$H$2:$H$636,MATCH($K62,Model!$R$2:$R$636,0)))</f>
        <v/>
      </c>
      <c r="H62" s="8">
        <f>IF($K62="","",INDEX(Model!$B$2:$B$636,MATCH($K62,Model!$R$2:$R$636,0)))</f>
        <v/>
      </c>
      <c r="I62" s="8">
        <f>IF($K62="","",INDEX(Model!$C$2:$C$636,MATCH($K62,Model!$R$2:$R$636,0)))</f>
        <v/>
      </c>
      <c r="J62">
        <f>IF($K62="","",INDEX(Model!$D$2:$D$636,MATCH($K62,Model!$R$2:$R$636,0)))</f>
        <v/>
      </c>
      <c r="K62">
        <f>IF(26&lt;=$E$5,LARGE(Model!$R$2:$R$636,26),"")</f>
        <v/>
      </c>
    </row>
    <row r="63">
      <c r="A63">
        <f>IF($K63="","",INDEX(Raw_data!$D$2:$D$636,MATCH($K63,Model!$R$2:$R$636,0)))</f>
        <v/>
      </c>
      <c r="B63" s="11">
        <f>IF($K63="","",INDEX(Raw_data!$F$2:$F$636,MATCH($K63,Model!$R$2:$R$636,0)))</f>
        <v/>
      </c>
      <c r="C63">
        <f>IF($K63="","",HYPERLINK(INDEX(Raw_data!$C$2:$C$636,MATCH($K63,Model!$R$2:$R$636,0)),INDEX(Raw_data!$C$2:$C$636,MATCH($K63,Model!$R$2:$R$636,0))))</f>
        <v/>
      </c>
      <c r="D63">
        <f>IF($K63="","",INDEX(Raw_data!$AL$2:$AL$636,MATCH($K63,Model!$R$2:$R$636,0)))</f>
        <v/>
      </c>
      <c r="E63">
        <f>IF($K63="","",INDEX(Raw_data!$AM$2:$AM$636,MATCH($K63,Model!$R$2:$R$636,0)))</f>
        <v/>
      </c>
      <c r="F63">
        <f>IF($K63="","",INDEX(Raw_data!$AQ$2:$AQ$636,MATCH($K63,Model!$R$2:$R$636,0)))</f>
        <v/>
      </c>
      <c r="G63">
        <f>IF($K63="","",INDEX(Raw_data!$H$2:$H$636,MATCH($K63,Model!$R$2:$R$636,0)))</f>
        <v/>
      </c>
      <c r="H63" s="8">
        <f>IF($K63="","",INDEX(Model!$B$2:$B$636,MATCH($K63,Model!$R$2:$R$636,0)))</f>
        <v/>
      </c>
      <c r="I63" s="8">
        <f>IF($K63="","",INDEX(Model!$C$2:$C$636,MATCH($K63,Model!$R$2:$R$636,0)))</f>
        <v/>
      </c>
      <c r="J63">
        <f>IF($K63="","",INDEX(Model!$D$2:$D$636,MATCH($K63,Model!$R$2:$R$636,0)))</f>
        <v/>
      </c>
      <c r="K63">
        <f>IF(27&lt;=$E$5,LARGE(Model!$R$2:$R$636,27),"")</f>
        <v/>
      </c>
    </row>
    <row r="64">
      <c r="A64">
        <f>IF($K64="","",INDEX(Raw_data!$D$2:$D$636,MATCH($K64,Model!$R$2:$R$636,0)))</f>
        <v/>
      </c>
      <c r="B64" s="11">
        <f>IF($K64="","",INDEX(Raw_data!$F$2:$F$636,MATCH($K64,Model!$R$2:$R$636,0)))</f>
        <v/>
      </c>
      <c r="C64">
        <f>IF($K64="","",HYPERLINK(INDEX(Raw_data!$C$2:$C$636,MATCH($K64,Model!$R$2:$R$636,0)),INDEX(Raw_data!$C$2:$C$636,MATCH($K64,Model!$R$2:$R$636,0))))</f>
        <v/>
      </c>
      <c r="D64">
        <f>IF($K64="","",INDEX(Raw_data!$AL$2:$AL$636,MATCH($K64,Model!$R$2:$R$636,0)))</f>
        <v/>
      </c>
      <c r="E64">
        <f>IF($K64="","",INDEX(Raw_data!$AM$2:$AM$636,MATCH($K64,Model!$R$2:$R$636,0)))</f>
        <v/>
      </c>
      <c r="F64">
        <f>IF($K64="","",INDEX(Raw_data!$AQ$2:$AQ$636,MATCH($K64,Model!$R$2:$R$636,0)))</f>
        <v/>
      </c>
      <c r="G64">
        <f>IF($K64="","",INDEX(Raw_data!$H$2:$H$636,MATCH($K64,Model!$R$2:$R$636,0)))</f>
        <v/>
      </c>
      <c r="H64" s="8">
        <f>IF($K64="","",INDEX(Model!$B$2:$B$636,MATCH($K64,Model!$R$2:$R$636,0)))</f>
        <v/>
      </c>
      <c r="I64" s="8">
        <f>IF($K64="","",INDEX(Model!$C$2:$C$636,MATCH($K64,Model!$R$2:$R$636,0)))</f>
        <v/>
      </c>
      <c r="J64">
        <f>IF($K64="","",INDEX(Model!$D$2:$D$636,MATCH($K64,Model!$R$2:$R$636,0)))</f>
        <v/>
      </c>
      <c r="K64">
        <f>IF(28&lt;=$E$5,LARGE(Model!$R$2:$R$636,28),"")</f>
        <v/>
      </c>
    </row>
    <row r="65">
      <c r="A65">
        <f>IF($K65="","",INDEX(Raw_data!$D$2:$D$636,MATCH($K65,Model!$R$2:$R$636,0)))</f>
        <v/>
      </c>
      <c r="B65" s="11">
        <f>IF($K65="","",INDEX(Raw_data!$F$2:$F$636,MATCH($K65,Model!$R$2:$R$636,0)))</f>
        <v/>
      </c>
      <c r="C65">
        <f>IF($K65="","",HYPERLINK(INDEX(Raw_data!$C$2:$C$636,MATCH($K65,Model!$R$2:$R$636,0)),INDEX(Raw_data!$C$2:$C$636,MATCH($K65,Model!$R$2:$R$636,0))))</f>
        <v/>
      </c>
      <c r="D65">
        <f>IF($K65="","",INDEX(Raw_data!$AL$2:$AL$636,MATCH($K65,Model!$R$2:$R$636,0)))</f>
        <v/>
      </c>
      <c r="E65">
        <f>IF($K65="","",INDEX(Raw_data!$AM$2:$AM$636,MATCH($K65,Model!$R$2:$R$636,0)))</f>
        <v/>
      </c>
      <c r="F65">
        <f>IF($K65="","",INDEX(Raw_data!$AQ$2:$AQ$636,MATCH($K65,Model!$R$2:$R$636,0)))</f>
        <v/>
      </c>
      <c r="G65">
        <f>IF($K65="","",INDEX(Raw_data!$H$2:$H$636,MATCH($K65,Model!$R$2:$R$636,0)))</f>
        <v/>
      </c>
      <c r="H65" s="8">
        <f>IF($K65="","",INDEX(Model!$B$2:$B$636,MATCH($K65,Model!$R$2:$R$636,0)))</f>
        <v/>
      </c>
      <c r="I65" s="8">
        <f>IF($K65="","",INDEX(Model!$C$2:$C$636,MATCH($K65,Model!$R$2:$R$636,0)))</f>
        <v/>
      </c>
      <c r="J65">
        <f>IF($K65="","",INDEX(Model!$D$2:$D$636,MATCH($K65,Model!$R$2:$R$636,0)))</f>
        <v/>
      </c>
      <c r="K65">
        <f>IF(29&lt;=$E$5,LARGE(Model!$R$2:$R$636,29),"")</f>
        <v/>
      </c>
    </row>
    <row r="66">
      <c r="A66">
        <f>IF($K66="","",INDEX(Raw_data!$D$2:$D$636,MATCH($K66,Model!$R$2:$R$636,0)))</f>
        <v/>
      </c>
      <c r="B66" s="11">
        <f>IF($K66="","",INDEX(Raw_data!$F$2:$F$636,MATCH($K66,Model!$R$2:$R$636,0)))</f>
        <v/>
      </c>
      <c r="C66">
        <f>IF($K66="","",HYPERLINK(INDEX(Raw_data!$C$2:$C$636,MATCH($K66,Model!$R$2:$R$636,0)),INDEX(Raw_data!$C$2:$C$636,MATCH($K66,Model!$R$2:$R$636,0))))</f>
        <v/>
      </c>
      <c r="D66">
        <f>IF($K66="","",INDEX(Raw_data!$AL$2:$AL$636,MATCH($K66,Model!$R$2:$R$636,0)))</f>
        <v/>
      </c>
      <c r="E66">
        <f>IF($K66="","",INDEX(Raw_data!$AM$2:$AM$636,MATCH($K66,Model!$R$2:$R$636,0)))</f>
        <v/>
      </c>
      <c r="F66">
        <f>IF($K66="","",INDEX(Raw_data!$AQ$2:$AQ$636,MATCH($K66,Model!$R$2:$R$636,0)))</f>
        <v/>
      </c>
      <c r="G66">
        <f>IF($K66="","",INDEX(Raw_data!$H$2:$H$636,MATCH($K66,Model!$R$2:$R$636,0)))</f>
        <v/>
      </c>
      <c r="H66" s="8">
        <f>IF($K66="","",INDEX(Model!$B$2:$B$636,MATCH($K66,Model!$R$2:$R$636,0)))</f>
        <v/>
      </c>
      <c r="I66" s="8">
        <f>IF($K66="","",INDEX(Model!$C$2:$C$636,MATCH($K66,Model!$R$2:$R$636,0)))</f>
        <v/>
      </c>
      <c r="J66">
        <f>IF($K66="","",INDEX(Model!$D$2:$D$636,MATCH($K66,Model!$R$2:$R$636,0)))</f>
        <v/>
      </c>
      <c r="K66">
        <f>IF(30&lt;=$E$5,LARGE(Model!$R$2:$R$636,30),"")</f>
        <v/>
      </c>
    </row>
    <row r="67">
      <c r="A67">
        <f>IF($K67="","",INDEX(Raw_data!$D$2:$D$636,MATCH($K67,Model!$R$2:$R$636,0)))</f>
        <v/>
      </c>
      <c r="B67" s="11">
        <f>IF($K67="","",INDEX(Raw_data!$F$2:$F$636,MATCH($K67,Model!$R$2:$R$636,0)))</f>
        <v/>
      </c>
      <c r="C67">
        <f>IF($K67="","",HYPERLINK(INDEX(Raw_data!$C$2:$C$636,MATCH($K67,Model!$R$2:$R$636,0)),INDEX(Raw_data!$C$2:$C$636,MATCH($K67,Model!$R$2:$R$636,0))))</f>
        <v/>
      </c>
      <c r="D67">
        <f>IF($K67="","",INDEX(Raw_data!$AL$2:$AL$636,MATCH($K67,Model!$R$2:$R$636,0)))</f>
        <v/>
      </c>
      <c r="E67">
        <f>IF($K67="","",INDEX(Raw_data!$AM$2:$AM$636,MATCH($K67,Model!$R$2:$R$636,0)))</f>
        <v/>
      </c>
      <c r="F67">
        <f>IF($K67="","",INDEX(Raw_data!$AQ$2:$AQ$636,MATCH($K67,Model!$R$2:$R$636,0)))</f>
        <v/>
      </c>
      <c r="G67">
        <f>IF($K67="","",INDEX(Raw_data!$H$2:$H$636,MATCH($K67,Model!$R$2:$R$636,0)))</f>
        <v/>
      </c>
      <c r="H67" s="8">
        <f>IF($K67="","",INDEX(Model!$B$2:$B$636,MATCH($K67,Model!$R$2:$R$636,0)))</f>
        <v/>
      </c>
      <c r="I67" s="8">
        <f>IF($K67="","",INDEX(Model!$C$2:$C$636,MATCH($K67,Model!$R$2:$R$636,0)))</f>
        <v/>
      </c>
      <c r="J67">
        <f>IF($K67="","",INDEX(Model!$D$2:$D$636,MATCH($K67,Model!$R$2:$R$636,0)))</f>
        <v/>
      </c>
      <c r="K67">
        <f>IF(31&lt;=$E$5,LARGE(Model!$R$2:$R$636,31),"")</f>
        <v/>
      </c>
    </row>
    <row r="68">
      <c r="A68">
        <f>IF($K68="","",INDEX(Raw_data!$D$2:$D$636,MATCH($K68,Model!$R$2:$R$636,0)))</f>
        <v/>
      </c>
      <c r="B68" s="11">
        <f>IF($K68="","",INDEX(Raw_data!$F$2:$F$636,MATCH($K68,Model!$R$2:$R$636,0)))</f>
        <v/>
      </c>
      <c r="C68">
        <f>IF($K68="","",HYPERLINK(INDEX(Raw_data!$C$2:$C$636,MATCH($K68,Model!$R$2:$R$636,0)),INDEX(Raw_data!$C$2:$C$636,MATCH($K68,Model!$R$2:$R$636,0))))</f>
        <v/>
      </c>
      <c r="D68">
        <f>IF($K68="","",INDEX(Raw_data!$AL$2:$AL$636,MATCH($K68,Model!$R$2:$R$636,0)))</f>
        <v/>
      </c>
      <c r="E68">
        <f>IF($K68="","",INDEX(Raw_data!$AM$2:$AM$636,MATCH($K68,Model!$R$2:$R$636,0)))</f>
        <v/>
      </c>
      <c r="F68">
        <f>IF($K68="","",INDEX(Raw_data!$AQ$2:$AQ$636,MATCH($K68,Model!$R$2:$R$636,0)))</f>
        <v/>
      </c>
      <c r="G68">
        <f>IF($K68="","",INDEX(Raw_data!$H$2:$H$636,MATCH($K68,Model!$R$2:$R$636,0)))</f>
        <v/>
      </c>
      <c r="H68" s="8">
        <f>IF($K68="","",INDEX(Model!$B$2:$B$636,MATCH($K68,Model!$R$2:$R$636,0)))</f>
        <v/>
      </c>
      <c r="I68" s="8">
        <f>IF($K68="","",INDEX(Model!$C$2:$C$636,MATCH($K68,Model!$R$2:$R$636,0)))</f>
        <v/>
      </c>
      <c r="J68">
        <f>IF($K68="","",INDEX(Model!$D$2:$D$636,MATCH($K68,Model!$R$2:$R$636,0)))</f>
        <v/>
      </c>
      <c r="K68">
        <f>IF(32&lt;=$E$5,LARGE(Model!$R$2:$R$636,32),"")</f>
        <v/>
      </c>
    </row>
    <row r="69">
      <c r="A69">
        <f>IF($K69="","",INDEX(Raw_data!$D$2:$D$636,MATCH($K69,Model!$R$2:$R$636,0)))</f>
        <v/>
      </c>
      <c r="B69" s="11">
        <f>IF($K69="","",INDEX(Raw_data!$F$2:$F$636,MATCH($K69,Model!$R$2:$R$636,0)))</f>
        <v/>
      </c>
      <c r="C69">
        <f>IF($K69="","",HYPERLINK(INDEX(Raw_data!$C$2:$C$636,MATCH($K69,Model!$R$2:$R$636,0)),INDEX(Raw_data!$C$2:$C$636,MATCH($K69,Model!$R$2:$R$636,0))))</f>
        <v/>
      </c>
      <c r="D69">
        <f>IF($K69="","",INDEX(Raw_data!$AL$2:$AL$636,MATCH($K69,Model!$R$2:$R$636,0)))</f>
        <v/>
      </c>
      <c r="E69">
        <f>IF($K69="","",INDEX(Raw_data!$AM$2:$AM$636,MATCH($K69,Model!$R$2:$R$636,0)))</f>
        <v/>
      </c>
      <c r="F69">
        <f>IF($K69="","",INDEX(Raw_data!$AQ$2:$AQ$636,MATCH($K69,Model!$R$2:$R$636,0)))</f>
        <v/>
      </c>
      <c r="G69">
        <f>IF($K69="","",INDEX(Raw_data!$H$2:$H$636,MATCH($K69,Model!$R$2:$R$636,0)))</f>
        <v/>
      </c>
      <c r="H69" s="8">
        <f>IF($K69="","",INDEX(Model!$B$2:$B$636,MATCH($K69,Model!$R$2:$R$636,0)))</f>
        <v/>
      </c>
      <c r="I69" s="8">
        <f>IF($K69="","",INDEX(Model!$C$2:$C$636,MATCH($K69,Model!$R$2:$R$636,0)))</f>
        <v/>
      </c>
      <c r="J69">
        <f>IF($K69="","",INDEX(Model!$D$2:$D$636,MATCH($K69,Model!$R$2:$R$636,0)))</f>
        <v/>
      </c>
      <c r="K69">
        <f>IF(33&lt;=$E$5,LARGE(Model!$R$2:$R$636,33),"")</f>
        <v/>
      </c>
    </row>
    <row r="70">
      <c r="A70">
        <f>IF($K70="","",INDEX(Raw_data!$D$2:$D$636,MATCH($K70,Model!$R$2:$R$636,0)))</f>
        <v/>
      </c>
      <c r="B70" s="11">
        <f>IF($K70="","",INDEX(Raw_data!$F$2:$F$636,MATCH($K70,Model!$R$2:$R$636,0)))</f>
        <v/>
      </c>
      <c r="C70">
        <f>IF($K70="","",HYPERLINK(INDEX(Raw_data!$C$2:$C$636,MATCH($K70,Model!$R$2:$R$636,0)),INDEX(Raw_data!$C$2:$C$636,MATCH($K70,Model!$R$2:$R$636,0))))</f>
        <v/>
      </c>
      <c r="D70">
        <f>IF($K70="","",INDEX(Raw_data!$AL$2:$AL$636,MATCH($K70,Model!$R$2:$R$636,0)))</f>
        <v/>
      </c>
      <c r="E70">
        <f>IF($K70="","",INDEX(Raw_data!$AM$2:$AM$636,MATCH($K70,Model!$R$2:$R$636,0)))</f>
        <v/>
      </c>
      <c r="F70">
        <f>IF($K70="","",INDEX(Raw_data!$AQ$2:$AQ$636,MATCH($K70,Model!$R$2:$R$636,0)))</f>
        <v/>
      </c>
      <c r="G70">
        <f>IF($K70="","",INDEX(Raw_data!$H$2:$H$636,MATCH($K70,Model!$R$2:$R$636,0)))</f>
        <v/>
      </c>
      <c r="H70" s="8">
        <f>IF($K70="","",INDEX(Model!$B$2:$B$636,MATCH($K70,Model!$R$2:$R$636,0)))</f>
        <v/>
      </c>
      <c r="I70" s="8">
        <f>IF($K70="","",INDEX(Model!$C$2:$C$636,MATCH($K70,Model!$R$2:$R$636,0)))</f>
        <v/>
      </c>
      <c r="J70">
        <f>IF($K70="","",INDEX(Model!$D$2:$D$636,MATCH($K70,Model!$R$2:$R$636,0)))</f>
        <v/>
      </c>
      <c r="K70">
        <f>IF(34&lt;=$E$5,LARGE(Model!$R$2:$R$636,34),"")</f>
        <v/>
      </c>
    </row>
    <row r="71">
      <c r="A71">
        <f>IF($K71="","",INDEX(Raw_data!$D$2:$D$636,MATCH($K71,Model!$R$2:$R$636,0)))</f>
        <v/>
      </c>
      <c r="B71" s="11">
        <f>IF($K71="","",INDEX(Raw_data!$F$2:$F$636,MATCH($K71,Model!$R$2:$R$636,0)))</f>
        <v/>
      </c>
      <c r="C71">
        <f>IF($K71="","",HYPERLINK(INDEX(Raw_data!$C$2:$C$636,MATCH($K71,Model!$R$2:$R$636,0)),INDEX(Raw_data!$C$2:$C$636,MATCH($K71,Model!$R$2:$R$636,0))))</f>
        <v/>
      </c>
      <c r="D71">
        <f>IF($K71="","",INDEX(Raw_data!$AL$2:$AL$636,MATCH($K71,Model!$R$2:$R$636,0)))</f>
        <v/>
      </c>
      <c r="E71">
        <f>IF($K71="","",INDEX(Raw_data!$AM$2:$AM$636,MATCH($K71,Model!$R$2:$R$636,0)))</f>
        <v/>
      </c>
      <c r="F71">
        <f>IF($K71="","",INDEX(Raw_data!$AQ$2:$AQ$636,MATCH($K71,Model!$R$2:$R$636,0)))</f>
        <v/>
      </c>
      <c r="G71">
        <f>IF($K71="","",INDEX(Raw_data!$H$2:$H$636,MATCH($K71,Model!$R$2:$R$636,0)))</f>
        <v/>
      </c>
      <c r="H71" s="8">
        <f>IF($K71="","",INDEX(Model!$B$2:$B$636,MATCH($K71,Model!$R$2:$R$636,0)))</f>
        <v/>
      </c>
      <c r="I71" s="8">
        <f>IF($K71="","",INDEX(Model!$C$2:$C$636,MATCH($K71,Model!$R$2:$R$636,0)))</f>
        <v/>
      </c>
      <c r="J71">
        <f>IF($K71="","",INDEX(Model!$D$2:$D$636,MATCH($K71,Model!$R$2:$R$636,0)))</f>
        <v/>
      </c>
      <c r="K71">
        <f>IF(35&lt;=$E$5,LARGE(Model!$R$2:$R$636,35),"")</f>
        <v/>
      </c>
    </row>
    <row r="72">
      <c r="A72">
        <f>IF($K72="","",INDEX(Raw_data!$D$2:$D$636,MATCH($K72,Model!$R$2:$R$636,0)))</f>
        <v/>
      </c>
      <c r="B72" s="11">
        <f>IF($K72="","",INDEX(Raw_data!$F$2:$F$636,MATCH($K72,Model!$R$2:$R$636,0)))</f>
        <v/>
      </c>
      <c r="C72">
        <f>IF($K72="","",HYPERLINK(INDEX(Raw_data!$C$2:$C$636,MATCH($K72,Model!$R$2:$R$636,0)),INDEX(Raw_data!$C$2:$C$636,MATCH($K72,Model!$R$2:$R$636,0))))</f>
        <v/>
      </c>
      <c r="D72">
        <f>IF($K72="","",INDEX(Raw_data!$AL$2:$AL$636,MATCH($K72,Model!$R$2:$R$636,0)))</f>
        <v/>
      </c>
      <c r="E72">
        <f>IF($K72="","",INDEX(Raw_data!$AM$2:$AM$636,MATCH($K72,Model!$R$2:$R$636,0)))</f>
        <v/>
      </c>
      <c r="F72">
        <f>IF($K72="","",INDEX(Raw_data!$AQ$2:$AQ$636,MATCH($K72,Model!$R$2:$R$636,0)))</f>
        <v/>
      </c>
      <c r="G72">
        <f>IF($K72="","",INDEX(Raw_data!$H$2:$H$636,MATCH($K72,Model!$R$2:$R$636,0)))</f>
        <v/>
      </c>
      <c r="H72" s="8">
        <f>IF($K72="","",INDEX(Model!$B$2:$B$636,MATCH($K72,Model!$R$2:$R$636,0)))</f>
        <v/>
      </c>
      <c r="I72" s="8">
        <f>IF($K72="","",INDEX(Model!$C$2:$C$636,MATCH($K72,Model!$R$2:$R$636,0)))</f>
        <v/>
      </c>
      <c r="J72">
        <f>IF($K72="","",INDEX(Model!$D$2:$D$636,MATCH($K72,Model!$R$2:$R$636,0)))</f>
        <v/>
      </c>
      <c r="K72">
        <f>IF(36&lt;=$E$5,LARGE(Model!$R$2:$R$636,36),"")</f>
        <v/>
      </c>
    </row>
    <row r="73">
      <c r="A73">
        <f>IF($K73="","",INDEX(Raw_data!$D$2:$D$636,MATCH($K73,Model!$R$2:$R$636,0)))</f>
        <v/>
      </c>
      <c r="B73" s="11">
        <f>IF($K73="","",INDEX(Raw_data!$F$2:$F$636,MATCH($K73,Model!$R$2:$R$636,0)))</f>
        <v/>
      </c>
      <c r="C73">
        <f>IF($K73="","",HYPERLINK(INDEX(Raw_data!$C$2:$C$636,MATCH($K73,Model!$R$2:$R$636,0)),INDEX(Raw_data!$C$2:$C$636,MATCH($K73,Model!$R$2:$R$636,0))))</f>
        <v/>
      </c>
      <c r="D73">
        <f>IF($K73="","",INDEX(Raw_data!$AL$2:$AL$636,MATCH($K73,Model!$R$2:$R$636,0)))</f>
        <v/>
      </c>
      <c r="E73">
        <f>IF($K73="","",INDEX(Raw_data!$AM$2:$AM$636,MATCH($K73,Model!$R$2:$R$636,0)))</f>
        <v/>
      </c>
      <c r="F73">
        <f>IF($K73="","",INDEX(Raw_data!$AQ$2:$AQ$636,MATCH($K73,Model!$R$2:$R$636,0)))</f>
        <v/>
      </c>
      <c r="G73">
        <f>IF($K73="","",INDEX(Raw_data!$H$2:$H$636,MATCH($K73,Model!$R$2:$R$636,0)))</f>
        <v/>
      </c>
      <c r="H73" s="8">
        <f>IF($K73="","",INDEX(Model!$B$2:$B$636,MATCH($K73,Model!$R$2:$R$636,0)))</f>
        <v/>
      </c>
      <c r="I73" s="8">
        <f>IF($K73="","",INDEX(Model!$C$2:$C$636,MATCH($K73,Model!$R$2:$R$636,0)))</f>
        <v/>
      </c>
      <c r="J73">
        <f>IF($K73="","",INDEX(Model!$D$2:$D$636,MATCH($K73,Model!$R$2:$R$636,0)))</f>
        <v/>
      </c>
      <c r="K73">
        <f>IF(37&lt;=$E$5,LARGE(Model!$R$2:$R$636,37),"")</f>
        <v/>
      </c>
    </row>
    <row r="74">
      <c r="A74">
        <f>IF($K74="","",INDEX(Raw_data!$D$2:$D$636,MATCH($K74,Model!$R$2:$R$636,0)))</f>
        <v/>
      </c>
      <c r="B74" s="11">
        <f>IF($K74="","",INDEX(Raw_data!$F$2:$F$636,MATCH($K74,Model!$R$2:$R$636,0)))</f>
        <v/>
      </c>
      <c r="C74">
        <f>IF($K74="","",HYPERLINK(INDEX(Raw_data!$C$2:$C$636,MATCH($K74,Model!$R$2:$R$636,0)),INDEX(Raw_data!$C$2:$C$636,MATCH($K74,Model!$R$2:$R$636,0))))</f>
        <v/>
      </c>
      <c r="D74">
        <f>IF($K74="","",INDEX(Raw_data!$AL$2:$AL$636,MATCH($K74,Model!$R$2:$R$636,0)))</f>
        <v/>
      </c>
      <c r="E74">
        <f>IF($K74="","",INDEX(Raw_data!$AM$2:$AM$636,MATCH($K74,Model!$R$2:$R$636,0)))</f>
        <v/>
      </c>
      <c r="F74">
        <f>IF($K74="","",INDEX(Raw_data!$AQ$2:$AQ$636,MATCH($K74,Model!$R$2:$R$636,0)))</f>
        <v/>
      </c>
      <c r="G74">
        <f>IF($K74="","",INDEX(Raw_data!$H$2:$H$636,MATCH($K74,Model!$R$2:$R$636,0)))</f>
        <v/>
      </c>
      <c r="H74" s="8">
        <f>IF($K74="","",INDEX(Model!$B$2:$B$636,MATCH($K74,Model!$R$2:$R$636,0)))</f>
        <v/>
      </c>
      <c r="I74" s="8">
        <f>IF($K74="","",INDEX(Model!$C$2:$C$636,MATCH($K74,Model!$R$2:$R$636,0)))</f>
        <v/>
      </c>
      <c r="J74">
        <f>IF($K74="","",INDEX(Model!$D$2:$D$636,MATCH($K74,Model!$R$2:$R$636,0)))</f>
        <v/>
      </c>
      <c r="K74">
        <f>IF(38&lt;=$E$5,LARGE(Model!$R$2:$R$636,38),"")</f>
        <v/>
      </c>
    </row>
    <row r="75">
      <c r="A75">
        <f>IF($K75="","",INDEX(Raw_data!$D$2:$D$636,MATCH($K75,Model!$R$2:$R$636,0)))</f>
        <v/>
      </c>
      <c r="B75" s="11">
        <f>IF($K75="","",INDEX(Raw_data!$F$2:$F$636,MATCH($K75,Model!$R$2:$R$636,0)))</f>
        <v/>
      </c>
      <c r="C75">
        <f>IF($K75="","",HYPERLINK(INDEX(Raw_data!$C$2:$C$636,MATCH($K75,Model!$R$2:$R$636,0)),INDEX(Raw_data!$C$2:$C$636,MATCH($K75,Model!$R$2:$R$636,0))))</f>
        <v/>
      </c>
      <c r="D75">
        <f>IF($K75="","",INDEX(Raw_data!$AL$2:$AL$636,MATCH($K75,Model!$R$2:$R$636,0)))</f>
        <v/>
      </c>
      <c r="E75">
        <f>IF($K75="","",INDEX(Raw_data!$AM$2:$AM$636,MATCH($K75,Model!$R$2:$R$636,0)))</f>
        <v/>
      </c>
      <c r="F75">
        <f>IF($K75="","",INDEX(Raw_data!$AQ$2:$AQ$636,MATCH($K75,Model!$R$2:$R$636,0)))</f>
        <v/>
      </c>
      <c r="G75">
        <f>IF($K75="","",INDEX(Raw_data!$H$2:$H$636,MATCH($K75,Model!$R$2:$R$636,0)))</f>
        <v/>
      </c>
      <c r="H75" s="8">
        <f>IF($K75="","",INDEX(Model!$B$2:$B$636,MATCH($K75,Model!$R$2:$R$636,0)))</f>
        <v/>
      </c>
      <c r="I75" s="8">
        <f>IF($K75="","",INDEX(Model!$C$2:$C$636,MATCH($K75,Model!$R$2:$R$636,0)))</f>
        <v/>
      </c>
      <c r="J75">
        <f>IF($K75="","",INDEX(Model!$D$2:$D$636,MATCH($K75,Model!$R$2:$R$636,0)))</f>
        <v/>
      </c>
      <c r="K75">
        <f>IF(39&lt;=$E$5,LARGE(Model!$R$2:$R$636,39),"")</f>
        <v/>
      </c>
    </row>
    <row r="76">
      <c r="A76">
        <f>IF($K76="","",INDEX(Raw_data!$D$2:$D$636,MATCH($K76,Model!$R$2:$R$636,0)))</f>
        <v/>
      </c>
      <c r="B76" s="11">
        <f>IF($K76="","",INDEX(Raw_data!$F$2:$F$636,MATCH($K76,Model!$R$2:$R$636,0)))</f>
        <v/>
      </c>
      <c r="C76">
        <f>IF($K76="","",HYPERLINK(INDEX(Raw_data!$C$2:$C$636,MATCH($K76,Model!$R$2:$R$636,0)),INDEX(Raw_data!$C$2:$C$636,MATCH($K76,Model!$R$2:$R$636,0))))</f>
        <v/>
      </c>
      <c r="D76">
        <f>IF($K76="","",INDEX(Raw_data!$AL$2:$AL$636,MATCH($K76,Model!$R$2:$R$636,0)))</f>
        <v/>
      </c>
      <c r="E76">
        <f>IF($K76="","",INDEX(Raw_data!$AM$2:$AM$636,MATCH($K76,Model!$R$2:$R$636,0)))</f>
        <v/>
      </c>
      <c r="F76">
        <f>IF($K76="","",INDEX(Raw_data!$AQ$2:$AQ$636,MATCH($K76,Model!$R$2:$R$636,0)))</f>
        <v/>
      </c>
      <c r="G76">
        <f>IF($K76="","",INDEX(Raw_data!$H$2:$H$636,MATCH($K76,Model!$R$2:$R$636,0)))</f>
        <v/>
      </c>
      <c r="H76" s="8">
        <f>IF($K76="","",INDEX(Model!$B$2:$B$636,MATCH($K76,Model!$R$2:$R$636,0)))</f>
        <v/>
      </c>
      <c r="I76" s="8">
        <f>IF($K76="","",INDEX(Model!$C$2:$C$636,MATCH($K76,Model!$R$2:$R$636,0)))</f>
        <v/>
      </c>
      <c r="J76">
        <f>IF($K76="","",INDEX(Model!$D$2:$D$636,MATCH($K76,Model!$R$2:$R$636,0)))</f>
        <v/>
      </c>
      <c r="K76">
        <f>IF(40&lt;=$E$5,LARGE(Model!$R$2:$R$636,40),"")</f>
        <v/>
      </c>
    </row>
    <row r="77">
      <c r="A77">
        <f>IF($K77="","",INDEX(Raw_data!$D$2:$D$636,MATCH($K77,Model!$R$2:$R$636,0)))</f>
        <v/>
      </c>
      <c r="B77" s="11">
        <f>IF($K77="","",INDEX(Raw_data!$F$2:$F$636,MATCH($K77,Model!$R$2:$R$636,0)))</f>
        <v/>
      </c>
      <c r="C77">
        <f>IF($K77="","",HYPERLINK(INDEX(Raw_data!$C$2:$C$636,MATCH($K77,Model!$R$2:$R$636,0)),INDEX(Raw_data!$C$2:$C$636,MATCH($K77,Model!$R$2:$R$636,0))))</f>
        <v/>
      </c>
      <c r="D77">
        <f>IF($K77="","",INDEX(Raw_data!$AL$2:$AL$636,MATCH($K77,Model!$R$2:$R$636,0)))</f>
        <v/>
      </c>
      <c r="E77">
        <f>IF($K77="","",INDEX(Raw_data!$AM$2:$AM$636,MATCH($K77,Model!$R$2:$R$636,0)))</f>
        <v/>
      </c>
      <c r="F77">
        <f>IF($K77="","",INDEX(Raw_data!$AQ$2:$AQ$636,MATCH($K77,Model!$R$2:$R$636,0)))</f>
        <v/>
      </c>
      <c r="G77">
        <f>IF($K77="","",INDEX(Raw_data!$H$2:$H$636,MATCH($K77,Model!$R$2:$R$636,0)))</f>
        <v/>
      </c>
      <c r="H77" s="8">
        <f>IF($K77="","",INDEX(Model!$B$2:$B$636,MATCH($K77,Model!$R$2:$R$636,0)))</f>
        <v/>
      </c>
      <c r="I77" s="8">
        <f>IF($K77="","",INDEX(Model!$C$2:$C$636,MATCH($K77,Model!$R$2:$R$636,0)))</f>
        <v/>
      </c>
      <c r="J77">
        <f>IF($K77="","",INDEX(Model!$D$2:$D$636,MATCH($K77,Model!$R$2:$R$636,0)))</f>
        <v/>
      </c>
      <c r="K77">
        <f>IF(41&lt;=$E$5,LARGE(Model!$R$2:$R$636,41),"")</f>
        <v/>
      </c>
    </row>
    <row r="78">
      <c r="A78">
        <f>IF($K78="","",INDEX(Raw_data!$D$2:$D$636,MATCH($K78,Model!$R$2:$R$636,0)))</f>
        <v/>
      </c>
      <c r="B78" s="11">
        <f>IF($K78="","",INDEX(Raw_data!$F$2:$F$636,MATCH($K78,Model!$R$2:$R$636,0)))</f>
        <v/>
      </c>
      <c r="C78">
        <f>IF($K78="","",HYPERLINK(INDEX(Raw_data!$C$2:$C$636,MATCH($K78,Model!$R$2:$R$636,0)),INDEX(Raw_data!$C$2:$C$636,MATCH($K78,Model!$R$2:$R$636,0))))</f>
        <v/>
      </c>
      <c r="D78">
        <f>IF($K78="","",INDEX(Raw_data!$AL$2:$AL$636,MATCH($K78,Model!$R$2:$R$636,0)))</f>
        <v/>
      </c>
      <c r="E78">
        <f>IF($K78="","",INDEX(Raw_data!$AM$2:$AM$636,MATCH($K78,Model!$R$2:$R$636,0)))</f>
        <v/>
      </c>
      <c r="F78">
        <f>IF($K78="","",INDEX(Raw_data!$AQ$2:$AQ$636,MATCH($K78,Model!$R$2:$R$636,0)))</f>
        <v/>
      </c>
      <c r="G78">
        <f>IF($K78="","",INDEX(Raw_data!$H$2:$H$636,MATCH($K78,Model!$R$2:$R$636,0)))</f>
        <v/>
      </c>
      <c r="H78" s="8">
        <f>IF($K78="","",INDEX(Model!$B$2:$B$636,MATCH($K78,Model!$R$2:$R$636,0)))</f>
        <v/>
      </c>
      <c r="I78" s="8">
        <f>IF($K78="","",INDEX(Model!$C$2:$C$636,MATCH($K78,Model!$R$2:$R$636,0)))</f>
        <v/>
      </c>
      <c r="J78">
        <f>IF($K78="","",INDEX(Model!$D$2:$D$636,MATCH($K78,Model!$R$2:$R$636,0)))</f>
        <v/>
      </c>
      <c r="K78">
        <f>IF(42&lt;=$E$5,LARGE(Model!$R$2:$R$636,42),"")</f>
        <v/>
      </c>
    </row>
    <row r="79">
      <c r="A79">
        <f>IF($K79="","",INDEX(Raw_data!$D$2:$D$636,MATCH($K79,Model!$R$2:$R$636,0)))</f>
        <v/>
      </c>
      <c r="B79" s="11">
        <f>IF($K79="","",INDEX(Raw_data!$F$2:$F$636,MATCH($K79,Model!$R$2:$R$636,0)))</f>
        <v/>
      </c>
      <c r="C79">
        <f>IF($K79="","",HYPERLINK(INDEX(Raw_data!$C$2:$C$636,MATCH($K79,Model!$R$2:$R$636,0)),INDEX(Raw_data!$C$2:$C$636,MATCH($K79,Model!$R$2:$R$636,0))))</f>
        <v/>
      </c>
      <c r="D79">
        <f>IF($K79="","",INDEX(Raw_data!$AL$2:$AL$636,MATCH($K79,Model!$R$2:$R$636,0)))</f>
        <v/>
      </c>
      <c r="E79">
        <f>IF($K79="","",INDEX(Raw_data!$AM$2:$AM$636,MATCH($K79,Model!$R$2:$R$636,0)))</f>
        <v/>
      </c>
      <c r="F79">
        <f>IF($K79="","",INDEX(Raw_data!$AQ$2:$AQ$636,MATCH($K79,Model!$R$2:$R$636,0)))</f>
        <v/>
      </c>
      <c r="G79">
        <f>IF($K79="","",INDEX(Raw_data!$H$2:$H$636,MATCH($K79,Model!$R$2:$R$636,0)))</f>
        <v/>
      </c>
      <c r="H79" s="8">
        <f>IF($K79="","",INDEX(Model!$B$2:$B$636,MATCH($K79,Model!$R$2:$R$636,0)))</f>
        <v/>
      </c>
      <c r="I79" s="8">
        <f>IF($K79="","",INDEX(Model!$C$2:$C$636,MATCH($K79,Model!$R$2:$R$636,0)))</f>
        <v/>
      </c>
      <c r="J79">
        <f>IF($K79="","",INDEX(Model!$D$2:$D$636,MATCH($K79,Model!$R$2:$R$636,0)))</f>
        <v/>
      </c>
      <c r="K79">
        <f>IF(43&lt;=$E$5,LARGE(Model!$R$2:$R$636,43),"")</f>
        <v/>
      </c>
    </row>
    <row r="80">
      <c r="A80">
        <f>IF($K80="","",INDEX(Raw_data!$D$2:$D$636,MATCH($K80,Model!$R$2:$R$636,0)))</f>
        <v/>
      </c>
      <c r="B80" s="11">
        <f>IF($K80="","",INDEX(Raw_data!$F$2:$F$636,MATCH($K80,Model!$R$2:$R$636,0)))</f>
        <v/>
      </c>
      <c r="C80">
        <f>IF($K80="","",HYPERLINK(INDEX(Raw_data!$C$2:$C$636,MATCH($K80,Model!$R$2:$R$636,0)),INDEX(Raw_data!$C$2:$C$636,MATCH($K80,Model!$R$2:$R$636,0))))</f>
        <v/>
      </c>
      <c r="D80">
        <f>IF($K80="","",INDEX(Raw_data!$AL$2:$AL$636,MATCH($K80,Model!$R$2:$R$636,0)))</f>
        <v/>
      </c>
      <c r="E80">
        <f>IF($K80="","",INDEX(Raw_data!$AM$2:$AM$636,MATCH($K80,Model!$R$2:$R$636,0)))</f>
        <v/>
      </c>
      <c r="F80">
        <f>IF($K80="","",INDEX(Raw_data!$AQ$2:$AQ$636,MATCH($K80,Model!$R$2:$R$636,0)))</f>
        <v/>
      </c>
      <c r="G80">
        <f>IF($K80="","",INDEX(Raw_data!$H$2:$H$636,MATCH($K80,Model!$R$2:$R$636,0)))</f>
        <v/>
      </c>
      <c r="H80" s="8">
        <f>IF($K80="","",INDEX(Model!$B$2:$B$636,MATCH($K80,Model!$R$2:$R$636,0)))</f>
        <v/>
      </c>
      <c r="I80" s="8">
        <f>IF($K80="","",INDEX(Model!$C$2:$C$636,MATCH($K80,Model!$R$2:$R$636,0)))</f>
        <v/>
      </c>
      <c r="J80">
        <f>IF($K80="","",INDEX(Model!$D$2:$D$636,MATCH($K80,Model!$R$2:$R$636,0)))</f>
        <v/>
      </c>
      <c r="K80">
        <f>IF(44&lt;=$E$5,LARGE(Model!$R$2:$R$636,44),"")</f>
        <v/>
      </c>
    </row>
    <row r="81">
      <c r="A81">
        <f>IF($K81="","",INDEX(Raw_data!$D$2:$D$636,MATCH($K81,Model!$R$2:$R$636,0)))</f>
        <v/>
      </c>
      <c r="B81" s="11">
        <f>IF($K81="","",INDEX(Raw_data!$F$2:$F$636,MATCH($K81,Model!$R$2:$R$636,0)))</f>
        <v/>
      </c>
      <c r="C81">
        <f>IF($K81="","",HYPERLINK(INDEX(Raw_data!$C$2:$C$636,MATCH($K81,Model!$R$2:$R$636,0)),INDEX(Raw_data!$C$2:$C$636,MATCH($K81,Model!$R$2:$R$636,0))))</f>
        <v/>
      </c>
      <c r="D81">
        <f>IF($K81="","",INDEX(Raw_data!$AL$2:$AL$636,MATCH($K81,Model!$R$2:$R$636,0)))</f>
        <v/>
      </c>
      <c r="E81">
        <f>IF($K81="","",INDEX(Raw_data!$AM$2:$AM$636,MATCH($K81,Model!$R$2:$R$636,0)))</f>
        <v/>
      </c>
      <c r="F81">
        <f>IF($K81="","",INDEX(Raw_data!$AQ$2:$AQ$636,MATCH($K81,Model!$R$2:$R$636,0)))</f>
        <v/>
      </c>
      <c r="G81">
        <f>IF($K81="","",INDEX(Raw_data!$H$2:$H$636,MATCH($K81,Model!$R$2:$R$636,0)))</f>
        <v/>
      </c>
      <c r="H81" s="8">
        <f>IF($K81="","",INDEX(Model!$B$2:$B$636,MATCH($K81,Model!$R$2:$R$636,0)))</f>
        <v/>
      </c>
      <c r="I81" s="8">
        <f>IF($K81="","",INDEX(Model!$C$2:$C$636,MATCH($K81,Model!$R$2:$R$636,0)))</f>
        <v/>
      </c>
      <c r="J81">
        <f>IF($K81="","",INDEX(Model!$D$2:$D$636,MATCH($K81,Model!$R$2:$R$636,0)))</f>
        <v/>
      </c>
      <c r="K81">
        <f>IF(45&lt;=$E$5,LARGE(Model!$R$2:$R$636,45),"")</f>
        <v/>
      </c>
    </row>
    <row r="82">
      <c r="A82">
        <f>IF($K82="","",INDEX(Raw_data!$D$2:$D$636,MATCH($K82,Model!$R$2:$R$636,0)))</f>
        <v/>
      </c>
      <c r="B82" s="11">
        <f>IF($K82="","",INDEX(Raw_data!$F$2:$F$636,MATCH($K82,Model!$R$2:$R$636,0)))</f>
        <v/>
      </c>
      <c r="C82">
        <f>IF($K82="","",HYPERLINK(INDEX(Raw_data!$C$2:$C$636,MATCH($K82,Model!$R$2:$R$636,0)),INDEX(Raw_data!$C$2:$C$636,MATCH($K82,Model!$R$2:$R$636,0))))</f>
        <v/>
      </c>
      <c r="D82">
        <f>IF($K82="","",INDEX(Raw_data!$AL$2:$AL$636,MATCH($K82,Model!$R$2:$R$636,0)))</f>
        <v/>
      </c>
      <c r="E82">
        <f>IF($K82="","",INDEX(Raw_data!$AM$2:$AM$636,MATCH($K82,Model!$R$2:$R$636,0)))</f>
        <v/>
      </c>
      <c r="F82">
        <f>IF($K82="","",INDEX(Raw_data!$AQ$2:$AQ$636,MATCH($K82,Model!$R$2:$R$636,0)))</f>
        <v/>
      </c>
      <c r="G82">
        <f>IF($K82="","",INDEX(Raw_data!$H$2:$H$636,MATCH($K82,Model!$R$2:$R$636,0)))</f>
        <v/>
      </c>
      <c r="H82" s="8">
        <f>IF($K82="","",INDEX(Model!$B$2:$B$636,MATCH($K82,Model!$R$2:$R$636,0)))</f>
        <v/>
      </c>
      <c r="I82" s="8">
        <f>IF($K82="","",INDEX(Model!$C$2:$C$636,MATCH($K82,Model!$R$2:$R$636,0)))</f>
        <v/>
      </c>
      <c r="J82">
        <f>IF($K82="","",INDEX(Model!$D$2:$D$636,MATCH($K82,Model!$R$2:$R$636,0)))</f>
        <v/>
      </c>
      <c r="K82">
        <f>IF(46&lt;=$E$5,LARGE(Model!$R$2:$R$636,46),"")</f>
        <v/>
      </c>
    </row>
    <row r="83">
      <c r="A83">
        <f>IF($K83="","",INDEX(Raw_data!$D$2:$D$636,MATCH($K83,Model!$R$2:$R$636,0)))</f>
        <v/>
      </c>
      <c r="B83" s="11">
        <f>IF($K83="","",INDEX(Raw_data!$F$2:$F$636,MATCH($K83,Model!$R$2:$R$636,0)))</f>
        <v/>
      </c>
      <c r="C83">
        <f>IF($K83="","",HYPERLINK(INDEX(Raw_data!$C$2:$C$636,MATCH($K83,Model!$R$2:$R$636,0)),INDEX(Raw_data!$C$2:$C$636,MATCH($K83,Model!$R$2:$R$636,0))))</f>
        <v/>
      </c>
      <c r="D83">
        <f>IF($K83="","",INDEX(Raw_data!$AL$2:$AL$636,MATCH($K83,Model!$R$2:$R$636,0)))</f>
        <v/>
      </c>
      <c r="E83">
        <f>IF($K83="","",INDEX(Raw_data!$AM$2:$AM$636,MATCH($K83,Model!$R$2:$R$636,0)))</f>
        <v/>
      </c>
      <c r="F83">
        <f>IF($K83="","",INDEX(Raw_data!$AQ$2:$AQ$636,MATCH($K83,Model!$R$2:$R$636,0)))</f>
        <v/>
      </c>
      <c r="G83">
        <f>IF($K83="","",INDEX(Raw_data!$H$2:$H$636,MATCH($K83,Model!$R$2:$R$636,0)))</f>
        <v/>
      </c>
      <c r="H83" s="8">
        <f>IF($K83="","",INDEX(Model!$B$2:$B$636,MATCH($K83,Model!$R$2:$R$636,0)))</f>
        <v/>
      </c>
      <c r="I83" s="8">
        <f>IF($K83="","",INDEX(Model!$C$2:$C$636,MATCH($K83,Model!$R$2:$R$636,0)))</f>
        <v/>
      </c>
      <c r="J83">
        <f>IF($K83="","",INDEX(Model!$D$2:$D$636,MATCH($K83,Model!$R$2:$R$636,0)))</f>
        <v/>
      </c>
      <c r="K83">
        <f>IF(47&lt;=$E$5,LARGE(Model!$R$2:$R$636,47),"")</f>
        <v/>
      </c>
    </row>
    <row r="84">
      <c r="A84">
        <f>IF($K84="","",INDEX(Raw_data!$D$2:$D$636,MATCH($K84,Model!$R$2:$R$636,0)))</f>
        <v/>
      </c>
      <c r="B84" s="11">
        <f>IF($K84="","",INDEX(Raw_data!$F$2:$F$636,MATCH($K84,Model!$R$2:$R$636,0)))</f>
        <v/>
      </c>
      <c r="C84">
        <f>IF($K84="","",HYPERLINK(INDEX(Raw_data!$C$2:$C$636,MATCH($K84,Model!$R$2:$R$636,0)),INDEX(Raw_data!$C$2:$C$636,MATCH($K84,Model!$R$2:$R$636,0))))</f>
        <v/>
      </c>
      <c r="D84">
        <f>IF($K84="","",INDEX(Raw_data!$AL$2:$AL$636,MATCH($K84,Model!$R$2:$R$636,0)))</f>
        <v/>
      </c>
      <c r="E84">
        <f>IF($K84="","",INDEX(Raw_data!$AM$2:$AM$636,MATCH($K84,Model!$R$2:$R$636,0)))</f>
        <v/>
      </c>
      <c r="F84">
        <f>IF($K84="","",INDEX(Raw_data!$AQ$2:$AQ$636,MATCH($K84,Model!$R$2:$R$636,0)))</f>
        <v/>
      </c>
      <c r="G84">
        <f>IF($K84="","",INDEX(Raw_data!$H$2:$H$636,MATCH($K84,Model!$R$2:$R$636,0)))</f>
        <v/>
      </c>
      <c r="H84" s="8">
        <f>IF($K84="","",INDEX(Model!$B$2:$B$636,MATCH($K84,Model!$R$2:$R$636,0)))</f>
        <v/>
      </c>
      <c r="I84" s="8">
        <f>IF($K84="","",INDEX(Model!$C$2:$C$636,MATCH($K84,Model!$R$2:$R$636,0)))</f>
        <v/>
      </c>
      <c r="J84">
        <f>IF($K84="","",INDEX(Model!$D$2:$D$636,MATCH($K84,Model!$R$2:$R$636,0)))</f>
        <v/>
      </c>
      <c r="K84">
        <f>IF(48&lt;=$E$5,LARGE(Model!$R$2:$R$636,48),"")</f>
        <v/>
      </c>
    </row>
    <row r="85">
      <c r="A85">
        <f>IF($K85="","",INDEX(Raw_data!$D$2:$D$636,MATCH($K85,Model!$R$2:$R$636,0)))</f>
        <v/>
      </c>
      <c r="B85" s="11">
        <f>IF($K85="","",INDEX(Raw_data!$F$2:$F$636,MATCH($K85,Model!$R$2:$R$636,0)))</f>
        <v/>
      </c>
      <c r="C85">
        <f>IF($K85="","",HYPERLINK(INDEX(Raw_data!$C$2:$C$636,MATCH($K85,Model!$R$2:$R$636,0)),INDEX(Raw_data!$C$2:$C$636,MATCH($K85,Model!$R$2:$R$636,0))))</f>
        <v/>
      </c>
      <c r="D85">
        <f>IF($K85="","",INDEX(Raw_data!$AL$2:$AL$636,MATCH($K85,Model!$R$2:$R$636,0)))</f>
        <v/>
      </c>
      <c r="E85">
        <f>IF($K85="","",INDEX(Raw_data!$AM$2:$AM$636,MATCH($K85,Model!$R$2:$R$636,0)))</f>
        <v/>
      </c>
      <c r="F85">
        <f>IF($K85="","",INDEX(Raw_data!$AQ$2:$AQ$636,MATCH($K85,Model!$R$2:$R$636,0)))</f>
        <v/>
      </c>
      <c r="G85">
        <f>IF($K85="","",INDEX(Raw_data!$H$2:$H$636,MATCH($K85,Model!$R$2:$R$636,0)))</f>
        <v/>
      </c>
      <c r="H85" s="8">
        <f>IF($K85="","",INDEX(Model!$B$2:$B$636,MATCH($K85,Model!$R$2:$R$636,0)))</f>
        <v/>
      </c>
      <c r="I85" s="8">
        <f>IF($K85="","",INDEX(Model!$C$2:$C$636,MATCH($K85,Model!$R$2:$R$636,0)))</f>
        <v/>
      </c>
      <c r="J85">
        <f>IF($K85="","",INDEX(Model!$D$2:$D$636,MATCH($K85,Model!$R$2:$R$636,0)))</f>
        <v/>
      </c>
      <c r="K85">
        <f>IF(49&lt;=$E$5,LARGE(Model!$R$2:$R$636,49),"")</f>
        <v/>
      </c>
    </row>
    <row r="86">
      <c r="A86">
        <f>IF($K86="","",INDEX(Raw_data!$D$2:$D$636,MATCH($K86,Model!$R$2:$R$636,0)))</f>
        <v/>
      </c>
      <c r="B86" s="11">
        <f>IF($K86="","",INDEX(Raw_data!$F$2:$F$636,MATCH($K86,Model!$R$2:$R$636,0)))</f>
        <v/>
      </c>
      <c r="C86">
        <f>IF($K86="","",HYPERLINK(INDEX(Raw_data!$C$2:$C$636,MATCH($K86,Model!$R$2:$R$636,0)),INDEX(Raw_data!$C$2:$C$636,MATCH($K86,Model!$R$2:$R$636,0))))</f>
        <v/>
      </c>
      <c r="D86">
        <f>IF($K86="","",INDEX(Raw_data!$AL$2:$AL$636,MATCH($K86,Model!$R$2:$R$636,0)))</f>
        <v/>
      </c>
      <c r="E86">
        <f>IF($K86="","",INDEX(Raw_data!$AM$2:$AM$636,MATCH($K86,Model!$R$2:$R$636,0)))</f>
        <v/>
      </c>
      <c r="F86">
        <f>IF($K86="","",INDEX(Raw_data!$AQ$2:$AQ$636,MATCH($K86,Model!$R$2:$R$636,0)))</f>
        <v/>
      </c>
      <c r="G86">
        <f>IF($K86="","",INDEX(Raw_data!$H$2:$H$636,MATCH($K86,Model!$R$2:$R$636,0)))</f>
        <v/>
      </c>
      <c r="H86" s="8">
        <f>IF($K86="","",INDEX(Model!$B$2:$B$636,MATCH($K86,Model!$R$2:$R$636,0)))</f>
        <v/>
      </c>
      <c r="I86" s="8">
        <f>IF($K86="","",INDEX(Model!$C$2:$C$636,MATCH($K86,Model!$R$2:$R$636,0)))</f>
        <v/>
      </c>
      <c r="J86">
        <f>IF($K86="","",INDEX(Model!$D$2:$D$636,MATCH($K86,Model!$R$2:$R$636,0)))</f>
        <v/>
      </c>
      <c r="K86">
        <f>IF(50&lt;=$E$5,LARGE(Model!$R$2:$R$636,50),"")</f>
        <v/>
      </c>
    </row>
    <row r="87">
      <c r="A87">
        <f>IF($K87="","",INDEX(Raw_data!$D$2:$D$636,MATCH($K87,Model!$R$2:$R$636,0)))</f>
        <v/>
      </c>
      <c r="B87" s="11">
        <f>IF($K87="","",INDEX(Raw_data!$F$2:$F$636,MATCH($K87,Model!$R$2:$R$636,0)))</f>
        <v/>
      </c>
      <c r="C87">
        <f>IF($K87="","",HYPERLINK(INDEX(Raw_data!$C$2:$C$636,MATCH($K87,Model!$R$2:$R$636,0)),INDEX(Raw_data!$C$2:$C$636,MATCH($K87,Model!$R$2:$R$636,0))))</f>
        <v/>
      </c>
      <c r="D87">
        <f>IF($K87="","",INDEX(Raw_data!$AL$2:$AL$636,MATCH($K87,Model!$R$2:$R$636,0)))</f>
        <v/>
      </c>
      <c r="E87">
        <f>IF($K87="","",INDEX(Raw_data!$AM$2:$AM$636,MATCH($K87,Model!$R$2:$R$636,0)))</f>
        <v/>
      </c>
      <c r="F87">
        <f>IF($K87="","",INDEX(Raw_data!$AQ$2:$AQ$636,MATCH($K87,Model!$R$2:$R$636,0)))</f>
        <v/>
      </c>
      <c r="G87">
        <f>IF($K87="","",INDEX(Raw_data!$H$2:$H$636,MATCH($K87,Model!$R$2:$R$636,0)))</f>
        <v/>
      </c>
      <c r="H87" s="8">
        <f>IF($K87="","",INDEX(Model!$B$2:$B$636,MATCH($K87,Model!$R$2:$R$636,0)))</f>
        <v/>
      </c>
      <c r="I87" s="8">
        <f>IF($K87="","",INDEX(Model!$C$2:$C$636,MATCH($K87,Model!$R$2:$R$636,0)))</f>
        <v/>
      </c>
      <c r="J87">
        <f>IF($K87="","",INDEX(Model!$D$2:$D$636,MATCH($K87,Model!$R$2:$R$636,0)))</f>
        <v/>
      </c>
      <c r="K87">
        <f>IF(51&lt;=$E$5,LARGE(Model!$R$2:$R$636,51),"")</f>
        <v/>
      </c>
    </row>
    <row r="88">
      <c r="A88">
        <f>IF($K88="","",INDEX(Raw_data!$D$2:$D$636,MATCH($K88,Model!$R$2:$R$636,0)))</f>
        <v/>
      </c>
      <c r="B88" s="11">
        <f>IF($K88="","",INDEX(Raw_data!$F$2:$F$636,MATCH($K88,Model!$R$2:$R$636,0)))</f>
        <v/>
      </c>
      <c r="C88">
        <f>IF($K88="","",HYPERLINK(INDEX(Raw_data!$C$2:$C$636,MATCH($K88,Model!$R$2:$R$636,0)),INDEX(Raw_data!$C$2:$C$636,MATCH($K88,Model!$R$2:$R$636,0))))</f>
        <v/>
      </c>
      <c r="D88">
        <f>IF($K88="","",INDEX(Raw_data!$AL$2:$AL$636,MATCH($K88,Model!$R$2:$R$636,0)))</f>
        <v/>
      </c>
      <c r="E88">
        <f>IF($K88="","",INDEX(Raw_data!$AM$2:$AM$636,MATCH($K88,Model!$R$2:$R$636,0)))</f>
        <v/>
      </c>
      <c r="F88">
        <f>IF($K88="","",INDEX(Raw_data!$AQ$2:$AQ$636,MATCH($K88,Model!$R$2:$R$636,0)))</f>
        <v/>
      </c>
      <c r="G88">
        <f>IF($K88="","",INDEX(Raw_data!$H$2:$H$636,MATCH($K88,Model!$R$2:$R$636,0)))</f>
        <v/>
      </c>
      <c r="H88" s="8">
        <f>IF($K88="","",INDEX(Model!$B$2:$B$636,MATCH($K88,Model!$R$2:$R$636,0)))</f>
        <v/>
      </c>
      <c r="I88" s="8">
        <f>IF($K88="","",INDEX(Model!$C$2:$C$636,MATCH($K88,Model!$R$2:$R$636,0)))</f>
        <v/>
      </c>
      <c r="J88">
        <f>IF($K88="","",INDEX(Model!$D$2:$D$636,MATCH($K88,Model!$R$2:$R$636,0)))</f>
        <v/>
      </c>
      <c r="K88">
        <f>IF(52&lt;=$E$5,LARGE(Model!$R$2:$R$636,52),"")</f>
        <v/>
      </c>
    </row>
    <row r="89">
      <c r="A89">
        <f>IF($K89="","",INDEX(Raw_data!$D$2:$D$636,MATCH($K89,Model!$R$2:$R$636,0)))</f>
        <v/>
      </c>
      <c r="B89" s="11">
        <f>IF($K89="","",INDEX(Raw_data!$F$2:$F$636,MATCH($K89,Model!$R$2:$R$636,0)))</f>
        <v/>
      </c>
      <c r="C89">
        <f>IF($K89="","",HYPERLINK(INDEX(Raw_data!$C$2:$C$636,MATCH($K89,Model!$R$2:$R$636,0)),INDEX(Raw_data!$C$2:$C$636,MATCH($K89,Model!$R$2:$R$636,0))))</f>
        <v/>
      </c>
      <c r="D89">
        <f>IF($K89="","",INDEX(Raw_data!$AL$2:$AL$636,MATCH($K89,Model!$R$2:$R$636,0)))</f>
        <v/>
      </c>
      <c r="E89">
        <f>IF($K89="","",INDEX(Raw_data!$AM$2:$AM$636,MATCH($K89,Model!$R$2:$R$636,0)))</f>
        <v/>
      </c>
      <c r="F89">
        <f>IF($K89="","",INDEX(Raw_data!$AQ$2:$AQ$636,MATCH($K89,Model!$R$2:$R$636,0)))</f>
        <v/>
      </c>
      <c r="G89">
        <f>IF($K89="","",INDEX(Raw_data!$H$2:$H$636,MATCH($K89,Model!$R$2:$R$636,0)))</f>
        <v/>
      </c>
      <c r="H89" s="8">
        <f>IF($K89="","",INDEX(Model!$B$2:$B$636,MATCH($K89,Model!$R$2:$R$636,0)))</f>
        <v/>
      </c>
      <c r="I89" s="8">
        <f>IF($K89="","",INDEX(Model!$C$2:$C$636,MATCH($K89,Model!$R$2:$R$636,0)))</f>
        <v/>
      </c>
      <c r="J89">
        <f>IF($K89="","",INDEX(Model!$D$2:$D$636,MATCH($K89,Model!$R$2:$R$636,0)))</f>
        <v/>
      </c>
      <c r="K89">
        <f>IF(53&lt;=$E$5,LARGE(Model!$R$2:$R$636,53),"")</f>
        <v/>
      </c>
    </row>
    <row r="90">
      <c r="A90">
        <f>IF($K90="","",INDEX(Raw_data!$D$2:$D$636,MATCH($K90,Model!$R$2:$R$636,0)))</f>
        <v/>
      </c>
      <c r="B90" s="11">
        <f>IF($K90="","",INDEX(Raw_data!$F$2:$F$636,MATCH($K90,Model!$R$2:$R$636,0)))</f>
        <v/>
      </c>
      <c r="C90">
        <f>IF($K90="","",HYPERLINK(INDEX(Raw_data!$C$2:$C$636,MATCH($K90,Model!$R$2:$R$636,0)),INDEX(Raw_data!$C$2:$C$636,MATCH($K90,Model!$R$2:$R$636,0))))</f>
        <v/>
      </c>
      <c r="D90">
        <f>IF($K90="","",INDEX(Raw_data!$AL$2:$AL$636,MATCH($K90,Model!$R$2:$R$636,0)))</f>
        <v/>
      </c>
      <c r="E90">
        <f>IF($K90="","",INDEX(Raw_data!$AM$2:$AM$636,MATCH($K90,Model!$R$2:$R$636,0)))</f>
        <v/>
      </c>
      <c r="F90">
        <f>IF($K90="","",INDEX(Raw_data!$AQ$2:$AQ$636,MATCH($K90,Model!$R$2:$R$636,0)))</f>
        <v/>
      </c>
      <c r="G90">
        <f>IF($K90="","",INDEX(Raw_data!$H$2:$H$636,MATCH($K90,Model!$R$2:$R$636,0)))</f>
        <v/>
      </c>
      <c r="H90" s="8">
        <f>IF($K90="","",INDEX(Model!$B$2:$B$636,MATCH($K90,Model!$R$2:$R$636,0)))</f>
        <v/>
      </c>
      <c r="I90" s="8">
        <f>IF($K90="","",INDEX(Model!$C$2:$C$636,MATCH($K90,Model!$R$2:$R$636,0)))</f>
        <v/>
      </c>
      <c r="J90">
        <f>IF($K90="","",INDEX(Model!$D$2:$D$636,MATCH($K90,Model!$R$2:$R$636,0)))</f>
        <v/>
      </c>
      <c r="K90">
        <f>IF(54&lt;=$E$5,LARGE(Model!$R$2:$R$636,54),"")</f>
        <v/>
      </c>
    </row>
    <row r="91">
      <c r="A91">
        <f>IF($K91="","",INDEX(Raw_data!$D$2:$D$636,MATCH($K91,Model!$R$2:$R$636,0)))</f>
        <v/>
      </c>
      <c r="B91" s="11">
        <f>IF($K91="","",INDEX(Raw_data!$F$2:$F$636,MATCH($K91,Model!$R$2:$R$636,0)))</f>
        <v/>
      </c>
      <c r="C91">
        <f>IF($K91="","",HYPERLINK(INDEX(Raw_data!$C$2:$C$636,MATCH($K91,Model!$R$2:$R$636,0)),INDEX(Raw_data!$C$2:$C$636,MATCH($K91,Model!$R$2:$R$636,0))))</f>
        <v/>
      </c>
      <c r="D91">
        <f>IF($K91="","",INDEX(Raw_data!$AL$2:$AL$636,MATCH($K91,Model!$R$2:$R$636,0)))</f>
        <v/>
      </c>
      <c r="E91">
        <f>IF($K91="","",INDEX(Raw_data!$AM$2:$AM$636,MATCH($K91,Model!$R$2:$R$636,0)))</f>
        <v/>
      </c>
      <c r="F91">
        <f>IF($K91="","",INDEX(Raw_data!$AQ$2:$AQ$636,MATCH($K91,Model!$R$2:$R$636,0)))</f>
        <v/>
      </c>
      <c r="G91">
        <f>IF($K91="","",INDEX(Raw_data!$H$2:$H$636,MATCH($K91,Model!$R$2:$R$636,0)))</f>
        <v/>
      </c>
      <c r="H91" s="8">
        <f>IF($K91="","",INDEX(Model!$B$2:$B$636,MATCH($K91,Model!$R$2:$R$636,0)))</f>
        <v/>
      </c>
      <c r="I91" s="8">
        <f>IF($K91="","",INDEX(Model!$C$2:$C$636,MATCH($K91,Model!$R$2:$R$636,0)))</f>
        <v/>
      </c>
      <c r="J91">
        <f>IF($K91="","",INDEX(Model!$D$2:$D$636,MATCH($K91,Model!$R$2:$R$636,0)))</f>
        <v/>
      </c>
      <c r="K91">
        <f>IF(55&lt;=$E$5,LARGE(Model!$R$2:$R$636,55),"")</f>
        <v/>
      </c>
    </row>
    <row r="92">
      <c r="A92">
        <f>IF($K92="","",INDEX(Raw_data!$D$2:$D$636,MATCH($K92,Model!$R$2:$R$636,0)))</f>
        <v/>
      </c>
      <c r="B92" s="11">
        <f>IF($K92="","",INDEX(Raw_data!$F$2:$F$636,MATCH($K92,Model!$R$2:$R$636,0)))</f>
        <v/>
      </c>
      <c r="C92">
        <f>IF($K92="","",HYPERLINK(INDEX(Raw_data!$C$2:$C$636,MATCH($K92,Model!$R$2:$R$636,0)),INDEX(Raw_data!$C$2:$C$636,MATCH($K92,Model!$R$2:$R$636,0))))</f>
        <v/>
      </c>
      <c r="D92">
        <f>IF($K92="","",INDEX(Raw_data!$AL$2:$AL$636,MATCH($K92,Model!$R$2:$R$636,0)))</f>
        <v/>
      </c>
      <c r="E92">
        <f>IF($K92="","",INDEX(Raw_data!$AM$2:$AM$636,MATCH($K92,Model!$R$2:$R$636,0)))</f>
        <v/>
      </c>
      <c r="F92">
        <f>IF($K92="","",INDEX(Raw_data!$AQ$2:$AQ$636,MATCH($K92,Model!$R$2:$R$636,0)))</f>
        <v/>
      </c>
      <c r="G92">
        <f>IF($K92="","",INDEX(Raw_data!$H$2:$H$636,MATCH($K92,Model!$R$2:$R$636,0)))</f>
        <v/>
      </c>
      <c r="H92" s="8">
        <f>IF($K92="","",INDEX(Model!$B$2:$B$636,MATCH($K92,Model!$R$2:$R$636,0)))</f>
        <v/>
      </c>
      <c r="I92" s="8">
        <f>IF($K92="","",INDEX(Model!$C$2:$C$636,MATCH($K92,Model!$R$2:$R$636,0)))</f>
        <v/>
      </c>
      <c r="J92">
        <f>IF($K92="","",INDEX(Model!$D$2:$D$636,MATCH($K92,Model!$R$2:$R$636,0)))</f>
        <v/>
      </c>
      <c r="K92">
        <f>IF(56&lt;=$E$5,LARGE(Model!$R$2:$R$636,56),"")</f>
        <v/>
      </c>
    </row>
    <row r="93">
      <c r="A93">
        <f>IF($K93="","",INDEX(Raw_data!$D$2:$D$636,MATCH($K93,Model!$R$2:$R$636,0)))</f>
        <v/>
      </c>
      <c r="B93" s="11">
        <f>IF($K93="","",INDEX(Raw_data!$F$2:$F$636,MATCH($K93,Model!$R$2:$R$636,0)))</f>
        <v/>
      </c>
      <c r="C93">
        <f>IF($K93="","",HYPERLINK(INDEX(Raw_data!$C$2:$C$636,MATCH($K93,Model!$R$2:$R$636,0)),INDEX(Raw_data!$C$2:$C$636,MATCH($K93,Model!$R$2:$R$636,0))))</f>
        <v/>
      </c>
      <c r="D93">
        <f>IF($K93="","",INDEX(Raw_data!$AL$2:$AL$636,MATCH($K93,Model!$R$2:$R$636,0)))</f>
        <v/>
      </c>
      <c r="E93">
        <f>IF($K93="","",INDEX(Raw_data!$AM$2:$AM$636,MATCH($K93,Model!$R$2:$R$636,0)))</f>
        <v/>
      </c>
      <c r="F93">
        <f>IF($K93="","",INDEX(Raw_data!$AQ$2:$AQ$636,MATCH($K93,Model!$R$2:$R$636,0)))</f>
        <v/>
      </c>
      <c r="G93">
        <f>IF($K93="","",INDEX(Raw_data!$H$2:$H$636,MATCH($K93,Model!$R$2:$R$636,0)))</f>
        <v/>
      </c>
      <c r="H93" s="8">
        <f>IF($K93="","",INDEX(Model!$B$2:$B$636,MATCH($K93,Model!$R$2:$R$636,0)))</f>
        <v/>
      </c>
      <c r="I93" s="8">
        <f>IF($K93="","",INDEX(Model!$C$2:$C$636,MATCH($K93,Model!$R$2:$R$636,0)))</f>
        <v/>
      </c>
      <c r="J93">
        <f>IF($K93="","",INDEX(Model!$D$2:$D$636,MATCH($K93,Model!$R$2:$R$636,0)))</f>
        <v/>
      </c>
      <c r="K93">
        <f>IF(57&lt;=$E$5,LARGE(Model!$R$2:$R$636,57),"")</f>
        <v/>
      </c>
    </row>
    <row r="94">
      <c r="A94">
        <f>IF($K94="","",INDEX(Raw_data!$D$2:$D$636,MATCH($K94,Model!$R$2:$R$636,0)))</f>
        <v/>
      </c>
      <c r="B94" s="11">
        <f>IF($K94="","",INDEX(Raw_data!$F$2:$F$636,MATCH($K94,Model!$R$2:$R$636,0)))</f>
        <v/>
      </c>
      <c r="C94">
        <f>IF($K94="","",HYPERLINK(INDEX(Raw_data!$C$2:$C$636,MATCH($K94,Model!$R$2:$R$636,0)),INDEX(Raw_data!$C$2:$C$636,MATCH($K94,Model!$R$2:$R$636,0))))</f>
        <v/>
      </c>
      <c r="D94">
        <f>IF($K94="","",INDEX(Raw_data!$AL$2:$AL$636,MATCH($K94,Model!$R$2:$R$636,0)))</f>
        <v/>
      </c>
      <c r="E94">
        <f>IF($K94="","",INDEX(Raw_data!$AM$2:$AM$636,MATCH($K94,Model!$R$2:$R$636,0)))</f>
        <v/>
      </c>
      <c r="F94">
        <f>IF($K94="","",INDEX(Raw_data!$AQ$2:$AQ$636,MATCH($K94,Model!$R$2:$R$636,0)))</f>
        <v/>
      </c>
      <c r="G94">
        <f>IF($K94="","",INDEX(Raw_data!$H$2:$H$636,MATCH($K94,Model!$R$2:$R$636,0)))</f>
        <v/>
      </c>
      <c r="H94" s="8">
        <f>IF($K94="","",INDEX(Model!$B$2:$B$636,MATCH($K94,Model!$R$2:$R$636,0)))</f>
        <v/>
      </c>
      <c r="I94" s="8">
        <f>IF($K94="","",INDEX(Model!$C$2:$C$636,MATCH($K94,Model!$R$2:$R$636,0)))</f>
        <v/>
      </c>
      <c r="J94">
        <f>IF($K94="","",INDEX(Model!$D$2:$D$636,MATCH($K94,Model!$R$2:$R$636,0)))</f>
        <v/>
      </c>
      <c r="K94">
        <f>IF(58&lt;=$E$5,LARGE(Model!$R$2:$R$636,58),"")</f>
        <v/>
      </c>
    </row>
    <row r="95">
      <c r="A95">
        <f>IF($K95="","",INDEX(Raw_data!$D$2:$D$636,MATCH($K95,Model!$R$2:$R$636,0)))</f>
        <v/>
      </c>
      <c r="B95" s="11">
        <f>IF($K95="","",INDEX(Raw_data!$F$2:$F$636,MATCH($K95,Model!$R$2:$R$636,0)))</f>
        <v/>
      </c>
      <c r="C95">
        <f>IF($K95="","",HYPERLINK(INDEX(Raw_data!$C$2:$C$636,MATCH($K95,Model!$R$2:$R$636,0)),INDEX(Raw_data!$C$2:$C$636,MATCH($K95,Model!$R$2:$R$636,0))))</f>
        <v/>
      </c>
      <c r="D95">
        <f>IF($K95="","",INDEX(Raw_data!$AL$2:$AL$636,MATCH($K95,Model!$R$2:$R$636,0)))</f>
        <v/>
      </c>
      <c r="E95">
        <f>IF($K95="","",INDEX(Raw_data!$AM$2:$AM$636,MATCH($K95,Model!$R$2:$R$636,0)))</f>
        <v/>
      </c>
      <c r="F95">
        <f>IF($K95="","",INDEX(Raw_data!$AQ$2:$AQ$636,MATCH($K95,Model!$R$2:$R$636,0)))</f>
        <v/>
      </c>
      <c r="G95">
        <f>IF($K95="","",INDEX(Raw_data!$H$2:$H$636,MATCH($K95,Model!$R$2:$R$636,0)))</f>
        <v/>
      </c>
      <c r="H95" s="8">
        <f>IF($K95="","",INDEX(Model!$B$2:$B$636,MATCH($K95,Model!$R$2:$R$636,0)))</f>
        <v/>
      </c>
      <c r="I95" s="8">
        <f>IF($K95="","",INDEX(Model!$C$2:$C$636,MATCH($K95,Model!$R$2:$R$636,0)))</f>
        <v/>
      </c>
      <c r="J95">
        <f>IF($K95="","",INDEX(Model!$D$2:$D$636,MATCH($K95,Model!$R$2:$R$636,0)))</f>
        <v/>
      </c>
      <c r="K95">
        <f>IF(59&lt;=$E$5,LARGE(Model!$R$2:$R$636,59),"")</f>
        <v/>
      </c>
    </row>
    <row r="96">
      <c r="A96">
        <f>IF($K96="","",INDEX(Raw_data!$D$2:$D$636,MATCH($K96,Model!$R$2:$R$636,0)))</f>
        <v/>
      </c>
      <c r="B96" s="11">
        <f>IF($K96="","",INDEX(Raw_data!$F$2:$F$636,MATCH($K96,Model!$R$2:$R$636,0)))</f>
        <v/>
      </c>
      <c r="C96">
        <f>IF($K96="","",HYPERLINK(INDEX(Raw_data!$C$2:$C$636,MATCH($K96,Model!$R$2:$R$636,0)),INDEX(Raw_data!$C$2:$C$636,MATCH($K96,Model!$R$2:$R$636,0))))</f>
        <v/>
      </c>
      <c r="D96">
        <f>IF($K96="","",INDEX(Raw_data!$AL$2:$AL$636,MATCH($K96,Model!$R$2:$R$636,0)))</f>
        <v/>
      </c>
      <c r="E96">
        <f>IF($K96="","",INDEX(Raw_data!$AM$2:$AM$636,MATCH($K96,Model!$R$2:$R$636,0)))</f>
        <v/>
      </c>
      <c r="F96">
        <f>IF($K96="","",INDEX(Raw_data!$AQ$2:$AQ$636,MATCH($K96,Model!$R$2:$R$636,0)))</f>
        <v/>
      </c>
      <c r="G96">
        <f>IF($K96="","",INDEX(Raw_data!$H$2:$H$636,MATCH($K96,Model!$R$2:$R$636,0)))</f>
        <v/>
      </c>
      <c r="H96" s="8">
        <f>IF($K96="","",INDEX(Model!$B$2:$B$636,MATCH($K96,Model!$R$2:$R$636,0)))</f>
        <v/>
      </c>
      <c r="I96" s="8">
        <f>IF($K96="","",INDEX(Model!$C$2:$C$636,MATCH($K96,Model!$R$2:$R$636,0)))</f>
        <v/>
      </c>
      <c r="J96">
        <f>IF($K96="","",INDEX(Model!$D$2:$D$636,MATCH($K96,Model!$R$2:$R$636,0)))</f>
        <v/>
      </c>
      <c r="K96">
        <f>IF(60&lt;=$E$5,LARGE(Model!$R$2:$R$636,60),"")</f>
        <v/>
      </c>
    </row>
    <row r="97">
      <c r="A97">
        <f>IF($K97="","",INDEX(Raw_data!$D$2:$D$636,MATCH($K97,Model!$R$2:$R$636,0)))</f>
        <v/>
      </c>
      <c r="B97" s="11">
        <f>IF($K97="","",INDEX(Raw_data!$F$2:$F$636,MATCH($K97,Model!$R$2:$R$636,0)))</f>
        <v/>
      </c>
      <c r="C97">
        <f>IF($K97="","",HYPERLINK(INDEX(Raw_data!$C$2:$C$636,MATCH($K97,Model!$R$2:$R$636,0)),INDEX(Raw_data!$C$2:$C$636,MATCH($K97,Model!$R$2:$R$636,0))))</f>
        <v/>
      </c>
      <c r="D97">
        <f>IF($K97="","",INDEX(Raw_data!$AL$2:$AL$636,MATCH($K97,Model!$R$2:$R$636,0)))</f>
        <v/>
      </c>
      <c r="E97">
        <f>IF($K97="","",INDEX(Raw_data!$AM$2:$AM$636,MATCH($K97,Model!$R$2:$R$636,0)))</f>
        <v/>
      </c>
      <c r="F97">
        <f>IF($K97="","",INDEX(Raw_data!$AQ$2:$AQ$636,MATCH($K97,Model!$R$2:$R$636,0)))</f>
        <v/>
      </c>
      <c r="G97">
        <f>IF($K97="","",INDEX(Raw_data!$H$2:$H$636,MATCH($K97,Model!$R$2:$R$636,0)))</f>
        <v/>
      </c>
      <c r="H97" s="8">
        <f>IF($K97="","",INDEX(Model!$B$2:$B$636,MATCH($K97,Model!$R$2:$R$636,0)))</f>
        <v/>
      </c>
      <c r="I97" s="8">
        <f>IF($K97="","",INDEX(Model!$C$2:$C$636,MATCH($K97,Model!$R$2:$R$636,0)))</f>
        <v/>
      </c>
      <c r="J97">
        <f>IF($K97="","",INDEX(Model!$D$2:$D$636,MATCH($K97,Model!$R$2:$R$636,0)))</f>
        <v/>
      </c>
      <c r="K97">
        <f>IF(61&lt;=$E$5,LARGE(Model!$R$2:$R$636,61),"")</f>
        <v/>
      </c>
    </row>
    <row r="98">
      <c r="A98">
        <f>IF($K98="","",INDEX(Raw_data!$D$2:$D$636,MATCH($K98,Model!$R$2:$R$636,0)))</f>
        <v/>
      </c>
      <c r="B98" s="11">
        <f>IF($K98="","",INDEX(Raw_data!$F$2:$F$636,MATCH($K98,Model!$R$2:$R$636,0)))</f>
        <v/>
      </c>
      <c r="C98">
        <f>IF($K98="","",HYPERLINK(INDEX(Raw_data!$C$2:$C$636,MATCH($K98,Model!$R$2:$R$636,0)),INDEX(Raw_data!$C$2:$C$636,MATCH($K98,Model!$R$2:$R$636,0))))</f>
        <v/>
      </c>
      <c r="D98">
        <f>IF($K98="","",INDEX(Raw_data!$AL$2:$AL$636,MATCH($K98,Model!$R$2:$R$636,0)))</f>
        <v/>
      </c>
      <c r="E98">
        <f>IF($K98="","",INDEX(Raw_data!$AM$2:$AM$636,MATCH($K98,Model!$R$2:$R$636,0)))</f>
        <v/>
      </c>
      <c r="F98">
        <f>IF($K98="","",INDEX(Raw_data!$AQ$2:$AQ$636,MATCH($K98,Model!$R$2:$R$636,0)))</f>
        <v/>
      </c>
      <c r="G98">
        <f>IF($K98="","",INDEX(Raw_data!$H$2:$H$636,MATCH($K98,Model!$R$2:$R$636,0)))</f>
        <v/>
      </c>
      <c r="H98" s="8">
        <f>IF($K98="","",INDEX(Model!$B$2:$B$636,MATCH($K98,Model!$R$2:$R$636,0)))</f>
        <v/>
      </c>
      <c r="I98" s="8">
        <f>IF($K98="","",INDEX(Model!$C$2:$C$636,MATCH($K98,Model!$R$2:$R$636,0)))</f>
        <v/>
      </c>
      <c r="J98">
        <f>IF($K98="","",INDEX(Model!$D$2:$D$636,MATCH($K98,Model!$R$2:$R$636,0)))</f>
        <v/>
      </c>
      <c r="K98">
        <f>IF(62&lt;=$E$5,LARGE(Model!$R$2:$R$636,62),"")</f>
        <v/>
      </c>
    </row>
    <row r="99">
      <c r="A99">
        <f>IF($K99="","",INDEX(Raw_data!$D$2:$D$636,MATCH($K99,Model!$R$2:$R$636,0)))</f>
        <v/>
      </c>
      <c r="B99" s="11">
        <f>IF($K99="","",INDEX(Raw_data!$F$2:$F$636,MATCH($K99,Model!$R$2:$R$636,0)))</f>
        <v/>
      </c>
      <c r="C99">
        <f>IF($K99="","",HYPERLINK(INDEX(Raw_data!$C$2:$C$636,MATCH($K99,Model!$R$2:$R$636,0)),INDEX(Raw_data!$C$2:$C$636,MATCH($K99,Model!$R$2:$R$636,0))))</f>
        <v/>
      </c>
      <c r="D99">
        <f>IF($K99="","",INDEX(Raw_data!$AL$2:$AL$636,MATCH($K99,Model!$R$2:$R$636,0)))</f>
        <v/>
      </c>
      <c r="E99">
        <f>IF($K99="","",INDEX(Raw_data!$AM$2:$AM$636,MATCH($K99,Model!$R$2:$R$636,0)))</f>
        <v/>
      </c>
      <c r="F99">
        <f>IF($K99="","",INDEX(Raw_data!$AQ$2:$AQ$636,MATCH($K99,Model!$R$2:$R$636,0)))</f>
        <v/>
      </c>
      <c r="G99">
        <f>IF($K99="","",INDEX(Raw_data!$H$2:$H$636,MATCH($K99,Model!$R$2:$R$636,0)))</f>
        <v/>
      </c>
      <c r="H99" s="8">
        <f>IF($K99="","",INDEX(Model!$B$2:$B$636,MATCH($K99,Model!$R$2:$R$636,0)))</f>
        <v/>
      </c>
      <c r="I99" s="8">
        <f>IF($K99="","",INDEX(Model!$C$2:$C$636,MATCH($K99,Model!$R$2:$R$636,0)))</f>
        <v/>
      </c>
      <c r="J99">
        <f>IF($K99="","",INDEX(Model!$D$2:$D$636,MATCH($K99,Model!$R$2:$R$636,0)))</f>
        <v/>
      </c>
      <c r="K99">
        <f>IF(63&lt;=$E$5,LARGE(Model!$R$2:$R$636,63),"")</f>
        <v/>
      </c>
    </row>
    <row r="100">
      <c r="A100">
        <f>IF($K100="","",INDEX(Raw_data!$D$2:$D$636,MATCH($K100,Model!$R$2:$R$636,0)))</f>
        <v/>
      </c>
      <c r="B100" s="11">
        <f>IF($K100="","",INDEX(Raw_data!$F$2:$F$636,MATCH($K100,Model!$R$2:$R$636,0)))</f>
        <v/>
      </c>
      <c r="C100">
        <f>IF($K100="","",HYPERLINK(INDEX(Raw_data!$C$2:$C$636,MATCH($K100,Model!$R$2:$R$636,0)),INDEX(Raw_data!$C$2:$C$636,MATCH($K100,Model!$R$2:$R$636,0))))</f>
        <v/>
      </c>
      <c r="D100">
        <f>IF($K100="","",INDEX(Raw_data!$AL$2:$AL$636,MATCH($K100,Model!$R$2:$R$636,0)))</f>
        <v/>
      </c>
      <c r="E100">
        <f>IF($K100="","",INDEX(Raw_data!$AM$2:$AM$636,MATCH($K100,Model!$R$2:$R$636,0)))</f>
        <v/>
      </c>
      <c r="F100">
        <f>IF($K100="","",INDEX(Raw_data!$AQ$2:$AQ$636,MATCH($K100,Model!$R$2:$R$636,0)))</f>
        <v/>
      </c>
      <c r="G100">
        <f>IF($K100="","",INDEX(Raw_data!$H$2:$H$636,MATCH($K100,Model!$R$2:$R$636,0)))</f>
        <v/>
      </c>
      <c r="H100" s="8">
        <f>IF($K100="","",INDEX(Model!$B$2:$B$636,MATCH($K100,Model!$R$2:$R$636,0)))</f>
        <v/>
      </c>
      <c r="I100" s="8">
        <f>IF($K100="","",INDEX(Model!$C$2:$C$636,MATCH($K100,Model!$R$2:$R$636,0)))</f>
        <v/>
      </c>
      <c r="J100">
        <f>IF($K100="","",INDEX(Model!$D$2:$D$636,MATCH($K100,Model!$R$2:$R$636,0)))</f>
        <v/>
      </c>
      <c r="K100">
        <f>IF(64&lt;=$E$5,LARGE(Model!$R$2:$R$636,64),"")</f>
        <v/>
      </c>
    </row>
    <row r="101">
      <c r="A101">
        <f>IF($K101="","",INDEX(Raw_data!$D$2:$D$636,MATCH($K101,Model!$R$2:$R$636,0)))</f>
        <v/>
      </c>
      <c r="B101" s="11">
        <f>IF($K101="","",INDEX(Raw_data!$F$2:$F$636,MATCH($K101,Model!$R$2:$R$636,0)))</f>
        <v/>
      </c>
      <c r="C101">
        <f>IF($K101="","",HYPERLINK(INDEX(Raw_data!$C$2:$C$636,MATCH($K101,Model!$R$2:$R$636,0)),INDEX(Raw_data!$C$2:$C$636,MATCH($K101,Model!$R$2:$R$636,0))))</f>
        <v/>
      </c>
      <c r="D101">
        <f>IF($K101="","",INDEX(Raw_data!$AL$2:$AL$636,MATCH($K101,Model!$R$2:$R$636,0)))</f>
        <v/>
      </c>
      <c r="E101">
        <f>IF($K101="","",INDEX(Raw_data!$AM$2:$AM$636,MATCH($K101,Model!$R$2:$R$636,0)))</f>
        <v/>
      </c>
      <c r="F101">
        <f>IF($K101="","",INDEX(Raw_data!$AQ$2:$AQ$636,MATCH($K101,Model!$R$2:$R$636,0)))</f>
        <v/>
      </c>
      <c r="G101">
        <f>IF($K101="","",INDEX(Raw_data!$H$2:$H$636,MATCH($K101,Model!$R$2:$R$636,0)))</f>
        <v/>
      </c>
      <c r="H101" s="8">
        <f>IF($K101="","",INDEX(Model!$B$2:$B$636,MATCH($K101,Model!$R$2:$R$636,0)))</f>
        <v/>
      </c>
      <c r="I101" s="8">
        <f>IF($K101="","",INDEX(Model!$C$2:$C$636,MATCH($K101,Model!$R$2:$R$636,0)))</f>
        <v/>
      </c>
      <c r="J101">
        <f>IF($K101="","",INDEX(Model!$D$2:$D$636,MATCH($K101,Model!$R$2:$R$636,0)))</f>
        <v/>
      </c>
      <c r="K101">
        <f>IF(65&lt;=$E$5,LARGE(Model!$R$2:$R$636,65),"")</f>
        <v/>
      </c>
    </row>
    <row r="102">
      <c r="A102">
        <f>IF($K102="","",INDEX(Raw_data!$D$2:$D$636,MATCH($K102,Model!$R$2:$R$636,0)))</f>
        <v/>
      </c>
      <c r="B102" s="11">
        <f>IF($K102="","",INDEX(Raw_data!$F$2:$F$636,MATCH($K102,Model!$R$2:$R$636,0)))</f>
        <v/>
      </c>
      <c r="C102">
        <f>IF($K102="","",HYPERLINK(INDEX(Raw_data!$C$2:$C$636,MATCH($K102,Model!$R$2:$R$636,0)),INDEX(Raw_data!$C$2:$C$636,MATCH($K102,Model!$R$2:$R$636,0))))</f>
        <v/>
      </c>
      <c r="D102">
        <f>IF($K102="","",INDEX(Raw_data!$AL$2:$AL$636,MATCH($K102,Model!$R$2:$R$636,0)))</f>
        <v/>
      </c>
      <c r="E102">
        <f>IF($K102="","",INDEX(Raw_data!$AM$2:$AM$636,MATCH($K102,Model!$R$2:$R$636,0)))</f>
        <v/>
      </c>
      <c r="F102">
        <f>IF($K102="","",INDEX(Raw_data!$AQ$2:$AQ$636,MATCH($K102,Model!$R$2:$R$636,0)))</f>
        <v/>
      </c>
      <c r="G102">
        <f>IF($K102="","",INDEX(Raw_data!$H$2:$H$636,MATCH($K102,Model!$R$2:$R$636,0)))</f>
        <v/>
      </c>
      <c r="H102" s="8">
        <f>IF($K102="","",INDEX(Model!$B$2:$B$636,MATCH($K102,Model!$R$2:$R$636,0)))</f>
        <v/>
      </c>
      <c r="I102" s="8">
        <f>IF($K102="","",INDEX(Model!$C$2:$C$636,MATCH($K102,Model!$R$2:$R$636,0)))</f>
        <v/>
      </c>
      <c r="J102">
        <f>IF($K102="","",INDEX(Model!$D$2:$D$636,MATCH($K102,Model!$R$2:$R$636,0)))</f>
        <v/>
      </c>
      <c r="K102">
        <f>IF(66&lt;=$E$5,LARGE(Model!$R$2:$R$636,66),"")</f>
        <v/>
      </c>
    </row>
    <row r="103">
      <c r="A103">
        <f>IF($K103="","",INDEX(Raw_data!$D$2:$D$636,MATCH($K103,Model!$R$2:$R$636,0)))</f>
        <v/>
      </c>
      <c r="B103" s="11">
        <f>IF($K103="","",INDEX(Raw_data!$F$2:$F$636,MATCH($K103,Model!$R$2:$R$636,0)))</f>
        <v/>
      </c>
      <c r="C103">
        <f>IF($K103="","",HYPERLINK(INDEX(Raw_data!$C$2:$C$636,MATCH($K103,Model!$R$2:$R$636,0)),INDEX(Raw_data!$C$2:$C$636,MATCH($K103,Model!$R$2:$R$636,0))))</f>
        <v/>
      </c>
      <c r="D103">
        <f>IF($K103="","",INDEX(Raw_data!$AL$2:$AL$636,MATCH($K103,Model!$R$2:$R$636,0)))</f>
        <v/>
      </c>
      <c r="E103">
        <f>IF($K103="","",INDEX(Raw_data!$AM$2:$AM$636,MATCH($K103,Model!$R$2:$R$636,0)))</f>
        <v/>
      </c>
      <c r="F103">
        <f>IF($K103="","",INDEX(Raw_data!$AQ$2:$AQ$636,MATCH($K103,Model!$R$2:$R$636,0)))</f>
        <v/>
      </c>
      <c r="G103">
        <f>IF($K103="","",INDEX(Raw_data!$H$2:$H$636,MATCH($K103,Model!$R$2:$R$636,0)))</f>
        <v/>
      </c>
      <c r="H103" s="8">
        <f>IF($K103="","",INDEX(Model!$B$2:$B$636,MATCH($K103,Model!$R$2:$R$636,0)))</f>
        <v/>
      </c>
      <c r="I103" s="8">
        <f>IF($K103="","",INDEX(Model!$C$2:$C$636,MATCH($K103,Model!$R$2:$R$636,0)))</f>
        <v/>
      </c>
      <c r="J103">
        <f>IF($K103="","",INDEX(Model!$D$2:$D$636,MATCH($K103,Model!$R$2:$R$636,0)))</f>
        <v/>
      </c>
      <c r="K103">
        <f>IF(67&lt;=$E$5,LARGE(Model!$R$2:$R$636,67),"")</f>
        <v/>
      </c>
    </row>
    <row r="104">
      <c r="A104">
        <f>IF($K104="","",INDEX(Raw_data!$D$2:$D$636,MATCH($K104,Model!$R$2:$R$636,0)))</f>
        <v/>
      </c>
      <c r="B104" s="11">
        <f>IF($K104="","",INDEX(Raw_data!$F$2:$F$636,MATCH($K104,Model!$R$2:$R$636,0)))</f>
        <v/>
      </c>
      <c r="C104">
        <f>IF($K104="","",HYPERLINK(INDEX(Raw_data!$C$2:$C$636,MATCH($K104,Model!$R$2:$R$636,0)),INDEX(Raw_data!$C$2:$C$636,MATCH($K104,Model!$R$2:$R$636,0))))</f>
        <v/>
      </c>
      <c r="D104">
        <f>IF($K104="","",INDEX(Raw_data!$AL$2:$AL$636,MATCH($K104,Model!$R$2:$R$636,0)))</f>
        <v/>
      </c>
      <c r="E104">
        <f>IF($K104="","",INDEX(Raw_data!$AM$2:$AM$636,MATCH($K104,Model!$R$2:$R$636,0)))</f>
        <v/>
      </c>
      <c r="F104">
        <f>IF($K104="","",INDEX(Raw_data!$AQ$2:$AQ$636,MATCH($K104,Model!$R$2:$R$636,0)))</f>
        <v/>
      </c>
      <c r="G104">
        <f>IF($K104="","",INDEX(Raw_data!$H$2:$H$636,MATCH($K104,Model!$R$2:$R$636,0)))</f>
        <v/>
      </c>
      <c r="H104" s="8">
        <f>IF($K104="","",INDEX(Model!$B$2:$B$636,MATCH($K104,Model!$R$2:$R$636,0)))</f>
        <v/>
      </c>
      <c r="I104" s="8">
        <f>IF($K104="","",INDEX(Model!$C$2:$C$636,MATCH($K104,Model!$R$2:$R$636,0)))</f>
        <v/>
      </c>
      <c r="J104">
        <f>IF($K104="","",INDEX(Model!$D$2:$D$636,MATCH($K104,Model!$R$2:$R$636,0)))</f>
        <v/>
      </c>
      <c r="K104">
        <f>IF(68&lt;=$E$5,LARGE(Model!$R$2:$R$636,68),"")</f>
        <v/>
      </c>
    </row>
    <row r="105">
      <c r="A105">
        <f>IF($K105="","",INDEX(Raw_data!$D$2:$D$636,MATCH($K105,Model!$R$2:$R$636,0)))</f>
        <v/>
      </c>
      <c r="B105" s="11">
        <f>IF($K105="","",INDEX(Raw_data!$F$2:$F$636,MATCH($K105,Model!$R$2:$R$636,0)))</f>
        <v/>
      </c>
      <c r="C105">
        <f>IF($K105="","",HYPERLINK(INDEX(Raw_data!$C$2:$C$636,MATCH($K105,Model!$R$2:$R$636,0)),INDEX(Raw_data!$C$2:$C$636,MATCH($K105,Model!$R$2:$R$636,0))))</f>
        <v/>
      </c>
      <c r="D105">
        <f>IF($K105="","",INDEX(Raw_data!$AL$2:$AL$636,MATCH($K105,Model!$R$2:$R$636,0)))</f>
        <v/>
      </c>
      <c r="E105">
        <f>IF($K105="","",INDEX(Raw_data!$AM$2:$AM$636,MATCH($K105,Model!$R$2:$R$636,0)))</f>
        <v/>
      </c>
      <c r="F105">
        <f>IF($K105="","",INDEX(Raw_data!$AQ$2:$AQ$636,MATCH($K105,Model!$R$2:$R$636,0)))</f>
        <v/>
      </c>
      <c r="G105">
        <f>IF($K105="","",INDEX(Raw_data!$H$2:$H$636,MATCH($K105,Model!$R$2:$R$636,0)))</f>
        <v/>
      </c>
      <c r="H105" s="8">
        <f>IF($K105="","",INDEX(Model!$B$2:$B$636,MATCH($K105,Model!$R$2:$R$636,0)))</f>
        <v/>
      </c>
      <c r="I105" s="8">
        <f>IF($K105="","",INDEX(Model!$C$2:$C$636,MATCH($K105,Model!$R$2:$R$636,0)))</f>
        <v/>
      </c>
      <c r="J105">
        <f>IF($K105="","",INDEX(Model!$D$2:$D$636,MATCH($K105,Model!$R$2:$R$636,0)))</f>
        <v/>
      </c>
      <c r="K105">
        <f>IF(69&lt;=$E$5,LARGE(Model!$R$2:$R$636,69),"")</f>
        <v/>
      </c>
    </row>
    <row r="106">
      <c r="A106">
        <f>IF($K106="","",INDEX(Raw_data!$D$2:$D$636,MATCH($K106,Model!$R$2:$R$636,0)))</f>
        <v/>
      </c>
      <c r="B106" s="11">
        <f>IF($K106="","",INDEX(Raw_data!$F$2:$F$636,MATCH($K106,Model!$R$2:$R$636,0)))</f>
        <v/>
      </c>
      <c r="C106">
        <f>IF($K106="","",HYPERLINK(INDEX(Raw_data!$C$2:$C$636,MATCH($K106,Model!$R$2:$R$636,0)),INDEX(Raw_data!$C$2:$C$636,MATCH($K106,Model!$R$2:$R$636,0))))</f>
        <v/>
      </c>
      <c r="D106">
        <f>IF($K106="","",INDEX(Raw_data!$AL$2:$AL$636,MATCH($K106,Model!$R$2:$R$636,0)))</f>
        <v/>
      </c>
      <c r="E106">
        <f>IF($K106="","",INDEX(Raw_data!$AM$2:$AM$636,MATCH($K106,Model!$R$2:$R$636,0)))</f>
        <v/>
      </c>
      <c r="F106">
        <f>IF($K106="","",INDEX(Raw_data!$AQ$2:$AQ$636,MATCH($K106,Model!$R$2:$R$636,0)))</f>
        <v/>
      </c>
      <c r="G106">
        <f>IF($K106="","",INDEX(Raw_data!$H$2:$H$636,MATCH($K106,Model!$R$2:$R$636,0)))</f>
        <v/>
      </c>
      <c r="H106" s="8">
        <f>IF($K106="","",INDEX(Model!$B$2:$B$636,MATCH($K106,Model!$R$2:$R$636,0)))</f>
        <v/>
      </c>
      <c r="I106" s="8">
        <f>IF($K106="","",INDEX(Model!$C$2:$C$636,MATCH($K106,Model!$R$2:$R$636,0)))</f>
        <v/>
      </c>
      <c r="J106">
        <f>IF($K106="","",INDEX(Model!$D$2:$D$636,MATCH($K106,Model!$R$2:$R$636,0)))</f>
        <v/>
      </c>
      <c r="K106">
        <f>IF(70&lt;=$E$5,LARGE(Model!$R$2:$R$636,70),"")</f>
        <v/>
      </c>
    </row>
    <row r="107">
      <c r="A107">
        <f>IF($K107="","",INDEX(Raw_data!$D$2:$D$636,MATCH($K107,Model!$R$2:$R$636,0)))</f>
        <v/>
      </c>
      <c r="B107" s="11">
        <f>IF($K107="","",INDEX(Raw_data!$F$2:$F$636,MATCH($K107,Model!$R$2:$R$636,0)))</f>
        <v/>
      </c>
      <c r="C107">
        <f>IF($K107="","",HYPERLINK(INDEX(Raw_data!$C$2:$C$636,MATCH($K107,Model!$R$2:$R$636,0)),INDEX(Raw_data!$C$2:$C$636,MATCH($K107,Model!$R$2:$R$636,0))))</f>
        <v/>
      </c>
      <c r="D107">
        <f>IF($K107="","",INDEX(Raw_data!$AL$2:$AL$636,MATCH($K107,Model!$R$2:$R$636,0)))</f>
        <v/>
      </c>
      <c r="E107">
        <f>IF($K107="","",INDEX(Raw_data!$AM$2:$AM$636,MATCH($K107,Model!$R$2:$R$636,0)))</f>
        <v/>
      </c>
      <c r="F107">
        <f>IF($K107="","",INDEX(Raw_data!$AQ$2:$AQ$636,MATCH($K107,Model!$R$2:$R$636,0)))</f>
        <v/>
      </c>
      <c r="G107">
        <f>IF($K107="","",INDEX(Raw_data!$H$2:$H$636,MATCH($K107,Model!$R$2:$R$636,0)))</f>
        <v/>
      </c>
      <c r="H107" s="8">
        <f>IF($K107="","",INDEX(Model!$B$2:$B$636,MATCH($K107,Model!$R$2:$R$636,0)))</f>
        <v/>
      </c>
      <c r="I107" s="8">
        <f>IF($K107="","",INDEX(Model!$C$2:$C$636,MATCH($K107,Model!$R$2:$R$636,0)))</f>
        <v/>
      </c>
      <c r="J107">
        <f>IF($K107="","",INDEX(Model!$D$2:$D$636,MATCH($K107,Model!$R$2:$R$636,0)))</f>
        <v/>
      </c>
      <c r="K107">
        <f>IF(71&lt;=$E$5,LARGE(Model!$R$2:$R$636,71),"")</f>
        <v/>
      </c>
    </row>
    <row r="108">
      <c r="A108">
        <f>IF($K108="","",INDEX(Raw_data!$D$2:$D$636,MATCH($K108,Model!$R$2:$R$636,0)))</f>
        <v/>
      </c>
      <c r="B108" s="11">
        <f>IF($K108="","",INDEX(Raw_data!$F$2:$F$636,MATCH($K108,Model!$R$2:$R$636,0)))</f>
        <v/>
      </c>
      <c r="C108">
        <f>IF($K108="","",HYPERLINK(INDEX(Raw_data!$C$2:$C$636,MATCH($K108,Model!$R$2:$R$636,0)),INDEX(Raw_data!$C$2:$C$636,MATCH($K108,Model!$R$2:$R$636,0))))</f>
        <v/>
      </c>
      <c r="D108">
        <f>IF($K108="","",INDEX(Raw_data!$AL$2:$AL$636,MATCH($K108,Model!$R$2:$R$636,0)))</f>
        <v/>
      </c>
      <c r="E108">
        <f>IF($K108="","",INDEX(Raw_data!$AM$2:$AM$636,MATCH($K108,Model!$R$2:$R$636,0)))</f>
        <v/>
      </c>
      <c r="F108">
        <f>IF($K108="","",INDEX(Raw_data!$AQ$2:$AQ$636,MATCH($K108,Model!$R$2:$R$636,0)))</f>
        <v/>
      </c>
      <c r="G108">
        <f>IF($K108="","",INDEX(Raw_data!$H$2:$H$636,MATCH($K108,Model!$R$2:$R$636,0)))</f>
        <v/>
      </c>
      <c r="H108" s="8">
        <f>IF($K108="","",INDEX(Model!$B$2:$B$636,MATCH($K108,Model!$R$2:$R$636,0)))</f>
        <v/>
      </c>
      <c r="I108" s="8">
        <f>IF($K108="","",INDEX(Model!$C$2:$C$636,MATCH($K108,Model!$R$2:$R$636,0)))</f>
        <v/>
      </c>
      <c r="J108">
        <f>IF($K108="","",INDEX(Model!$D$2:$D$636,MATCH($K108,Model!$R$2:$R$636,0)))</f>
        <v/>
      </c>
      <c r="K108">
        <f>IF(72&lt;=$E$5,LARGE(Model!$R$2:$R$636,72),"")</f>
        <v/>
      </c>
    </row>
    <row r="109">
      <c r="A109">
        <f>IF($K109="","",INDEX(Raw_data!$D$2:$D$636,MATCH($K109,Model!$R$2:$R$636,0)))</f>
        <v/>
      </c>
      <c r="B109" s="11">
        <f>IF($K109="","",INDEX(Raw_data!$F$2:$F$636,MATCH($K109,Model!$R$2:$R$636,0)))</f>
        <v/>
      </c>
      <c r="C109">
        <f>IF($K109="","",HYPERLINK(INDEX(Raw_data!$C$2:$C$636,MATCH($K109,Model!$R$2:$R$636,0)),INDEX(Raw_data!$C$2:$C$636,MATCH($K109,Model!$R$2:$R$636,0))))</f>
        <v/>
      </c>
      <c r="D109">
        <f>IF($K109="","",INDEX(Raw_data!$AL$2:$AL$636,MATCH($K109,Model!$R$2:$R$636,0)))</f>
        <v/>
      </c>
      <c r="E109">
        <f>IF($K109="","",INDEX(Raw_data!$AM$2:$AM$636,MATCH($K109,Model!$R$2:$R$636,0)))</f>
        <v/>
      </c>
      <c r="F109">
        <f>IF($K109="","",INDEX(Raw_data!$AQ$2:$AQ$636,MATCH($K109,Model!$R$2:$R$636,0)))</f>
        <v/>
      </c>
      <c r="G109">
        <f>IF($K109="","",INDEX(Raw_data!$H$2:$H$636,MATCH($K109,Model!$R$2:$R$636,0)))</f>
        <v/>
      </c>
      <c r="H109" s="8">
        <f>IF($K109="","",INDEX(Model!$B$2:$B$636,MATCH($K109,Model!$R$2:$R$636,0)))</f>
        <v/>
      </c>
      <c r="I109" s="8">
        <f>IF($K109="","",INDEX(Model!$C$2:$C$636,MATCH($K109,Model!$R$2:$R$636,0)))</f>
        <v/>
      </c>
      <c r="J109">
        <f>IF($K109="","",INDEX(Model!$D$2:$D$636,MATCH($K109,Model!$R$2:$R$636,0)))</f>
        <v/>
      </c>
      <c r="K109">
        <f>IF(73&lt;=$E$5,LARGE(Model!$R$2:$R$636,73),"")</f>
        <v/>
      </c>
    </row>
    <row r="110">
      <c r="A110">
        <f>IF($K110="","",INDEX(Raw_data!$D$2:$D$636,MATCH($K110,Model!$R$2:$R$636,0)))</f>
        <v/>
      </c>
      <c r="B110" s="11">
        <f>IF($K110="","",INDEX(Raw_data!$F$2:$F$636,MATCH($K110,Model!$R$2:$R$636,0)))</f>
        <v/>
      </c>
      <c r="C110">
        <f>IF($K110="","",HYPERLINK(INDEX(Raw_data!$C$2:$C$636,MATCH($K110,Model!$R$2:$R$636,0)),INDEX(Raw_data!$C$2:$C$636,MATCH($K110,Model!$R$2:$R$636,0))))</f>
        <v/>
      </c>
      <c r="D110">
        <f>IF($K110="","",INDEX(Raw_data!$AL$2:$AL$636,MATCH($K110,Model!$R$2:$R$636,0)))</f>
        <v/>
      </c>
      <c r="E110">
        <f>IF($K110="","",INDEX(Raw_data!$AM$2:$AM$636,MATCH($K110,Model!$R$2:$R$636,0)))</f>
        <v/>
      </c>
      <c r="F110">
        <f>IF($K110="","",INDEX(Raw_data!$AQ$2:$AQ$636,MATCH($K110,Model!$R$2:$R$636,0)))</f>
        <v/>
      </c>
      <c r="G110">
        <f>IF($K110="","",INDEX(Raw_data!$H$2:$H$636,MATCH($K110,Model!$R$2:$R$636,0)))</f>
        <v/>
      </c>
      <c r="H110" s="8">
        <f>IF($K110="","",INDEX(Model!$B$2:$B$636,MATCH($K110,Model!$R$2:$R$636,0)))</f>
        <v/>
      </c>
      <c r="I110" s="8">
        <f>IF($K110="","",INDEX(Model!$C$2:$C$636,MATCH($K110,Model!$R$2:$R$636,0)))</f>
        <v/>
      </c>
      <c r="J110">
        <f>IF($K110="","",INDEX(Model!$D$2:$D$636,MATCH($K110,Model!$R$2:$R$636,0)))</f>
        <v/>
      </c>
      <c r="K110">
        <f>IF(74&lt;=$E$5,LARGE(Model!$R$2:$R$636,74),"")</f>
        <v/>
      </c>
    </row>
    <row r="111">
      <c r="A111">
        <f>IF($K111="","",INDEX(Raw_data!$D$2:$D$636,MATCH($K111,Model!$R$2:$R$636,0)))</f>
        <v/>
      </c>
      <c r="B111" s="11">
        <f>IF($K111="","",INDEX(Raw_data!$F$2:$F$636,MATCH($K111,Model!$R$2:$R$636,0)))</f>
        <v/>
      </c>
      <c r="C111">
        <f>IF($K111="","",HYPERLINK(INDEX(Raw_data!$C$2:$C$636,MATCH($K111,Model!$R$2:$R$636,0)),INDEX(Raw_data!$C$2:$C$636,MATCH($K111,Model!$R$2:$R$636,0))))</f>
        <v/>
      </c>
      <c r="D111">
        <f>IF($K111="","",INDEX(Raw_data!$AL$2:$AL$636,MATCH($K111,Model!$R$2:$R$636,0)))</f>
        <v/>
      </c>
      <c r="E111">
        <f>IF($K111="","",INDEX(Raw_data!$AM$2:$AM$636,MATCH($K111,Model!$R$2:$R$636,0)))</f>
        <v/>
      </c>
      <c r="F111">
        <f>IF($K111="","",INDEX(Raw_data!$AQ$2:$AQ$636,MATCH($K111,Model!$R$2:$R$636,0)))</f>
        <v/>
      </c>
      <c r="G111">
        <f>IF($K111="","",INDEX(Raw_data!$H$2:$H$636,MATCH($K111,Model!$R$2:$R$636,0)))</f>
        <v/>
      </c>
      <c r="H111" s="8">
        <f>IF($K111="","",INDEX(Model!$B$2:$B$636,MATCH($K111,Model!$R$2:$R$636,0)))</f>
        <v/>
      </c>
      <c r="I111" s="8">
        <f>IF($K111="","",INDEX(Model!$C$2:$C$636,MATCH($K111,Model!$R$2:$R$636,0)))</f>
        <v/>
      </c>
      <c r="J111">
        <f>IF($K111="","",INDEX(Model!$D$2:$D$636,MATCH($K111,Model!$R$2:$R$636,0)))</f>
        <v/>
      </c>
      <c r="K111">
        <f>IF(75&lt;=$E$5,LARGE(Model!$R$2:$R$636,75),"")</f>
        <v/>
      </c>
    </row>
    <row r="112">
      <c r="A112">
        <f>IF($K112="","",INDEX(Raw_data!$D$2:$D$636,MATCH($K112,Model!$R$2:$R$636,0)))</f>
        <v/>
      </c>
      <c r="B112" s="11">
        <f>IF($K112="","",INDEX(Raw_data!$F$2:$F$636,MATCH($K112,Model!$R$2:$R$636,0)))</f>
        <v/>
      </c>
      <c r="C112">
        <f>IF($K112="","",HYPERLINK(INDEX(Raw_data!$C$2:$C$636,MATCH($K112,Model!$R$2:$R$636,0)),INDEX(Raw_data!$C$2:$C$636,MATCH($K112,Model!$R$2:$R$636,0))))</f>
        <v/>
      </c>
      <c r="D112">
        <f>IF($K112="","",INDEX(Raw_data!$AL$2:$AL$636,MATCH($K112,Model!$R$2:$R$636,0)))</f>
        <v/>
      </c>
      <c r="E112">
        <f>IF($K112="","",INDEX(Raw_data!$AM$2:$AM$636,MATCH($K112,Model!$R$2:$R$636,0)))</f>
        <v/>
      </c>
      <c r="F112">
        <f>IF($K112="","",INDEX(Raw_data!$AQ$2:$AQ$636,MATCH($K112,Model!$R$2:$R$636,0)))</f>
        <v/>
      </c>
      <c r="G112">
        <f>IF($K112="","",INDEX(Raw_data!$H$2:$H$636,MATCH($K112,Model!$R$2:$R$636,0)))</f>
        <v/>
      </c>
      <c r="H112" s="8">
        <f>IF($K112="","",INDEX(Model!$B$2:$B$636,MATCH($K112,Model!$R$2:$R$636,0)))</f>
        <v/>
      </c>
      <c r="I112" s="8">
        <f>IF($K112="","",INDEX(Model!$C$2:$C$636,MATCH($K112,Model!$R$2:$R$636,0)))</f>
        <v/>
      </c>
      <c r="J112">
        <f>IF($K112="","",INDEX(Model!$D$2:$D$636,MATCH($K112,Model!$R$2:$R$636,0)))</f>
        <v/>
      </c>
      <c r="K112">
        <f>IF(76&lt;=$E$5,LARGE(Model!$R$2:$R$636,76),"")</f>
        <v/>
      </c>
    </row>
    <row r="113">
      <c r="A113">
        <f>IF($K113="","",INDEX(Raw_data!$D$2:$D$636,MATCH($K113,Model!$R$2:$R$636,0)))</f>
        <v/>
      </c>
      <c r="B113" s="11">
        <f>IF($K113="","",INDEX(Raw_data!$F$2:$F$636,MATCH($K113,Model!$R$2:$R$636,0)))</f>
        <v/>
      </c>
      <c r="C113">
        <f>IF($K113="","",HYPERLINK(INDEX(Raw_data!$C$2:$C$636,MATCH($K113,Model!$R$2:$R$636,0)),INDEX(Raw_data!$C$2:$C$636,MATCH($K113,Model!$R$2:$R$636,0))))</f>
        <v/>
      </c>
      <c r="D113">
        <f>IF($K113="","",INDEX(Raw_data!$AL$2:$AL$636,MATCH($K113,Model!$R$2:$R$636,0)))</f>
        <v/>
      </c>
      <c r="E113">
        <f>IF($K113="","",INDEX(Raw_data!$AM$2:$AM$636,MATCH($K113,Model!$R$2:$R$636,0)))</f>
        <v/>
      </c>
      <c r="F113">
        <f>IF($K113="","",INDEX(Raw_data!$AQ$2:$AQ$636,MATCH($K113,Model!$R$2:$R$636,0)))</f>
        <v/>
      </c>
      <c r="G113">
        <f>IF($K113="","",INDEX(Raw_data!$H$2:$H$636,MATCH($K113,Model!$R$2:$R$636,0)))</f>
        <v/>
      </c>
      <c r="H113" s="8">
        <f>IF($K113="","",INDEX(Model!$B$2:$B$636,MATCH($K113,Model!$R$2:$R$636,0)))</f>
        <v/>
      </c>
      <c r="I113" s="8">
        <f>IF($K113="","",INDEX(Model!$C$2:$C$636,MATCH($K113,Model!$R$2:$R$636,0)))</f>
        <v/>
      </c>
      <c r="J113">
        <f>IF($K113="","",INDEX(Model!$D$2:$D$636,MATCH($K113,Model!$R$2:$R$636,0)))</f>
        <v/>
      </c>
      <c r="K113">
        <f>IF(77&lt;=$E$5,LARGE(Model!$R$2:$R$636,77),"")</f>
        <v/>
      </c>
    </row>
    <row r="114">
      <c r="A114">
        <f>IF($K114="","",INDEX(Raw_data!$D$2:$D$636,MATCH($K114,Model!$R$2:$R$636,0)))</f>
        <v/>
      </c>
      <c r="B114" s="11">
        <f>IF($K114="","",INDEX(Raw_data!$F$2:$F$636,MATCH($K114,Model!$R$2:$R$636,0)))</f>
        <v/>
      </c>
      <c r="C114">
        <f>IF($K114="","",HYPERLINK(INDEX(Raw_data!$C$2:$C$636,MATCH($K114,Model!$R$2:$R$636,0)),INDEX(Raw_data!$C$2:$C$636,MATCH($K114,Model!$R$2:$R$636,0))))</f>
        <v/>
      </c>
      <c r="D114">
        <f>IF($K114="","",INDEX(Raw_data!$AL$2:$AL$636,MATCH($K114,Model!$R$2:$R$636,0)))</f>
        <v/>
      </c>
      <c r="E114">
        <f>IF($K114="","",INDEX(Raw_data!$AM$2:$AM$636,MATCH($K114,Model!$R$2:$R$636,0)))</f>
        <v/>
      </c>
      <c r="F114">
        <f>IF($K114="","",INDEX(Raw_data!$AQ$2:$AQ$636,MATCH($K114,Model!$R$2:$R$636,0)))</f>
        <v/>
      </c>
      <c r="G114">
        <f>IF($K114="","",INDEX(Raw_data!$H$2:$H$636,MATCH($K114,Model!$R$2:$R$636,0)))</f>
        <v/>
      </c>
      <c r="H114" s="8">
        <f>IF($K114="","",INDEX(Model!$B$2:$B$636,MATCH($K114,Model!$R$2:$R$636,0)))</f>
        <v/>
      </c>
      <c r="I114" s="8">
        <f>IF($K114="","",INDEX(Model!$C$2:$C$636,MATCH($K114,Model!$R$2:$R$636,0)))</f>
        <v/>
      </c>
      <c r="J114">
        <f>IF($K114="","",INDEX(Model!$D$2:$D$636,MATCH($K114,Model!$R$2:$R$636,0)))</f>
        <v/>
      </c>
      <c r="K114">
        <f>IF(78&lt;=$E$5,LARGE(Model!$R$2:$R$636,78),"")</f>
        <v/>
      </c>
    </row>
    <row r="115">
      <c r="A115">
        <f>IF($K115="","",INDEX(Raw_data!$D$2:$D$636,MATCH($K115,Model!$R$2:$R$636,0)))</f>
        <v/>
      </c>
      <c r="B115" s="11">
        <f>IF($K115="","",INDEX(Raw_data!$F$2:$F$636,MATCH($K115,Model!$R$2:$R$636,0)))</f>
        <v/>
      </c>
      <c r="C115">
        <f>IF($K115="","",HYPERLINK(INDEX(Raw_data!$C$2:$C$636,MATCH($K115,Model!$R$2:$R$636,0)),INDEX(Raw_data!$C$2:$C$636,MATCH($K115,Model!$R$2:$R$636,0))))</f>
        <v/>
      </c>
      <c r="D115">
        <f>IF($K115="","",INDEX(Raw_data!$AL$2:$AL$636,MATCH($K115,Model!$R$2:$R$636,0)))</f>
        <v/>
      </c>
      <c r="E115">
        <f>IF($K115="","",INDEX(Raw_data!$AM$2:$AM$636,MATCH($K115,Model!$R$2:$R$636,0)))</f>
        <v/>
      </c>
      <c r="F115">
        <f>IF($K115="","",INDEX(Raw_data!$AQ$2:$AQ$636,MATCH($K115,Model!$R$2:$R$636,0)))</f>
        <v/>
      </c>
      <c r="G115">
        <f>IF($K115="","",INDEX(Raw_data!$H$2:$H$636,MATCH($K115,Model!$R$2:$R$636,0)))</f>
        <v/>
      </c>
      <c r="H115" s="8">
        <f>IF($K115="","",INDEX(Model!$B$2:$B$636,MATCH($K115,Model!$R$2:$R$636,0)))</f>
        <v/>
      </c>
      <c r="I115" s="8">
        <f>IF($K115="","",INDEX(Model!$C$2:$C$636,MATCH($K115,Model!$R$2:$R$636,0)))</f>
        <v/>
      </c>
      <c r="J115">
        <f>IF($K115="","",INDEX(Model!$D$2:$D$636,MATCH($K115,Model!$R$2:$R$636,0)))</f>
        <v/>
      </c>
      <c r="K115">
        <f>IF(79&lt;=$E$5,LARGE(Model!$R$2:$R$636,79),"")</f>
        <v/>
      </c>
    </row>
    <row r="116">
      <c r="A116">
        <f>IF($K116="","",INDEX(Raw_data!$D$2:$D$636,MATCH($K116,Model!$R$2:$R$636,0)))</f>
        <v/>
      </c>
      <c r="B116" s="11">
        <f>IF($K116="","",INDEX(Raw_data!$F$2:$F$636,MATCH($K116,Model!$R$2:$R$636,0)))</f>
        <v/>
      </c>
      <c r="C116">
        <f>IF($K116="","",HYPERLINK(INDEX(Raw_data!$C$2:$C$636,MATCH($K116,Model!$R$2:$R$636,0)),INDEX(Raw_data!$C$2:$C$636,MATCH($K116,Model!$R$2:$R$636,0))))</f>
        <v/>
      </c>
      <c r="D116">
        <f>IF($K116="","",INDEX(Raw_data!$AL$2:$AL$636,MATCH($K116,Model!$R$2:$R$636,0)))</f>
        <v/>
      </c>
      <c r="E116">
        <f>IF($K116="","",INDEX(Raw_data!$AM$2:$AM$636,MATCH($K116,Model!$R$2:$R$636,0)))</f>
        <v/>
      </c>
      <c r="F116">
        <f>IF($K116="","",INDEX(Raw_data!$AQ$2:$AQ$636,MATCH($K116,Model!$R$2:$R$636,0)))</f>
        <v/>
      </c>
      <c r="G116">
        <f>IF($K116="","",INDEX(Raw_data!$H$2:$H$636,MATCH($K116,Model!$R$2:$R$636,0)))</f>
        <v/>
      </c>
      <c r="H116" s="8">
        <f>IF($K116="","",INDEX(Model!$B$2:$B$636,MATCH($K116,Model!$R$2:$R$636,0)))</f>
        <v/>
      </c>
      <c r="I116" s="8">
        <f>IF($K116="","",INDEX(Model!$C$2:$C$636,MATCH($K116,Model!$R$2:$R$636,0)))</f>
        <v/>
      </c>
      <c r="J116">
        <f>IF($K116="","",INDEX(Model!$D$2:$D$636,MATCH($K116,Model!$R$2:$R$636,0)))</f>
        <v/>
      </c>
      <c r="K116">
        <f>IF(80&lt;=$E$5,LARGE(Model!$R$2:$R$636,80),"")</f>
        <v/>
      </c>
    </row>
    <row r="117">
      <c r="A117">
        <f>IF($K117="","",INDEX(Raw_data!$D$2:$D$636,MATCH($K117,Model!$R$2:$R$636,0)))</f>
        <v/>
      </c>
      <c r="B117" s="11">
        <f>IF($K117="","",INDEX(Raw_data!$F$2:$F$636,MATCH($K117,Model!$R$2:$R$636,0)))</f>
        <v/>
      </c>
      <c r="C117">
        <f>IF($K117="","",HYPERLINK(INDEX(Raw_data!$C$2:$C$636,MATCH($K117,Model!$R$2:$R$636,0)),INDEX(Raw_data!$C$2:$C$636,MATCH($K117,Model!$R$2:$R$636,0))))</f>
        <v/>
      </c>
      <c r="D117">
        <f>IF($K117="","",INDEX(Raw_data!$AL$2:$AL$636,MATCH($K117,Model!$R$2:$R$636,0)))</f>
        <v/>
      </c>
      <c r="E117">
        <f>IF($K117="","",INDEX(Raw_data!$AM$2:$AM$636,MATCH($K117,Model!$R$2:$R$636,0)))</f>
        <v/>
      </c>
      <c r="F117">
        <f>IF($K117="","",INDEX(Raw_data!$AQ$2:$AQ$636,MATCH($K117,Model!$R$2:$R$636,0)))</f>
        <v/>
      </c>
      <c r="G117">
        <f>IF($K117="","",INDEX(Raw_data!$H$2:$H$636,MATCH($K117,Model!$R$2:$R$636,0)))</f>
        <v/>
      </c>
      <c r="H117" s="8">
        <f>IF($K117="","",INDEX(Model!$B$2:$B$636,MATCH($K117,Model!$R$2:$R$636,0)))</f>
        <v/>
      </c>
      <c r="I117" s="8">
        <f>IF($K117="","",INDEX(Model!$C$2:$C$636,MATCH($K117,Model!$R$2:$R$636,0)))</f>
        <v/>
      </c>
      <c r="J117">
        <f>IF($K117="","",INDEX(Model!$D$2:$D$636,MATCH($K117,Model!$R$2:$R$636,0)))</f>
        <v/>
      </c>
      <c r="K117">
        <f>IF(81&lt;=$E$5,LARGE(Model!$R$2:$R$636,81),"")</f>
        <v/>
      </c>
    </row>
    <row r="118">
      <c r="A118">
        <f>IF($K118="","",INDEX(Raw_data!$D$2:$D$636,MATCH($K118,Model!$R$2:$R$636,0)))</f>
        <v/>
      </c>
      <c r="B118" s="11">
        <f>IF($K118="","",INDEX(Raw_data!$F$2:$F$636,MATCH($K118,Model!$R$2:$R$636,0)))</f>
        <v/>
      </c>
      <c r="C118">
        <f>IF($K118="","",HYPERLINK(INDEX(Raw_data!$C$2:$C$636,MATCH($K118,Model!$R$2:$R$636,0)),INDEX(Raw_data!$C$2:$C$636,MATCH($K118,Model!$R$2:$R$636,0))))</f>
        <v/>
      </c>
      <c r="D118">
        <f>IF($K118="","",INDEX(Raw_data!$AL$2:$AL$636,MATCH($K118,Model!$R$2:$R$636,0)))</f>
        <v/>
      </c>
      <c r="E118">
        <f>IF($K118="","",INDEX(Raw_data!$AM$2:$AM$636,MATCH($K118,Model!$R$2:$R$636,0)))</f>
        <v/>
      </c>
      <c r="F118">
        <f>IF($K118="","",INDEX(Raw_data!$AQ$2:$AQ$636,MATCH($K118,Model!$R$2:$R$636,0)))</f>
        <v/>
      </c>
      <c r="G118">
        <f>IF($K118="","",INDEX(Raw_data!$H$2:$H$636,MATCH($K118,Model!$R$2:$R$636,0)))</f>
        <v/>
      </c>
      <c r="H118" s="8">
        <f>IF($K118="","",INDEX(Model!$B$2:$B$636,MATCH($K118,Model!$R$2:$R$636,0)))</f>
        <v/>
      </c>
      <c r="I118" s="8">
        <f>IF($K118="","",INDEX(Model!$C$2:$C$636,MATCH($K118,Model!$R$2:$R$636,0)))</f>
        <v/>
      </c>
      <c r="J118">
        <f>IF($K118="","",INDEX(Model!$D$2:$D$636,MATCH($K118,Model!$R$2:$R$636,0)))</f>
        <v/>
      </c>
      <c r="K118">
        <f>IF(82&lt;=$E$5,LARGE(Model!$R$2:$R$636,82),"")</f>
        <v/>
      </c>
    </row>
    <row r="119">
      <c r="A119">
        <f>IF($K119="","",INDEX(Raw_data!$D$2:$D$636,MATCH($K119,Model!$R$2:$R$636,0)))</f>
        <v/>
      </c>
      <c r="B119" s="11">
        <f>IF($K119="","",INDEX(Raw_data!$F$2:$F$636,MATCH($K119,Model!$R$2:$R$636,0)))</f>
        <v/>
      </c>
      <c r="C119">
        <f>IF($K119="","",HYPERLINK(INDEX(Raw_data!$C$2:$C$636,MATCH($K119,Model!$R$2:$R$636,0)),INDEX(Raw_data!$C$2:$C$636,MATCH($K119,Model!$R$2:$R$636,0))))</f>
        <v/>
      </c>
      <c r="D119">
        <f>IF($K119="","",INDEX(Raw_data!$AL$2:$AL$636,MATCH($K119,Model!$R$2:$R$636,0)))</f>
        <v/>
      </c>
      <c r="E119">
        <f>IF($K119="","",INDEX(Raw_data!$AM$2:$AM$636,MATCH($K119,Model!$R$2:$R$636,0)))</f>
        <v/>
      </c>
      <c r="F119">
        <f>IF($K119="","",INDEX(Raw_data!$AQ$2:$AQ$636,MATCH($K119,Model!$R$2:$R$636,0)))</f>
        <v/>
      </c>
      <c r="G119">
        <f>IF($K119="","",INDEX(Raw_data!$H$2:$H$636,MATCH($K119,Model!$R$2:$R$636,0)))</f>
        <v/>
      </c>
      <c r="H119" s="8">
        <f>IF($K119="","",INDEX(Model!$B$2:$B$636,MATCH($K119,Model!$R$2:$R$636,0)))</f>
        <v/>
      </c>
      <c r="I119" s="8">
        <f>IF($K119="","",INDEX(Model!$C$2:$C$636,MATCH($K119,Model!$R$2:$R$636,0)))</f>
        <v/>
      </c>
      <c r="J119">
        <f>IF($K119="","",INDEX(Model!$D$2:$D$636,MATCH($K119,Model!$R$2:$R$636,0)))</f>
        <v/>
      </c>
      <c r="K119">
        <f>IF(83&lt;=$E$5,LARGE(Model!$R$2:$R$636,83),"")</f>
        <v/>
      </c>
    </row>
    <row r="120">
      <c r="A120">
        <f>IF($K120="","",INDEX(Raw_data!$D$2:$D$636,MATCH($K120,Model!$R$2:$R$636,0)))</f>
        <v/>
      </c>
      <c r="B120" s="11">
        <f>IF($K120="","",INDEX(Raw_data!$F$2:$F$636,MATCH($K120,Model!$R$2:$R$636,0)))</f>
        <v/>
      </c>
      <c r="C120">
        <f>IF($K120="","",HYPERLINK(INDEX(Raw_data!$C$2:$C$636,MATCH($K120,Model!$R$2:$R$636,0)),INDEX(Raw_data!$C$2:$C$636,MATCH($K120,Model!$R$2:$R$636,0))))</f>
        <v/>
      </c>
      <c r="D120">
        <f>IF($K120="","",INDEX(Raw_data!$AL$2:$AL$636,MATCH($K120,Model!$R$2:$R$636,0)))</f>
        <v/>
      </c>
      <c r="E120">
        <f>IF($K120="","",INDEX(Raw_data!$AM$2:$AM$636,MATCH($K120,Model!$R$2:$R$636,0)))</f>
        <v/>
      </c>
      <c r="F120">
        <f>IF($K120="","",INDEX(Raw_data!$AQ$2:$AQ$636,MATCH($K120,Model!$R$2:$R$636,0)))</f>
        <v/>
      </c>
      <c r="G120">
        <f>IF($K120="","",INDEX(Raw_data!$H$2:$H$636,MATCH($K120,Model!$R$2:$R$636,0)))</f>
        <v/>
      </c>
      <c r="H120" s="8">
        <f>IF($K120="","",INDEX(Model!$B$2:$B$636,MATCH($K120,Model!$R$2:$R$636,0)))</f>
        <v/>
      </c>
      <c r="I120" s="8">
        <f>IF($K120="","",INDEX(Model!$C$2:$C$636,MATCH($K120,Model!$R$2:$R$636,0)))</f>
        <v/>
      </c>
      <c r="J120">
        <f>IF($K120="","",INDEX(Model!$D$2:$D$636,MATCH($K120,Model!$R$2:$R$636,0)))</f>
        <v/>
      </c>
      <c r="K120">
        <f>IF(84&lt;=$E$5,LARGE(Model!$R$2:$R$636,84),"")</f>
        <v/>
      </c>
    </row>
    <row r="121">
      <c r="A121">
        <f>IF($K121="","",INDEX(Raw_data!$D$2:$D$636,MATCH($K121,Model!$R$2:$R$636,0)))</f>
        <v/>
      </c>
      <c r="B121" s="11">
        <f>IF($K121="","",INDEX(Raw_data!$F$2:$F$636,MATCH($K121,Model!$R$2:$R$636,0)))</f>
        <v/>
      </c>
      <c r="C121">
        <f>IF($K121="","",HYPERLINK(INDEX(Raw_data!$C$2:$C$636,MATCH($K121,Model!$R$2:$R$636,0)),INDEX(Raw_data!$C$2:$C$636,MATCH($K121,Model!$R$2:$R$636,0))))</f>
        <v/>
      </c>
      <c r="D121">
        <f>IF($K121="","",INDEX(Raw_data!$AL$2:$AL$636,MATCH($K121,Model!$R$2:$R$636,0)))</f>
        <v/>
      </c>
      <c r="E121">
        <f>IF($K121="","",INDEX(Raw_data!$AM$2:$AM$636,MATCH($K121,Model!$R$2:$R$636,0)))</f>
        <v/>
      </c>
      <c r="F121">
        <f>IF($K121="","",INDEX(Raw_data!$AQ$2:$AQ$636,MATCH($K121,Model!$R$2:$R$636,0)))</f>
        <v/>
      </c>
      <c r="G121">
        <f>IF($K121="","",INDEX(Raw_data!$H$2:$H$636,MATCH($K121,Model!$R$2:$R$636,0)))</f>
        <v/>
      </c>
      <c r="H121" s="8">
        <f>IF($K121="","",INDEX(Model!$B$2:$B$636,MATCH($K121,Model!$R$2:$R$636,0)))</f>
        <v/>
      </c>
      <c r="I121" s="8">
        <f>IF($K121="","",INDEX(Model!$C$2:$C$636,MATCH($K121,Model!$R$2:$R$636,0)))</f>
        <v/>
      </c>
      <c r="J121">
        <f>IF($K121="","",INDEX(Model!$D$2:$D$636,MATCH($K121,Model!$R$2:$R$636,0)))</f>
        <v/>
      </c>
      <c r="K121">
        <f>IF(85&lt;=$E$5,LARGE(Model!$R$2:$R$636,85),"")</f>
        <v/>
      </c>
    </row>
    <row r="122">
      <c r="A122">
        <f>IF($K122="","",INDEX(Raw_data!$D$2:$D$636,MATCH($K122,Model!$R$2:$R$636,0)))</f>
        <v/>
      </c>
      <c r="B122" s="11">
        <f>IF($K122="","",INDEX(Raw_data!$F$2:$F$636,MATCH($K122,Model!$R$2:$R$636,0)))</f>
        <v/>
      </c>
      <c r="C122">
        <f>IF($K122="","",HYPERLINK(INDEX(Raw_data!$C$2:$C$636,MATCH($K122,Model!$R$2:$R$636,0)),INDEX(Raw_data!$C$2:$C$636,MATCH($K122,Model!$R$2:$R$636,0))))</f>
        <v/>
      </c>
      <c r="D122">
        <f>IF($K122="","",INDEX(Raw_data!$AL$2:$AL$636,MATCH($K122,Model!$R$2:$R$636,0)))</f>
        <v/>
      </c>
      <c r="E122">
        <f>IF($K122="","",INDEX(Raw_data!$AM$2:$AM$636,MATCH($K122,Model!$R$2:$R$636,0)))</f>
        <v/>
      </c>
      <c r="F122">
        <f>IF($K122="","",INDEX(Raw_data!$AQ$2:$AQ$636,MATCH($K122,Model!$R$2:$R$636,0)))</f>
        <v/>
      </c>
      <c r="G122">
        <f>IF($K122="","",INDEX(Raw_data!$H$2:$H$636,MATCH($K122,Model!$R$2:$R$636,0)))</f>
        <v/>
      </c>
      <c r="H122" s="8">
        <f>IF($K122="","",INDEX(Model!$B$2:$B$636,MATCH($K122,Model!$R$2:$R$636,0)))</f>
        <v/>
      </c>
      <c r="I122" s="8">
        <f>IF($K122="","",INDEX(Model!$C$2:$C$636,MATCH($K122,Model!$R$2:$R$636,0)))</f>
        <v/>
      </c>
      <c r="J122">
        <f>IF($K122="","",INDEX(Model!$D$2:$D$636,MATCH($K122,Model!$R$2:$R$636,0)))</f>
        <v/>
      </c>
      <c r="K122">
        <f>IF(86&lt;=$E$5,LARGE(Model!$R$2:$R$636,86),"")</f>
        <v/>
      </c>
    </row>
    <row r="123">
      <c r="A123">
        <f>IF($K123="","",INDEX(Raw_data!$D$2:$D$636,MATCH($K123,Model!$R$2:$R$636,0)))</f>
        <v/>
      </c>
      <c r="B123" s="11">
        <f>IF($K123="","",INDEX(Raw_data!$F$2:$F$636,MATCH($K123,Model!$R$2:$R$636,0)))</f>
        <v/>
      </c>
      <c r="C123">
        <f>IF($K123="","",HYPERLINK(INDEX(Raw_data!$C$2:$C$636,MATCH($K123,Model!$R$2:$R$636,0)),INDEX(Raw_data!$C$2:$C$636,MATCH($K123,Model!$R$2:$R$636,0))))</f>
        <v/>
      </c>
      <c r="D123">
        <f>IF($K123="","",INDEX(Raw_data!$AL$2:$AL$636,MATCH($K123,Model!$R$2:$R$636,0)))</f>
        <v/>
      </c>
      <c r="E123">
        <f>IF($K123="","",INDEX(Raw_data!$AM$2:$AM$636,MATCH($K123,Model!$R$2:$R$636,0)))</f>
        <v/>
      </c>
      <c r="F123">
        <f>IF($K123="","",INDEX(Raw_data!$AQ$2:$AQ$636,MATCH($K123,Model!$R$2:$R$636,0)))</f>
        <v/>
      </c>
      <c r="G123">
        <f>IF($K123="","",INDEX(Raw_data!$H$2:$H$636,MATCH($K123,Model!$R$2:$R$636,0)))</f>
        <v/>
      </c>
      <c r="H123" s="8">
        <f>IF($K123="","",INDEX(Model!$B$2:$B$636,MATCH($K123,Model!$R$2:$R$636,0)))</f>
        <v/>
      </c>
      <c r="I123" s="8">
        <f>IF($K123="","",INDEX(Model!$C$2:$C$636,MATCH($K123,Model!$R$2:$R$636,0)))</f>
        <v/>
      </c>
      <c r="J123">
        <f>IF($K123="","",INDEX(Model!$D$2:$D$636,MATCH($K123,Model!$R$2:$R$636,0)))</f>
        <v/>
      </c>
      <c r="K123">
        <f>IF(87&lt;=$E$5,LARGE(Model!$R$2:$R$636,87),"")</f>
        <v/>
      </c>
    </row>
    <row r="124">
      <c r="A124">
        <f>IF($K124="","",INDEX(Raw_data!$D$2:$D$636,MATCH($K124,Model!$R$2:$R$636,0)))</f>
        <v/>
      </c>
      <c r="B124" s="11">
        <f>IF($K124="","",INDEX(Raw_data!$F$2:$F$636,MATCH($K124,Model!$R$2:$R$636,0)))</f>
        <v/>
      </c>
      <c r="C124">
        <f>IF($K124="","",HYPERLINK(INDEX(Raw_data!$C$2:$C$636,MATCH($K124,Model!$R$2:$R$636,0)),INDEX(Raw_data!$C$2:$C$636,MATCH($K124,Model!$R$2:$R$636,0))))</f>
        <v/>
      </c>
      <c r="D124">
        <f>IF($K124="","",INDEX(Raw_data!$AL$2:$AL$636,MATCH($K124,Model!$R$2:$R$636,0)))</f>
        <v/>
      </c>
      <c r="E124">
        <f>IF($K124="","",INDEX(Raw_data!$AM$2:$AM$636,MATCH($K124,Model!$R$2:$R$636,0)))</f>
        <v/>
      </c>
      <c r="F124">
        <f>IF($K124="","",INDEX(Raw_data!$AQ$2:$AQ$636,MATCH($K124,Model!$R$2:$R$636,0)))</f>
        <v/>
      </c>
      <c r="G124">
        <f>IF($K124="","",INDEX(Raw_data!$H$2:$H$636,MATCH($K124,Model!$R$2:$R$636,0)))</f>
        <v/>
      </c>
      <c r="H124" s="8">
        <f>IF($K124="","",INDEX(Model!$B$2:$B$636,MATCH($K124,Model!$R$2:$R$636,0)))</f>
        <v/>
      </c>
      <c r="I124" s="8">
        <f>IF($K124="","",INDEX(Model!$C$2:$C$636,MATCH($K124,Model!$R$2:$R$636,0)))</f>
        <v/>
      </c>
      <c r="J124">
        <f>IF($K124="","",INDEX(Model!$D$2:$D$636,MATCH($K124,Model!$R$2:$R$636,0)))</f>
        <v/>
      </c>
      <c r="K124">
        <f>IF(88&lt;=$E$5,LARGE(Model!$R$2:$R$636,88),"")</f>
        <v/>
      </c>
    </row>
    <row r="125">
      <c r="A125">
        <f>IF($K125="","",INDEX(Raw_data!$D$2:$D$636,MATCH($K125,Model!$R$2:$R$636,0)))</f>
        <v/>
      </c>
      <c r="B125" s="11">
        <f>IF($K125="","",INDEX(Raw_data!$F$2:$F$636,MATCH($K125,Model!$R$2:$R$636,0)))</f>
        <v/>
      </c>
      <c r="C125">
        <f>IF($K125="","",HYPERLINK(INDEX(Raw_data!$C$2:$C$636,MATCH($K125,Model!$R$2:$R$636,0)),INDEX(Raw_data!$C$2:$C$636,MATCH($K125,Model!$R$2:$R$636,0))))</f>
        <v/>
      </c>
      <c r="D125">
        <f>IF($K125="","",INDEX(Raw_data!$AL$2:$AL$636,MATCH($K125,Model!$R$2:$R$636,0)))</f>
        <v/>
      </c>
      <c r="E125">
        <f>IF($K125="","",INDEX(Raw_data!$AM$2:$AM$636,MATCH($K125,Model!$R$2:$R$636,0)))</f>
        <v/>
      </c>
      <c r="F125">
        <f>IF($K125="","",INDEX(Raw_data!$AQ$2:$AQ$636,MATCH($K125,Model!$R$2:$R$636,0)))</f>
        <v/>
      </c>
      <c r="G125">
        <f>IF($K125="","",INDEX(Raw_data!$H$2:$H$636,MATCH($K125,Model!$R$2:$R$636,0)))</f>
        <v/>
      </c>
      <c r="H125" s="8">
        <f>IF($K125="","",INDEX(Model!$B$2:$B$636,MATCH($K125,Model!$R$2:$R$636,0)))</f>
        <v/>
      </c>
      <c r="I125" s="8">
        <f>IF($K125="","",INDEX(Model!$C$2:$C$636,MATCH($K125,Model!$R$2:$R$636,0)))</f>
        <v/>
      </c>
      <c r="J125">
        <f>IF($K125="","",INDEX(Model!$D$2:$D$636,MATCH($K125,Model!$R$2:$R$636,0)))</f>
        <v/>
      </c>
      <c r="K125">
        <f>IF(89&lt;=$E$5,LARGE(Model!$R$2:$R$636,89),"")</f>
        <v/>
      </c>
    </row>
    <row r="126">
      <c r="A126">
        <f>IF($K126="","",INDEX(Raw_data!$D$2:$D$636,MATCH($K126,Model!$R$2:$R$636,0)))</f>
        <v/>
      </c>
      <c r="B126" s="11">
        <f>IF($K126="","",INDEX(Raw_data!$F$2:$F$636,MATCH($K126,Model!$R$2:$R$636,0)))</f>
        <v/>
      </c>
      <c r="C126">
        <f>IF($K126="","",HYPERLINK(INDEX(Raw_data!$C$2:$C$636,MATCH($K126,Model!$R$2:$R$636,0)),INDEX(Raw_data!$C$2:$C$636,MATCH($K126,Model!$R$2:$R$636,0))))</f>
        <v/>
      </c>
      <c r="D126">
        <f>IF($K126="","",INDEX(Raw_data!$AL$2:$AL$636,MATCH($K126,Model!$R$2:$R$636,0)))</f>
        <v/>
      </c>
      <c r="E126">
        <f>IF($K126="","",INDEX(Raw_data!$AM$2:$AM$636,MATCH($K126,Model!$R$2:$R$636,0)))</f>
        <v/>
      </c>
      <c r="F126">
        <f>IF($K126="","",INDEX(Raw_data!$AQ$2:$AQ$636,MATCH($K126,Model!$R$2:$R$636,0)))</f>
        <v/>
      </c>
      <c r="G126">
        <f>IF($K126="","",INDEX(Raw_data!$H$2:$H$636,MATCH($K126,Model!$R$2:$R$636,0)))</f>
        <v/>
      </c>
      <c r="H126" s="8">
        <f>IF($K126="","",INDEX(Model!$B$2:$B$636,MATCH($K126,Model!$R$2:$R$636,0)))</f>
        <v/>
      </c>
      <c r="I126" s="8">
        <f>IF($K126="","",INDEX(Model!$C$2:$C$636,MATCH($K126,Model!$R$2:$R$636,0)))</f>
        <v/>
      </c>
      <c r="J126">
        <f>IF($K126="","",INDEX(Model!$D$2:$D$636,MATCH($K126,Model!$R$2:$R$636,0)))</f>
        <v/>
      </c>
      <c r="K126">
        <f>IF(90&lt;=$E$5,LARGE(Model!$R$2:$R$636,90),"")</f>
        <v/>
      </c>
    </row>
    <row r="127">
      <c r="A127">
        <f>IF($K127="","",INDEX(Raw_data!$D$2:$D$636,MATCH($K127,Model!$R$2:$R$636,0)))</f>
        <v/>
      </c>
      <c r="B127" s="11">
        <f>IF($K127="","",INDEX(Raw_data!$F$2:$F$636,MATCH($K127,Model!$R$2:$R$636,0)))</f>
        <v/>
      </c>
      <c r="C127">
        <f>IF($K127="","",HYPERLINK(INDEX(Raw_data!$C$2:$C$636,MATCH($K127,Model!$R$2:$R$636,0)),INDEX(Raw_data!$C$2:$C$636,MATCH($K127,Model!$R$2:$R$636,0))))</f>
        <v/>
      </c>
      <c r="D127">
        <f>IF($K127="","",INDEX(Raw_data!$AL$2:$AL$636,MATCH($K127,Model!$R$2:$R$636,0)))</f>
        <v/>
      </c>
      <c r="E127">
        <f>IF($K127="","",INDEX(Raw_data!$AM$2:$AM$636,MATCH($K127,Model!$R$2:$R$636,0)))</f>
        <v/>
      </c>
      <c r="F127">
        <f>IF($K127="","",INDEX(Raw_data!$AQ$2:$AQ$636,MATCH($K127,Model!$R$2:$R$636,0)))</f>
        <v/>
      </c>
      <c r="G127">
        <f>IF($K127="","",INDEX(Raw_data!$H$2:$H$636,MATCH($K127,Model!$R$2:$R$636,0)))</f>
        <v/>
      </c>
      <c r="H127" s="8">
        <f>IF($K127="","",INDEX(Model!$B$2:$B$636,MATCH($K127,Model!$R$2:$R$636,0)))</f>
        <v/>
      </c>
      <c r="I127" s="8">
        <f>IF($K127="","",INDEX(Model!$C$2:$C$636,MATCH($K127,Model!$R$2:$R$636,0)))</f>
        <v/>
      </c>
      <c r="J127">
        <f>IF($K127="","",INDEX(Model!$D$2:$D$636,MATCH($K127,Model!$R$2:$R$636,0)))</f>
        <v/>
      </c>
      <c r="K127">
        <f>IF(91&lt;=$E$5,LARGE(Model!$R$2:$R$636,91),"")</f>
        <v/>
      </c>
    </row>
    <row r="128">
      <c r="A128">
        <f>IF($K128="","",INDEX(Raw_data!$D$2:$D$636,MATCH($K128,Model!$R$2:$R$636,0)))</f>
        <v/>
      </c>
      <c r="B128" s="11">
        <f>IF($K128="","",INDEX(Raw_data!$F$2:$F$636,MATCH($K128,Model!$R$2:$R$636,0)))</f>
        <v/>
      </c>
      <c r="C128">
        <f>IF($K128="","",HYPERLINK(INDEX(Raw_data!$C$2:$C$636,MATCH($K128,Model!$R$2:$R$636,0)),INDEX(Raw_data!$C$2:$C$636,MATCH($K128,Model!$R$2:$R$636,0))))</f>
        <v/>
      </c>
      <c r="D128">
        <f>IF($K128="","",INDEX(Raw_data!$AL$2:$AL$636,MATCH($K128,Model!$R$2:$R$636,0)))</f>
        <v/>
      </c>
      <c r="E128">
        <f>IF($K128="","",INDEX(Raw_data!$AM$2:$AM$636,MATCH($K128,Model!$R$2:$R$636,0)))</f>
        <v/>
      </c>
      <c r="F128">
        <f>IF($K128="","",INDEX(Raw_data!$AQ$2:$AQ$636,MATCH($K128,Model!$R$2:$R$636,0)))</f>
        <v/>
      </c>
      <c r="G128">
        <f>IF($K128="","",INDEX(Raw_data!$H$2:$H$636,MATCH($K128,Model!$R$2:$R$636,0)))</f>
        <v/>
      </c>
      <c r="H128" s="8">
        <f>IF($K128="","",INDEX(Model!$B$2:$B$636,MATCH($K128,Model!$R$2:$R$636,0)))</f>
        <v/>
      </c>
      <c r="I128" s="8">
        <f>IF($K128="","",INDEX(Model!$C$2:$C$636,MATCH($K128,Model!$R$2:$R$636,0)))</f>
        <v/>
      </c>
      <c r="J128">
        <f>IF($K128="","",INDEX(Model!$D$2:$D$636,MATCH($K128,Model!$R$2:$R$636,0)))</f>
        <v/>
      </c>
      <c r="K128">
        <f>IF(92&lt;=$E$5,LARGE(Model!$R$2:$R$636,92),"")</f>
        <v/>
      </c>
    </row>
    <row r="129">
      <c r="A129">
        <f>IF($K129="","",INDEX(Raw_data!$D$2:$D$636,MATCH($K129,Model!$R$2:$R$636,0)))</f>
        <v/>
      </c>
      <c r="B129" s="11">
        <f>IF($K129="","",INDEX(Raw_data!$F$2:$F$636,MATCH($K129,Model!$R$2:$R$636,0)))</f>
        <v/>
      </c>
      <c r="C129">
        <f>IF($K129="","",HYPERLINK(INDEX(Raw_data!$C$2:$C$636,MATCH($K129,Model!$R$2:$R$636,0)),INDEX(Raw_data!$C$2:$C$636,MATCH($K129,Model!$R$2:$R$636,0))))</f>
        <v/>
      </c>
      <c r="D129">
        <f>IF($K129="","",INDEX(Raw_data!$AL$2:$AL$636,MATCH($K129,Model!$R$2:$R$636,0)))</f>
        <v/>
      </c>
      <c r="E129">
        <f>IF($K129="","",INDEX(Raw_data!$AM$2:$AM$636,MATCH($K129,Model!$R$2:$R$636,0)))</f>
        <v/>
      </c>
      <c r="F129">
        <f>IF($K129="","",INDEX(Raw_data!$AQ$2:$AQ$636,MATCH($K129,Model!$R$2:$R$636,0)))</f>
        <v/>
      </c>
      <c r="G129">
        <f>IF($K129="","",INDEX(Raw_data!$H$2:$H$636,MATCH($K129,Model!$R$2:$R$636,0)))</f>
        <v/>
      </c>
      <c r="H129" s="8">
        <f>IF($K129="","",INDEX(Model!$B$2:$B$636,MATCH($K129,Model!$R$2:$R$636,0)))</f>
        <v/>
      </c>
      <c r="I129" s="8">
        <f>IF($K129="","",INDEX(Model!$C$2:$C$636,MATCH($K129,Model!$R$2:$R$636,0)))</f>
        <v/>
      </c>
      <c r="J129">
        <f>IF($K129="","",INDEX(Model!$D$2:$D$636,MATCH($K129,Model!$R$2:$R$636,0)))</f>
        <v/>
      </c>
      <c r="K129">
        <f>IF(93&lt;=$E$5,LARGE(Model!$R$2:$R$636,93),"")</f>
        <v/>
      </c>
    </row>
    <row r="130">
      <c r="A130">
        <f>IF($K130="","",INDEX(Raw_data!$D$2:$D$636,MATCH($K130,Model!$R$2:$R$636,0)))</f>
        <v/>
      </c>
      <c r="B130" s="11">
        <f>IF($K130="","",INDEX(Raw_data!$F$2:$F$636,MATCH($K130,Model!$R$2:$R$636,0)))</f>
        <v/>
      </c>
      <c r="C130">
        <f>IF($K130="","",HYPERLINK(INDEX(Raw_data!$C$2:$C$636,MATCH($K130,Model!$R$2:$R$636,0)),INDEX(Raw_data!$C$2:$C$636,MATCH($K130,Model!$R$2:$R$636,0))))</f>
        <v/>
      </c>
      <c r="D130">
        <f>IF($K130="","",INDEX(Raw_data!$AL$2:$AL$636,MATCH($K130,Model!$R$2:$R$636,0)))</f>
        <v/>
      </c>
      <c r="E130">
        <f>IF($K130="","",INDEX(Raw_data!$AM$2:$AM$636,MATCH($K130,Model!$R$2:$R$636,0)))</f>
        <v/>
      </c>
      <c r="F130">
        <f>IF($K130="","",INDEX(Raw_data!$AQ$2:$AQ$636,MATCH($K130,Model!$R$2:$R$636,0)))</f>
        <v/>
      </c>
      <c r="G130">
        <f>IF($K130="","",INDEX(Raw_data!$H$2:$H$636,MATCH($K130,Model!$R$2:$R$636,0)))</f>
        <v/>
      </c>
      <c r="H130" s="8">
        <f>IF($K130="","",INDEX(Model!$B$2:$B$636,MATCH($K130,Model!$R$2:$R$636,0)))</f>
        <v/>
      </c>
      <c r="I130" s="8">
        <f>IF($K130="","",INDEX(Model!$C$2:$C$636,MATCH($K130,Model!$R$2:$R$636,0)))</f>
        <v/>
      </c>
      <c r="J130">
        <f>IF($K130="","",INDEX(Model!$D$2:$D$636,MATCH($K130,Model!$R$2:$R$636,0)))</f>
        <v/>
      </c>
      <c r="K130">
        <f>IF(94&lt;=$E$5,LARGE(Model!$R$2:$R$636,94),"")</f>
        <v/>
      </c>
    </row>
    <row r="131">
      <c r="A131">
        <f>IF($K131="","",INDEX(Raw_data!$D$2:$D$636,MATCH($K131,Model!$R$2:$R$636,0)))</f>
        <v/>
      </c>
      <c r="B131" s="11">
        <f>IF($K131="","",INDEX(Raw_data!$F$2:$F$636,MATCH($K131,Model!$R$2:$R$636,0)))</f>
        <v/>
      </c>
      <c r="C131">
        <f>IF($K131="","",HYPERLINK(INDEX(Raw_data!$C$2:$C$636,MATCH($K131,Model!$R$2:$R$636,0)),INDEX(Raw_data!$C$2:$C$636,MATCH($K131,Model!$R$2:$R$636,0))))</f>
        <v/>
      </c>
      <c r="D131">
        <f>IF($K131="","",INDEX(Raw_data!$AL$2:$AL$636,MATCH($K131,Model!$R$2:$R$636,0)))</f>
        <v/>
      </c>
      <c r="E131">
        <f>IF($K131="","",INDEX(Raw_data!$AM$2:$AM$636,MATCH($K131,Model!$R$2:$R$636,0)))</f>
        <v/>
      </c>
      <c r="F131">
        <f>IF($K131="","",INDEX(Raw_data!$AQ$2:$AQ$636,MATCH($K131,Model!$R$2:$R$636,0)))</f>
        <v/>
      </c>
      <c r="G131">
        <f>IF($K131="","",INDEX(Raw_data!$H$2:$H$636,MATCH($K131,Model!$R$2:$R$636,0)))</f>
        <v/>
      </c>
      <c r="H131" s="8">
        <f>IF($K131="","",INDEX(Model!$B$2:$B$636,MATCH($K131,Model!$R$2:$R$636,0)))</f>
        <v/>
      </c>
      <c r="I131" s="8">
        <f>IF($K131="","",INDEX(Model!$C$2:$C$636,MATCH($K131,Model!$R$2:$R$636,0)))</f>
        <v/>
      </c>
      <c r="J131">
        <f>IF($K131="","",INDEX(Model!$D$2:$D$636,MATCH($K131,Model!$R$2:$R$636,0)))</f>
        <v/>
      </c>
      <c r="K131">
        <f>IF(95&lt;=$E$5,LARGE(Model!$R$2:$R$636,95),"")</f>
        <v/>
      </c>
    </row>
    <row r="132">
      <c r="A132">
        <f>IF($K132="","",INDEX(Raw_data!$D$2:$D$636,MATCH($K132,Model!$R$2:$R$636,0)))</f>
        <v/>
      </c>
      <c r="B132" s="11">
        <f>IF($K132="","",INDEX(Raw_data!$F$2:$F$636,MATCH($K132,Model!$R$2:$R$636,0)))</f>
        <v/>
      </c>
      <c r="C132">
        <f>IF($K132="","",HYPERLINK(INDEX(Raw_data!$C$2:$C$636,MATCH($K132,Model!$R$2:$R$636,0)),INDEX(Raw_data!$C$2:$C$636,MATCH($K132,Model!$R$2:$R$636,0))))</f>
        <v/>
      </c>
      <c r="D132">
        <f>IF($K132="","",INDEX(Raw_data!$AL$2:$AL$636,MATCH($K132,Model!$R$2:$R$636,0)))</f>
        <v/>
      </c>
      <c r="E132">
        <f>IF($K132="","",INDEX(Raw_data!$AM$2:$AM$636,MATCH($K132,Model!$R$2:$R$636,0)))</f>
        <v/>
      </c>
      <c r="F132">
        <f>IF($K132="","",INDEX(Raw_data!$AQ$2:$AQ$636,MATCH($K132,Model!$R$2:$R$636,0)))</f>
        <v/>
      </c>
      <c r="G132">
        <f>IF($K132="","",INDEX(Raw_data!$H$2:$H$636,MATCH($K132,Model!$R$2:$R$636,0)))</f>
        <v/>
      </c>
      <c r="H132" s="8">
        <f>IF($K132="","",INDEX(Model!$B$2:$B$636,MATCH($K132,Model!$R$2:$R$636,0)))</f>
        <v/>
      </c>
      <c r="I132" s="8">
        <f>IF($K132="","",INDEX(Model!$C$2:$C$636,MATCH($K132,Model!$R$2:$R$636,0)))</f>
        <v/>
      </c>
      <c r="J132">
        <f>IF($K132="","",INDEX(Model!$D$2:$D$636,MATCH($K132,Model!$R$2:$R$636,0)))</f>
        <v/>
      </c>
      <c r="K132">
        <f>IF(96&lt;=$E$5,LARGE(Model!$R$2:$R$636,96),"")</f>
        <v/>
      </c>
    </row>
    <row r="133">
      <c r="A133">
        <f>IF($K133="","",INDEX(Raw_data!$D$2:$D$636,MATCH($K133,Model!$R$2:$R$636,0)))</f>
        <v/>
      </c>
      <c r="B133" s="11">
        <f>IF($K133="","",INDEX(Raw_data!$F$2:$F$636,MATCH($K133,Model!$R$2:$R$636,0)))</f>
        <v/>
      </c>
      <c r="C133">
        <f>IF($K133="","",HYPERLINK(INDEX(Raw_data!$C$2:$C$636,MATCH($K133,Model!$R$2:$R$636,0)),INDEX(Raw_data!$C$2:$C$636,MATCH($K133,Model!$R$2:$R$636,0))))</f>
        <v/>
      </c>
      <c r="D133">
        <f>IF($K133="","",INDEX(Raw_data!$AL$2:$AL$636,MATCH($K133,Model!$R$2:$R$636,0)))</f>
        <v/>
      </c>
      <c r="E133">
        <f>IF($K133="","",INDEX(Raw_data!$AM$2:$AM$636,MATCH($K133,Model!$R$2:$R$636,0)))</f>
        <v/>
      </c>
      <c r="F133">
        <f>IF($K133="","",INDEX(Raw_data!$AQ$2:$AQ$636,MATCH($K133,Model!$R$2:$R$636,0)))</f>
        <v/>
      </c>
      <c r="G133">
        <f>IF($K133="","",INDEX(Raw_data!$H$2:$H$636,MATCH($K133,Model!$R$2:$R$636,0)))</f>
        <v/>
      </c>
      <c r="H133" s="8">
        <f>IF($K133="","",INDEX(Model!$B$2:$B$636,MATCH($K133,Model!$R$2:$R$636,0)))</f>
        <v/>
      </c>
      <c r="I133" s="8">
        <f>IF($K133="","",INDEX(Model!$C$2:$C$636,MATCH($K133,Model!$R$2:$R$636,0)))</f>
        <v/>
      </c>
      <c r="J133">
        <f>IF($K133="","",INDEX(Model!$D$2:$D$636,MATCH($K133,Model!$R$2:$R$636,0)))</f>
        <v/>
      </c>
      <c r="K133">
        <f>IF(97&lt;=$E$5,LARGE(Model!$R$2:$R$636,97),"")</f>
        <v/>
      </c>
    </row>
    <row r="134">
      <c r="A134">
        <f>IF($K134="","",INDEX(Raw_data!$D$2:$D$636,MATCH($K134,Model!$R$2:$R$636,0)))</f>
        <v/>
      </c>
      <c r="B134" s="11">
        <f>IF($K134="","",INDEX(Raw_data!$F$2:$F$636,MATCH($K134,Model!$R$2:$R$636,0)))</f>
        <v/>
      </c>
      <c r="C134">
        <f>IF($K134="","",HYPERLINK(INDEX(Raw_data!$C$2:$C$636,MATCH($K134,Model!$R$2:$R$636,0)),INDEX(Raw_data!$C$2:$C$636,MATCH($K134,Model!$R$2:$R$636,0))))</f>
        <v/>
      </c>
      <c r="D134">
        <f>IF($K134="","",INDEX(Raw_data!$AL$2:$AL$636,MATCH($K134,Model!$R$2:$R$636,0)))</f>
        <v/>
      </c>
      <c r="E134">
        <f>IF($K134="","",INDEX(Raw_data!$AM$2:$AM$636,MATCH($K134,Model!$R$2:$R$636,0)))</f>
        <v/>
      </c>
      <c r="F134">
        <f>IF($K134="","",INDEX(Raw_data!$AQ$2:$AQ$636,MATCH($K134,Model!$R$2:$R$636,0)))</f>
        <v/>
      </c>
      <c r="G134">
        <f>IF($K134="","",INDEX(Raw_data!$H$2:$H$636,MATCH($K134,Model!$R$2:$R$636,0)))</f>
        <v/>
      </c>
      <c r="H134" s="8">
        <f>IF($K134="","",INDEX(Model!$B$2:$B$636,MATCH($K134,Model!$R$2:$R$636,0)))</f>
        <v/>
      </c>
      <c r="I134" s="8">
        <f>IF($K134="","",INDEX(Model!$C$2:$C$636,MATCH($K134,Model!$R$2:$R$636,0)))</f>
        <v/>
      </c>
      <c r="J134">
        <f>IF($K134="","",INDEX(Model!$D$2:$D$636,MATCH($K134,Model!$R$2:$R$636,0)))</f>
        <v/>
      </c>
      <c r="K134">
        <f>IF(98&lt;=$E$5,LARGE(Model!$R$2:$R$636,98),"")</f>
        <v/>
      </c>
    </row>
    <row r="135">
      <c r="A135">
        <f>IF($K135="","",INDEX(Raw_data!$D$2:$D$636,MATCH($K135,Model!$R$2:$R$636,0)))</f>
        <v/>
      </c>
      <c r="B135" s="11">
        <f>IF($K135="","",INDEX(Raw_data!$F$2:$F$636,MATCH($K135,Model!$R$2:$R$636,0)))</f>
        <v/>
      </c>
      <c r="C135">
        <f>IF($K135="","",HYPERLINK(INDEX(Raw_data!$C$2:$C$636,MATCH($K135,Model!$R$2:$R$636,0)),INDEX(Raw_data!$C$2:$C$636,MATCH($K135,Model!$R$2:$R$636,0))))</f>
        <v/>
      </c>
      <c r="D135">
        <f>IF($K135="","",INDEX(Raw_data!$AL$2:$AL$636,MATCH($K135,Model!$R$2:$R$636,0)))</f>
        <v/>
      </c>
      <c r="E135">
        <f>IF($K135="","",INDEX(Raw_data!$AM$2:$AM$636,MATCH($K135,Model!$R$2:$R$636,0)))</f>
        <v/>
      </c>
      <c r="F135">
        <f>IF($K135="","",INDEX(Raw_data!$AQ$2:$AQ$636,MATCH($K135,Model!$R$2:$R$636,0)))</f>
        <v/>
      </c>
      <c r="G135">
        <f>IF($K135="","",INDEX(Raw_data!$H$2:$H$636,MATCH($K135,Model!$R$2:$R$636,0)))</f>
        <v/>
      </c>
      <c r="H135" s="8">
        <f>IF($K135="","",INDEX(Model!$B$2:$B$636,MATCH($K135,Model!$R$2:$R$636,0)))</f>
        <v/>
      </c>
      <c r="I135" s="8">
        <f>IF($K135="","",INDEX(Model!$C$2:$C$636,MATCH($K135,Model!$R$2:$R$636,0)))</f>
        <v/>
      </c>
      <c r="J135">
        <f>IF($K135="","",INDEX(Model!$D$2:$D$636,MATCH($K135,Model!$R$2:$R$636,0)))</f>
        <v/>
      </c>
      <c r="K135">
        <f>IF(99&lt;=$E$5,LARGE(Model!$R$2:$R$636,99),"")</f>
        <v/>
      </c>
    </row>
    <row r="136">
      <c r="A136">
        <f>IF($K136="","",INDEX(Raw_data!$D$2:$D$636,MATCH($K136,Model!$R$2:$R$636,0)))</f>
        <v/>
      </c>
      <c r="B136" s="11">
        <f>IF($K136="","",INDEX(Raw_data!$F$2:$F$636,MATCH($K136,Model!$R$2:$R$636,0)))</f>
        <v/>
      </c>
      <c r="C136">
        <f>IF($K136="","",HYPERLINK(INDEX(Raw_data!$C$2:$C$636,MATCH($K136,Model!$R$2:$R$636,0)),INDEX(Raw_data!$C$2:$C$636,MATCH($K136,Model!$R$2:$R$636,0))))</f>
        <v/>
      </c>
      <c r="D136">
        <f>IF($K136="","",INDEX(Raw_data!$AL$2:$AL$636,MATCH($K136,Model!$R$2:$R$636,0)))</f>
        <v/>
      </c>
      <c r="E136">
        <f>IF($K136="","",INDEX(Raw_data!$AM$2:$AM$636,MATCH($K136,Model!$R$2:$R$636,0)))</f>
        <v/>
      </c>
      <c r="F136">
        <f>IF($K136="","",INDEX(Raw_data!$AQ$2:$AQ$636,MATCH($K136,Model!$R$2:$R$636,0)))</f>
        <v/>
      </c>
      <c r="G136">
        <f>IF($K136="","",INDEX(Raw_data!$H$2:$H$636,MATCH($K136,Model!$R$2:$R$636,0)))</f>
        <v/>
      </c>
      <c r="H136" s="8">
        <f>IF($K136="","",INDEX(Model!$B$2:$B$636,MATCH($K136,Model!$R$2:$R$636,0)))</f>
        <v/>
      </c>
      <c r="I136" s="8">
        <f>IF($K136="","",INDEX(Model!$C$2:$C$636,MATCH($K136,Model!$R$2:$R$636,0)))</f>
        <v/>
      </c>
      <c r="J136">
        <f>IF($K136="","",INDEX(Model!$D$2:$D$636,MATCH($K136,Model!$R$2:$R$636,0)))</f>
        <v/>
      </c>
      <c r="K136">
        <f>IF(100&lt;=$E$5,LARGE(Model!$R$2:$R$636,100),"")</f>
        <v/>
      </c>
    </row>
    <row r="137">
      <c r="A137">
        <f>IF($K137="","",INDEX(Raw_data!$D$2:$D$636,MATCH($K137,Model!$R$2:$R$636,0)))</f>
        <v/>
      </c>
      <c r="B137" s="11">
        <f>IF($K137="","",INDEX(Raw_data!$F$2:$F$636,MATCH($K137,Model!$R$2:$R$636,0)))</f>
        <v/>
      </c>
      <c r="C137">
        <f>IF($K137="","",HYPERLINK(INDEX(Raw_data!$C$2:$C$636,MATCH($K137,Model!$R$2:$R$636,0)),INDEX(Raw_data!$C$2:$C$636,MATCH($K137,Model!$R$2:$R$636,0))))</f>
        <v/>
      </c>
      <c r="D137">
        <f>IF($K137="","",INDEX(Raw_data!$AL$2:$AL$636,MATCH($K137,Model!$R$2:$R$636,0)))</f>
        <v/>
      </c>
      <c r="E137">
        <f>IF($K137="","",INDEX(Raw_data!$AM$2:$AM$636,MATCH($K137,Model!$R$2:$R$636,0)))</f>
        <v/>
      </c>
      <c r="F137">
        <f>IF($K137="","",INDEX(Raw_data!$AQ$2:$AQ$636,MATCH($K137,Model!$R$2:$R$636,0)))</f>
        <v/>
      </c>
      <c r="G137">
        <f>IF($K137="","",INDEX(Raw_data!$H$2:$H$636,MATCH($K137,Model!$R$2:$R$636,0)))</f>
        <v/>
      </c>
      <c r="H137" s="8">
        <f>IF($K137="","",INDEX(Model!$B$2:$B$636,MATCH($K137,Model!$R$2:$R$636,0)))</f>
        <v/>
      </c>
      <c r="I137" s="8">
        <f>IF($K137="","",INDEX(Model!$C$2:$C$636,MATCH($K137,Model!$R$2:$R$636,0)))</f>
        <v/>
      </c>
      <c r="J137">
        <f>IF($K137="","",INDEX(Model!$D$2:$D$636,MATCH($K137,Model!$R$2:$R$636,0)))</f>
        <v/>
      </c>
      <c r="K137">
        <f>IF(101&lt;=$E$5,LARGE(Model!$R$2:$R$636,101),"")</f>
        <v/>
      </c>
    </row>
    <row r="138">
      <c r="A138">
        <f>IF($K138="","",INDEX(Raw_data!$D$2:$D$636,MATCH($K138,Model!$R$2:$R$636,0)))</f>
        <v/>
      </c>
      <c r="B138" s="11">
        <f>IF($K138="","",INDEX(Raw_data!$F$2:$F$636,MATCH($K138,Model!$R$2:$R$636,0)))</f>
        <v/>
      </c>
      <c r="C138">
        <f>IF($K138="","",HYPERLINK(INDEX(Raw_data!$C$2:$C$636,MATCH($K138,Model!$R$2:$R$636,0)),INDEX(Raw_data!$C$2:$C$636,MATCH($K138,Model!$R$2:$R$636,0))))</f>
        <v/>
      </c>
      <c r="D138">
        <f>IF($K138="","",INDEX(Raw_data!$AL$2:$AL$636,MATCH($K138,Model!$R$2:$R$636,0)))</f>
        <v/>
      </c>
      <c r="E138">
        <f>IF($K138="","",INDEX(Raw_data!$AM$2:$AM$636,MATCH($K138,Model!$R$2:$R$636,0)))</f>
        <v/>
      </c>
      <c r="F138">
        <f>IF($K138="","",INDEX(Raw_data!$AQ$2:$AQ$636,MATCH($K138,Model!$R$2:$R$636,0)))</f>
        <v/>
      </c>
      <c r="G138">
        <f>IF($K138="","",INDEX(Raw_data!$H$2:$H$636,MATCH($K138,Model!$R$2:$R$636,0)))</f>
        <v/>
      </c>
      <c r="H138" s="8">
        <f>IF($K138="","",INDEX(Model!$B$2:$B$636,MATCH($K138,Model!$R$2:$R$636,0)))</f>
        <v/>
      </c>
      <c r="I138" s="8">
        <f>IF($K138="","",INDEX(Model!$C$2:$C$636,MATCH($K138,Model!$R$2:$R$636,0)))</f>
        <v/>
      </c>
      <c r="J138">
        <f>IF($K138="","",INDEX(Model!$D$2:$D$636,MATCH($K138,Model!$R$2:$R$636,0)))</f>
        <v/>
      </c>
      <c r="K138">
        <f>IF(102&lt;=$E$5,LARGE(Model!$R$2:$R$636,102),"")</f>
        <v/>
      </c>
    </row>
    <row r="139">
      <c r="A139">
        <f>IF($K139="","",INDEX(Raw_data!$D$2:$D$636,MATCH($K139,Model!$R$2:$R$636,0)))</f>
        <v/>
      </c>
      <c r="B139" s="11">
        <f>IF($K139="","",INDEX(Raw_data!$F$2:$F$636,MATCH($K139,Model!$R$2:$R$636,0)))</f>
        <v/>
      </c>
      <c r="C139">
        <f>IF($K139="","",HYPERLINK(INDEX(Raw_data!$C$2:$C$636,MATCH($K139,Model!$R$2:$R$636,0)),INDEX(Raw_data!$C$2:$C$636,MATCH($K139,Model!$R$2:$R$636,0))))</f>
        <v/>
      </c>
      <c r="D139">
        <f>IF($K139="","",INDEX(Raw_data!$AL$2:$AL$636,MATCH($K139,Model!$R$2:$R$636,0)))</f>
        <v/>
      </c>
      <c r="E139">
        <f>IF($K139="","",INDEX(Raw_data!$AM$2:$AM$636,MATCH($K139,Model!$R$2:$R$636,0)))</f>
        <v/>
      </c>
      <c r="F139">
        <f>IF($K139="","",INDEX(Raw_data!$AQ$2:$AQ$636,MATCH($K139,Model!$R$2:$R$636,0)))</f>
        <v/>
      </c>
      <c r="G139">
        <f>IF($K139="","",INDEX(Raw_data!$H$2:$H$636,MATCH($K139,Model!$R$2:$R$636,0)))</f>
        <v/>
      </c>
      <c r="H139" s="8">
        <f>IF($K139="","",INDEX(Model!$B$2:$B$636,MATCH($K139,Model!$R$2:$R$636,0)))</f>
        <v/>
      </c>
      <c r="I139" s="8">
        <f>IF($K139="","",INDEX(Model!$C$2:$C$636,MATCH($K139,Model!$R$2:$R$636,0)))</f>
        <v/>
      </c>
      <c r="J139">
        <f>IF($K139="","",INDEX(Model!$D$2:$D$636,MATCH($K139,Model!$R$2:$R$636,0)))</f>
        <v/>
      </c>
      <c r="K139">
        <f>IF(103&lt;=$E$5,LARGE(Model!$R$2:$R$636,103),"")</f>
        <v/>
      </c>
    </row>
    <row r="140">
      <c r="A140">
        <f>IF($K140="","",INDEX(Raw_data!$D$2:$D$636,MATCH($K140,Model!$R$2:$R$636,0)))</f>
        <v/>
      </c>
      <c r="B140" s="11">
        <f>IF($K140="","",INDEX(Raw_data!$F$2:$F$636,MATCH($K140,Model!$R$2:$R$636,0)))</f>
        <v/>
      </c>
      <c r="C140">
        <f>IF($K140="","",HYPERLINK(INDEX(Raw_data!$C$2:$C$636,MATCH($K140,Model!$R$2:$R$636,0)),INDEX(Raw_data!$C$2:$C$636,MATCH($K140,Model!$R$2:$R$636,0))))</f>
        <v/>
      </c>
      <c r="D140">
        <f>IF($K140="","",INDEX(Raw_data!$AL$2:$AL$636,MATCH($K140,Model!$R$2:$R$636,0)))</f>
        <v/>
      </c>
      <c r="E140">
        <f>IF($K140="","",INDEX(Raw_data!$AM$2:$AM$636,MATCH($K140,Model!$R$2:$R$636,0)))</f>
        <v/>
      </c>
      <c r="F140">
        <f>IF($K140="","",INDEX(Raw_data!$AQ$2:$AQ$636,MATCH($K140,Model!$R$2:$R$636,0)))</f>
        <v/>
      </c>
      <c r="G140">
        <f>IF($K140="","",INDEX(Raw_data!$H$2:$H$636,MATCH($K140,Model!$R$2:$R$636,0)))</f>
        <v/>
      </c>
      <c r="H140" s="8">
        <f>IF($K140="","",INDEX(Model!$B$2:$B$636,MATCH($K140,Model!$R$2:$R$636,0)))</f>
        <v/>
      </c>
      <c r="I140" s="8">
        <f>IF($K140="","",INDEX(Model!$C$2:$C$636,MATCH($K140,Model!$R$2:$R$636,0)))</f>
        <v/>
      </c>
      <c r="J140">
        <f>IF($K140="","",INDEX(Model!$D$2:$D$636,MATCH($K140,Model!$R$2:$R$636,0)))</f>
        <v/>
      </c>
      <c r="K140">
        <f>IF(104&lt;=$E$5,LARGE(Model!$R$2:$R$636,104),"")</f>
        <v/>
      </c>
    </row>
    <row r="141">
      <c r="A141">
        <f>IF($K141="","",INDEX(Raw_data!$D$2:$D$636,MATCH($K141,Model!$R$2:$R$636,0)))</f>
        <v/>
      </c>
      <c r="B141" s="11">
        <f>IF($K141="","",INDEX(Raw_data!$F$2:$F$636,MATCH($K141,Model!$R$2:$R$636,0)))</f>
        <v/>
      </c>
      <c r="C141">
        <f>IF($K141="","",HYPERLINK(INDEX(Raw_data!$C$2:$C$636,MATCH($K141,Model!$R$2:$R$636,0)),INDEX(Raw_data!$C$2:$C$636,MATCH($K141,Model!$R$2:$R$636,0))))</f>
        <v/>
      </c>
      <c r="D141">
        <f>IF($K141="","",INDEX(Raw_data!$AL$2:$AL$636,MATCH($K141,Model!$R$2:$R$636,0)))</f>
        <v/>
      </c>
      <c r="E141">
        <f>IF($K141="","",INDEX(Raw_data!$AM$2:$AM$636,MATCH($K141,Model!$R$2:$R$636,0)))</f>
        <v/>
      </c>
      <c r="F141">
        <f>IF($K141="","",INDEX(Raw_data!$AQ$2:$AQ$636,MATCH($K141,Model!$R$2:$R$636,0)))</f>
        <v/>
      </c>
      <c r="G141">
        <f>IF($K141="","",INDEX(Raw_data!$H$2:$H$636,MATCH($K141,Model!$R$2:$R$636,0)))</f>
        <v/>
      </c>
      <c r="H141" s="8">
        <f>IF($K141="","",INDEX(Model!$B$2:$B$636,MATCH($K141,Model!$R$2:$R$636,0)))</f>
        <v/>
      </c>
      <c r="I141" s="8">
        <f>IF($K141="","",INDEX(Model!$C$2:$C$636,MATCH($K141,Model!$R$2:$R$636,0)))</f>
        <v/>
      </c>
      <c r="J141">
        <f>IF($K141="","",INDEX(Model!$D$2:$D$636,MATCH($K141,Model!$R$2:$R$636,0)))</f>
        <v/>
      </c>
      <c r="K141">
        <f>IF(105&lt;=$E$5,LARGE(Model!$R$2:$R$636,105),"")</f>
        <v/>
      </c>
    </row>
    <row r="142">
      <c r="A142">
        <f>IF($K142="","",INDEX(Raw_data!$D$2:$D$636,MATCH($K142,Model!$R$2:$R$636,0)))</f>
        <v/>
      </c>
      <c r="B142" s="11">
        <f>IF($K142="","",INDEX(Raw_data!$F$2:$F$636,MATCH($K142,Model!$R$2:$R$636,0)))</f>
        <v/>
      </c>
      <c r="C142">
        <f>IF($K142="","",HYPERLINK(INDEX(Raw_data!$C$2:$C$636,MATCH($K142,Model!$R$2:$R$636,0)),INDEX(Raw_data!$C$2:$C$636,MATCH($K142,Model!$R$2:$R$636,0))))</f>
        <v/>
      </c>
      <c r="D142">
        <f>IF($K142="","",INDEX(Raw_data!$AL$2:$AL$636,MATCH($K142,Model!$R$2:$R$636,0)))</f>
        <v/>
      </c>
      <c r="E142">
        <f>IF($K142="","",INDEX(Raw_data!$AM$2:$AM$636,MATCH($K142,Model!$R$2:$R$636,0)))</f>
        <v/>
      </c>
      <c r="F142">
        <f>IF($K142="","",INDEX(Raw_data!$AQ$2:$AQ$636,MATCH($K142,Model!$R$2:$R$636,0)))</f>
        <v/>
      </c>
      <c r="G142">
        <f>IF($K142="","",INDEX(Raw_data!$H$2:$H$636,MATCH($K142,Model!$R$2:$R$636,0)))</f>
        <v/>
      </c>
      <c r="H142" s="8">
        <f>IF($K142="","",INDEX(Model!$B$2:$B$636,MATCH($K142,Model!$R$2:$R$636,0)))</f>
        <v/>
      </c>
      <c r="I142" s="8">
        <f>IF($K142="","",INDEX(Model!$C$2:$C$636,MATCH($K142,Model!$R$2:$R$636,0)))</f>
        <v/>
      </c>
      <c r="J142">
        <f>IF($K142="","",INDEX(Model!$D$2:$D$636,MATCH($K142,Model!$R$2:$R$636,0)))</f>
        <v/>
      </c>
      <c r="K142">
        <f>IF(106&lt;=$E$5,LARGE(Model!$R$2:$R$636,106),"")</f>
        <v/>
      </c>
    </row>
    <row r="143">
      <c r="A143">
        <f>IF($K143="","",INDEX(Raw_data!$D$2:$D$636,MATCH($K143,Model!$R$2:$R$636,0)))</f>
        <v/>
      </c>
      <c r="B143" s="11">
        <f>IF($K143="","",INDEX(Raw_data!$F$2:$F$636,MATCH($K143,Model!$R$2:$R$636,0)))</f>
        <v/>
      </c>
      <c r="C143">
        <f>IF($K143="","",HYPERLINK(INDEX(Raw_data!$C$2:$C$636,MATCH($K143,Model!$R$2:$R$636,0)),INDEX(Raw_data!$C$2:$C$636,MATCH($K143,Model!$R$2:$R$636,0))))</f>
        <v/>
      </c>
      <c r="D143">
        <f>IF($K143="","",INDEX(Raw_data!$AL$2:$AL$636,MATCH($K143,Model!$R$2:$R$636,0)))</f>
        <v/>
      </c>
      <c r="E143">
        <f>IF($K143="","",INDEX(Raw_data!$AM$2:$AM$636,MATCH($K143,Model!$R$2:$R$636,0)))</f>
        <v/>
      </c>
      <c r="F143">
        <f>IF($K143="","",INDEX(Raw_data!$AQ$2:$AQ$636,MATCH($K143,Model!$R$2:$R$636,0)))</f>
        <v/>
      </c>
      <c r="G143">
        <f>IF($K143="","",INDEX(Raw_data!$H$2:$H$636,MATCH($K143,Model!$R$2:$R$636,0)))</f>
        <v/>
      </c>
      <c r="H143" s="8">
        <f>IF($K143="","",INDEX(Model!$B$2:$B$636,MATCH($K143,Model!$R$2:$R$636,0)))</f>
        <v/>
      </c>
      <c r="I143" s="8">
        <f>IF($K143="","",INDEX(Model!$C$2:$C$636,MATCH($K143,Model!$R$2:$R$636,0)))</f>
        <v/>
      </c>
      <c r="J143">
        <f>IF($K143="","",INDEX(Model!$D$2:$D$636,MATCH($K143,Model!$R$2:$R$636,0)))</f>
        <v/>
      </c>
      <c r="K143">
        <f>IF(107&lt;=$E$5,LARGE(Model!$R$2:$R$636,107),"")</f>
        <v/>
      </c>
    </row>
    <row r="144">
      <c r="A144">
        <f>IF($K144="","",INDEX(Raw_data!$D$2:$D$636,MATCH($K144,Model!$R$2:$R$636,0)))</f>
        <v/>
      </c>
      <c r="B144" s="11">
        <f>IF($K144="","",INDEX(Raw_data!$F$2:$F$636,MATCH($K144,Model!$R$2:$R$636,0)))</f>
        <v/>
      </c>
      <c r="C144">
        <f>IF($K144="","",HYPERLINK(INDEX(Raw_data!$C$2:$C$636,MATCH($K144,Model!$R$2:$R$636,0)),INDEX(Raw_data!$C$2:$C$636,MATCH($K144,Model!$R$2:$R$636,0))))</f>
        <v/>
      </c>
      <c r="D144">
        <f>IF($K144="","",INDEX(Raw_data!$AL$2:$AL$636,MATCH($K144,Model!$R$2:$R$636,0)))</f>
        <v/>
      </c>
      <c r="E144">
        <f>IF($K144="","",INDEX(Raw_data!$AM$2:$AM$636,MATCH($K144,Model!$R$2:$R$636,0)))</f>
        <v/>
      </c>
      <c r="F144">
        <f>IF($K144="","",INDEX(Raw_data!$AQ$2:$AQ$636,MATCH($K144,Model!$R$2:$R$636,0)))</f>
        <v/>
      </c>
      <c r="G144">
        <f>IF($K144="","",INDEX(Raw_data!$H$2:$H$636,MATCH($K144,Model!$R$2:$R$636,0)))</f>
        <v/>
      </c>
      <c r="H144" s="8">
        <f>IF($K144="","",INDEX(Model!$B$2:$B$636,MATCH($K144,Model!$R$2:$R$636,0)))</f>
        <v/>
      </c>
      <c r="I144" s="8">
        <f>IF($K144="","",INDEX(Model!$C$2:$C$636,MATCH($K144,Model!$R$2:$R$636,0)))</f>
        <v/>
      </c>
      <c r="J144">
        <f>IF($K144="","",INDEX(Model!$D$2:$D$636,MATCH($K144,Model!$R$2:$R$636,0)))</f>
        <v/>
      </c>
      <c r="K144">
        <f>IF(108&lt;=$E$5,LARGE(Model!$R$2:$R$636,108),"")</f>
        <v/>
      </c>
    </row>
    <row r="145">
      <c r="A145">
        <f>IF($K145="","",INDEX(Raw_data!$D$2:$D$636,MATCH($K145,Model!$R$2:$R$636,0)))</f>
        <v/>
      </c>
      <c r="B145" s="11">
        <f>IF($K145="","",INDEX(Raw_data!$F$2:$F$636,MATCH($K145,Model!$R$2:$R$636,0)))</f>
        <v/>
      </c>
      <c r="C145">
        <f>IF($K145="","",HYPERLINK(INDEX(Raw_data!$C$2:$C$636,MATCH($K145,Model!$R$2:$R$636,0)),INDEX(Raw_data!$C$2:$C$636,MATCH($K145,Model!$R$2:$R$636,0))))</f>
        <v/>
      </c>
      <c r="D145">
        <f>IF($K145="","",INDEX(Raw_data!$AL$2:$AL$636,MATCH($K145,Model!$R$2:$R$636,0)))</f>
        <v/>
      </c>
      <c r="E145">
        <f>IF($K145="","",INDEX(Raw_data!$AM$2:$AM$636,MATCH($K145,Model!$R$2:$R$636,0)))</f>
        <v/>
      </c>
      <c r="F145">
        <f>IF($K145="","",INDEX(Raw_data!$AQ$2:$AQ$636,MATCH($K145,Model!$R$2:$R$636,0)))</f>
        <v/>
      </c>
      <c r="G145">
        <f>IF($K145="","",INDEX(Raw_data!$H$2:$H$636,MATCH($K145,Model!$R$2:$R$636,0)))</f>
        <v/>
      </c>
      <c r="H145" s="8">
        <f>IF($K145="","",INDEX(Model!$B$2:$B$636,MATCH($K145,Model!$R$2:$R$636,0)))</f>
        <v/>
      </c>
      <c r="I145" s="8">
        <f>IF($K145="","",INDEX(Model!$C$2:$C$636,MATCH($K145,Model!$R$2:$R$636,0)))</f>
        <v/>
      </c>
      <c r="J145">
        <f>IF($K145="","",INDEX(Model!$D$2:$D$636,MATCH($K145,Model!$R$2:$R$636,0)))</f>
        <v/>
      </c>
      <c r="K145">
        <f>IF(109&lt;=$E$5,LARGE(Model!$R$2:$R$636,109),"")</f>
        <v/>
      </c>
    </row>
    <row r="146">
      <c r="A146">
        <f>IF($K146="","",INDEX(Raw_data!$D$2:$D$636,MATCH($K146,Model!$R$2:$R$636,0)))</f>
        <v/>
      </c>
      <c r="B146" s="11">
        <f>IF($K146="","",INDEX(Raw_data!$F$2:$F$636,MATCH($K146,Model!$R$2:$R$636,0)))</f>
        <v/>
      </c>
      <c r="C146">
        <f>IF($K146="","",HYPERLINK(INDEX(Raw_data!$C$2:$C$636,MATCH($K146,Model!$R$2:$R$636,0)),INDEX(Raw_data!$C$2:$C$636,MATCH($K146,Model!$R$2:$R$636,0))))</f>
        <v/>
      </c>
      <c r="D146">
        <f>IF($K146="","",INDEX(Raw_data!$AL$2:$AL$636,MATCH($K146,Model!$R$2:$R$636,0)))</f>
        <v/>
      </c>
      <c r="E146">
        <f>IF($K146="","",INDEX(Raw_data!$AM$2:$AM$636,MATCH($K146,Model!$R$2:$R$636,0)))</f>
        <v/>
      </c>
      <c r="F146">
        <f>IF($K146="","",INDEX(Raw_data!$AQ$2:$AQ$636,MATCH($K146,Model!$R$2:$R$636,0)))</f>
        <v/>
      </c>
      <c r="G146">
        <f>IF($K146="","",INDEX(Raw_data!$H$2:$H$636,MATCH($K146,Model!$R$2:$R$636,0)))</f>
        <v/>
      </c>
      <c r="H146" s="8">
        <f>IF($K146="","",INDEX(Model!$B$2:$B$636,MATCH($K146,Model!$R$2:$R$636,0)))</f>
        <v/>
      </c>
      <c r="I146" s="8">
        <f>IF($K146="","",INDEX(Model!$C$2:$C$636,MATCH($K146,Model!$R$2:$R$636,0)))</f>
        <v/>
      </c>
      <c r="J146">
        <f>IF($K146="","",INDEX(Model!$D$2:$D$636,MATCH($K146,Model!$R$2:$R$636,0)))</f>
        <v/>
      </c>
      <c r="K146">
        <f>IF(110&lt;=$E$5,LARGE(Model!$R$2:$R$636,110),"")</f>
        <v/>
      </c>
    </row>
    <row r="147">
      <c r="A147">
        <f>IF($K147="","",INDEX(Raw_data!$D$2:$D$636,MATCH($K147,Model!$R$2:$R$636,0)))</f>
        <v/>
      </c>
      <c r="B147" s="11">
        <f>IF($K147="","",INDEX(Raw_data!$F$2:$F$636,MATCH($K147,Model!$R$2:$R$636,0)))</f>
        <v/>
      </c>
      <c r="C147">
        <f>IF($K147="","",HYPERLINK(INDEX(Raw_data!$C$2:$C$636,MATCH($K147,Model!$R$2:$R$636,0)),INDEX(Raw_data!$C$2:$C$636,MATCH($K147,Model!$R$2:$R$636,0))))</f>
        <v/>
      </c>
      <c r="D147">
        <f>IF($K147="","",INDEX(Raw_data!$AL$2:$AL$636,MATCH($K147,Model!$R$2:$R$636,0)))</f>
        <v/>
      </c>
      <c r="E147">
        <f>IF($K147="","",INDEX(Raw_data!$AM$2:$AM$636,MATCH($K147,Model!$R$2:$R$636,0)))</f>
        <v/>
      </c>
      <c r="F147">
        <f>IF($K147="","",INDEX(Raw_data!$AQ$2:$AQ$636,MATCH($K147,Model!$R$2:$R$636,0)))</f>
        <v/>
      </c>
      <c r="G147">
        <f>IF($K147="","",INDEX(Raw_data!$H$2:$H$636,MATCH($K147,Model!$R$2:$R$636,0)))</f>
        <v/>
      </c>
      <c r="H147" s="8">
        <f>IF($K147="","",INDEX(Model!$B$2:$B$636,MATCH($K147,Model!$R$2:$R$636,0)))</f>
        <v/>
      </c>
      <c r="I147" s="8">
        <f>IF($K147="","",INDEX(Model!$C$2:$C$636,MATCH($K147,Model!$R$2:$R$636,0)))</f>
        <v/>
      </c>
      <c r="J147">
        <f>IF($K147="","",INDEX(Model!$D$2:$D$636,MATCH($K147,Model!$R$2:$R$636,0)))</f>
        <v/>
      </c>
      <c r="K147">
        <f>IF(111&lt;=$E$5,LARGE(Model!$R$2:$R$636,111),"")</f>
        <v/>
      </c>
    </row>
    <row r="148">
      <c r="A148">
        <f>IF($K148="","",INDEX(Raw_data!$D$2:$D$636,MATCH($K148,Model!$R$2:$R$636,0)))</f>
        <v/>
      </c>
      <c r="B148" s="11">
        <f>IF($K148="","",INDEX(Raw_data!$F$2:$F$636,MATCH($K148,Model!$R$2:$R$636,0)))</f>
        <v/>
      </c>
      <c r="C148">
        <f>IF($K148="","",HYPERLINK(INDEX(Raw_data!$C$2:$C$636,MATCH($K148,Model!$R$2:$R$636,0)),INDEX(Raw_data!$C$2:$C$636,MATCH($K148,Model!$R$2:$R$636,0))))</f>
        <v/>
      </c>
      <c r="D148">
        <f>IF($K148="","",INDEX(Raw_data!$AL$2:$AL$636,MATCH($K148,Model!$R$2:$R$636,0)))</f>
        <v/>
      </c>
      <c r="E148">
        <f>IF($K148="","",INDEX(Raw_data!$AM$2:$AM$636,MATCH($K148,Model!$R$2:$R$636,0)))</f>
        <v/>
      </c>
      <c r="F148">
        <f>IF($K148="","",INDEX(Raw_data!$AQ$2:$AQ$636,MATCH($K148,Model!$R$2:$R$636,0)))</f>
        <v/>
      </c>
      <c r="G148">
        <f>IF($K148="","",INDEX(Raw_data!$H$2:$H$636,MATCH($K148,Model!$R$2:$R$636,0)))</f>
        <v/>
      </c>
      <c r="H148" s="8">
        <f>IF($K148="","",INDEX(Model!$B$2:$B$636,MATCH($K148,Model!$R$2:$R$636,0)))</f>
        <v/>
      </c>
      <c r="I148" s="8">
        <f>IF($K148="","",INDEX(Model!$C$2:$C$636,MATCH($K148,Model!$R$2:$R$636,0)))</f>
        <v/>
      </c>
      <c r="J148">
        <f>IF($K148="","",INDEX(Model!$D$2:$D$636,MATCH($K148,Model!$R$2:$R$636,0)))</f>
        <v/>
      </c>
      <c r="K148">
        <f>IF(112&lt;=$E$5,LARGE(Model!$R$2:$R$636,112),"")</f>
        <v/>
      </c>
    </row>
    <row r="149">
      <c r="A149">
        <f>IF($K149="","",INDEX(Raw_data!$D$2:$D$636,MATCH($K149,Model!$R$2:$R$636,0)))</f>
        <v/>
      </c>
      <c r="B149" s="11">
        <f>IF($K149="","",INDEX(Raw_data!$F$2:$F$636,MATCH($K149,Model!$R$2:$R$636,0)))</f>
        <v/>
      </c>
      <c r="C149">
        <f>IF($K149="","",HYPERLINK(INDEX(Raw_data!$C$2:$C$636,MATCH($K149,Model!$R$2:$R$636,0)),INDEX(Raw_data!$C$2:$C$636,MATCH($K149,Model!$R$2:$R$636,0))))</f>
        <v/>
      </c>
      <c r="D149">
        <f>IF($K149="","",INDEX(Raw_data!$AL$2:$AL$636,MATCH($K149,Model!$R$2:$R$636,0)))</f>
        <v/>
      </c>
      <c r="E149">
        <f>IF($K149="","",INDEX(Raw_data!$AM$2:$AM$636,MATCH($K149,Model!$R$2:$R$636,0)))</f>
        <v/>
      </c>
      <c r="F149">
        <f>IF($K149="","",INDEX(Raw_data!$AQ$2:$AQ$636,MATCH($K149,Model!$R$2:$R$636,0)))</f>
        <v/>
      </c>
      <c r="G149">
        <f>IF($K149="","",INDEX(Raw_data!$H$2:$H$636,MATCH($K149,Model!$R$2:$R$636,0)))</f>
        <v/>
      </c>
      <c r="H149" s="8">
        <f>IF($K149="","",INDEX(Model!$B$2:$B$636,MATCH($K149,Model!$R$2:$R$636,0)))</f>
        <v/>
      </c>
      <c r="I149" s="8">
        <f>IF($K149="","",INDEX(Model!$C$2:$C$636,MATCH($K149,Model!$R$2:$R$636,0)))</f>
        <v/>
      </c>
      <c r="J149">
        <f>IF($K149="","",INDEX(Model!$D$2:$D$636,MATCH($K149,Model!$R$2:$R$636,0)))</f>
        <v/>
      </c>
      <c r="K149">
        <f>IF(113&lt;=$E$5,LARGE(Model!$R$2:$R$636,113),"")</f>
        <v/>
      </c>
    </row>
    <row r="150">
      <c r="A150">
        <f>IF($K150="","",INDEX(Raw_data!$D$2:$D$636,MATCH($K150,Model!$R$2:$R$636,0)))</f>
        <v/>
      </c>
      <c r="B150" s="11">
        <f>IF($K150="","",INDEX(Raw_data!$F$2:$F$636,MATCH($K150,Model!$R$2:$R$636,0)))</f>
        <v/>
      </c>
      <c r="C150">
        <f>IF($K150="","",HYPERLINK(INDEX(Raw_data!$C$2:$C$636,MATCH($K150,Model!$R$2:$R$636,0)),INDEX(Raw_data!$C$2:$C$636,MATCH($K150,Model!$R$2:$R$636,0))))</f>
        <v/>
      </c>
      <c r="D150">
        <f>IF($K150="","",INDEX(Raw_data!$AL$2:$AL$636,MATCH($K150,Model!$R$2:$R$636,0)))</f>
        <v/>
      </c>
      <c r="E150">
        <f>IF($K150="","",INDEX(Raw_data!$AM$2:$AM$636,MATCH($K150,Model!$R$2:$R$636,0)))</f>
        <v/>
      </c>
      <c r="F150">
        <f>IF($K150="","",INDEX(Raw_data!$AQ$2:$AQ$636,MATCH($K150,Model!$R$2:$R$636,0)))</f>
        <v/>
      </c>
      <c r="G150">
        <f>IF($K150="","",INDEX(Raw_data!$H$2:$H$636,MATCH($K150,Model!$R$2:$R$636,0)))</f>
        <v/>
      </c>
      <c r="H150" s="8">
        <f>IF($K150="","",INDEX(Model!$B$2:$B$636,MATCH($K150,Model!$R$2:$R$636,0)))</f>
        <v/>
      </c>
      <c r="I150" s="8">
        <f>IF($K150="","",INDEX(Model!$C$2:$C$636,MATCH($K150,Model!$R$2:$R$636,0)))</f>
        <v/>
      </c>
      <c r="J150">
        <f>IF($K150="","",INDEX(Model!$D$2:$D$636,MATCH($K150,Model!$R$2:$R$636,0)))</f>
        <v/>
      </c>
      <c r="K150">
        <f>IF(114&lt;=$E$5,LARGE(Model!$R$2:$R$636,114),"")</f>
        <v/>
      </c>
    </row>
    <row r="151">
      <c r="A151">
        <f>IF($K151="","",INDEX(Raw_data!$D$2:$D$636,MATCH($K151,Model!$R$2:$R$636,0)))</f>
        <v/>
      </c>
      <c r="B151" s="11">
        <f>IF($K151="","",INDEX(Raw_data!$F$2:$F$636,MATCH($K151,Model!$R$2:$R$636,0)))</f>
        <v/>
      </c>
      <c r="C151">
        <f>IF($K151="","",HYPERLINK(INDEX(Raw_data!$C$2:$C$636,MATCH($K151,Model!$R$2:$R$636,0)),INDEX(Raw_data!$C$2:$C$636,MATCH($K151,Model!$R$2:$R$636,0))))</f>
        <v/>
      </c>
      <c r="D151">
        <f>IF($K151="","",INDEX(Raw_data!$AL$2:$AL$636,MATCH($K151,Model!$R$2:$R$636,0)))</f>
        <v/>
      </c>
      <c r="E151">
        <f>IF($K151="","",INDEX(Raw_data!$AM$2:$AM$636,MATCH($K151,Model!$R$2:$R$636,0)))</f>
        <v/>
      </c>
      <c r="F151">
        <f>IF($K151="","",INDEX(Raw_data!$AQ$2:$AQ$636,MATCH($K151,Model!$R$2:$R$636,0)))</f>
        <v/>
      </c>
      <c r="G151">
        <f>IF($K151="","",INDEX(Raw_data!$H$2:$H$636,MATCH($K151,Model!$R$2:$R$636,0)))</f>
        <v/>
      </c>
      <c r="H151" s="8">
        <f>IF($K151="","",INDEX(Model!$B$2:$B$636,MATCH($K151,Model!$R$2:$R$636,0)))</f>
        <v/>
      </c>
      <c r="I151" s="8">
        <f>IF($K151="","",INDEX(Model!$C$2:$C$636,MATCH($K151,Model!$R$2:$R$636,0)))</f>
        <v/>
      </c>
      <c r="J151">
        <f>IF($K151="","",INDEX(Model!$D$2:$D$636,MATCH($K151,Model!$R$2:$R$636,0)))</f>
        <v/>
      </c>
      <c r="K151">
        <f>IF(115&lt;=$E$5,LARGE(Model!$R$2:$R$636,115),"")</f>
        <v/>
      </c>
    </row>
    <row r="152">
      <c r="A152">
        <f>IF($K152="","",INDEX(Raw_data!$D$2:$D$636,MATCH($K152,Model!$R$2:$R$636,0)))</f>
        <v/>
      </c>
      <c r="B152" s="11">
        <f>IF($K152="","",INDEX(Raw_data!$F$2:$F$636,MATCH($K152,Model!$R$2:$R$636,0)))</f>
        <v/>
      </c>
      <c r="C152">
        <f>IF($K152="","",HYPERLINK(INDEX(Raw_data!$C$2:$C$636,MATCH($K152,Model!$R$2:$R$636,0)),INDEX(Raw_data!$C$2:$C$636,MATCH($K152,Model!$R$2:$R$636,0))))</f>
        <v/>
      </c>
      <c r="D152">
        <f>IF($K152="","",INDEX(Raw_data!$AL$2:$AL$636,MATCH($K152,Model!$R$2:$R$636,0)))</f>
        <v/>
      </c>
      <c r="E152">
        <f>IF($K152="","",INDEX(Raw_data!$AM$2:$AM$636,MATCH($K152,Model!$R$2:$R$636,0)))</f>
        <v/>
      </c>
      <c r="F152">
        <f>IF($K152="","",INDEX(Raw_data!$AQ$2:$AQ$636,MATCH($K152,Model!$R$2:$R$636,0)))</f>
        <v/>
      </c>
      <c r="G152">
        <f>IF($K152="","",INDEX(Raw_data!$H$2:$H$636,MATCH($K152,Model!$R$2:$R$636,0)))</f>
        <v/>
      </c>
      <c r="H152" s="8">
        <f>IF($K152="","",INDEX(Model!$B$2:$B$636,MATCH($K152,Model!$R$2:$R$636,0)))</f>
        <v/>
      </c>
      <c r="I152" s="8">
        <f>IF($K152="","",INDEX(Model!$C$2:$C$636,MATCH($K152,Model!$R$2:$R$636,0)))</f>
        <v/>
      </c>
      <c r="J152">
        <f>IF($K152="","",INDEX(Model!$D$2:$D$636,MATCH($K152,Model!$R$2:$R$636,0)))</f>
        <v/>
      </c>
      <c r="K152">
        <f>IF(116&lt;=$E$5,LARGE(Model!$R$2:$R$636,116),"")</f>
        <v/>
      </c>
    </row>
    <row r="153">
      <c r="A153">
        <f>IF($K153="","",INDEX(Raw_data!$D$2:$D$636,MATCH($K153,Model!$R$2:$R$636,0)))</f>
        <v/>
      </c>
      <c r="B153" s="11">
        <f>IF($K153="","",INDEX(Raw_data!$F$2:$F$636,MATCH($K153,Model!$R$2:$R$636,0)))</f>
        <v/>
      </c>
      <c r="C153">
        <f>IF($K153="","",HYPERLINK(INDEX(Raw_data!$C$2:$C$636,MATCH($K153,Model!$R$2:$R$636,0)),INDEX(Raw_data!$C$2:$C$636,MATCH($K153,Model!$R$2:$R$636,0))))</f>
        <v/>
      </c>
      <c r="D153">
        <f>IF($K153="","",INDEX(Raw_data!$AL$2:$AL$636,MATCH($K153,Model!$R$2:$R$636,0)))</f>
        <v/>
      </c>
      <c r="E153">
        <f>IF($K153="","",INDEX(Raw_data!$AM$2:$AM$636,MATCH($K153,Model!$R$2:$R$636,0)))</f>
        <v/>
      </c>
      <c r="F153">
        <f>IF($K153="","",INDEX(Raw_data!$AQ$2:$AQ$636,MATCH($K153,Model!$R$2:$R$636,0)))</f>
        <v/>
      </c>
      <c r="G153">
        <f>IF($K153="","",INDEX(Raw_data!$H$2:$H$636,MATCH($K153,Model!$R$2:$R$636,0)))</f>
        <v/>
      </c>
      <c r="H153" s="8">
        <f>IF($K153="","",INDEX(Model!$B$2:$B$636,MATCH($K153,Model!$R$2:$R$636,0)))</f>
        <v/>
      </c>
      <c r="I153" s="8">
        <f>IF($K153="","",INDEX(Model!$C$2:$C$636,MATCH($K153,Model!$R$2:$R$636,0)))</f>
        <v/>
      </c>
      <c r="J153">
        <f>IF($K153="","",INDEX(Model!$D$2:$D$636,MATCH($K153,Model!$R$2:$R$636,0)))</f>
        <v/>
      </c>
      <c r="K153">
        <f>IF(117&lt;=$E$5,LARGE(Model!$R$2:$R$636,117),"")</f>
        <v/>
      </c>
    </row>
    <row r="154">
      <c r="A154">
        <f>IF($K154="","",INDEX(Raw_data!$D$2:$D$636,MATCH($K154,Model!$R$2:$R$636,0)))</f>
        <v/>
      </c>
      <c r="B154" s="11">
        <f>IF($K154="","",INDEX(Raw_data!$F$2:$F$636,MATCH($K154,Model!$R$2:$R$636,0)))</f>
        <v/>
      </c>
      <c r="C154">
        <f>IF($K154="","",HYPERLINK(INDEX(Raw_data!$C$2:$C$636,MATCH($K154,Model!$R$2:$R$636,0)),INDEX(Raw_data!$C$2:$C$636,MATCH($K154,Model!$R$2:$R$636,0))))</f>
        <v/>
      </c>
      <c r="D154">
        <f>IF($K154="","",INDEX(Raw_data!$AL$2:$AL$636,MATCH($K154,Model!$R$2:$R$636,0)))</f>
        <v/>
      </c>
      <c r="E154">
        <f>IF($K154="","",INDEX(Raw_data!$AM$2:$AM$636,MATCH($K154,Model!$R$2:$R$636,0)))</f>
        <v/>
      </c>
      <c r="F154">
        <f>IF($K154="","",INDEX(Raw_data!$AQ$2:$AQ$636,MATCH($K154,Model!$R$2:$R$636,0)))</f>
        <v/>
      </c>
      <c r="G154">
        <f>IF($K154="","",INDEX(Raw_data!$H$2:$H$636,MATCH($K154,Model!$R$2:$R$636,0)))</f>
        <v/>
      </c>
      <c r="H154" s="8">
        <f>IF($K154="","",INDEX(Model!$B$2:$B$636,MATCH($K154,Model!$R$2:$R$636,0)))</f>
        <v/>
      </c>
      <c r="I154" s="8">
        <f>IF($K154="","",INDEX(Model!$C$2:$C$636,MATCH($K154,Model!$R$2:$R$636,0)))</f>
        <v/>
      </c>
      <c r="J154">
        <f>IF($K154="","",INDEX(Model!$D$2:$D$636,MATCH($K154,Model!$R$2:$R$636,0)))</f>
        <v/>
      </c>
      <c r="K154">
        <f>IF(118&lt;=$E$5,LARGE(Model!$R$2:$R$636,118),"")</f>
        <v/>
      </c>
    </row>
    <row r="155">
      <c r="A155">
        <f>IF($K155="","",INDEX(Raw_data!$D$2:$D$636,MATCH($K155,Model!$R$2:$R$636,0)))</f>
        <v/>
      </c>
      <c r="B155" s="11">
        <f>IF($K155="","",INDEX(Raw_data!$F$2:$F$636,MATCH($K155,Model!$R$2:$R$636,0)))</f>
        <v/>
      </c>
      <c r="C155">
        <f>IF($K155="","",HYPERLINK(INDEX(Raw_data!$C$2:$C$636,MATCH($K155,Model!$R$2:$R$636,0)),INDEX(Raw_data!$C$2:$C$636,MATCH($K155,Model!$R$2:$R$636,0))))</f>
        <v/>
      </c>
      <c r="D155">
        <f>IF($K155="","",INDEX(Raw_data!$AL$2:$AL$636,MATCH($K155,Model!$R$2:$R$636,0)))</f>
        <v/>
      </c>
      <c r="E155">
        <f>IF($K155="","",INDEX(Raw_data!$AM$2:$AM$636,MATCH($K155,Model!$R$2:$R$636,0)))</f>
        <v/>
      </c>
      <c r="F155">
        <f>IF($K155="","",INDEX(Raw_data!$AQ$2:$AQ$636,MATCH($K155,Model!$R$2:$R$636,0)))</f>
        <v/>
      </c>
      <c r="G155">
        <f>IF($K155="","",INDEX(Raw_data!$H$2:$H$636,MATCH($K155,Model!$R$2:$R$636,0)))</f>
        <v/>
      </c>
      <c r="H155" s="8">
        <f>IF($K155="","",INDEX(Model!$B$2:$B$636,MATCH($K155,Model!$R$2:$R$636,0)))</f>
        <v/>
      </c>
      <c r="I155" s="8">
        <f>IF($K155="","",INDEX(Model!$C$2:$C$636,MATCH($K155,Model!$R$2:$R$636,0)))</f>
        <v/>
      </c>
      <c r="J155">
        <f>IF($K155="","",INDEX(Model!$D$2:$D$636,MATCH($K155,Model!$R$2:$R$636,0)))</f>
        <v/>
      </c>
      <c r="K155">
        <f>IF(119&lt;=$E$5,LARGE(Model!$R$2:$R$636,119),"")</f>
        <v/>
      </c>
    </row>
    <row r="156">
      <c r="A156">
        <f>IF($K156="","",INDEX(Raw_data!$D$2:$D$636,MATCH($K156,Model!$R$2:$R$636,0)))</f>
        <v/>
      </c>
      <c r="B156" s="11">
        <f>IF($K156="","",INDEX(Raw_data!$F$2:$F$636,MATCH($K156,Model!$R$2:$R$636,0)))</f>
        <v/>
      </c>
      <c r="C156">
        <f>IF($K156="","",HYPERLINK(INDEX(Raw_data!$C$2:$C$636,MATCH($K156,Model!$R$2:$R$636,0)),INDEX(Raw_data!$C$2:$C$636,MATCH($K156,Model!$R$2:$R$636,0))))</f>
        <v/>
      </c>
      <c r="D156">
        <f>IF($K156="","",INDEX(Raw_data!$AL$2:$AL$636,MATCH($K156,Model!$R$2:$R$636,0)))</f>
        <v/>
      </c>
      <c r="E156">
        <f>IF($K156="","",INDEX(Raw_data!$AM$2:$AM$636,MATCH($K156,Model!$R$2:$R$636,0)))</f>
        <v/>
      </c>
      <c r="F156">
        <f>IF($K156="","",INDEX(Raw_data!$AQ$2:$AQ$636,MATCH($K156,Model!$R$2:$R$636,0)))</f>
        <v/>
      </c>
      <c r="G156">
        <f>IF($K156="","",INDEX(Raw_data!$H$2:$H$636,MATCH($K156,Model!$R$2:$R$636,0)))</f>
        <v/>
      </c>
      <c r="H156" s="8">
        <f>IF($K156="","",INDEX(Model!$B$2:$B$636,MATCH($K156,Model!$R$2:$R$636,0)))</f>
        <v/>
      </c>
      <c r="I156" s="8">
        <f>IF($K156="","",INDEX(Model!$C$2:$C$636,MATCH($K156,Model!$R$2:$R$636,0)))</f>
        <v/>
      </c>
      <c r="J156">
        <f>IF($K156="","",INDEX(Model!$D$2:$D$636,MATCH($K156,Model!$R$2:$R$636,0)))</f>
        <v/>
      </c>
      <c r="K156">
        <f>IF(120&lt;=$E$5,LARGE(Model!$R$2:$R$636,120),"")</f>
        <v/>
      </c>
    </row>
    <row r="157">
      <c r="A157">
        <f>IF($K157="","",INDEX(Raw_data!$D$2:$D$636,MATCH($K157,Model!$R$2:$R$636,0)))</f>
        <v/>
      </c>
      <c r="B157" s="11">
        <f>IF($K157="","",INDEX(Raw_data!$F$2:$F$636,MATCH($K157,Model!$R$2:$R$636,0)))</f>
        <v/>
      </c>
      <c r="C157">
        <f>IF($K157="","",HYPERLINK(INDEX(Raw_data!$C$2:$C$636,MATCH($K157,Model!$R$2:$R$636,0)),INDEX(Raw_data!$C$2:$C$636,MATCH($K157,Model!$R$2:$R$636,0))))</f>
        <v/>
      </c>
      <c r="D157">
        <f>IF($K157="","",INDEX(Raw_data!$AL$2:$AL$636,MATCH($K157,Model!$R$2:$R$636,0)))</f>
        <v/>
      </c>
      <c r="E157">
        <f>IF($K157="","",INDEX(Raw_data!$AM$2:$AM$636,MATCH($K157,Model!$R$2:$R$636,0)))</f>
        <v/>
      </c>
      <c r="F157">
        <f>IF($K157="","",INDEX(Raw_data!$AQ$2:$AQ$636,MATCH($K157,Model!$R$2:$R$636,0)))</f>
        <v/>
      </c>
      <c r="G157">
        <f>IF($K157="","",INDEX(Raw_data!$H$2:$H$636,MATCH($K157,Model!$R$2:$R$636,0)))</f>
        <v/>
      </c>
      <c r="H157" s="8">
        <f>IF($K157="","",INDEX(Model!$B$2:$B$636,MATCH($K157,Model!$R$2:$R$636,0)))</f>
        <v/>
      </c>
      <c r="I157" s="8">
        <f>IF($K157="","",INDEX(Model!$C$2:$C$636,MATCH($K157,Model!$R$2:$R$636,0)))</f>
        <v/>
      </c>
      <c r="J157">
        <f>IF($K157="","",INDEX(Model!$D$2:$D$636,MATCH($K157,Model!$R$2:$R$636,0)))</f>
        <v/>
      </c>
      <c r="K157">
        <f>IF(121&lt;=$E$5,LARGE(Model!$R$2:$R$636,121),"")</f>
        <v/>
      </c>
    </row>
    <row r="158">
      <c r="A158">
        <f>IF($K158="","",INDEX(Raw_data!$D$2:$D$636,MATCH($K158,Model!$R$2:$R$636,0)))</f>
        <v/>
      </c>
      <c r="B158" s="11">
        <f>IF($K158="","",INDEX(Raw_data!$F$2:$F$636,MATCH($K158,Model!$R$2:$R$636,0)))</f>
        <v/>
      </c>
      <c r="C158">
        <f>IF($K158="","",HYPERLINK(INDEX(Raw_data!$C$2:$C$636,MATCH($K158,Model!$R$2:$R$636,0)),INDEX(Raw_data!$C$2:$C$636,MATCH($K158,Model!$R$2:$R$636,0))))</f>
        <v/>
      </c>
      <c r="D158">
        <f>IF($K158="","",INDEX(Raw_data!$AL$2:$AL$636,MATCH($K158,Model!$R$2:$R$636,0)))</f>
        <v/>
      </c>
      <c r="E158">
        <f>IF($K158="","",INDEX(Raw_data!$AM$2:$AM$636,MATCH($K158,Model!$R$2:$R$636,0)))</f>
        <v/>
      </c>
      <c r="F158">
        <f>IF($K158="","",INDEX(Raw_data!$AQ$2:$AQ$636,MATCH($K158,Model!$R$2:$R$636,0)))</f>
        <v/>
      </c>
      <c r="G158">
        <f>IF($K158="","",INDEX(Raw_data!$H$2:$H$636,MATCH($K158,Model!$R$2:$R$636,0)))</f>
        <v/>
      </c>
      <c r="H158" s="8">
        <f>IF($K158="","",INDEX(Model!$B$2:$B$636,MATCH($K158,Model!$R$2:$R$636,0)))</f>
        <v/>
      </c>
      <c r="I158" s="8">
        <f>IF($K158="","",INDEX(Model!$C$2:$C$636,MATCH($K158,Model!$R$2:$R$636,0)))</f>
        <v/>
      </c>
      <c r="J158">
        <f>IF($K158="","",INDEX(Model!$D$2:$D$636,MATCH($K158,Model!$R$2:$R$636,0)))</f>
        <v/>
      </c>
      <c r="K158">
        <f>IF(122&lt;=$E$5,LARGE(Model!$R$2:$R$636,122),"")</f>
        <v/>
      </c>
    </row>
    <row r="159">
      <c r="A159">
        <f>IF($K159="","",INDEX(Raw_data!$D$2:$D$636,MATCH($K159,Model!$R$2:$R$636,0)))</f>
        <v/>
      </c>
      <c r="B159" s="11">
        <f>IF($K159="","",INDEX(Raw_data!$F$2:$F$636,MATCH($K159,Model!$R$2:$R$636,0)))</f>
        <v/>
      </c>
      <c r="C159">
        <f>IF($K159="","",HYPERLINK(INDEX(Raw_data!$C$2:$C$636,MATCH($K159,Model!$R$2:$R$636,0)),INDEX(Raw_data!$C$2:$C$636,MATCH($K159,Model!$R$2:$R$636,0))))</f>
        <v/>
      </c>
      <c r="D159">
        <f>IF($K159="","",INDEX(Raw_data!$AL$2:$AL$636,MATCH($K159,Model!$R$2:$R$636,0)))</f>
        <v/>
      </c>
      <c r="E159">
        <f>IF($K159="","",INDEX(Raw_data!$AM$2:$AM$636,MATCH($K159,Model!$R$2:$R$636,0)))</f>
        <v/>
      </c>
      <c r="F159">
        <f>IF($K159="","",INDEX(Raw_data!$AQ$2:$AQ$636,MATCH($K159,Model!$R$2:$R$636,0)))</f>
        <v/>
      </c>
      <c r="G159">
        <f>IF($K159="","",INDEX(Raw_data!$H$2:$H$636,MATCH($K159,Model!$R$2:$R$636,0)))</f>
        <v/>
      </c>
      <c r="H159" s="8">
        <f>IF($K159="","",INDEX(Model!$B$2:$B$636,MATCH($K159,Model!$R$2:$R$636,0)))</f>
        <v/>
      </c>
      <c r="I159" s="8">
        <f>IF($K159="","",INDEX(Model!$C$2:$C$636,MATCH($K159,Model!$R$2:$R$636,0)))</f>
        <v/>
      </c>
      <c r="J159">
        <f>IF($K159="","",INDEX(Model!$D$2:$D$636,MATCH($K159,Model!$R$2:$R$636,0)))</f>
        <v/>
      </c>
      <c r="K159">
        <f>IF(123&lt;=$E$5,LARGE(Model!$R$2:$R$636,123),"")</f>
        <v/>
      </c>
    </row>
    <row r="160">
      <c r="A160">
        <f>IF($K160="","",INDEX(Raw_data!$D$2:$D$636,MATCH($K160,Model!$R$2:$R$636,0)))</f>
        <v/>
      </c>
      <c r="B160" s="11">
        <f>IF($K160="","",INDEX(Raw_data!$F$2:$F$636,MATCH($K160,Model!$R$2:$R$636,0)))</f>
        <v/>
      </c>
      <c r="C160">
        <f>IF($K160="","",HYPERLINK(INDEX(Raw_data!$C$2:$C$636,MATCH($K160,Model!$R$2:$R$636,0)),INDEX(Raw_data!$C$2:$C$636,MATCH($K160,Model!$R$2:$R$636,0))))</f>
        <v/>
      </c>
      <c r="D160">
        <f>IF($K160="","",INDEX(Raw_data!$AL$2:$AL$636,MATCH($K160,Model!$R$2:$R$636,0)))</f>
        <v/>
      </c>
      <c r="E160">
        <f>IF($K160="","",INDEX(Raw_data!$AM$2:$AM$636,MATCH($K160,Model!$R$2:$R$636,0)))</f>
        <v/>
      </c>
      <c r="F160">
        <f>IF($K160="","",INDEX(Raw_data!$AQ$2:$AQ$636,MATCH($K160,Model!$R$2:$R$636,0)))</f>
        <v/>
      </c>
      <c r="G160">
        <f>IF($K160="","",INDEX(Raw_data!$H$2:$H$636,MATCH($K160,Model!$R$2:$R$636,0)))</f>
        <v/>
      </c>
      <c r="H160" s="8">
        <f>IF($K160="","",INDEX(Model!$B$2:$B$636,MATCH($K160,Model!$R$2:$R$636,0)))</f>
        <v/>
      </c>
      <c r="I160" s="8">
        <f>IF($K160="","",INDEX(Model!$C$2:$C$636,MATCH($K160,Model!$R$2:$R$636,0)))</f>
        <v/>
      </c>
      <c r="J160">
        <f>IF($K160="","",INDEX(Model!$D$2:$D$636,MATCH($K160,Model!$R$2:$R$636,0)))</f>
        <v/>
      </c>
      <c r="K160">
        <f>IF(124&lt;=$E$5,LARGE(Model!$R$2:$R$636,124),"")</f>
        <v/>
      </c>
    </row>
    <row r="161">
      <c r="A161">
        <f>IF($K161="","",INDEX(Raw_data!$D$2:$D$636,MATCH($K161,Model!$R$2:$R$636,0)))</f>
        <v/>
      </c>
      <c r="B161" s="11">
        <f>IF($K161="","",INDEX(Raw_data!$F$2:$F$636,MATCH($K161,Model!$R$2:$R$636,0)))</f>
        <v/>
      </c>
      <c r="C161">
        <f>IF($K161="","",HYPERLINK(INDEX(Raw_data!$C$2:$C$636,MATCH($K161,Model!$R$2:$R$636,0)),INDEX(Raw_data!$C$2:$C$636,MATCH($K161,Model!$R$2:$R$636,0))))</f>
        <v/>
      </c>
      <c r="D161">
        <f>IF($K161="","",INDEX(Raw_data!$AL$2:$AL$636,MATCH($K161,Model!$R$2:$R$636,0)))</f>
        <v/>
      </c>
      <c r="E161">
        <f>IF($K161="","",INDEX(Raw_data!$AM$2:$AM$636,MATCH($K161,Model!$R$2:$R$636,0)))</f>
        <v/>
      </c>
      <c r="F161">
        <f>IF($K161="","",INDEX(Raw_data!$AQ$2:$AQ$636,MATCH($K161,Model!$R$2:$R$636,0)))</f>
        <v/>
      </c>
      <c r="G161">
        <f>IF($K161="","",INDEX(Raw_data!$H$2:$H$636,MATCH($K161,Model!$R$2:$R$636,0)))</f>
        <v/>
      </c>
      <c r="H161" s="8">
        <f>IF($K161="","",INDEX(Model!$B$2:$B$636,MATCH($K161,Model!$R$2:$R$636,0)))</f>
        <v/>
      </c>
      <c r="I161" s="8">
        <f>IF($K161="","",INDEX(Model!$C$2:$C$636,MATCH($K161,Model!$R$2:$R$636,0)))</f>
        <v/>
      </c>
      <c r="J161">
        <f>IF($K161="","",INDEX(Model!$D$2:$D$636,MATCH($K161,Model!$R$2:$R$636,0)))</f>
        <v/>
      </c>
      <c r="K161">
        <f>IF(125&lt;=$E$5,LARGE(Model!$R$2:$R$636,125),"")</f>
        <v/>
      </c>
    </row>
    <row r="162">
      <c r="A162">
        <f>IF($K162="","",INDEX(Raw_data!$D$2:$D$636,MATCH($K162,Model!$R$2:$R$636,0)))</f>
        <v/>
      </c>
      <c r="B162" s="11">
        <f>IF($K162="","",INDEX(Raw_data!$F$2:$F$636,MATCH($K162,Model!$R$2:$R$636,0)))</f>
        <v/>
      </c>
      <c r="C162">
        <f>IF($K162="","",HYPERLINK(INDEX(Raw_data!$C$2:$C$636,MATCH($K162,Model!$R$2:$R$636,0)),INDEX(Raw_data!$C$2:$C$636,MATCH($K162,Model!$R$2:$R$636,0))))</f>
        <v/>
      </c>
      <c r="D162">
        <f>IF($K162="","",INDEX(Raw_data!$AL$2:$AL$636,MATCH($K162,Model!$R$2:$R$636,0)))</f>
        <v/>
      </c>
      <c r="E162">
        <f>IF($K162="","",INDEX(Raw_data!$AM$2:$AM$636,MATCH($K162,Model!$R$2:$R$636,0)))</f>
        <v/>
      </c>
      <c r="F162">
        <f>IF($K162="","",INDEX(Raw_data!$AQ$2:$AQ$636,MATCH($K162,Model!$R$2:$R$636,0)))</f>
        <v/>
      </c>
      <c r="G162">
        <f>IF($K162="","",INDEX(Raw_data!$H$2:$H$636,MATCH($K162,Model!$R$2:$R$636,0)))</f>
        <v/>
      </c>
      <c r="H162" s="8">
        <f>IF($K162="","",INDEX(Model!$B$2:$B$636,MATCH($K162,Model!$R$2:$R$636,0)))</f>
        <v/>
      </c>
      <c r="I162" s="8">
        <f>IF($K162="","",INDEX(Model!$C$2:$C$636,MATCH($K162,Model!$R$2:$R$636,0)))</f>
        <v/>
      </c>
      <c r="J162">
        <f>IF($K162="","",INDEX(Model!$D$2:$D$636,MATCH($K162,Model!$R$2:$R$636,0)))</f>
        <v/>
      </c>
      <c r="K162">
        <f>IF(126&lt;=$E$5,LARGE(Model!$R$2:$R$636,126),"")</f>
        <v/>
      </c>
    </row>
    <row r="163">
      <c r="A163">
        <f>IF($K163="","",INDEX(Raw_data!$D$2:$D$636,MATCH($K163,Model!$R$2:$R$636,0)))</f>
        <v/>
      </c>
      <c r="B163" s="11">
        <f>IF($K163="","",INDEX(Raw_data!$F$2:$F$636,MATCH($K163,Model!$R$2:$R$636,0)))</f>
        <v/>
      </c>
      <c r="C163">
        <f>IF($K163="","",HYPERLINK(INDEX(Raw_data!$C$2:$C$636,MATCH($K163,Model!$R$2:$R$636,0)),INDEX(Raw_data!$C$2:$C$636,MATCH($K163,Model!$R$2:$R$636,0))))</f>
        <v/>
      </c>
      <c r="D163">
        <f>IF($K163="","",INDEX(Raw_data!$AL$2:$AL$636,MATCH($K163,Model!$R$2:$R$636,0)))</f>
        <v/>
      </c>
      <c r="E163">
        <f>IF($K163="","",INDEX(Raw_data!$AM$2:$AM$636,MATCH($K163,Model!$R$2:$R$636,0)))</f>
        <v/>
      </c>
      <c r="F163">
        <f>IF($K163="","",INDEX(Raw_data!$AQ$2:$AQ$636,MATCH($K163,Model!$R$2:$R$636,0)))</f>
        <v/>
      </c>
      <c r="G163">
        <f>IF($K163="","",INDEX(Raw_data!$H$2:$H$636,MATCH($K163,Model!$R$2:$R$636,0)))</f>
        <v/>
      </c>
      <c r="H163" s="8">
        <f>IF($K163="","",INDEX(Model!$B$2:$B$636,MATCH($K163,Model!$R$2:$R$636,0)))</f>
        <v/>
      </c>
      <c r="I163" s="8">
        <f>IF($K163="","",INDEX(Model!$C$2:$C$636,MATCH($K163,Model!$R$2:$R$636,0)))</f>
        <v/>
      </c>
      <c r="J163">
        <f>IF($K163="","",INDEX(Model!$D$2:$D$636,MATCH($K163,Model!$R$2:$R$636,0)))</f>
        <v/>
      </c>
      <c r="K163">
        <f>IF(127&lt;=$E$5,LARGE(Model!$R$2:$R$636,127),"")</f>
        <v/>
      </c>
    </row>
    <row r="164">
      <c r="A164">
        <f>IF($K164="","",INDEX(Raw_data!$D$2:$D$636,MATCH($K164,Model!$R$2:$R$636,0)))</f>
        <v/>
      </c>
      <c r="B164" s="11">
        <f>IF($K164="","",INDEX(Raw_data!$F$2:$F$636,MATCH($K164,Model!$R$2:$R$636,0)))</f>
        <v/>
      </c>
      <c r="C164">
        <f>IF($K164="","",HYPERLINK(INDEX(Raw_data!$C$2:$C$636,MATCH($K164,Model!$R$2:$R$636,0)),INDEX(Raw_data!$C$2:$C$636,MATCH($K164,Model!$R$2:$R$636,0))))</f>
        <v/>
      </c>
      <c r="D164">
        <f>IF($K164="","",INDEX(Raw_data!$AL$2:$AL$636,MATCH($K164,Model!$R$2:$R$636,0)))</f>
        <v/>
      </c>
      <c r="E164">
        <f>IF($K164="","",INDEX(Raw_data!$AM$2:$AM$636,MATCH($K164,Model!$R$2:$R$636,0)))</f>
        <v/>
      </c>
      <c r="F164">
        <f>IF($K164="","",INDEX(Raw_data!$AQ$2:$AQ$636,MATCH($K164,Model!$R$2:$R$636,0)))</f>
        <v/>
      </c>
      <c r="G164">
        <f>IF($K164="","",INDEX(Raw_data!$H$2:$H$636,MATCH($K164,Model!$R$2:$R$636,0)))</f>
        <v/>
      </c>
      <c r="H164" s="8">
        <f>IF($K164="","",INDEX(Model!$B$2:$B$636,MATCH($K164,Model!$R$2:$R$636,0)))</f>
        <v/>
      </c>
      <c r="I164" s="8">
        <f>IF($K164="","",INDEX(Model!$C$2:$C$636,MATCH($K164,Model!$R$2:$R$636,0)))</f>
        <v/>
      </c>
      <c r="J164">
        <f>IF($K164="","",INDEX(Model!$D$2:$D$636,MATCH($K164,Model!$R$2:$R$636,0)))</f>
        <v/>
      </c>
      <c r="K164">
        <f>IF(128&lt;=$E$5,LARGE(Model!$R$2:$R$636,128),"")</f>
        <v/>
      </c>
    </row>
    <row r="165">
      <c r="A165">
        <f>IF($K165="","",INDEX(Raw_data!$D$2:$D$636,MATCH($K165,Model!$R$2:$R$636,0)))</f>
        <v/>
      </c>
      <c r="B165" s="11">
        <f>IF($K165="","",INDEX(Raw_data!$F$2:$F$636,MATCH($K165,Model!$R$2:$R$636,0)))</f>
        <v/>
      </c>
      <c r="C165">
        <f>IF($K165="","",HYPERLINK(INDEX(Raw_data!$C$2:$C$636,MATCH($K165,Model!$R$2:$R$636,0)),INDEX(Raw_data!$C$2:$C$636,MATCH($K165,Model!$R$2:$R$636,0))))</f>
        <v/>
      </c>
      <c r="D165">
        <f>IF($K165="","",INDEX(Raw_data!$AL$2:$AL$636,MATCH($K165,Model!$R$2:$R$636,0)))</f>
        <v/>
      </c>
      <c r="E165">
        <f>IF($K165="","",INDEX(Raw_data!$AM$2:$AM$636,MATCH($K165,Model!$R$2:$R$636,0)))</f>
        <v/>
      </c>
      <c r="F165">
        <f>IF($K165="","",INDEX(Raw_data!$AQ$2:$AQ$636,MATCH($K165,Model!$R$2:$R$636,0)))</f>
        <v/>
      </c>
      <c r="G165">
        <f>IF($K165="","",INDEX(Raw_data!$H$2:$H$636,MATCH($K165,Model!$R$2:$R$636,0)))</f>
        <v/>
      </c>
      <c r="H165" s="8">
        <f>IF($K165="","",INDEX(Model!$B$2:$B$636,MATCH($K165,Model!$R$2:$R$636,0)))</f>
        <v/>
      </c>
      <c r="I165" s="8">
        <f>IF($K165="","",INDEX(Model!$C$2:$C$636,MATCH($K165,Model!$R$2:$R$636,0)))</f>
        <v/>
      </c>
      <c r="J165">
        <f>IF($K165="","",INDEX(Model!$D$2:$D$636,MATCH($K165,Model!$R$2:$R$636,0)))</f>
        <v/>
      </c>
      <c r="K165">
        <f>IF(129&lt;=$E$5,LARGE(Model!$R$2:$R$636,129),"")</f>
        <v/>
      </c>
    </row>
    <row r="166">
      <c r="A166">
        <f>IF($K166="","",INDEX(Raw_data!$D$2:$D$636,MATCH($K166,Model!$R$2:$R$636,0)))</f>
        <v/>
      </c>
      <c r="B166" s="11">
        <f>IF($K166="","",INDEX(Raw_data!$F$2:$F$636,MATCH($K166,Model!$R$2:$R$636,0)))</f>
        <v/>
      </c>
      <c r="C166">
        <f>IF($K166="","",HYPERLINK(INDEX(Raw_data!$C$2:$C$636,MATCH($K166,Model!$R$2:$R$636,0)),INDEX(Raw_data!$C$2:$C$636,MATCH($K166,Model!$R$2:$R$636,0))))</f>
        <v/>
      </c>
      <c r="D166">
        <f>IF($K166="","",INDEX(Raw_data!$AL$2:$AL$636,MATCH($K166,Model!$R$2:$R$636,0)))</f>
        <v/>
      </c>
      <c r="E166">
        <f>IF($K166="","",INDEX(Raw_data!$AM$2:$AM$636,MATCH($K166,Model!$R$2:$R$636,0)))</f>
        <v/>
      </c>
      <c r="F166">
        <f>IF($K166="","",INDEX(Raw_data!$AQ$2:$AQ$636,MATCH($K166,Model!$R$2:$R$636,0)))</f>
        <v/>
      </c>
      <c r="G166">
        <f>IF($K166="","",INDEX(Raw_data!$H$2:$H$636,MATCH($K166,Model!$R$2:$R$636,0)))</f>
        <v/>
      </c>
      <c r="H166" s="8">
        <f>IF($K166="","",INDEX(Model!$B$2:$B$636,MATCH($K166,Model!$R$2:$R$636,0)))</f>
        <v/>
      </c>
      <c r="I166" s="8">
        <f>IF($K166="","",INDEX(Model!$C$2:$C$636,MATCH($K166,Model!$R$2:$R$636,0)))</f>
        <v/>
      </c>
      <c r="J166">
        <f>IF($K166="","",INDEX(Model!$D$2:$D$636,MATCH($K166,Model!$R$2:$R$636,0)))</f>
        <v/>
      </c>
      <c r="K166">
        <f>IF(130&lt;=$E$5,LARGE(Model!$R$2:$R$636,130),"")</f>
        <v/>
      </c>
    </row>
    <row r="167">
      <c r="A167">
        <f>IF($K167="","",INDEX(Raw_data!$D$2:$D$636,MATCH($K167,Model!$R$2:$R$636,0)))</f>
        <v/>
      </c>
      <c r="B167" s="11">
        <f>IF($K167="","",INDEX(Raw_data!$F$2:$F$636,MATCH($K167,Model!$R$2:$R$636,0)))</f>
        <v/>
      </c>
      <c r="C167">
        <f>IF($K167="","",HYPERLINK(INDEX(Raw_data!$C$2:$C$636,MATCH($K167,Model!$R$2:$R$636,0)),INDEX(Raw_data!$C$2:$C$636,MATCH($K167,Model!$R$2:$R$636,0))))</f>
        <v/>
      </c>
      <c r="D167">
        <f>IF($K167="","",INDEX(Raw_data!$AL$2:$AL$636,MATCH($K167,Model!$R$2:$R$636,0)))</f>
        <v/>
      </c>
      <c r="E167">
        <f>IF($K167="","",INDEX(Raw_data!$AM$2:$AM$636,MATCH($K167,Model!$R$2:$R$636,0)))</f>
        <v/>
      </c>
      <c r="F167">
        <f>IF($K167="","",INDEX(Raw_data!$AQ$2:$AQ$636,MATCH($K167,Model!$R$2:$R$636,0)))</f>
        <v/>
      </c>
      <c r="G167">
        <f>IF($K167="","",INDEX(Raw_data!$H$2:$H$636,MATCH($K167,Model!$R$2:$R$636,0)))</f>
        <v/>
      </c>
      <c r="H167" s="8">
        <f>IF($K167="","",INDEX(Model!$B$2:$B$636,MATCH($K167,Model!$R$2:$R$636,0)))</f>
        <v/>
      </c>
      <c r="I167" s="8">
        <f>IF($K167="","",INDEX(Model!$C$2:$C$636,MATCH($K167,Model!$R$2:$R$636,0)))</f>
        <v/>
      </c>
      <c r="J167">
        <f>IF($K167="","",INDEX(Model!$D$2:$D$636,MATCH($K167,Model!$R$2:$R$636,0)))</f>
        <v/>
      </c>
      <c r="K167">
        <f>IF(131&lt;=$E$5,LARGE(Model!$R$2:$R$636,131),"")</f>
        <v/>
      </c>
    </row>
    <row r="168">
      <c r="A168">
        <f>IF($K168="","",INDEX(Raw_data!$D$2:$D$636,MATCH($K168,Model!$R$2:$R$636,0)))</f>
        <v/>
      </c>
      <c r="B168" s="11">
        <f>IF($K168="","",INDEX(Raw_data!$F$2:$F$636,MATCH($K168,Model!$R$2:$R$636,0)))</f>
        <v/>
      </c>
      <c r="C168">
        <f>IF($K168="","",HYPERLINK(INDEX(Raw_data!$C$2:$C$636,MATCH($K168,Model!$R$2:$R$636,0)),INDEX(Raw_data!$C$2:$C$636,MATCH($K168,Model!$R$2:$R$636,0))))</f>
        <v/>
      </c>
      <c r="D168">
        <f>IF($K168="","",INDEX(Raw_data!$AL$2:$AL$636,MATCH($K168,Model!$R$2:$R$636,0)))</f>
        <v/>
      </c>
      <c r="E168">
        <f>IF($K168="","",INDEX(Raw_data!$AM$2:$AM$636,MATCH($K168,Model!$R$2:$R$636,0)))</f>
        <v/>
      </c>
      <c r="F168">
        <f>IF($K168="","",INDEX(Raw_data!$AQ$2:$AQ$636,MATCH($K168,Model!$R$2:$R$636,0)))</f>
        <v/>
      </c>
      <c r="G168">
        <f>IF($K168="","",INDEX(Raw_data!$H$2:$H$636,MATCH($K168,Model!$R$2:$R$636,0)))</f>
        <v/>
      </c>
      <c r="H168" s="8">
        <f>IF($K168="","",INDEX(Model!$B$2:$B$636,MATCH($K168,Model!$R$2:$R$636,0)))</f>
        <v/>
      </c>
      <c r="I168" s="8">
        <f>IF($K168="","",INDEX(Model!$C$2:$C$636,MATCH($K168,Model!$R$2:$R$636,0)))</f>
        <v/>
      </c>
      <c r="J168">
        <f>IF($K168="","",INDEX(Model!$D$2:$D$636,MATCH($K168,Model!$R$2:$R$636,0)))</f>
        <v/>
      </c>
      <c r="K168">
        <f>IF(132&lt;=$E$5,LARGE(Model!$R$2:$R$636,132),"")</f>
        <v/>
      </c>
    </row>
    <row r="169">
      <c r="A169">
        <f>IF($K169="","",INDEX(Raw_data!$D$2:$D$636,MATCH($K169,Model!$R$2:$R$636,0)))</f>
        <v/>
      </c>
      <c r="B169" s="11">
        <f>IF($K169="","",INDEX(Raw_data!$F$2:$F$636,MATCH($K169,Model!$R$2:$R$636,0)))</f>
        <v/>
      </c>
      <c r="C169">
        <f>IF($K169="","",HYPERLINK(INDEX(Raw_data!$C$2:$C$636,MATCH($K169,Model!$R$2:$R$636,0)),INDEX(Raw_data!$C$2:$C$636,MATCH($K169,Model!$R$2:$R$636,0))))</f>
        <v/>
      </c>
      <c r="D169">
        <f>IF($K169="","",INDEX(Raw_data!$AL$2:$AL$636,MATCH($K169,Model!$R$2:$R$636,0)))</f>
        <v/>
      </c>
      <c r="E169">
        <f>IF($K169="","",INDEX(Raw_data!$AM$2:$AM$636,MATCH($K169,Model!$R$2:$R$636,0)))</f>
        <v/>
      </c>
      <c r="F169">
        <f>IF($K169="","",INDEX(Raw_data!$AQ$2:$AQ$636,MATCH($K169,Model!$R$2:$R$636,0)))</f>
        <v/>
      </c>
      <c r="G169">
        <f>IF($K169="","",INDEX(Raw_data!$H$2:$H$636,MATCH($K169,Model!$R$2:$R$636,0)))</f>
        <v/>
      </c>
      <c r="H169" s="8">
        <f>IF($K169="","",INDEX(Model!$B$2:$B$636,MATCH($K169,Model!$R$2:$R$636,0)))</f>
        <v/>
      </c>
      <c r="I169" s="8">
        <f>IF($K169="","",INDEX(Model!$C$2:$C$636,MATCH($K169,Model!$R$2:$R$636,0)))</f>
        <v/>
      </c>
      <c r="J169">
        <f>IF($K169="","",INDEX(Model!$D$2:$D$636,MATCH($K169,Model!$R$2:$R$636,0)))</f>
        <v/>
      </c>
      <c r="K169">
        <f>IF(133&lt;=$E$5,LARGE(Model!$R$2:$R$636,133),"")</f>
        <v/>
      </c>
    </row>
    <row r="170">
      <c r="A170">
        <f>IF($K170="","",INDEX(Raw_data!$D$2:$D$636,MATCH($K170,Model!$R$2:$R$636,0)))</f>
        <v/>
      </c>
      <c r="B170" s="11">
        <f>IF($K170="","",INDEX(Raw_data!$F$2:$F$636,MATCH($K170,Model!$R$2:$R$636,0)))</f>
        <v/>
      </c>
      <c r="C170">
        <f>IF($K170="","",HYPERLINK(INDEX(Raw_data!$C$2:$C$636,MATCH($K170,Model!$R$2:$R$636,0)),INDEX(Raw_data!$C$2:$C$636,MATCH($K170,Model!$R$2:$R$636,0))))</f>
        <v/>
      </c>
      <c r="D170">
        <f>IF($K170="","",INDEX(Raw_data!$AL$2:$AL$636,MATCH($K170,Model!$R$2:$R$636,0)))</f>
        <v/>
      </c>
      <c r="E170">
        <f>IF($K170="","",INDEX(Raw_data!$AM$2:$AM$636,MATCH($K170,Model!$R$2:$R$636,0)))</f>
        <v/>
      </c>
      <c r="F170">
        <f>IF($K170="","",INDEX(Raw_data!$AQ$2:$AQ$636,MATCH($K170,Model!$R$2:$R$636,0)))</f>
        <v/>
      </c>
      <c r="G170">
        <f>IF($K170="","",INDEX(Raw_data!$H$2:$H$636,MATCH($K170,Model!$R$2:$R$636,0)))</f>
        <v/>
      </c>
      <c r="H170" s="8">
        <f>IF($K170="","",INDEX(Model!$B$2:$B$636,MATCH($K170,Model!$R$2:$R$636,0)))</f>
        <v/>
      </c>
      <c r="I170" s="8">
        <f>IF($K170="","",INDEX(Model!$C$2:$C$636,MATCH($K170,Model!$R$2:$R$636,0)))</f>
        <v/>
      </c>
      <c r="J170">
        <f>IF($K170="","",INDEX(Model!$D$2:$D$636,MATCH($K170,Model!$R$2:$R$636,0)))</f>
        <v/>
      </c>
      <c r="K170">
        <f>IF(134&lt;=$E$5,LARGE(Model!$R$2:$R$636,134),"")</f>
        <v/>
      </c>
    </row>
    <row r="171">
      <c r="A171">
        <f>IF($K171="","",INDEX(Raw_data!$D$2:$D$636,MATCH($K171,Model!$R$2:$R$636,0)))</f>
        <v/>
      </c>
      <c r="B171" s="11">
        <f>IF($K171="","",INDEX(Raw_data!$F$2:$F$636,MATCH($K171,Model!$R$2:$R$636,0)))</f>
        <v/>
      </c>
      <c r="C171">
        <f>IF($K171="","",HYPERLINK(INDEX(Raw_data!$C$2:$C$636,MATCH($K171,Model!$R$2:$R$636,0)),INDEX(Raw_data!$C$2:$C$636,MATCH($K171,Model!$R$2:$R$636,0))))</f>
        <v/>
      </c>
      <c r="D171">
        <f>IF($K171="","",INDEX(Raw_data!$AL$2:$AL$636,MATCH($K171,Model!$R$2:$R$636,0)))</f>
        <v/>
      </c>
      <c r="E171">
        <f>IF($K171="","",INDEX(Raw_data!$AM$2:$AM$636,MATCH($K171,Model!$R$2:$R$636,0)))</f>
        <v/>
      </c>
      <c r="F171">
        <f>IF($K171="","",INDEX(Raw_data!$AQ$2:$AQ$636,MATCH($K171,Model!$R$2:$R$636,0)))</f>
        <v/>
      </c>
      <c r="G171">
        <f>IF($K171="","",INDEX(Raw_data!$H$2:$H$636,MATCH($K171,Model!$R$2:$R$636,0)))</f>
        <v/>
      </c>
      <c r="H171" s="8">
        <f>IF($K171="","",INDEX(Model!$B$2:$B$636,MATCH($K171,Model!$R$2:$R$636,0)))</f>
        <v/>
      </c>
      <c r="I171" s="8">
        <f>IF($K171="","",INDEX(Model!$C$2:$C$636,MATCH($K171,Model!$R$2:$R$636,0)))</f>
        <v/>
      </c>
      <c r="J171">
        <f>IF($K171="","",INDEX(Model!$D$2:$D$636,MATCH($K171,Model!$R$2:$R$636,0)))</f>
        <v/>
      </c>
      <c r="K171">
        <f>IF(135&lt;=$E$5,LARGE(Model!$R$2:$R$636,135),"")</f>
        <v/>
      </c>
    </row>
    <row r="172">
      <c r="A172">
        <f>IF($K172="","",INDEX(Raw_data!$D$2:$D$636,MATCH($K172,Model!$R$2:$R$636,0)))</f>
        <v/>
      </c>
      <c r="B172" s="11">
        <f>IF($K172="","",INDEX(Raw_data!$F$2:$F$636,MATCH($K172,Model!$R$2:$R$636,0)))</f>
        <v/>
      </c>
      <c r="C172">
        <f>IF($K172="","",HYPERLINK(INDEX(Raw_data!$C$2:$C$636,MATCH($K172,Model!$R$2:$R$636,0)),INDEX(Raw_data!$C$2:$C$636,MATCH($K172,Model!$R$2:$R$636,0))))</f>
        <v/>
      </c>
      <c r="D172">
        <f>IF($K172="","",INDEX(Raw_data!$AL$2:$AL$636,MATCH($K172,Model!$R$2:$R$636,0)))</f>
        <v/>
      </c>
      <c r="E172">
        <f>IF($K172="","",INDEX(Raw_data!$AM$2:$AM$636,MATCH($K172,Model!$R$2:$R$636,0)))</f>
        <v/>
      </c>
      <c r="F172">
        <f>IF($K172="","",INDEX(Raw_data!$AQ$2:$AQ$636,MATCH($K172,Model!$R$2:$R$636,0)))</f>
        <v/>
      </c>
      <c r="G172">
        <f>IF($K172="","",INDEX(Raw_data!$H$2:$H$636,MATCH($K172,Model!$R$2:$R$636,0)))</f>
        <v/>
      </c>
      <c r="H172" s="8">
        <f>IF($K172="","",INDEX(Model!$B$2:$B$636,MATCH($K172,Model!$R$2:$R$636,0)))</f>
        <v/>
      </c>
      <c r="I172" s="8">
        <f>IF($K172="","",INDEX(Model!$C$2:$C$636,MATCH($K172,Model!$R$2:$R$636,0)))</f>
        <v/>
      </c>
      <c r="J172">
        <f>IF($K172="","",INDEX(Model!$D$2:$D$636,MATCH($K172,Model!$R$2:$R$636,0)))</f>
        <v/>
      </c>
      <c r="K172">
        <f>IF(136&lt;=$E$5,LARGE(Model!$R$2:$R$636,136),"")</f>
        <v/>
      </c>
    </row>
    <row r="173">
      <c r="A173">
        <f>IF($K173="","",INDEX(Raw_data!$D$2:$D$636,MATCH($K173,Model!$R$2:$R$636,0)))</f>
        <v/>
      </c>
      <c r="B173" s="11">
        <f>IF($K173="","",INDEX(Raw_data!$F$2:$F$636,MATCH($K173,Model!$R$2:$R$636,0)))</f>
        <v/>
      </c>
      <c r="C173">
        <f>IF($K173="","",HYPERLINK(INDEX(Raw_data!$C$2:$C$636,MATCH($K173,Model!$R$2:$R$636,0)),INDEX(Raw_data!$C$2:$C$636,MATCH($K173,Model!$R$2:$R$636,0))))</f>
        <v/>
      </c>
      <c r="D173">
        <f>IF($K173="","",INDEX(Raw_data!$AL$2:$AL$636,MATCH($K173,Model!$R$2:$R$636,0)))</f>
        <v/>
      </c>
      <c r="E173">
        <f>IF($K173="","",INDEX(Raw_data!$AM$2:$AM$636,MATCH($K173,Model!$R$2:$R$636,0)))</f>
        <v/>
      </c>
      <c r="F173">
        <f>IF($K173="","",INDEX(Raw_data!$AQ$2:$AQ$636,MATCH($K173,Model!$R$2:$R$636,0)))</f>
        <v/>
      </c>
      <c r="G173">
        <f>IF($K173="","",INDEX(Raw_data!$H$2:$H$636,MATCH($K173,Model!$R$2:$R$636,0)))</f>
        <v/>
      </c>
      <c r="H173" s="8">
        <f>IF($K173="","",INDEX(Model!$B$2:$B$636,MATCH($K173,Model!$R$2:$R$636,0)))</f>
        <v/>
      </c>
      <c r="I173" s="8">
        <f>IF($K173="","",INDEX(Model!$C$2:$C$636,MATCH($K173,Model!$R$2:$R$636,0)))</f>
        <v/>
      </c>
      <c r="J173">
        <f>IF($K173="","",INDEX(Model!$D$2:$D$636,MATCH($K173,Model!$R$2:$R$636,0)))</f>
        <v/>
      </c>
      <c r="K173">
        <f>IF(137&lt;=$E$5,LARGE(Model!$R$2:$R$636,137),"")</f>
        <v/>
      </c>
    </row>
    <row r="174">
      <c r="A174">
        <f>IF($K174="","",INDEX(Raw_data!$D$2:$D$636,MATCH($K174,Model!$R$2:$R$636,0)))</f>
        <v/>
      </c>
      <c r="B174" s="11">
        <f>IF($K174="","",INDEX(Raw_data!$F$2:$F$636,MATCH($K174,Model!$R$2:$R$636,0)))</f>
        <v/>
      </c>
      <c r="C174">
        <f>IF($K174="","",HYPERLINK(INDEX(Raw_data!$C$2:$C$636,MATCH($K174,Model!$R$2:$R$636,0)),INDEX(Raw_data!$C$2:$C$636,MATCH($K174,Model!$R$2:$R$636,0))))</f>
        <v/>
      </c>
      <c r="D174">
        <f>IF($K174="","",INDEX(Raw_data!$AL$2:$AL$636,MATCH($K174,Model!$R$2:$R$636,0)))</f>
        <v/>
      </c>
      <c r="E174">
        <f>IF($K174="","",INDEX(Raw_data!$AM$2:$AM$636,MATCH($K174,Model!$R$2:$R$636,0)))</f>
        <v/>
      </c>
      <c r="F174">
        <f>IF($K174="","",INDEX(Raw_data!$AQ$2:$AQ$636,MATCH($K174,Model!$R$2:$R$636,0)))</f>
        <v/>
      </c>
      <c r="G174">
        <f>IF($K174="","",INDEX(Raw_data!$H$2:$H$636,MATCH($K174,Model!$R$2:$R$636,0)))</f>
        <v/>
      </c>
      <c r="H174" s="8">
        <f>IF($K174="","",INDEX(Model!$B$2:$B$636,MATCH($K174,Model!$R$2:$R$636,0)))</f>
        <v/>
      </c>
      <c r="I174" s="8">
        <f>IF($K174="","",INDEX(Model!$C$2:$C$636,MATCH($K174,Model!$R$2:$R$636,0)))</f>
        <v/>
      </c>
      <c r="J174">
        <f>IF($K174="","",INDEX(Model!$D$2:$D$636,MATCH($K174,Model!$R$2:$R$636,0)))</f>
        <v/>
      </c>
      <c r="K174">
        <f>IF(138&lt;=$E$5,LARGE(Model!$R$2:$R$636,138),"")</f>
        <v/>
      </c>
    </row>
    <row r="175">
      <c r="A175">
        <f>IF($K175="","",INDEX(Raw_data!$D$2:$D$636,MATCH($K175,Model!$R$2:$R$636,0)))</f>
        <v/>
      </c>
      <c r="B175" s="11">
        <f>IF($K175="","",INDEX(Raw_data!$F$2:$F$636,MATCH($K175,Model!$R$2:$R$636,0)))</f>
        <v/>
      </c>
      <c r="C175">
        <f>IF($K175="","",HYPERLINK(INDEX(Raw_data!$C$2:$C$636,MATCH($K175,Model!$R$2:$R$636,0)),INDEX(Raw_data!$C$2:$C$636,MATCH($K175,Model!$R$2:$R$636,0))))</f>
        <v/>
      </c>
      <c r="D175">
        <f>IF($K175="","",INDEX(Raw_data!$AL$2:$AL$636,MATCH($K175,Model!$R$2:$R$636,0)))</f>
        <v/>
      </c>
      <c r="E175">
        <f>IF($K175="","",INDEX(Raw_data!$AM$2:$AM$636,MATCH($K175,Model!$R$2:$R$636,0)))</f>
        <v/>
      </c>
      <c r="F175">
        <f>IF($K175="","",INDEX(Raw_data!$AQ$2:$AQ$636,MATCH($K175,Model!$R$2:$R$636,0)))</f>
        <v/>
      </c>
      <c r="G175">
        <f>IF($K175="","",INDEX(Raw_data!$H$2:$H$636,MATCH($K175,Model!$R$2:$R$636,0)))</f>
        <v/>
      </c>
      <c r="H175" s="8">
        <f>IF($K175="","",INDEX(Model!$B$2:$B$636,MATCH($K175,Model!$R$2:$R$636,0)))</f>
        <v/>
      </c>
      <c r="I175" s="8">
        <f>IF($K175="","",INDEX(Model!$C$2:$C$636,MATCH($K175,Model!$R$2:$R$636,0)))</f>
        <v/>
      </c>
      <c r="J175">
        <f>IF($K175="","",INDEX(Model!$D$2:$D$636,MATCH($K175,Model!$R$2:$R$636,0)))</f>
        <v/>
      </c>
      <c r="K175">
        <f>IF(139&lt;=$E$5,LARGE(Model!$R$2:$R$636,139),"")</f>
        <v/>
      </c>
    </row>
    <row r="176">
      <c r="A176">
        <f>IF($K176="","",INDEX(Raw_data!$D$2:$D$636,MATCH($K176,Model!$R$2:$R$636,0)))</f>
        <v/>
      </c>
      <c r="B176" s="11">
        <f>IF($K176="","",INDEX(Raw_data!$F$2:$F$636,MATCH($K176,Model!$R$2:$R$636,0)))</f>
        <v/>
      </c>
      <c r="C176">
        <f>IF($K176="","",HYPERLINK(INDEX(Raw_data!$C$2:$C$636,MATCH($K176,Model!$R$2:$R$636,0)),INDEX(Raw_data!$C$2:$C$636,MATCH($K176,Model!$R$2:$R$636,0))))</f>
        <v/>
      </c>
      <c r="D176">
        <f>IF($K176="","",INDEX(Raw_data!$AL$2:$AL$636,MATCH($K176,Model!$R$2:$R$636,0)))</f>
        <v/>
      </c>
      <c r="E176">
        <f>IF($K176="","",INDEX(Raw_data!$AM$2:$AM$636,MATCH($K176,Model!$R$2:$R$636,0)))</f>
        <v/>
      </c>
      <c r="F176">
        <f>IF($K176="","",INDEX(Raw_data!$AQ$2:$AQ$636,MATCH($K176,Model!$R$2:$R$636,0)))</f>
        <v/>
      </c>
      <c r="G176">
        <f>IF($K176="","",INDEX(Raw_data!$H$2:$H$636,MATCH($K176,Model!$R$2:$R$636,0)))</f>
        <v/>
      </c>
      <c r="H176" s="8">
        <f>IF($K176="","",INDEX(Model!$B$2:$B$636,MATCH($K176,Model!$R$2:$R$636,0)))</f>
        <v/>
      </c>
      <c r="I176" s="8">
        <f>IF($K176="","",INDEX(Model!$C$2:$C$636,MATCH($K176,Model!$R$2:$R$636,0)))</f>
        <v/>
      </c>
      <c r="J176">
        <f>IF($K176="","",INDEX(Model!$D$2:$D$636,MATCH($K176,Model!$R$2:$R$636,0)))</f>
        <v/>
      </c>
      <c r="K176">
        <f>IF(140&lt;=$E$5,LARGE(Model!$R$2:$R$636,140),"")</f>
        <v/>
      </c>
    </row>
    <row r="177">
      <c r="A177">
        <f>IF($K177="","",INDEX(Raw_data!$D$2:$D$636,MATCH($K177,Model!$R$2:$R$636,0)))</f>
        <v/>
      </c>
      <c r="B177" s="11">
        <f>IF($K177="","",INDEX(Raw_data!$F$2:$F$636,MATCH($K177,Model!$R$2:$R$636,0)))</f>
        <v/>
      </c>
      <c r="C177">
        <f>IF($K177="","",HYPERLINK(INDEX(Raw_data!$C$2:$C$636,MATCH($K177,Model!$R$2:$R$636,0)),INDEX(Raw_data!$C$2:$C$636,MATCH($K177,Model!$R$2:$R$636,0))))</f>
        <v/>
      </c>
      <c r="D177">
        <f>IF($K177="","",INDEX(Raw_data!$AL$2:$AL$636,MATCH($K177,Model!$R$2:$R$636,0)))</f>
        <v/>
      </c>
      <c r="E177">
        <f>IF($K177="","",INDEX(Raw_data!$AM$2:$AM$636,MATCH($K177,Model!$R$2:$R$636,0)))</f>
        <v/>
      </c>
      <c r="F177">
        <f>IF($K177="","",INDEX(Raw_data!$AQ$2:$AQ$636,MATCH($K177,Model!$R$2:$R$636,0)))</f>
        <v/>
      </c>
      <c r="G177">
        <f>IF($K177="","",INDEX(Raw_data!$H$2:$H$636,MATCH($K177,Model!$R$2:$R$636,0)))</f>
        <v/>
      </c>
      <c r="H177" s="8">
        <f>IF($K177="","",INDEX(Model!$B$2:$B$636,MATCH($K177,Model!$R$2:$R$636,0)))</f>
        <v/>
      </c>
      <c r="I177" s="8">
        <f>IF($K177="","",INDEX(Model!$C$2:$C$636,MATCH($K177,Model!$R$2:$R$636,0)))</f>
        <v/>
      </c>
      <c r="J177">
        <f>IF($K177="","",INDEX(Model!$D$2:$D$636,MATCH($K177,Model!$R$2:$R$636,0)))</f>
        <v/>
      </c>
      <c r="K177">
        <f>IF(141&lt;=$E$5,LARGE(Model!$R$2:$R$636,141),"")</f>
        <v/>
      </c>
    </row>
    <row r="178">
      <c r="A178">
        <f>IF($K178="","",INDEX(Raw_data!$D$2:$D$636,MATCH($K178,Model!$R$2:$R$636,0)))</f>
        <v/>
      </c>
      <c r="B178" s="11">
        <f>IF($K178="","",INDEX(Raw_data!$F$2:$F$636,MATCH($K178,Model!$R$2:$R$636,0)))</f>
        <v/>
      </c>
      <c r="C178">
        <f>IF($K178="","",HYPERLINK(INDEX(Raw_data!$C$2:$C$636,MATCH($K178,Model!$R$2:$R$636,0)),INDEX(Raw_data!$C$2:$C$636,MATCH($K178,Model!$R$2:$R$636,0))))</f>
        <v/>
      </c>
      <c r="D178">
        <f>IF($K178="","",INDEX(Raw_data!$AL$2:$AL$636,MATCH($K178,Model!$R$2:$R$636,0)))</f>
        <v/>
      </c>
      <c r="E178">
        <f>IF($K178="","",INDEX(Raw_data!$AM$2:$AM$636,MATCH($K178,Model!$R$2:$R$636,0)))</f>
        <v/>
      </c>
      <c r="F178">
        <f>IF($K178="","",INDEX(Raw_data!$AQ$2:$AQ$636,MATCH($K178,Model!$R$2:$R$636,0)))</f>
        <v/>
      </c>
      <c r="G178">
        <f>IF($K178="","",INDEX(Raw_data!$H$2:$H$636,MATCH($K178,Model!$R$2:$R$636,0)))</f>
        <v/>
      </c>
      <c r="H178" s="8">
        <f>IF($K178="","",INDEX(Model!$B$2:$B$636,MATCH($K178,Model!$R$2:$R$636,0)))</f>
        <v/>
      </c>
      <c r="I178" s="8">
        <f>IF($K178="","",INDEX(Model!$C$2:$C$636,MATCH($K178,Model!$R$2:$R$636,0)))</f>
        <v/>
      </c>
      <c r="J178">
        <f>IF($K178="","",INDEX(Model!$D$2:$D$636,MATCH($K178,Model!$R$2:$R$636,0)))</f>
        <v/>
      </c>
      <c r="K178">
        <f>IF(142&lt;=$E$5,LARGE(Model!$R$2:$R$636,142),"")</f>
        <v/>
      </c>
    </row>
    <row r="179">
      <c r="A179">
        <f>IF($K179="","",INDEX(Raw_data!$D$2:$D$636,MATCH($K179,Model!$R$2:$R$636,0)))</f>
        <v/>
      </c>
      <c r="B179" s="11">
        <f>IF($K179="","",INDEX(Raw_data!$F$2:$F$636,MATCH($K179,Model!$R$2:$R$636,0)))</f>
        <v/>
      </c>
      <c r="C179">
        <f>IF($K179="","",HYPERLINK(INDEX(Raw_data!$C$2:$C$636,MATCH($K179,Model!$R$2:$R$636,0)),INDEX(Raw_data!$C$2:$C$636,MATCH($K179,Model!$R$2:$R$636,0))))</f>
        <v/>
      </c>
      <c r="D179">
        <f>IF($K179="","",INDEX(Raw_data!$AL$2:$AL$636,MATCH($K179,Model!$R$2:$R$636,0)))</f>
        <v/>
      </c>
      <c r="E179">
        <f>IF($K179="","",INDEX(Raw_data!$AM$2:$AM$636,MATCH($K179,Model!$R$2:$R$636,0)))</f>
        <v/>
      </c>
      <c r="F179">
        <f>IF($K179="","",INDEX(Raw_data!$AQ$2:$AQ$636,MATCH($K179,Model!$R$2:$R$636,0)))</f>
        <v/>
      </c>
      <c r="G179">
        <f>IF($K179="","",INDEX(Raw_data!$H$2:$H$636,MATCH($K179,Model!$R$2:$R$636,0)))</f>
        <v/>
      </c>
      <c r="H179" s="8">
        <f>IF($K179="","",INDEX(Model!$B$2:$B$636,MATCH($K179,Model!$R$2:$R$636,0)))</f>
        <v/>
      </c>
      <c r="I179" s="8">
        <f>IF($K179="","",INDEX(Model!$C$2:$C$636,MATCH($K179,Model!$R$2:$R$636,0)))</f>
        <v/>
      </c>
      <c r="J179">
        <f>IF($K179="","",INDEX(Model!$D$2:$D$636,MATCH($K179,Model!$R$2:$R$636,0)))</f>
        <v/>
      </c>
      <c r="K179">
        <f>IF(143&lt;=$E$5,LARGE(Model!$R$2:$R$636,143),"")</f>
        <v/>
      </c>
    </row>
    <row r="180">
      <c r="A180">
        <f>IF($K180="","",INDEX(Raw_data!$D$2:$D$636,MATCH($K180,Model!$R$2:$R$636,0)))</f>
        <v/>
      </c>
      <c r="B180" s="11">
        <f>IF($K180="","",INDEX(Raw_data!$F$2:$F$636,MATCH($K180,Model!$R$2:$R$636,0)))</f>
        <v/>
      </c>
      <c r="C180">
        <f>IF($K180="","",HYPERLINK(INDEX(Raw_data!$C$2:$C$636,MATCH($K180,Model!$R$2:$R$636,0)),INDEX(Raw_data!$C$2:$C$636,MATCH($K180,Model!$R$2:$R$636,0))))</f>
        <v/>
      </c>
      <c r="D180">
        <f>IF($K180="","",INDEX(Raw_data!$AL$2:$AL$636,MATCH($K180,Model!$R$2:$R$636,0)))</f>
        <v/>
      </c>
      <c r="E180">
        <f>IF($K180="","",INDEX(Raw_data!$AM$2:$AM$636,MATCH($K180,Model!$R$2:$R$636,0)))</f>
        <v/>
      </c>
      <c r="F180">
        <f>IF($K180="","",INDEX(Raw_data!$AQ$2:$AQ$636,MATCH($K180,Model!$R$2:$R$636,0)))</f>
        <v/>
      </c>
      <c r="G180">
        <f>IF($K180="","",INDEX(Raw_data!$H$2:$H$636,MATCH($K180,Model!$R$2:$R$636,0)))</f>
        <v/>
      </c>
      <c r="H180" s="8">
        <f>IF($K180="","",INDEX(Model!$B$2:$B$636,MATCH($K180,Model!$R$2:$R$636,0)))</f>
        <v/>
      </c>
      <c r="I180" s="8">
        <f>IF($K180="","",INDEX(Model!$C$2:$C$636,MATCH($K180,Model!$R$2:$R$636,0)))</f>
        <v/>
      </c>
      <c r="J180">
        <f>IF($K180="","",INDEX(Model!$D$2:$D$636,MATCH($K180,Model!$R$2:$R$636,0)))</f>
        <v/>
      </c>
      <c r="K180">
        <f>IF(144&lt;=$E$5,LARGE(Model!$R$2:$R$636,144),"")</f>
        <v/>
      </c>
    </row>
    <row r="181">
      <c r="A181">
        <f>IF($K181="","",INDEX(Raw_data!$D$2:$D$636,MATCH($K181,Model!$R$2:$R$636,0)))</f>
        <v/>
      </c>
      <c r="B181" s="11">
        <f>IF($K181="","",INDEX(Raw_data!$F$2:$F$636,MATCH($K181,Model!$R$2:$R$636,0)))</f>
        <v/>
      </c>
      <c r="C181">
        <f>IF($K181="","",HYPERLINK(INDEX(Raw_data!$C$2:$C$636,MATCH($K181,Model!$R$2:$R$636,0)),INDEX(Raw_data!$C$2:$C$636,MATCH($K181,Model!$R$2:$R$636,0))))</f>
        <v/>
      </c>
      <c r="D181">
        <f>IF($K181="","",INDEX(Raw_data!$AL$2:$AL$636,MATCH($K181,Model!$R$2:$R$636,0)))</f>
        <v/>
      </c>
      <c r="E181">
        <f>IF($K181="","",INDEX(Raw_data!$AM$2:$AM$636,MATCH($K181,Model!$R$2:$R$636,0)))</f>
        <v/>
      </c>
      <c r="F181">
        <f>IF($K181="","",INDEX(Raw_data!$AQ$2:$AQ$636,MATCH($K181,Model!$R$2:$R$636,0)))</f>
        <v/>
      </c>
      <c r="G181">
        <f>IF($K181="","",INDEX(Raw_data!$H$2:$H$636,MATCH($K181,Model!$R$2:$R$636,0)))</f>
        <v/>
      </c>
      <c r="H181" s="8">
        <f>IF($K181="","",INDEX(Model!$B$2:$B$636,MATCH($K181,Model!$R$2:$R$636,0)))</f>
        <v/>
      </c>
      <c r="I181" s="8">
        <f>IF($K181="","",INDEX(Model!$C$2:$C$636,MATCH($K181,Model!$R$2:$R$636,0)))</f>
        <v/>
      </c>
      <c r="J181">
        <f>IF($K181="","",INDEX(Model!$D$2:$D$636,MATCH($K181,Model!$R$2:$R$636,0)))</f>
        <v/>
      </c>
      <c r="K181">
        <f>IF(145&lt;=$E$5,LARGE(Model!$R$2:$R$636,145),"")</f>
        <v/>
      </c>
    </row>
    <row r="182">
      <c r="A182">
        <f>IF($K182="","",INDEX(Raw_data!$D$2:$D$636,MATCH($K182,Model!$R$2:$R$636,0)))</f>
        <v/>
      </c>
      <c r="B182" s="11">
        <f>IF($K182="","",INDEX(Raw_data!$F$2:$F$636,MATCH($K182,Model!$R$2:$R$636,0)))</f>
        <v/>
      </c>
      <c r="C182">
        <f>IF($K182="","",HYPERLINK(INDEX(Raw_data!$C$2:$C$636,MATCH($K182,Model!$R$2:$R$636,0)),INDEX(Raw_data!$C$2:$C$636,MATCH($K182,Model!$R$2:$R$636,0))))</f>
        <v/>
      </c>
      <c r="D182">
        <f>IF($K182="","",INDEX(Raw_data!$AL$2:$AL$636,MATCH($K182,Model!$R$2:$R$636,0)))</f>
        <v/>
      </c>
      <c r="E182">
        <f>IF($K182="","",INDEX(Raw_data!$AM$2:$AM$636,MATCH($K182,Model!$R$2:$R$636,0)))</f>
        <v/>
      </c>
      <c r="F182">
        <f>IF($K182="","",INDEX(Raw_data!$AQ$2:$AQ$636,MATCH($K182,Model!$R$2:$R$636,0)))</f>
        <v/>
      </c>
      <c r="G182">
        <f>IF($K182="","",INDEX(Raw_data!$H$2:$H$636,MATCH($K182,Model!$R$2:$R$636,0)))</f>
        <v/>
      </c>
      <c r="H182" s="8">
        <f>IF($K182="","",INDEX(Model!$B$2:$B$636,MATCH($K182,Model!$R$2:$R$636,0)))</f>
        <v/>
      </c>
      <c r="I182" s="8">
        <f>IF($K182="","",INDEX(Model!$C$2:$C$636,MATCH($K182,Model!$R$2:$R$636,0)))</f>
        <v/>
      </c>
      <c r="J182">
        <f>IF($K182="","",INDEX(Model!$D$2:$D$636,MATCH($K182,Model!$R$2:$R$636,0)))</f>
        <v/>
      </c>
      <c r="K182">
        <f>IF(146&lt;=$E$5,LARGE(Model!$R$2:$R$636,146),"")</f>
        <v/>
      </c>
    </row>
    <row r="183">
      <c r="A183">
        <f>IF($K183="","",INDEX(Raw_data!$D$2:$D$636,MATCH($K183,Model!$R$2:$R$636,0)))</f>
        <v/>
      </c>
      <c r="B183" s="11">
        <f>IF($K183="","",INDEX(Raw_data!$F$2:$F$636,MATCH($K183,Model!$R$2:$R$636,0)))</f>
        <v/>
      </c>
      <c r="C183">
        <f>IF($K183="","",HYPERLINK(INDEX(Raw_data!$C$2:$C$636,MATCH($K183,Model!$R$2:$R$636,0)),INDEX(Raw_data!$C$2:$C$636,MATCH($K183,Model!$R$2:$R$636,0))))</f>
        <v/>
      </c>
      <c r="D183">
        <f>IF($K183="","",INDEX(Raw_data!$AL$2:$AL$636,MATCH($K183,Model!$R$2:$R$636,0)))</f>
        <v/>
      </c>
      <c r="E183">
        <f>IF($K183="","",INDEX(Raw_data!$AM$2:$AM$636,MATCH($K183,Model!$R$2:$R$636,0)))</f>
        <v/>
      </c>
      <c r="F183">
        <f>IF($K183="","",INDEX(Raw_data!$AQ$2:$AQ$636,MATCH($K183,Model!$R$2:$R$636,0)))</f>
        <v/>
      </c>
      <c r="G183">
        <f>IF($K183="","",INDEX(Raw_data!$H$2:$H$636,MATCH($K183,Model!$R$2:$R$636,0)))</f>
        <v/>
      </c>
      <c r="H183" s="8">
        <f>IF($K183="","",INDEX(Model!$B$2:$B$636,MATCH($K183,Model!$R$2:$R$636,0)))</f>
        <v/>
      </c>
      <c r="I183" s="8">
        <f>IF($K183="","",INDEX(Model!$C$2:$C$636,MATCH($K183,Model!$R$2:$R$636,0)))</f>
        <v/>
      </c>
      <c r="J183">
        <f>IF($K183="","",INDEX(Model!$D$2:$D$636,MATCH($K183,Model!$R$2:$R$636,0)))</f>
        <v/>
      </c>
      <c r="K183">
        <f>IF(147&lt;=$E$5,LARGE(Model!$R$2:$R$636,147),"")</f>
        <v/>
      </c>
    </row>
    <row r="184">
      <c r="A184">
        <f>IF($K184="","",INDEX(Raw_data!$D$2:$D$636,MATCH($K184,Model!$R$2:$R$636,0)))</f>
        <v/>
      </c>
      <c r="B184" s="11">
        <f>IF($K184="","",INDEX(Raw_data!$F$2:$F$636,MATCH($K184,Model!$R$2:$R$636,0)))</f>
        <v/>
      </c>
      <c r="C184">
        <f>IF($K184="","",HYPERLINK(INDEX(Raw_data!$C$2:$C$636,MATCH($K184,Model!$R$2:$R$636,0)),INDEX(Raw_data!$C$2:$C$636,MATCH($K184,Model!$R$2:$R$636,0))))</f>
        <v/>
      </c>
      <c r="D184">
        <f>IF($K184="","",INDEX(Raw_data!$AL$2:$AL$636,MATCH($K184,Model!$R$2:$R$636,0)))</f>
        <v/>
      </c>
      <c r="E184">
        <f>IF($K184="","",INDEX(Raw_data!$AM$2:$AM$636,MATCH($K184,Model!$R$2:$R$636,0)))</f>
        <v/>
      </c>
      <c r="F184">
        <f>IF($K184="","",INDEX(Raw_data!$AQ$2:$AQ$636,MATCH($K184,Model!$R$2:$R$636,0)))</f>
        <v/>
      </c>
      <c r="G184">
        <f>IF($K184="","",INDEX(Raw_data!$H$2:$H$636,MATCH($K184,Model!$R$2:$R$636,0)))</f>
        <v/>
      </c>
      <c r="H184" s="8">
        <f>IF($K184="","",INDEX(Model!$B$2:$B$636,MATCH($K184,Model!$R$2:$R$636,0)))</f>
        <v/>
      </c>
      <c r="I184" s="8">
        <f>IF($K184="","",INDEX(Model!$C$2:$C$636,MATCH($K184,Model!$R$2:$R$636,0)))</f>
        <v/>
      </c>
      <c r="J184">
        <f>IF($K184="","",INDEX(Model!$D$2:$D$636,MATCH($K184,Model!$R$2:$R$636,0)))</f>
        <v/>
      </c>
      <c r="K184">
        <f>IF(148&lt;=$E$5,LARGE(Model!$R$2:$R$636,148),"")</f>
        <v/>
      </c>
    </row>
    <row r="185">
      <c r="A185">
        <f>IF($K185="","",INDEX(Raw_data!$D$2:$D$636,MATCH($K185,Model!$R$2:$R$636,0)))</f>
        <v/>
      </c>
      <c r="B185" s="11">
        <f>IF($K185="","",INDEX(Raw_data!$F$2:$F$636,MATCH($K185,Model!$R$2:$R$636,0)))</f>
        <v/>
      </c>
      <c r="C185">
        <f>IF($K185="","",HYPERLINK(INDEX(Raw_data!$C$2:$C$636,MATCH($K185,Model!$R$2:$R$636,0)),INDEX(Raw_data!$C$2:$C$636,MATCH($K185,Model!$R$2:$R$636,0))))</f>
        <v/>
      </c>
      <c r="D185">
        <f>IF($K185="","",INDEX(Raw_data!$AL$2:$AL$636,MATCH($K185,Model!$R$2:$R$636,0)))</f>
        <v/>
      </c>
      <c r="E185">
        <f>IF($K185="","",INDEX(Raw_data!$AM$2:$AM$636,MATCH($K185,Model!$R$2:$R$636,0)))</f>
        <v/>
      </c>
      <c r="F185">
        <f>IF($K185="","",INDEX(Raw_data!$AQ$2:$AQ$636,MATCH($K185,Model!$R$2:$R$636,0)))</f>
        <v/>
      </c>
      <c r="G185">
        <f>IF($K185="","",INDEX(Raw_data!$H$2:$H$636,MATCH($K185,Model!$R$2:$R$636,0)))</f>
        <v/>
      </c>
      <c r="H185" s="8">
        <f>IF($K185="","",INDEX(Model!$B$2:$B$636,MATCH($K185,Model!$R$2:$R$636,0)))</f>
        <v/>
      </c>
      <c r="I185" s="8">
        <f>IF($K185="","",INDEX(Model!$C$2:$C$636,MATCH($K185,Model!$R$2:$R$636,0)))</f>
        <v/>
      </c>
      <c r="J185">
        <f>IF($K185="","",INDEX(Model!$D$2:$D$636,MATCH($K185,Model!$R$2:$R$636,0)))</f>
        <v/>
      </c>
      <c r="K185">
        <f>IF(149&lt;=$E$5,LARGE(Model!$R$2:$R$636,149),"")</f>
        <v/>
      </c>
    </row>
    <row r="186">
      <c r="A186">
        <f>IF($K186="","",INDEX(Raw_data!$D$2:$D$636,MATCH($K186,Model!$R$2:$R$636,0)))</f>
        <v/>
      </c>
      <c r="B186" s="11">
        <f>IF($K186="","",INDEX(Raw_data!$F$2:$F$636,MATCH($K186,Model!$R$2:$R$636,0)))</f>
        <v/>
      </c>
      <c r="C186">
        <f>IF($K186="","",HYPERLINK(INDEX(Raw_data!$C$2:$C$636,MATCH($K186,Model!$R$2:$R$636,0)),INDEX(Raw_data!$C$2:$C$636,MATCH($K186,Model!$R$2:$R$636,0))))</f>
        <v/>
      </c>
      <c r="D186">
        <f>IF($K186="","",INDEX(Raw_data!$AL$2:$AL$636,MATCH($K186,Model!$R$2:$R$636,0)))</f>
        <v/>
      </c>
      <c r="E186">
        <f>IF($K186="","",INDEX(Raw_data!$AM$2:$AM$636,MATCH($K186,Model!$R$2:$R$636,0)))</f>
        <v/>
      </c>
      <c r="F186">
        <f>IF($K186="","",INDEX(Raw_data!$AQ$2:$AQ$636,MATCH($K186,Model!$R$2:$R$636,0)))</f>
        <v/>
      </c>
      <c r="G186">
        <f>IF($K186="","",INDEX(Raw_data!$H$2:$H$636,MATCH($K186,Model!$R$2:$R$636,0)))</f>
        <v/>
      </c>
      <c r="H186" s="8">
        <f>IF($K186="","",INDEX(Model!$B$2:$B$636,MATCH($K186,Model!$R$2:$R$636,0)))</f>
        <v/>
      </c>
      <c r="I186" s="8">
        <f>IF($K186="","",INDEX(Model!$C$2:$C$636,MATCH($K186,Model!$R$2:$R$636,0)))</f>
        <v/>
      </c>
      <c r="J186">
        <f>IF($K186="","",INDEX(Model!$D$2:$D$636,MATCH($K186,Model!$R$2:$R$636,0)))</f>
        <v/>
      </c>
      <c r="K186">
        <f>IF(150&lt;=$E$5,LARGE(Model!$R$2:$R$636,150),"")</f>
        <v/>
      </c>
    </row>
    <row r="187">
      <c r="A187">
        <f>IF($K187="","",INDEX(Raw_data!$D$2:$D$636,MATCH($K187,Model!$R$2:$R$636,0)))</f>
        <v/>
      </c>
      <c r="B187" s="11">
        <f>IF($K187="","",INDEX(Raw_data!$F$2:$F$636,MATCH($K187,Model!$R$2:$R$636,0)))</f>
        <v/>
      </c>
      <c r="C187">
        <f>IF($K187="","",HYPERLINK(INDEX(Raw_data!$C$2:$C$636,MATCH($K187,Model!$R$2:$R$636,0)),INDEX(Raw_data!$C$2:$C$636,MATCH($K187,Model!$R$2:$R$636,0))))</f>
        <v/>
      </c>
      <c r="D187">
        <f>IF($K187="","",INDEX(Raw_data!$AL$2:$AL$636,MATCH($K187,Model!$R$2:$R$636,0)))</f>
        <v/>
      </c>
      <c r="E187">
        <f>IF($K187="","",INDEX(Raw_data!$AM$2:$AM$636,MATCH($K187,Model!$R$2:$R$636,0)))</f>
        <v/>
      </c>
      <c r="F187">
        <f>IF($K187="","",INDEX(Raw_data!$AQ$2:$AQ$636,MATCH($K187,Model!$R$2:$R$636,0)))</f>
        <v/>
      </c>
      <c r="G187">
        <f>IF($K187="","",INDEX(Raw_data!$H$2:$H$636,MATCH($K187,Model!$R$2:$R$636,0)))</f>
        <v/>
      </c>
      <c r="H187" s="8">
        <f>IF($K187="","",INDEX(Model!$B$2:$B$636,MATCH($K187,Model!$R$2:$R$636,0)))</f>
        <v/>
      </c>
      <c r="I187" s="8">
        <f>IF($K187="","",INDEX(Model!$C$2:$C$636,MATCH($K187,Model!$R$2:$R$636,0)))</f>
        <v/>
      </c>
      <c r="J187">
        <f>IF($K187="","",INDEX(Model!$D$2:$D$636,MATCH($K187,Model!$R$2:$R$636,0)))</f>
        <v/>
      </c>
      <c r="K187">
        <f>IF(151&lt;=$E$5,LARGE(Model!$R$2:$R$636,151),"")</f>
        <v/>
      </c>
    </row>
    <row r="188">
      <c r="A188">
        <f>IF($K188="","",INDEX(Raw_data!$D$2:$D$636,MATCH($K188,Model!$R$2:$R$636,0)))</f>
        <v/>
      </c>
      <c r="B188" s="11">
        <f>IF($K188="","",INDEX(Raw_data!$F$2:$F$636,MATCH($K188,Model!$R$2:$R$636,0)))</f>
        <v/>
      </c>
      <c r="C188">
        <f>IF($K188="","",HYPERLINK(INDEX(Raw_data!$C$2:$C$636,MATCH($K188,Model!$R$2:$R$636,0)),INDEX(Raw_data!$C$2:$C$636,MATCH($K188,Model!$R$2:$R$636,0))))</f>
        <v/>
      </c>
      <c r="D188">
        <f>IF($K188="","",INDEX(Raw_data!$AL$2:$AL$636,MATCH($K188,Model!$R$2:$R$636,0)))</f>
        <v/>
      </c>
      <c r="E188">
        <f>IF($K188="","",INDEX(Raw_data!$AM$2:$AM$636,MATCH($K188,Model!$R$2:$R$636,0)))</f>
        <v/>
      </c>
      <c r="F188">
        <f>IF($K188="","",INDEX(Raw_data!$AQ$2:$AQ$636,MATCH($K188,Model!$R$2:$R$636,0)))</f>
        <v/>
      </c>
      <c r="G188">
        <f>IF($K188="","",INDEX(Raw_data!$H$2:$H$636,MATCH($K188,Model!$R$2:$R$636,0)))</f>
        <v/>
      </c>
      <c r="H188" s="8">
        <f>IF($K188="","",INDEX(Model!$B$2:$B$636,MATCH($K188,Model!$R$2:$R$636,0)))</f>
        <v/>
      </c>
      <c r="I188" s="8">
        <f>IF($K188="","",INDEX(Model!$C$2:$C$636,MATCH($K188,Model!$R$2:$R$636,0)))</f>
        <v/>
      </c>
      <c r="J188">
        <f>IF($K188="","",INDEX(Model!$D$2:$D$636,MATCH($K188,Model!$R$2:$R$636,0)))</f>
        <v/>
      </c>
      <c r="K188">
        <f>IF(152&lt;=$E$5,LARGE(Model!$R$2:$R$636,152),"")</f>
        <v/>
      </c>
    </row>
    <row r="189">
      <c r="A189">
        <f>IF($K189="","",INDEX(Raw_data!$D$2:$D$636,MATCH($K189,Model!$R$2:$R$636,0)))</f>
        <v/>
      </c>
      <c r="B189" s="11">
        <f>IF($K189="","",INDEX(Raw_data!$F$2:$F$636,MATCH($K189,Model!$R$2:$R$636,0)))</f>
        <v/>
      </c>
      <c r="C189">
        <f>IF($K189="","",HYPERLINK(INDEX(Raw_data!$C$2:$C$636,MATCH($K189,Model!$R$2:$R$636,0)),INDEX(Raw_data!$C$2:$C$636,MATCH($K189,Model!$R$2:$R$636,0))))</f>
        <v/>
      </c>
      <c r="D189">
        <f>IF($K189="","",INDEX(Raw_data!$AL$2:$AL$636,MATCH($K189,Model!$R$2:$R$636,0)))</f>
        <v/>
      </c>
      <c r="E189">
        <f>IF($K189="","",INDEX(Raw_data!$AM$2:$AM$636,MATCH($K189,Model!$R$2:$R$636,0)))</f>
        <v/>
      </c>
      <c r="F189">
        <f>IF($K189="","",INDEX(Raw_data!$AQ$2:$AQ$636,MATCH($K189,Model!$R$2:$R$636,0)))</f>
        <v/>
      </c>
      <c r="G189">
        <f>IF($K189="","",INDEX(Raw_data!$H$2:$H$636,MATCH($K189,Model!$R$2:$R$636,0)))</f>
        <v/>
      </c>
      <c r="H189" s="8">
        <f>IF($K189="","",INDEX(Model!$B$2:$B$636,MATCH($K189,Model!$R$2:$R$636,0)))</f>
        <v/>
      </c>
      <c r="I189" s="8">
        <f>IF($K189="","",INDEX(Model!$C$2:$C$636,MATCH($K189,Model!$R$2:$R$636,0)))</f>
        <v/>
      </c>
      <c r="J189">
        <f>IF($K189="","",INDEX(Model!$D$2:$D$636,MATCH($K189,Model!$R$2:$R$636,0)))</f>
        <v/>
      </c>
      <c r="K189">
        <f>IF(153&lt;=$E$5,LARGE(Model!$R$2:$R$636,153),"")</f>
        <v/>
      </c>
    </row>
    <row r="190">
      <c r="A190">
        <f>IF($K190="","",INDEX(Raw_data!$D$2:$D$636,MATCH($K190,Model!$R$2:$R$636,0)))</f>
        <v/>
      </c>
      <c r="B190" s="11">
        <f>IF($K190="","",INDEX(Raw_data!$F$2:$F$636,MATCH($K190,Model!$R$2:$R$636,0)))</f>
        <v/>
      </c>
      <c r="C190">
        <f>IF($K190="","",HYPERLINK(INDEX(Raw_data!$C$2:$C$636,MATCH($K190,Model!$R$2:$R$636,0)),INDEX(Raw_data!$C$2:$C$636,MATCH($K190,Model!$R$2:$R$636,0))))</f>
        <v/>
      </c>
      <c r="D190">
        <f>IF($K190="","",INDEX(Raw_data!$AL$2:$AL$636,MATCH($K190,Model!$R$2:$R$636,0)))</f>
        <v/>
      </c>
      <c r="E190">
        <f>IF($K190="","",INDEX(Raw_data!$AM$2:$AM$636,MATCH($K190,Model!$R$2:$R$636,0)))</f>
        <v/>
      </c>
      <c r="F190">
        <f>IF($K190="","",INDEX(Raw_data!$AQ$2:$AQ$636,MATCH($K190,Model!$R$2:$R$636,0)))</f>
        <v/>
      </c>
      <c r="G190">
        <f>IF($K190="","",INDEX(Raw_data!$H$2:$H$636,MATCH($K190,Model!$R$2:$R$636,0)))</f>
        <v/>
      </c>
      <c r="H190" s="8">
        <f>IF($K190="","",INDEX(Model!$B$2:$B$636,MATCH($K190,Model!$R$2:$R$636,0)))</f>
        <v/>
      </c>
      <c r="I190" s="8">
        <f>IF($K190="","",INDEX(Model!$C$2:$C$636,MATCH($K190,Model!$R$2:$R$636,0)))</f>
        <v/>
      </c>
      <c r="J190">
        <f>IF($K190="","",INDEX(Model!$D$2:$D$636,MATCH($K190,Model!$R$2:$R$636,0)))</f>
        <v/>
      </c>
      <c r="K190">
        <f>IF(154&lt;=$E$5,LARGE(Model!$R$2:$R$636,154),"")</f>
        <v/>
      </c>
    </row>
    <row r="191">
      <c r="A191">
        <f>IF($K191="","",INDEX(Raw_data!$D$2:$D$636,MATCH($K191,Model!$R$2:$R$636,0)))</f>
        <v/>
      </c>
      <c r="B191" s="11">
        <f>IF($K191="","",INDEX(Raw_data!$F$2:$F$636,MATCH($K191,Model!$R$2:$R$636,0)))</f>
        <v/>
      </c>
      <c r="C191">
        <f>IF($K191="","",HYPERLINK(INDEX(Raw_data!$C$2:$C$636,MATCH($K191,Model!$R$2:$R$636,0)),INDEX(Raw_data!$C$2:$C$636,MATCH($K191,Model!$R$2:$R$636,0))))</f>
        <v/>
      </c>
      <c r="D191">
        <f>IF($K191="","",INDEX(Raw_data!$AL$2:$AL$636,MATCH($K191,Model!$R$2:$R$636,0)))</f>
        <v/>
      </c>
      <c r="E191">
        <f>IF($K191="","",INDEX(Raw_data!$AM$2:$AM$636,MATCH($K191,Model!$R$2:$R$636,0)))</f>
        <v/>
      </c>
      <c r="F191">
        <f>IF($K191="","",INDEX(Raw_data!$AQ$2:$AQ$636,MATCH($K191,Model!$R$2:$R$636,0)))</f>
        <v/>
      </c>
      <c r="G191">
        <f>IF($K191="","",INDEX(Raw_data!$H$2:$H$636,MATCH($K191,Model!$R$2:$R$636,0)))</f>
        <v/>
      </c>
      <c r="H191" s="8">
        <f>IF($K191="","",INDEX(Model!$B$2:$B$636,MATCH($K191,Model!$R$2:$R$636,0)))</f>
        <v/>
      </c>
      <c r="I191" s="8">
        <f>IF($K191="","",INDEX(Model!$C$2:$C$636,MATCH($K191,Model!$R$2:$R$636,0)))</f>
        <v/>
      </c>
      <c r="J191">
        <f>IF($K191="","",INDEX(Model!$D$2:$D$636,MATCH($K191,Model!$R$2:$R$636,0)))</f>
        <v/>
      </c>
      <c r="K191">
        <f>IF(155&lt;=$E$5,LARGE(Model!$R$2:$R$636,155),"")</f>
        <v/>
      </c>
    </row>
    <row r="192">
      <c r="A192">
        <f>IF($K192="","",INDEX(Raw_data!$D$2:$D$636,MATCH($K192,Model!$R$2:$R$636,0)))</f>
        <v/>
      </c>
      <c r="B192" s="11">
        <f>IF($K192="","",INDEX(Raw_data!$F$2:$F$636,MATCH($K192,Model!$R$2:$R$636,0)))</f>
        <v/>
      </c>
      <c r="C192">
        <f>IF($K192="","",HYPERLINK(INDEX(Raw_data!$C$2:$C$636,MATCH($K192,Model!$R$2:$R$636,0)),INDEX(Raw_data!$C$2:$C$636,MATCH($K192,Model!$R$2:$R$636,0))))</f>
        <v/>
      </c>
      <c r="D192">
        <f>IF($K192="","",INDEX(Raw_data!$AL$2:$AL$636,MATCH($K192,Model!$R$2:$R$636,0)))</f>
        <v/>
      </c>
      <c r="E192">
        <f>IF($K192="","",INDEX(Raw_data!$AM$2:$AM$636,MATCH($K192,Model!$R$2:$R$636,0)))</f>
        <v/>
      </c>
      <c r="F192">
        <f>IF($K192="","",INDEX(Raw_data!$AQ$2:$AQ$636,MATCH($K192,Model!$R$2:$R$636,0)))</f>
        <v/>
      </c>
      <c r="G192">
        <f>IF($K192="","",INDEX(Raw_data!$H$2:$H$636,MATCH($K192,Model!$R$2:$R$636,0)))</f>
        <v/>
      </c>
      <c r="H192" s="8">
        <f>IF($K192="","",INDEX(Model!$B$2:$B$636,MATCH($K192,Model!$R$2:$R$636,0)))</f>
        <v/>
      </c>
      <c r="I192" s="8">
        <f>IF($K192="","",INDEX(Model!$C$2:$C$636,MATCH($K192,Model!$R$2:$R$636,0)))</f>
        <v/>
      </c>
      <c r="J192">
        <f>IF($K192="","",INDEX(Model!$D$2:$D$636,MATCH($K192,Model!$R$2:$R$636,0)))</f>
        <v/>
      </c>
      <c r="K192">
        <f>IF(156&lt;=$E$5,LARGE(Model!$R$2:$R$636,156),"")</f>
        <v/>
      </c>
    </row>
    <row r="193">
      <c r="A193">
        <f>IF($K193="","",INDEX(Raw_data!$D$2:$D$636,MATCH($K193,Model!$R$2:$R$636,0)))</f>
        <v/>
      </c>
      <c r="B193" s="11">
        <f>IF($K193="","",INDEX(Raw_data!$F$2:$F$636,MATCH($K193,Model!$R$2:$R$636,0)))</f>
        <v/>
      </c>
      <c r="C193">
        <f>IF($K193="","",HYPERLINK(INDEX(Raw_data!$C$2:$C$636,MATCH($K193,Model!$R$2:$R$636,0)),INDEX(Raw_data!$C$2:$C$636,MATCH($K193,Model!$R$2:$R$636,0))))</f>
        <v/>
      </c>
      <c r="D193">
        <f>IF($K193="","",INDEX(Raw_data!$AL$2:$AL$636,MATCH($K193,Model!$R$2:$R$636,0)))</f>
        <v/>
      </c>
      <c r="E193">
        <f>IF($K193="","",INDEX(Raw_data!$AM$2:$AM$636,MATCH($K193,Model!$R$2:$R$636,0)))</f>
        <v/>
      </c>
      <c r="F193">
        <f>IF($K193="","",INDEX(Raw_data!$AQ$2:$AQ$636,MATCH($K193,Model!$R$2:$R$636,0)))</f>
        <v/>
      </c>
      <c r="G193">
        <f>IF($K193="","",INDEX(Raw_data!$H$2:$H$636,MATCH($K193,Model!$R$2:$R$636,0)))</f>
        <v/>
      </c>
      <c r="H193" s="8">
        <f>IF($K193="","",INDEX(Model!$B$2:$B$636,MATCH($K193,Model!$R$2:$R$636,0)))</f>
        <v/>
      </c>
      <c r="I193" s="8">
        <f>IF($K193="","",INDEX(Model!$C$2:$C$636,MATCH($K193,Model!$R$2:$R$636,0)))</f>
        <v/>
      </c>
      <c r="J193">
        <f>IF($K193="","",INDEX(Model!$D$2:$D$636,MATCH($K193,Model!$R$2:$R$636,0)))</f>
        <v/>
      </c>
      <c r="K193">
        <f>IF(157&lt;=$E$5,LARGE(Model!$R$2:$R$636,157),"")</f>
        <v/>
      </c>
    </row>
    <row r="194">
      <c r="A194">
        <f>IF($K194="","",INDEX(Raw_data!$D$2:$D$636,MATCH($K194,Model!$R$2:$R$636,0)))</f>
        <v/>
      </c>
      <c r="B194" s="11">
        <f>IF($K194="","",INDEX(Raw_data!$F$2:$F$636,MATCH($K194,Model!$R$2:$R$636,0)))</f>
        <v/>
      </c>
      <c r="C194">
        <f>IF($K194="","",HYPERLINK(INDEX(Raw_data!$C$2:$C$636,MATCH($K194,Model!$R$2:$R$636,0)),INDEX(Raw_data!$C$2:$C$636,MATCH($K194,Model!$R$2:$R$636,0))))</f>
        <v/>
      </c>
      <c r="D194">
        <f>IF($K194="","",INDEX(Raw_data!$AL$2:$AL$636,MATCH($K194,Model!$R$2:$R$636,0)))</f>
        <v/>
      </c>
      <c r="E194">
        <f>IF($K194="","",INDEX(Raw_data!$AM$2:$AM$636,MATCH($K194,Model!$R$2:$R$636,0)))</f>
        <v/>
      </c>
      <c r="F194">
        <f>IF($K194="","",INDEX(Raw_data!$AQ$2:$AQ$636,MATCH($K194,Model!$R$2:$R$636,0)))</f>
        <v/>
      </c>
      <c r="G194">
        <f>IF($K194="","",INDEX(Raw_data!$H$2:$H$636,MATCH($K194,Model!$R$2:$R$636,0)))</f>
        <v/>
      </c>
      <c r="H194" s="8">
        <f>IF($K194="","",INDEX(Model!$B$2:$B$636,MATCH($K194,Model!$R$2:$R$636,0)))</f>
        <v/>
      </c>
      <c r="I194" s="8">
        <f>IF($K194="","",INDEX(Model!$C$2:$C$636,MATCH($K194,Model!$R$2:$R$636,0)))</f>
        <v/>
      </c>
      <c r="J194">
        <f>IF($K194="","",INDEX(Model!$D$2:$D$636,MATCH($K194,Model!$R$2:$R$636,0)))</f>
        <v/>
      </c>
      <c r="K194">
        <f>IF(158&lt;=$E$5,LARGE(Model!$R$2:$R$636,158),"")</f>
        <v/>
      </c>
    </row>
    <row r="195">
      <c r="A195">
        <f>IF($K195="","",INDEX(Raw_data!$D$2:$D$636,MATCH($K195,Model!$R$2:$R$636,0)))</f>
        <v/>
      </c>
      <c r="B195" s="11">
        <f>IF($K195="","",INDEX(Raw_data!$F$2:$F$636,MATCH($K195,Model!$R$2:$R$636,0)))</f>
        <v/>
      </c>
      <c r="C195">
        <f>IF($K195="","",HYPERLINK(INDEX(Raw_data!$C$2:$C$636,MATCH($K195,Model!$R$2:$R$636,0)),INDEX(Raw_data!$C$2:$C$636,MATCH($K195,Model!$R$2:$R$636,0))))</f>
        <v/>
      </c>
      <c r="D195">
        <f>IF($K195="","",INDEX(Raw_data!$AL$2:$AL$636,MATCH($K195,Model!$R$2:$R$636,0)))</f>
        <v/>
      </c>
      <c r="E195">
        <f>IF($K195="","",INDEX(Raw_data!$AM$2:$AM$636,MATCH($K195,Model!$R$2:$R$636,0)))</f>
        <v/>
      </c>
      <c r="F195">
        <f>IF($K195="","",INDEX(Raw_data!$AQ$2:$AQ$636,MATCH($K195,Model!$R$2:$R$636,0)))</f>
        <v/>
      </c>
      <c r="G195">
        <f>IF($K195="","",INDEX(Raw_data!$H$2:$H$636,MATCH($K195,Model!$R$2:$R$636,0)))</f>
        <v/>
      </c>
      <c r="H195" s="8">
        <f>IF($K195="","",INDEX(Model!$B$2:$B$636,MATCH($K195,Model!$R$2:$R$636,0)))</f>
        <v/>
      </c>
      <c r="I195" s="8">
        <f>IF($K195="","",INDEX(Model!$C$2:$C$636,MATCH($K195,Model!$R$2:$R$636,0)))</f>
        <v/>
      </c>
      <c r="J195">
        <f>IF($K195="","",INDEX(Model!$D$2:$D$636,MATCH($K195,Model!$R$2:$R$636,0)))</f>
        <v/>
      </c>
      <c r="K195">
        <f>IF(159&lt;=$E$5,LARGE(Model!$R$2:$R$636,159),"")</f>
        <v/>
      </c>
    </row>
    <row r="196">
      <c r="A196">
        <f>IF($K196="","",INDEX(Raw_data!$D$2:$D$636,MATCH($K196,Model!$R$2:$R$636,0)))</f>
        <v/>
      </c>
      <c r="B196" s="11">
        <f>IF($K196="","",INDEX(Raw_data!$F$2:$F$636,MATCH($K196,Model!$R$2:$R$636,0)))</f>
        <v/>
      </c>
      <c r="C196">
        <f>IF($K196="","",HYPERLINK(INDEX(Raw_data!$C$2:$C$636,MATCH($K196,Model!$R$2:$R$636,0)),INDEX(Raw_data!$C$2:$C$636,MATCH($K196,Model!$R$2:$R$636,0))))</f>
        <v/>
      </c>
      <c r="D196">
        <f>IF($K196="","",INDEX(Raw_data!$AL$2:$AL$636,MATCH($K196,Model!$R$2:$R$636,0)))</f>
        <v/>
      </c>
      <c r="E196">
        <f>IF($K196="","",INDEX(Raw_data!$AM$2:$AM$636,MATCH($K196,Model!$R$2:$R$636,0)))</f>
        <v/>
      </c>
      <c r="F196">
        <f>IF($K196="","",INDEX(Raw_data!$AQ$2:$AQ$636,MATCH($K196,Model!$R$2:$R$636,0)))</f>
        <v/>
      </c>
      <c r="G196">
        <f>IF($K196="","",INDEX(Raw_data!$H$2:$H$636,MATCH($K196,Model!$R$2:$R$636,0)))</f>
        <v/>
      </c>
      <c r="H196" s="8">
        <f>IF($K196="","",INDEX(Model!$B$2:$B$636,MATCH($K196,Model!$R$2:$R$636,0)))</f>
        <v/>
      </c>
      <c r="I196" s="8">
        <f>IF($K196="","",INDEX(Model!$C$2:$C$636,MATCH($K196,Model!$R$2:$R$636,0)))</f>
        <v/>
      </c>
      <c r="J196">
        <f>IF($K196="","",INDEX(Model!$D$2:$D$636,MATCH($K196,Model!$R$2:$R$636,0)))</f>
        <v/>
      </c>
      <c r="K196">
        <f>IF(160&lt;=$E$5,LARGE(Model!$R$2:$R$636,160),"")</f>
        <v/>
      </c>
    </row>
    <row r="197">
      <c r="A197">
        <f>IF($K197="","",INDEX(Raw_data!$D$2:$D$636,MATCH($K197,Model!$R$2:$R$636,0)))</f>
        <v/>
      </c>
      <c r="B197" s="11">
        <f>IF($K197="","",INDEX(Raw_data!$F$2:$F$636,MATCH($K197,Model!$R$2:$R$636,0)))</f>
        <v/>
      </c>
      <c r="C197">
        <f>IF($K197="","",HYPERLINK(INDEX(Raw_data!$C$2:$C$636,MATCH($K197,Model!$R$2:$R$636,0)),INDEX(Raw_data!$C$2:$C$636,MATCH($K197,Model!$R$2:$R$636,0))))</f>
        <v/>
      </c>
      <c r="D197">
        <f>IF($K197="","",INDEX(Raw_data!$AL$2:$AL$636,MATCH($K197,Model!$R$2:$R$636,0)))</f>
        <v/>
      </c>
      <c r="E197">
        <f>IF($K197="","",INDEX(Raw_data!$AM$2:$AM$636,MATCH($K197,Model!$R$2:$R$636,0)))</f>
        <v/>
      </c>
      <c r="F197">
        <f>IF($K197="","",INDEX(Raw_data!$AQ$2:$AQ$636,MATCH($K197,Model!$R$2:$R$636,0)))</f>
        <v/>
      </c>
      <c r="G197">
        <f>IF($K197="","",INDEX(Raw_data!$H$2:$H$636,MATCH($K197,Model!$R$2:$R$636,0)))</f>
        <v/>
      </c>
      <c r="H197" s="8">
        <f>IF($K197="","",INDEX(Model!$B$2:$B$636,MATCH($K197,Model!$R$2:$R$636,0)))</f>
        <v/>
      </c>
      <c r="I197" s="8">
        <f>IF($K197="","",INDEX(Model!$C$2:$C$636,MATCH($K197,Model!$R$2:$R$636,0)))</f>
        <v/>
      </c>
      <c r="J197">
        <f>IF($K197="","",INDEX(Model!$D$2:$D$636,MATCH($K197,Model!$R$2:$R$636,0)))</f>
        <v/>
      </c>
      <c r="K197">
        <f>IF(161&lt;=$E$5,LARGE(Model!$R$2:$R$636,161),"")</f>
        <v/>
      </c>
    </row>
    <row r="198">
      <c r="A198">
        <f>IF($K198="","",INDEX(Raw_data!$D$2:$D$636,MATCH($K198,Model!$R$2:$R$636,0)))</f>
        <v/>
      </c>
      <c r="B198" s="11">
        <f>IF($K198="","",INDEX(Raw_data!$F$2:$F$636,MATCH($K198,Model!$R$2:$R$636,0)))</f>
        <v/>
      </c>
      <c r="C198">
        <f>IF($K198="","",HYPERLINK(INDEX(Raw_data!$C$2:$C$636,MATCH($K198,Model!$R$2:$R$636,0)),INDEX(Raw_data!$C$2:$C$636,MATCH($K198,Model!$R$2:$R$636,0))))</f>
        <v/>
      </c>
      <c r="D198">
        <f>IF($K198="","",INDEX(Raw_data!$AL$2:$AL$636,MATCH($K198,Model!$R$2:$R$636,0)))</f>
        <v/>
      </c>
      <c r="E198">
        <f>IF($K198="","",INDEX(Raw_data!$AM$2:$AM$636,MATCH($K198,Model!$R$2:$R$636,0)))</f>
        <v/>
      </c>
      <c r="F198">
        <f>IF($K198="","",INDEX(Raw_data!$AQ$2:$AQ$636,MATCH($K198,Model!$R$2:$R$636,0)))</f>
        <v/>
      </c>
      <c r="G198">
        <f>IF($K198="","",INDEX(Raw_data!$H$2:$H$636,MATCH($K198,Model!$R$2:$R$636,0)))</f>
        <v/>
      </c>
      <c r="H198" s="8">
        <f>IF($K198="","",INDEX(Model!$B$2:$B$636,MATCH($K198,Model!$R$2:$R$636,0)))</f>
        <v/>
      </c>
      <c r="I198" s="8">
        <f>IF($K198="","",INDEX(Model!$C$2:$C$636,MATCH($K198,Model!$R$2:$R$636,0)))</f>
        <v/>
      </c>
      <c r="J198">
        <f>IF($K198="","",INDEX(Model!$D$2:$D$636,MATCH($K198,Model!$R$2:$R$636,0)))</f>
        <v/>
      </c>
      <c r="K198">
        <f>IF(162&lt;=$E$5,LARGE(Model!$R$2:$R$636,162),"")</f>
        <v/>
      </c>
    </row>
    <row r="199">
      <c r="A199">
        <f>IF($K199="","",INDEX(Raw_data!$D$2:$D$636,MATCH($K199,Model!$R$2:$R$636,0)))</f>
        <v/>
      </c>
      <c r="B199" s="11">
        <f>IF($K199="","",INDEX(Raw_data!$F$2:$F$636,MATCH($K199,Model!$R$2:$R$636,0)))</f>
        <v/>
      </c>
      <c r="C199">
        <f>IF($K199="","",HYPERLINK(INDEX(Raw_data!$C$2:$C$636,MATCH($K199,Model!$R$2:$R$636,0)),INDEX(Raw_data!$C$2:$C$636,MATCH($K199,Model!$R$2:$R$636,0))))</f>
        <v/>
      </c>
      <c r="D199">
        <f>IF($K199="","",INDEX(Raw_data!$AL$2:$AL$636,MATCH($K199,Model!$R$2:$R$636,0)))</f>
        <v/>
      </c>
      <c r="E199">
        <f>IF($K199="","",INDEX(Raw_data!$AM$2:$AM$636,MATCH($K199,Model!$R$2:$R$636,0)))</f>
        <v/>
      </c>
      <c r="F199">
        <f>IF($K199="","",INDEX(Raw_data!$AQ$2:$AQ$636,MATCH($K199,Model!$R$2:$R$636,0)))</f>
        <v/>
      </c>
      <c r="G199">
        <f>IF($K199="","",INDEX(Raw_data!$H$2:$H$636,MATCH($K199,Model!$R$2:$R$636,0)))</f>
        <v/>
      </c>
      <c r="H199" s="8">
        <f>IF($K199="","",INDEX(Model!$B$2:$B$636,MATCH($K199,Model!$R$2:$R$636,0)))</f>
        <v/>
      </c>
      <c r="I199" s="8">
        <f>IF($K199="","",INDEX(Model!$C$2:$C$636,MATCH($K199,Model!$R$2:$R$636,0)))</f>
        <v/>
      </c>
      <c r="J199">
        <f>IF($K199="","",INDEX(Model!$D$2:$D$636,MATCH($K199,Model!$R$2:$R$636,0)))</f>
        <v/>
      </c>
      <c r="K199">
        <f>IF(163&lt;=$E$5,LARGE(Model!$R$2:$R$636,163),"")</f>
        <v/>
      </c>
    </row>
    <row r="200">
      <c r="A200">
        <f>IF($K200="","",INDEX(Raw_data!$D$2:$D$636,MATCH($K200,Model!$R$2:$R$636,0)))</f>
        <v/>
      </c>
      <c r="B200" s="11">
        <f>IF($K200="","",INDEX(Raw_data!$F$2:$F$636,MATCH($K200,Model!$R$2:$R$636,0)))</f>
        <v/>
      </c>
      <c r="C200">
        <f>IF($K200="","",HYPERLINK(INDEX(Raw_data!$C$2:$C$636,MATCH($K200,Model!$R$2:$R$636,0)),INDEX(Raw_data!$C$2:$C$636,MATCH($K200,Model!$R$2:$R$636,0))))</f>
        <v/>
      </c>
      <c r="D200">
        <f>IF($K200="","",INDEX(Raw_data!$AL$2:$AL$636,MATCH($K200,Model!$R$2:$R$636,0)))</f>
        <v/>
      </c>
      <c r="E200">
        <f>IF($K200="","",INDEX(Raw_data!$AM$2:$AM$636,MATCH($K200,Model!$R$2:$R$636,0)))</f>
        <v/>
      </c>
      <c r="F200">
        <f>IF($K200="","",INDEX(Raw_data!$AQ$2:$AQ$636,MATCH($K200,Model!$R$2:$R$636,0)))</f>
        <v/>
      </c>
      <c r="G200">
        <f>IF($K200="","",INDEX(Raw_data!$H$2:$H$636,MATCH($K200,Model!$R$2:$R$636,0)))</f>
        <v/>
      </c>
      <c r="H200" s="8">
        <f>IF($K200="","",INDEX(Model!$B$2:$B$636,MATCH($K200,Model!$R$2:$R$636,0)))</f>
        <v/>
      </c>
      <c r="I200" s="8">
        <f>IF($K200="","",INDEX(Model!$C$2:$C$636,MATCH($K200,Model!$R$2:$R$636,0)))</f>
        <v/>
      </c>
      <c r="J200">
        <f>IF($K200="","",INDEX(Model!$D$2:$D$636,MATCH($K200,Model!$R$2:$R$636,0)))</f>
        <v/>
      </c>
      <c r="K200">
        <f>IF(164&lt;=$E$5,LARGE(Model!$R$2:$R$636,164),"")</f>
        <v/>
      </c>
    </row>
    <row r="201">
      <c r="A201">
        <f>IF($K201="","",INDEX(Raw_data!$D$2:$D$636,MATCH($K201,Model!$R$2:$R$636,0)))</f>
        <v/>
      </c>
      <c r="B201" s="11">
        <f>IF($K201="","",INDEX(Raw_data!$F$2:$F$636,MATCH($K201,Model!$R$2:$R$636,0)))</f>
        <v/>
      </c>
      <c r="C201">
        <f>IF($K201="","",HYPERLINK(INDEX(Raw_data!$C$2:$C$636,MATCH($K201,Model!$R$2:$R$636,0)),INDEX(Raw_data!$C$2:$C$636,MATCH($K201,Model!$R$2:$R$636,0))))</f>
        <v/>
      </c>
      <c r="D201">
        <f>IF($K201="","",INDEX(Raw_data!$AL$2:$AL$636,MATCH($K201,Model!$R$2:$R$636,0)))</f>
        <v/>
      </c>
      <c r="E201">
        <f>IF($K201="","",INDEX(Raw_data!$AM$2:$AM$636,MATCH($K201,Model!$R$2:$R$636,0)))</f>
        <v/>
      </c>
      <c r="F201">
        <f>IF($K201="","",INDEX(Raw_data!$AQ$2:$AQ$636,MATCH($K201,Model!$R$2:$R$636,0)))</f>
        <v/>
      </c>
      <c r="G201">
        <f>IF($K201="","",INDEX(Raw_data!$H$2:$H$636,MATCH($K201,Model!$R$2:$R$636,0)))</f>
        <v/>
      </c>
      <c r="H201" s="8">
        <f>IF($K201="","",INDEX(Model!$B$2:$B$636,MATCH($K201,Model!$R$2:$R$636,0)))</f>
        <v/>
      </c>
      <c r="I201" s="8">
        <f>IF($K201="","",INDEX(Model!$C$2:$C$636,MATCH($K201,Model!$R$2:$R$636,0)))</f>
        <v/>
      </c>
      <c r="J201">
        <f>IF($K201="","",INDEX(Model!$D$2:$D$636,MATCH($K201,Model!$R$2:$R$636,0)))</f>
        <v/>
      </c>
      <c r="K201">
        <f>IF(165&lt;=$E$5,LARGE(Model!$R$2:$R$636,165),"")</f>
        <v/>
      </c>
    </row>
    <row r="202">
      <c r="A202">
        <f>IF($K202="","",INDEX(Raw_data!$D$2:$D$636,MATCH($K202,Model!$R$2:$R$636,0)))</f>
        <v/>
      </c>
      <c r="B202" s="11">
        <f>IF($K202="","",INDEX(Raw_data!$F$2:$F$636,MATCH($K202,Model!$R$2:$R$636,0)))</f>
        <v/>
      </c>
      <c r="C202">
        <f>IF($K202="","",HYPERLINK(INDEX(Raw_data!$C$2:$C$636,MATCH($K202,Model!$R$2:$R$636,0)),INDEX(Raw_data!$C$2:$C$636,MATCH($K202,Model!$R$2:$R$636,0))))</f>
        <v/>
      </c>
      <c r="D202">
        <f>IF($K202="","",INDEX(Raw_data!$AL$2:$AL$636,MATCH($K202,Model!$R$2:$R$636,0)))</f>
        <v/>
      </c>
      <c r="E202">
        <f>IF($K202="","",INDEX(Raw_data!$AM$2:$AM$636,MATCH($K202,Model!$R$2:$R$636,0)))</f>
        <v/>
      </c>
      <c r="F202">
        <f>IF($K202="","",INDEX(Raw_data!$AQ$2:$AQ$636,MATCH($K202,Model!$R$2:$R$636,0)))</f>
        <v/>
      </c>
      <c r="G202">
        <f>IF($K202="","",INDEX(Raw_data!$H$2:$H$636,MATCH($K202,Model!$R$2:$R$636,0)))</f>
        <v/>
      </c>
      <c r="H202" s="8">
        <f>IF($K202="","",INDEX(Model!$B$2:$B$636,MATCH($K202,Model!$R$2:$R$636,0)))</f>
        <v/>
      </c>
      <c r="I202" s="8">
        <f>IF($K202="","",INDEX(Model!$C$2:$C$636,MATCH($K202,Model!$R$2:$R$636,0)))</f>
        <v/>
      </c>
      <c r="J202">
        <f>IF($K202="","",INDEX(Model!$D$2:$D$636,MATCH($K202,Model!$R$2:$R$636,0)))</f>
        <v/>
      </c>
      <c r="K202">
        <f>IF(166&lt;=$E$5,LARGE(Model!$R$2:$R$636,166),"")</f>
        <v/>
      </c>
    </row>
    <row r="203">
      <c r="A203">
        <f>IF($K203="","",INDEX(Raw_data!$D$2:$D$636,MATCH($K203,Model!$R$2:$R$636,0)))</f>
        <v/>
      </c>
      <c r="B203" s="11">
        <f>IF($K203="","",INDEX(Raw_data!$F$2:$F$636,MATCH($K203,Model!$R$2:$R$636,0)))</f>
        <v/>
      </c>
      <c r="C203">
        <f>IF($K203="","",HYPERLINK(INDEX(Raw_data!$C$2:$C$636,MATCH($K203,Model!$R$2:$R$636,0)),INDEX(Raw_data!$C$2:$C$636,MATCH($K203,Model!$R$2:$R$636,0))))</f>
        <v/>
      </c>
      <c r="D203">
        <f>IF($K203="","",INDEX(Raw_data!$AL$2:$AL$636,MATCH($K203,Model!$R$2:$R$636,0)))</f>
        <v/>
      </c>
      <c r="E203">
        <f>IF($K203="","",INDEX(Raw_data!$AM$2:$AM$636,MATCH($K203,Model!$R$2:$R$636,0)))</f>
        <v/>
      </c>
      <c r="F203">
        <f>IF($K203="","",INDEX(Raw_data!$AQ$2:$AQ$636,MATCH($K203,Model!$R$2:$R$636,0)))</f>
        <v/>
      </c>
      <c r="G203">
        <f>IF($K203="","",INDEX(Raw_data!$H$2:$H$636,MATCH($K203,Model!$R$2:$R$636,0)))</f>
        <v/>
      </c>
      <c r="H203" s="8">
        <f>IF($K203="","",INDEX(Model!$B$2:$B$636,MATCH($K203,Model!$R$2:$R$636,0)))</f>
        <v/>
      </c>
      <c r="I203" s="8">
        <f>IF($K203="","",INDEX(Model!$C$2:$C$636,MATCH($K203,Model!$R$2:$R$636,0)))</f>
        <v/>
      </c>
      <c r="J203">
        <f>IF($K203="","",INDEX(Model!$D$2:$D$636,MATCH($K203,Model!$R$2:$R$636,0)))</f>
        <v/>
      </c>
      <c r="K203">
        <f>IF(167&lt;=$E$5,LARGE(Model!$R$2:$R$636,167),"")</f>
        <v/>
      </c>
    </row>
    <row r="204">
      <c r="A204">
        <f>IF($K204="","",INDEX(Raw_data!$D$2:$D$636,MATCH($K204,Model!$R$2:$R$636,0)))</f>
        <v/>
      </c>
      <c r="B204" s="11">
        <f>IF($K204="","",INDEX(Raw_data!$F$2:$F$636,MATCH($K204,Model!$R$2:$R$636,0)))</f>
        <v/>
      </c>
      <c r="C204">
        <f>IF($K204="","",HYPERLINK(INDEX(Raw_data!$C$2:$C$636,MATCH($K204,Model!$R$2:$R$636,0)),INDEX(Raw_data!$C$2:$C$636,MATCH($K204,Model!$R$2:$R$636,0))))</f>
        <v/>
      </c>
      <c r="D204">
        <f>IF($K204="","",INDEX(Raw_data!$AL$2:$AL$636,MATCH($K204,Model!$R$2:$R$636,0)))</f>
        <v/>
      </c>
      <c r="E204">
        <f>IF($K204="","",INDEX(Raw_data!$AM$2:$AM$636,MATCH($K204,Model!$R$2:$R$636,0)))</f>
        <v/>
      </c>
      <c r="F204">
        <f>IF($K204="","",INDEX(Raw_data!$AQ$2:$AQ$636,MATCH($K204,Model!$R$2:$R$636,0)))</f>
        <v/>
      </c>
      <c r="G204">
        <f>IF($K204="","",INDEX(Raw_data!$H$2:$H$636,MATCH($K204,Model!$R$2:$R$636,0)))</f>
        <v/>
      </c>
      <c r="H204" s="8">
        <f>IF($K204="","",INDEX(Model!$B$2:$B$636,MATCH($K204,Model!$R$2:$R$636,0)))</f>
        <v/>
      </c>
      <c r="I204" s="8">
        <f>IF($K204="","",INDEX(Model!$C$2:$C$636,MATCH($K204,Model!$R$2:$R$636,0)))</f>
        <v/>
      </c>
      <c r="J204">
        <f>IF($K204="","",INDEX(Model!$D$2:$D$636,MATCH($K204,Model!$R$2:$R$636,0)))</f>
        <v/>
      </c>
      <c r="K204">
        <f>IF(168&lt;=$E$5,LARGE(Model!$R$2:$R$636,168),"")</f>
        <v/>
      </c>
    </row>
    <row r="205">
      <c r="A205">
        <f>IF($K205="","",INDEX(Raw_data!$D$2:$D$636,MATCH($K205,Model!$R$2:$R$636,0)))</f>
        <v/>
      </c>
      <c r="B205" s="11">
        <f>IF($K205="","",INDEX(Raw_data!$F$2:$F$636,MATCH($K205,Model!$R$2:$R$636,0)))</f>
        <v/>
      </c>
      <c r="C205">
        <f>IF($K205="","",HYPERLINK(INDEX(Raw_data!$C$2:$C$636,MATCH($K205,Model!$R$2:$R$636,0)),INDEX(Raw_data!$C$2:$C$636,MATCH($K205,Model!$R$2:$R$636,0))))</f>
        <v/>
      </c>
      <c r="D205">
        <f>IF($K205="","",INDEX(Raw_data!$AL$2:$AL$636,MATCH($K205,Model!$R$2:$R$636,0)))</f>
        <v/>
      </c>
      <c r="E205">
        <f>IF($K205="","",INDEX(Raw_data!$AM$2:$AM$636,MATCH($K205,Model!$R$2:$R$636,0)))</f>
        <v/>
      </c>
      <c r="F205">
        <f>IF($K205="","",INDEX(Raw_data!$AQ$2:$AQ$636,MATCH($K205,Model!$R$2:$R$636,0)))</f>
        <v/>
      </c>
      <c r="G205">
        <f>IF($K205="","",INDEX(Raw_data!$H$2:$H$636,MATCH($K205,Model!$R$2:$R$636,0)))</f>
        <v/>
      </c>
      <c r="H205" s="8">
        <f>IF($K205="","",INDEX(Model!$B$2:$B$636,MATCH($K205,Model!$R$2:$R$636,0)))</f>
        <v/>
      </c>
      <c r="I205" s="8">
        <f>IF($K205="","",INDEX(Model!$C$2:$C$636,MATCH($K205,Model!$R$2:$R$636,0)))</f>
        <v/>
      </c>
      <c r="J205">
        <f>IF($K205="","",INDEX(Model!$D$2:$D$636,MATCH($K205,Model!$R$2:$R$636,0)))</f>
        <v/>
      </c>
      <c r="K205">
        <f>IF(169&lt;=$E$5,LARGE(Model!$R$2:$R$636,169),"")</f>
        <v/>
      </c>
    </row>
    <row r="206">
      <c r="A206">
        <f>IF($K206="","",INDEX(Raw_data!$D$2:$D$636,MATCH($K206,Model!$R$2:$R$636,0)))</f>
        <v/>
      </c>
      <c r="B206" s="11">
        <f>IF($K206="","",INDEX(Raw_data!$F$2:$F$636,MATCH($K206,Model!$R$2:$R$636,0)))</f>
        <v/>
      </c>
      <c r="C206">
        <f>IF($K206="","",HYPERLINK(INDEX(Raw_data!$C$2:$C$636,MATCH($K206,Model!$R$2:$R$636,0)),INDEX(Raw_data!$C$2:$C$636,MATCH($K206,Model!$R$2:$R$636,0))))</f>
        <v/>
      </c>
      <c r="D206">
        <f>IF($K206="","",INDEX(Raw_data!$AL$2:$AL$636,MATCH($K206,Model!$R$2:$R$636,0)))</f>
        <v/>
      </c>
      <c r="E206">
        <f>IF($K206="","",INDEX(Raw_data!$AM$2:$AM$636,MATCH($K206,Model!$R$2:$R$636,0)))</f>
        <v/>
      </c>
      <c r="F206">
        <f>IF($K206="","",INDEX(Raw_data!$AQ$2:$AQ$636,MATCH($K206,Model!$R$2:$R$636,0)))</f>
        <v/>
      </c>
      <c r="G206">
        <f>IF($K206="","",INDEX(Raw_data!$H$2:$H$636,MATCH($K206,Model!$R$2:$R$636,0)))</f>
        <v/>
      </c>
      <c r="H206" s="8">
        <f>IF($K206="","",INDEX(Model!$B$2:$B$636,MATCH($K206,Model!$R$2:$R$636,0)))</f>
        <v/>
      </c>
      <c r="I206" s="8">
        <f>IF($K206="","",INDEX(Model!$C$2:$C$636,MATCH($K206,Model!$R$2:$R$636,0)))</f>
        <v/>
      </c>
      <c r="J206">
        <f>IF($K206="","",INDEX(Model!$D$2:$D$636,MATCH($K206,Model!$R$2:$R$636,0)))</f>
        <v/>
      </c>
      <c r="K206">
        <f>IF(170&lt;=$E$5,LARGE(Model!$R$2:$R$636,170),"")</f>
        <v/>
      </c>
    </row>
    <row r="207">
      <c r="A207">
        <f>IF($K207="","",INDEX(Raw_data!$D$2:$D$636,MATCH($K207,Model!$R$2:$R$636,0)))</f>
        <v/>
      </c>
      <c r="B207" s="11">
        <f>IF($K207="","",INDEX(Raw_data!$F$2:$F$636,MATCH($K207,Model!$R$2:$R$636,0)))</f>
        <v/>
      </c>
      <c r="C207">
        <f>IF($K207="","",HYPERLINK(INDEX(Raw_data!$C$2:$C$636,MATCH($K207,Model!$R$2:$R$636,0)),INDEX(Raw_data!$C$2:$C$636,MATCH($K207,Model!$R$2:$R$636,0))))</f>
        <v/>
      </c>
      <c r="D207">
        <f>IF($K207="","",INDEX(Raw_data!$AL$2:$AL$636,MATCH($K207,Model!$R$2:$R$636,0)))</f>
        <v/>
      </c>
      <c r="E207">
        <f>IF($K207="","",INDEX(Raw_data!$AM$2:$AM$636,MATCH($K207,Model!$R$2:$R$636,0)))</f>
        <v/>
      </c>
      <c r="F207">
        <f>IF($K207="","",INDEX(Raw_data!$AQ$2:$AQ$636,MATCH($K207,Model!$R$2:$R$636,0)))</f>
        <v/>
      </c>
      <c r="G207">
        <f>IF($K207="","",INDEX(Raw_data!$H$2:$H$636,MATCH($K207,Model!$R$2:$R$636,0)))</f>
        <v/>
      </c>
      <c r="H207" s="8">
        <f>IF($K207="","",INDEX(Model!$B$2:$B$636,MATCH($K207,Model!$R$2:$R$636,0)))</f>
        <v/>
      </c>
      <c r="I207" s="8">
        <f>IF($K207="","",INDEX(Model!$C$2:$C$636,MATCH($K207,Model!$R$2:$R$636,0)))</f>
        <v/>
      </c>
      <c r="J207">
        <f>IF($K207="","",INDEX(Model!$D$2:$D$636,MATCH($K207,Model!$R$2:$R$636,0)))</f>
        <v/>
      </c>
      <c r="K207">
        <f>IF(171&lt;=$E$5,LARGE(Model!$R$2:$R$636,171),"")</f>
        <v/>
      </c>
    </row>
    <row r="208">
      <c r="A208">
        <f>IF($K208="","",INDEX(Raw_data!$D$2:$D$636,MATCH($K208,Model!$R$2:$R$636,0)))</f>
        <v/>
      </c>
      <c r="B208" s="11">
        <f>IF($K208="","",INDEX(Raw_data!$F$2:$F$636,MATCH($K208,Model!$R$2:$R$636,0)))</f>
        <v/>
      </c>
      <c r="C208">
        <f>IF($K208="","",HYPERLINK(INDEX(Raw_data!$C$2:$C$636,MATCH($K208,Model!$R$2:$R$636,0)),INDEX(Raw_data!$C$2:$C$636,MATCH($K208,Model!$R$2:$R$636,0))))</f>
        <v/>
      </c>
      <c r="D208">
        <f>IF($K208="","",INDEX(Raw_data!$AL$2:$AL$636,MATCH($K208,Model!$R$2:$R$636,0)))</f>
        <v/>
      </c>
      <c r="E208">
        <f>IF($K208="","",INDEX(Raw_data!$AM$2:$AM$636,MATCH($K208,Model!$R$2:$R$636,0)))</f>
        <v/>
      </c>
      <c r="F208">
        <f>IF($K208="","",INDEX(Raw_data!$AQ$2:$AQ$636,MATCH($K208,Model!$R$2:$R$636,0)))</f>
        <v/>
      </c>
      <c r="G208">
        <f>IF($K208="","",INDEX(Raw_data!$H$2:$H$636,MATCH($K208,Model!$R$2:$R$636,0)))</f>
        <v/>
      </c>
      <c r="H208" s="8">
        <f>IF($K208="","",INDEX(Model!$B$2:$B$636,MATCH($K208,Model!$R$2:$R$636,0)))</f>
        <v/>
      </c>
      <c r="I208" s="8">
        <f>IF($K208="","",INDEX(Model!$C$2:$C$636,MATCH($K208,Model!$R$2:$R$636,0)))</f>
        <v/>
      </c>
      <c r="J208">
        <f>IF($K208="","",INDEX(Model!$D$2:$D$636,MATCH($K208,Model!$R$2:$R$636,0)))</f>
        <v/>
      </c>
      <c r="K208">
        <f>IF(172&lt;=$E$5,LARGE(Model!$R$2:$R$636,172),"")</f>
        <v/>
      </c>
    </row>
    <row r="209">
      <c r="A209">
        <f>IF($K209="","",INDEX(Raw_data!$D$2:$D$636,MATCH($K209,Model!$R$2:$R$636,0)))</f>
        <v/>
      </c>
      <c r="B209" s="11">
        <f>IF($K209="","",INDEX(Raw_data!$F$2:$F$636,MATCH($K209,Model!$R$2:$R$636,0)))</f>
        <v/>
      </c>
      <c r="C209">
        <f>IF($K209="","",HYPERLINK(INDEX(Raw_data!$C$2:$C$636,MATCH($K209,Model!$R$2:$R$636,0)),INDEX(Raw_data!$C$2:$C$636,MATCH($K209,Model!$R$2:$R$636,0))))</f>
        <v/>
      </c>
      <c r="D209">
        <f>IF($K209="","",INDEX(Raw_data!$AL$2:$AL$636,MATCH($K209,Model!$R$2:$R$636,0)))</f>
        <v/>
      </c>
      <c r="E209">
        <f>IF($K209="","",INDEX(Raw_data!$AM$2:$AM$636,MATCH($K209,Model!$R$2:$R$636,0)))</f>
        <v/>
      </c>
      <c r="F209">
        <f>IF($K209="","",INDEX(Raw_data!$AQ$2:$AQ$636,MATCH($K209,Model!$R$2:$R$636,0)))</f>
        <v/>
      </c>
      <c r="G209">
        <f>IF($K209="","",INDEX(Raw_data!$H$2:$H$636,MATCH($K209,Model!$R$2:$R$636,0)))</f>
        <v/>
      </c>
      <c r="H209" s="8">
        <f>IF($K209="","",INDEX(Model!$B$2:$B$636,MATCH($K209,Model!$R$2:$R$636,0)))</f>
        <v/>
      </c>
      <c r="I209" s="8">
        <f>IF($K209="","",INDEX(Model!$C$2:$C$636,MATCH($K209,Model!$R$2:$R$636,0)))</f>
        <v/>
      </c>
      <c r="J209">
        <f>IF($K209="","",INDEX(Model!$D$2:$D$636,MATCH($K209,Model!$R$2:$R$636,0)))</f>
        <v/>
      </c>
      <c r="K209">
        <f>IF(173&lt;=$E$5,LARGE(Model!$R$2:$R$636,173),"")</f>
        <v/>
      </c>
    </row>
    <row r="210">
      <c r="A210">
        <f>IF($K210="","",INDEX(Raw_data!$D$2:$D$636,MATCH($K210,Model!$R$2:$R$636,0)))</f>
        <v/>
      </c>
      <c r="B210" s="11">
        <f>IF($K210="","",INDEX(Raw_data!$F$2:$F$636,MATCH($K210,Model!$R$2:$R$636,0)))</f>
        <v/>
      </c>
      <c r="C210">
        <f>IF($K210="","",HYPERLINK(INDEX(Raw_data!$C$2:$C$636,MATCH($K210,Model!$R$2:$R$636,0)),INDEX(Raw_data!$C$2:$C$636,MATCH($K210,Model!$R$2:$R$636,0))))</f>
        <v/>
      </c>
      <c r="D210">
        <f>IF($K210="","",INDEX(Raw_data!$AL$2:$AL$636,MATCH($K210,Model!$R$2:$R$636,0)))</f>
        <v/>
      </c>
      <c r="E210">
        <f>IF($K210="","",INDEX(Raw_data!$AM$2:$AM$636,MATCH($K210,Model!$R$2:$R$636,0)))</f>
        <v/>
      </c>
      <c r="F210">
        <f>IF($K210="","",INDEX(Raw_data!$AQ$2:$AQ$636,MATCH($K210,Model!$R$2:$R$636,0)))</f>
        <v/>
      </c>
      <c r="G210">
        <f>IF($K210="","",INDEX(Raw_data!$H$2:$H$636,MATCH($K210,Model!$R$2:$R$636,0)))</f>
        <v/>
      </c>
      <c r="H210" s="8">
        <f>IF($K210="","",INDEX(Model!$B$2:$B$636,MATCH($K210,Model!$R$2:$R$636,0)))</f>
        <v/>
      </c>
      <c r="I210" s="8">
        <f>IF($K210="","",INDEX(Model!$C$2:$C$636,MATCH($K210,Model!$R$2:$R$636,0)))</f>
        <v/>
      </c>
      <c r="J210">
        <f>IF($K210="","",INDEX(Model!$D$2:$D$636,MATCH($K210,Model!$R$2:$R$636,0)))</f>
        <v/>
      </c>
      <c r="K210">
        <f>IF(174&lt;=$E$5,LARGE(Model!$R$2:$R$636,174),"")</f>
        <v/>
      </c>
    </row>
    <row r="211">
      <c r="A211">
        <f>IF($K211="","",INDEX(Raw_data!$D$2:$D$636,MATCH($K211,Model!$R$2:$R$636,0)))</f>
        <v/>
      </c>
      <c r="B211" s="11">
        <f>IF($K211="","",INDEX(Raw_data!$F$2:$F$636,MATCH($K211,Model!$R$2:$R$636,0)))</f>
        <v/>
      </c>
      <c r="C211">
        <f>IF($K211="","",HYPERLINK(INDEX(Raw_data!$C$2:$C$636,MATCH($K211,Model!$R$2:$R$636,0)),INDEX(Raw_data!$C$2:$C$636,MATCH($K211,Model!$R$2:$R$636,0))))</f>
        <v/>
      </c>
      <c r="D211">
        <f>IF($K211="","",INDEX(Raw_data!$AL$2:$AL$636,MATCH($K211,Model!$R$2:$R$636,0)))</f>
        <v/>
      </c>
      <c r="E211">
        <f>IF($K211="","",INDEX(Raw_data!$AM$2:$AM$636,MATCH($K211,Model!$R$2:$R$636,0)))</f>
        <v/>
      </c>
      <c r="F211">
        <f>IF($K211="","",INDEX(Raw_data!$AQ$2:$AQ$636,MATCH($K211,Model!$R$2:$R$636,0)))</f>
        <v/>
      </c>
      <c r="G211">
        <f>IF($K211="","",INDEX(Raw_data!$H$2:$H$636,MATCH($K211,Model!$R$2:$R$636,0)))</f>
        <v/>
      </c>
      <c r="H211" s="8">
        <f>IF($K211="","",INDEX(Model!$B$2:$B$636,MATCH($K211,Model!$R$2:$R$636,0)))</f>
        <v/>
      </c>
      <c r="I211" s="8">
        <f>IF($K211="","",INDEX(Model!$C$2:$C$636,MATCH($K211,Model!$R$2:$R$636,0)))</f>
        <v/>
      </c>
      <c r="J211">
        <f>IF($K211="","",INDEX(Model!$D$2:$D$636,MATCH($K211,Model!$R$2:$R$636,0)))</f>
        <v/>
      </c>
      <c r="K211">
        <f>IF(175&lt;=$E$5,LARGE(Model!$R$2:$R$636,175),"")</f>
        <v/>
      </c>
    </row>
    <row r="212">
      <c r="A212">
        <f>IF($K212="","",INDEX(Raw_data!$D$2:$D$636,MATCH($K212,Model!$R$2:$R$636,0)))</f>
        <v/>
      </c>
      <c r="B212" s="11">
        <f>IF($K212="","",INDEX(Raw_data!$F$2:$F$636,MATCH($K212,Model!$R$2:$R$636,0)))</f>
        <v/>
      </c>
      <c r="C212">
        <f>IF($K212="","",HYPERLINK(INDEX(Raw_data!$C$2:$C$636,MATCH($K212,Model!$R$2:$R$636,0)),INDEX(Raw_data!$C$2:$C$636,MATCH($K212,Model!$R$2:$R$636,0))))</f>
        <v/>
      </c>
      <c r="D212">
        <f>IF($K212="","",INDEX(Raw_data!$AL$2:$AL$636,MATCH($K212,Model!$R$2:$R$636,0)))</f>
        <v/>
      </c>
      <c r="E212">
        <f>IF($K212="","",INDEX(Raw_data!$AM$2:$AM$636,MATCH($K212,Model!$R$2:$R$636,0)))</f>
        <v/>
      </c>
      <c r="F212">
        <f>IF($K212="","",INDEX(Raw_data!$AQ$2:$AQ$636,MATCH($K212,Model!$R$2:$R$636,0)))</f>
        <v/>
      </c>
      <c r="G212">
        <f>IF($K212="","",INDEX(Raw_data!$H$2:$H$636,MATCH($K212,Model!$R$2:$R$636,0)))</f>
        <v/>
      </c>
      <c r="H212" s="8">
        <f>IF($K212="","",INDEX(Model!$B$2:$B$636,MATCH($K212,Model!$R$2:$R$636,0)))</f>
        <v/>
      </c>
      <c r="I212" s="8">
        <f>IF($K212="","",INDEX(Model!$C$2:$C$636,MATCH($K212,Model!$R$2:$R$636,0)))</f>
        <v/>
      </c>
      <c r="J212">
        <f>IF($K212="","",INDEX(Model!$D$2:$D$636,MATCH($K212,Model!$R$2:$R$636,0)))</f>
        <v/>
      </c>
      <c r="K212">
        <f>IF(176&lt;=$E$5,LARGE(Model!$R$2:$R$636,176),"")</f>
        <v/>
      </c>
    </row>
    <row r="213">
      <c r="A213">
        <f>IF($K213="","",INDEX(Raw_data!$D$2:$D$636,MATCH($K213,Model!$R$2:$R$636,0)))</f>
        <v/>
      </c>
      <c r="B213" s="11">
        <f>IF($K213="","",INDEX(Raw_data!$F$2:$F$636,MATCH($K213,Model!$R$2:$R$636,0)))</f>
        <v/>
      </c>
      <c r="C213">
        <f>IF($K213="","",HYPERLINK(INDEX(Raw_data!$C$2:$C$636,MATCH($K213,Model!$R$2:$R$636,0)),INDEX(Raw_data!$C$2:$C$636,MATCH($K213,Model!$R$2:$R$636,0))))</f>
        <v/>
      </c>
      <c r="D213">
        <f>IF($K213="","",INDEX(Raw_data!$AL$2:$AL$636,MATCH($K213,Model!$R$2:$R$636,0)))</f>
        <v/>
      </c>
      <c r="E213">
        <f>IF($K213="","",INDEX(Raw_data!$AM$2:$AM$636,MATCH($K213,Model!$R$2:$R$636,0)))</f>
        <v/>
      </c>
      <c r="F213">
        <f>IF($K213="","",INDEX(Raw_data!$AQ$2:$AQ$636,MATCH($K213,Model!$R$2:$R$636,0)))</f>
        <v/>
      </c>
      <c r="G213">
        <f>IF($K213="","",INDEX(Raw_data!$H$2:$H$636,MATCH($K213,Model!$R$2:$R$636,0)))</f>
        <v/>
      </c>
      <c r="H213" s="8">
        <f>IF($K213="","",INDEX(Model!$B$2:$B$636,MATCH($K213,Model!$R$2:$R$636,0)))</f>
        <v/>
      </c>
      <c r="I213" s="8">
        <f>IF($K213="","",INDEX(Model!$C$2:$C$636,MATCH($K213,Model!$R$2:$R$636,0)))</f>
        <v/>
      </c>
      <c r="J213">
        <f>IF($K213="","",INDEX(Model!$D$2:$D$636,MATCH($K213,Model!$R$2:$R$636,0)))</f>
        <v/>
      </c>
      <c r="K213">
        <f>IF(177&lt;=$E$5,LARGE(Model!$R$2:$R$636,177),"")</f>
        <v/>
      </c>
    </row>
    <row r="214">
      <c r="A214">
        <f>IF($K214="","",INDEX(Raw_data!$D$2:$D$636,MATCH($K214,Model!$R$2:$R$636,0)))</f>
        <v/>
      </c>
      <c r="B214" s="11">
        <f>IF($K214="","",INDEX(Raw_data!$F$2:$F$636,MATCH($K214,Model!$R$2:$R$636,0)))</f>
        <v/>
      </c>
      <c r="C214">
        <f>IF($K214="","",HYPERLINK(INDEX(Raw_data!$C$2:$C$636,MATCH($K214,Model!$R$2:$R$636,0)),INDEX(Raw_data!$C$2:$C$636,MATCH($K214,Model!$R$2:$R$636,0))))</f>
        <v/>
      </c>
      <c r="D214">
        <f>IF($K214="","",INDEX(Raw_data!$AL$2:$AL$636,MATCH($K214,Model!$R$2:$R$636,0)))</f>
        <v/>
      </c>
      <c r="E214">
        <f>IF($K214="","",INDEX(Raw_data!$AM$2:$AM$636,MATCH($K214,Model!$R$2:$R$636,0)))</f>
        <v/>
      </c>
      <c r="F214">
        <f>IF($K214="","",INDEX(Raw_data!$AQ$2:$AQ$636,MATCH($K214,Model!$R$2:$R$636,0)))</f>
        <v/>
      </c>
      <c r="G214">
        <f>IF($K214="","",INDEX(Raw_data!$H$2:$H$636,MATCH($K214,Model!$R$2:$R$636,0)))</f>
        <v/>
      </c>
      <c r="H214" s="8">
        <f>IF($K214="","",INDEX(Model!$B$2:$B$636,MATCH($K214,Model!$R$2:$R$636,0)))</f>
        <v/>
      </c>
      <c r="I214" s="8">
        <f>IF($K214="","",INDEX(Model!$C$2:$C$636,MATCH($K214,Model!$R$2:$R$636,0)))</f>
        <v/>
      </c>
      <c r="J214">
        <f>IF($K214="","",INDEX(Model!$D$2:$D$636,MATCH($K214,Model!$R$2:$R$636,0)))</f>
        <v/>
      </c>
      <c r="K214">
        <f>IF(178&lt;=$E$5,LARGE(Model!$R$2:$R$636,178),"")</f>
        <v/>
      </c>
    </row>
    <row r="215">
      <c r="A215">
        <f>IF($K215="","",INDEX(Raw_data!$D$2:$D$636,MATCH($K215,Model!$R$2:$R$636,0)))</f>
        <v/>
      </c>
      <c r="B215" s="11">
        <f>IF($K215="","",INDEX(Raw_data!$F$2:$F$636,MATCH($K215,Model!$R$2:$R$636,0)))</f>
        <v/>
      </c>
      <c r="C215">
        <f>IF($K215="","",HYPERLINK(INDEX(Raw_data!$C$2:$C$636,MATCH($K215,Model!$R$2:$R$636,0)),INDEX(Raw_data!$C$2:$C$636,MATCH($K215,Model!$R$2:$R$636,0))))</f>
        <v/>
      </c>
      <c r="D215">
        <f>IF($K215="","",INDEX(Raw_data!$AL$2:$AL$636,MATCH($K215,Model!$R$2:$R$636,0)))</f>
        <v/>
      </c>
      <c r="E215">
        <f>IF($K215="","",INDEX(Raw_data!$AM$2:$AM$636,MATCH($K215,Model!$R$2:$R$636,0)))</f>
        <v/>
      </c>
      <c r="F215">
        <f>IF($K215="","",INDEX(Raw_data!$AQ$2:$AQ$636,MATCH($K215,Model!$R$2:$R$636,0)))</f>
        <v/>
      </c>
      <c r="G215">
        <f>IF($K215="","",INDEX(Raw_data!$H$2:$H$636,MATCH($K215,Model!$R$2:$R$636,0)))</f>
        <v/>
      </c>
      <c r="H215" s="8">
        <f>IF($K215="","",INDEX(Model!$B$2:$B$636,MATCH($K215,Model!$R$2:$R$636,0)))</f>
        <v/>
      </c>
      <c r="I215" s="8">
        <f>IF($K215="","",INDEX(Model!$C$2:$C$636,MATCH($K215,Model!$R$2:$R$636,0)))</f>
        <v/>
      </c>
      <c r="J215">
        <f>IF($K215="","",INDEX(Model!$D$2:$D$636,MATCH($K215,Model!$R$2:$R$636,0)))</f>
        <v/>
      </c>
      <c r="K215">
        <f>IF(179&lt;=$E$5,LARGE(Model!$R$2:$R$636,179),"")</f>
        <v/>
      </c>
    </row>
    <row r="216">
      <c r="A216">
        <f>IF($K216="","",INDEX(Raw_data!$D$2:$D$636,MATCH($K216,Model!$R$2:$R$636,0)))</f>
        <v/>
      </c>
      <c r="B216" s="11">
        <f>IF($K216="","",INDEX(Raw_data!$F$2:$F$636,MATCH($K216,Model!$R$2:$R$636,0)))</f>
        <v/>
      </c>
      <c r="C216">
        <f>IF($K216="","",HYPERLINK(INDEX(Raw_data!$C$2:$C$636,MATCH($K216,Model!$R$2:$R$636,0)),INDEX(Raw_data!$C$2:$C$636,MATCH($K216,Model!$R$2:$R$636,0))))</f>
        <v/>
      </c>
      <c r="D216">
        <f>IF($K216="","",INDEX(Raw_data!$AL$2:$AL$636,MATCH($K216,Model!$R$2:$R$636,0)))</f>
        <v/>
      </c>
      <c r="E216">
        <f>IF($K216="","",INDEX(Raw_data!$AM$2:$AM$636,MATCH($K216,Model!$R$2:$R$636,0)))</f>
        <v/>
      </c>
      <c r="F216">
        <f>IF($K216="","",INDEX(Raw_data!$AQ$2:$AQ$636,MATCH($K216,Model!$R$2:$R$636,0)))</f>
        <v/>
      </c>
      <c r="G216">
        <f>IF($K216="","",INDEX(Raw_data!$H$2:$H$636,MATCH($K216,Model!$R$2:$R$636,0)))</f>
        <v/>
      </c>
      <c r="H216" s="8">
        <f>IF($K216="","",INDEX(Model!$B$2:$B$636,MATCH($K216,Model!$R$2:$R$636,0)))</f>
        <v/>
      </c>
      <c r="I216" s="8">
        <f>IF($K216="","",INDEX(Model!$C$2:$C$636,MATCH($K216,Model!$R$2:$R$636,0)))</f>
        <v/>
      </c>
      <c r="J216">
        <f>IF($K216="","",INDEX(Model!$D$2:$D$636,MATCH($K216,Model!$R$2:$R$636,0)))</f>
        <v/>
      </c>
      <c r="K216">
        <f>IF(180&lt;=$E$5,LARGE(Model!$R$2:$R$636,180),"")</f>
        <v/>
      </c>
    </row>
    <row r="217">
      <c r="A217">
        <f>IF($K217="","",INDEX(Raw_data!$D$2:$D$636,MATCH($K217,Model!$R$2:$R$636,0)))</f>
        <v/>
      </c>
      <c r="B217" s="11">
        <f>IF($K217="","",INDEX(Raw_data!$F$2:$F$636,MATCH($K217,Model!$R$2:$R$636,0)))</f>
        <v/>
      </c>
      <c r="C217">
        <f>IF($K217="","",HYPERLINK(INDEX(Raw_data!$C$2:$C$636,MATCH($K217,Model!$R$2:$R$636,0)),INDEX(Raw_data!$C$2:$C$636,MATCH($K217,Model!$R$2:$R$636,0))))</f>
        <v/>
      </c>
      <c r="D217">
        <f>IF($K217="","",INDEX(Raw_data!$AL$2:$AL$636,MATCH($K217,Model!$R$2:$R$636,0)))</f>
        <v/>
      </c>
      <c r="E217">
        <f>IF($K217="","",INDEX(Raw_data!$AM$2:$AM$636,MATCH($K217,Model!$R$2:$R$636,0)))</f>
        <v/>
      </c>
      <c r="F217">
        <f>IF($K217="","",INDEX(Raw_data!$AQ$2:$AQ$636,MATCH($K217,Model!$R$2:$R$636,0)))</f>
        <v/>
      </c>
      <c r="G217">
        <f>IF($K217="","",INDEX(Raw_data!$H$2:$H$636,MATCH($K217,Model!$R$2:$R$636,0)))</f>
        <v/>
      </c>
      <c r="H217" s="8">
        <f>IF($K217="","",INDEX(Model!$B$2:$B$636,MATCH($K217,Model!$R$2:$R$636,0)))</f>
        <v/>
      </c>
      <c r="I217" s="8">
        <f>IF($K217="","",INDEX(Model!$C$2:$C$636,MATCH($K217,Model!$R$2:$R$636,0)))</f>
        <v/>
      </c>
      <c r="J217">
        <f>IF($K217="","",INDEX(Model!$D$2:$D$636,MATCH($K217,Model!$R$2:$R$636,0)))</f>
        <v/>
      </c>
      <c r="K217">
        <f>IF(181&lt;=$E$5,LARGE(Model!$R$2:$R$636,181),"")</f>
        <v/>
      </c>
    </row>
    <row r="218">
      <c r="A218">
        <f>IF($K218="","",INDEX(Raw_data!$D$2:$D$636,MATCH($K218,Model!$R$2:$R$636,0)))</f>
        <v/>
      </c>
      <c r="B218" s="11">
        <f>IF($K218="","",INDEX(Raw_data!$F$2:$F$636,MATCH($K218,Model!$R$2:$R$636,0)))</f>
        <v/>
      </c>
      <c r="C218">
        <f>IF($K218="","",HYPERLINK(INDEX(Raw_data!$C$2:$C$636,MATCH($K218,Model!$R$2:$R$636,0)),INDEX(Raw_data!$C$2:$C$636,MATCH($K218,Model!$R$2:$R$636,0))))</f>
        <v/>
      </c>
      <c r="D218">
        <f>IF($K218="","",INDEX(Raw_data!$AL$2:$AL$636,MATCH($K218,Model!$R$2:$R$636,0)))</f>
        <v/>
      </c>
      <c r="E218">
        <f>IF($K218="","",INDEX(Raw_data!$AM$2:$AM$636,MATCH($K218,Model!$R$2:$R$636,0)))</f>
        <v/>
      </c>
      <c r="F218">
        <f>IF($K218="","",INDEX(Raw_data!$AQ$2:$AQ$636,MATCH($K218,Model!$R$2:$R$636,0)))</f>
        <v/>
      </c>
      <c r="G218">
        <f>IF($K218="","",INDEX(Raw_data!$H$2:$H$636,MATCH($K218,Model!$R$2:$R$636,0)))</f>
        <v/>
      </c>
      <c r="H218" s="8">
        <f>IF($K218="","",INDEX(Model!$B$2:$B$636,MATCH($K218,Model!$R$2:$R$636,0)))</f>
        <v/>
      </c>
      <c r="I218" s="8">
        <f>IF($K218="","",INDEX(Model!$C$2:$C$636,MATCH($K218,Model!$R$2:$R$636,0)))</f>
        <v/>
      </c>
      <c r="J218">
        <f>IF($K218="","",INDEX(Model!$D$2:$D$636,MATCH($K218,Model!$R$2:$R$636,0)))</f>
        <v/>
      </c>
      <c r="K218">
        <f>IF(182&lt;=$E$5,LARGE(Model!$R$2:$R$636,182),"")</f>
        <v/>
      </c>
    </row>
    <row r="219">
      <c r="A219">
        <f>IF($K219="","",INDEX(Raw_data!$D$2:$D$636,MATCH($K219,Model!$R$2:$R$636,0)))</f>
        <v/>
      </c>
      <c r="B219" s="11">
        <f>IF($K219="","",INDEX(Raw_data!$F$2:$F$636,MATCH($K219,Model!$R$2:$R$636,0)))</f>
        <v/>
      </c>
      <c r="C219">
        <f>IF($K219="","",HYPERLINK(INDEX(Raw_data!$C$2:$C$636,MATCH($K219,Model!$R$2:$R$636,0)),INDEX(Raw_data!$C$2:$C$636,MATCH($K219,Model!$R$2:$R$636,0))))</f>
        <v/>
      </c>
      <c r="D219">
        <f>IF($K219="","",INDEX(Raw_data!$AL$2:$AL$636,MATCH($K219,Model!$R$2:$R$636,0)))</f>
        <v/>
      </c>
      <c r="E219">
        <f>IF($K219="","",INDEX(Raw_data!$AM$2:$AM$636,MATCH($K219,Model!$R$2:$R$636,0)))</f>
        <v/>
      </c>
      <c r="F219">
        <f>IF($K219="","",INDEX(Raw_data!$AQ$2:$AQ$636,MATCH($K219,Model!$R$2:$R$636,0)))</f>
        <v/>
      </c>
      <c r="G219">
        <f>IF($K219="","",INDEX(Raw_data!$H$2:$H$636,MATCH($K219,Model!$R$2:$R$636,0)))</f>
        <v/>
      </c>
      <c r="H219" s="8">
        <f>IF($K219="","",INDEX(Model!$B$2:$B$636,MATCH($K219,Model!$R$2:$R$636,0)))</f>
        <v/>
      </c>
      <c r="I219" s="8">
        <f>IF($K219="","",INDEX(Model!$C$2:$C$636,MATCH($K219,Model!$R$2:$R$636,0)))</f>
        <v/>
      </c>
      <c r="J219">
        <f>IF($K219="","",INDEX(Model!$D$2:$D$636,MATCH($K219,Model!$R$2:$R$636,0)))</f>
        <v/>
      </c>
      <c r="K219">
        <f>IF(183&lt;=$E$5,LARGE(Model!$R$2:$R$636,183),"")</f>
        <v/>
      </c>
    </row>
    <row r="220">
      <c r="A220">
        <f>IF($K220="","",INDEX(Raw_data!$D$2:$D$636,MATCH($K220,Model!$R$2:$R$636,0)))</f>
        <v/>
      </c>
      <c r="B220" s="11">
        <f>IF($K220="","",INDEX(Raw_data!$F$2:$F$636,MATCH($K220,Model!$R$2:$R$636,0)))</f>
        <v/>
      </c>
      <c r="C220">
        <f>IF($K220="","",HYPERLINK(INDEX(Raw_data!$C$2:$C$636,MATCH($K220,Model!$R$2:$R$636,0)),INDEX(Raw_data!$C$2:$C$636,MATCH($K220,Model!$R$2:$R$636,0))))</f>
        <v/>
      </c>
      <c r="D220">
        <f>IF($K220="","",INDEX(Raw_data!$AL$2:$AL$636,MATCH($K220,Model!$R$2:$R$636,0)))</f>
        <v/>
      </c>
      <c r="E220">
        <f>IF($K220="","",INDEX(Raw_data!$AM$2:$AM$636,MATCH($K220,Model!$R$2:$R$636,0)))</f>
        <v/>
      </c>
      <c r="F220">
        <f>IF($K220="","",INDEX(Raw_data!$AQ$2:$AQ$636,MATCH($K220,Model!$R$2:$R$636,0)))</f>
        <v/>
      </c>
      <c r="G220">
        <f>IF($K220="","",INDEX(Raw_data!$H$2:$H$636,MATCH($K220,Model!$R$2:$R$636,0)))</f>
        <v/>
      </c>
      <c r="H220" s="8">
        <f>IF($K220="","",INDEX(Model!$B$2:$B$636,MATCH($K220,Model!$R$2:$R$636,0)))</f>
        <v/>
      </c>
      <c r="I220" s="8">
        <f>IF($K220="","",INDEX(Model!$C$2:$C$636,MATCH($K220,Model!$R$2:$R$636,0)))</f>
        <v/>
      </c>
      <c r="J220">
        <f>IF($K220="","",INDEX(Model!$D$2:$D$636,MATCH($K220,Model!$R$2:$R$636,0)))</f>
        <v/>
      </c>
      <c r="K220">
        <f>IF(184&lt;=$E$5,LARGE(Model!$R$2:$R$636,184),"")</f>
        <v/>
      </c>
    </row>
    <row r="221">
      <c r="A221">
        <f>IF($K221="","",INDEX(Raw_data!$D$2:$D$636,MATCH($K221,Model!$R$2:$R$636,0)))</f>
        <v/>
      </c>
      <c r="B221" s="11">
        <f>IF($K221="","",INDEX(Raw_data!$F$2:$F$636,MATCH($K221,Model!$R$2:$R$636,0)))</f>
        <v/>
      </c>
      <c r="C221">
        <f>IF($K221="","",HYPERLINK(INDEX(Raw_data!$C$2:$C$636,MATCH($K221,Model!$R$2:$R$636,0)),INDEX(Raw_data!$C$2:$C$636,MATCH($K221,Model!$R$2:$R$636,0))))</f>
        <v/>
      </c>
      <c r="D221">
        <f>IF($K221="","",INDEX(Raw_data!$AL$2:$AL$636,MATCH($K221,Model!$R$2:$R$636,0)))</f>
        <v/>
      </c>
      <c r="E221">
        <f>IF($K221="","",INDEX(Raw_data!$AM$2:$AM$636,MATCH($K221,Model!$R$2:$R$636,0)))</f>
        <v/>
      </c>
      <c r="F221">
        <f>IF($K221="","",INDEX(Raw_data!$AQ$2:$AQ$636,MATCH($K221,Model!$R$2:$R$636,0)))</f>
        <v/>
      </c>
      <c r="G221">
        <f>IF($K221="","",INDEX(Raw_data!$H$2:$H$636,MATCH($K221,Model!$R$2:$R$636,0)))</f>
        <v/>
      </c>
      <c r="H221" s="8">
        <f>IF($K221="","",INDEX(Model!$B$2:$B$636,MATCH($K221,Model!$R$2:$R$636,0)))</f>
        <v/>
      </c>
      <c r="I221" s="8">
        <f>IF($K221="","",INDEX(Model!$C$2:$C$636,MATCH($K221,Model!$R$2:$R$636,0)))</f>
        <v/>
      </c>
      <c r="J221">
        <f>IF($K221="","",INDEX(Model!$D$2:$D$636,MATCH($K221,Model!$R$2:$R$636,0)))</f>
        <v/>
      </c>
      <c r="K221">
        <f>IF(185&lt;=$E$5,LARGE(Model!$R$2:$R$636,185),"")</f>
        <v/>
      </c>
    </row>
    <row r="222">
      <c r="A222">
        <f>IF($K222="","",INDEX(Raw_data!$D$2:$D$636,MATCH($K222,Model!$R$2:$R$636,0)))</f>
        <v/>
      </c>
      <c r="B222" s="11">
        <f>IF($K222="","",INDEX(Raw_data!$F$2:$F$636,MATCH($K222,Model!$R$2:$R$636,0)))</f>
        <v/>
      </c>
      <c r="C222">
        <f>IF($K222="","",HYPERLINK(INDEX(Raw_data!$C$2:$C$636,MATCH($K222,Model!$R$2:$R$636,0)),INDEX(Raw_data!$C$2:$C$636,MATCH($K222,Model!$R$2:$R$636,0))))</f>
        <v/>
      </c>
      <c r="D222">
        <f>IF($K222="","",INDEX(Raw_data!$AL$2:$AL$636,MATCH($K222,Model!$R$2:$R$636,0)))</f>
        <v/>
      </c>
      <c r="E222">
        <f>IF($K222="","",INDEX(Raw_data!$AM$2:$AM$636,MATCH($K222,Model!$R$2:$R$636,0)))</f>
        <v/>
      </c>
      <c r="F222">
        <f>IF($K222="","",INDEX(Raw_data!$AQ$2:$AQ$636,MATCH($K222,Model!$R$2:$R$636,0)))</f>
        <v/>
      </c>
      <c r="G222">
        <f>IF($K222="","",INDEX(Raw_data!$H$2:$H$636,MATCH($K222,Model!$R$2:$R$636,0)))</f>
        <v/>
      </c>
      <c r="H222" s="8">
        <f>IF($K222="","",INDEX(Model!$B$2:$B$636,MATCH($K222,Model!$R$2:$R$636,0)))</f>
        <v/>
      </c>
      <c r="I222" s="8">
        <f>IF($K222="","",INDEX(Model!$C$2:$C$636,MATCH($K222,Model!$R$2:$R$636,0)))</f>
        <v/>
      </c>
      <c r="J222">
        <f>IF($K222="","",INDEX(Model!$D$2:$D$636,MATCH($K222,Model!$R$2:$R$636,0)))</f>
        <v/>
      </c>
      <c r="K222">
        <f>IF(186&lt;=$E$5,LARGE(Model!$R$2:$R$636,186),"")</f>
        <v/>
      </c>
    </row>
    <row r="223">
      <c r="A223">
        <f>IF($K223="","",INDEX(Raw_data!$D$2:$D$636,MATCH($K223,Model!$R$2:$R$636,0)))</f>
        <v/>
      </c>
      <c r="B223" s="11">
        <f>IF($K223="","",INDEX(Raw_data!$F$2:$F$636,MATCH($K223,Model!$R$2:$R$636,0)))</f>
        <v/>
      </c>
      <c r="C223">
        <f>IF($K223="","",HYPERLINK(INDEX(Raw_data!$C$2:$C$636,MATCH($K223,Model!$R$2:$R$636,0)),INDEX(Raw_data!$C$2:$C$636,MATCH($K223,Model!$R$2:$R$636,0))))</f>
        <v/>
      </c>
      <c r="D223">
        <f>IF($K223="","",INDEX(Raw_data!$AL$2:$AL$636,MATCH($K223,Model!$R$2:$R$636,0)))</f>
        <v/>
      </c>
      <c r="E223">
        <f>IF($K223="","",INDEX(Raw_data!$AM$2:$AM$636,MATCH($K223,Model!$R$2:$R$636,0)))</f>
        <v/>
      </c>
      <c r="F223">
        <f>IF($K223="","",INDEX(Raw_data!$AQ$2:$AQ$636,MATCH($K223,Model!$R$2:$R$636,0)))</f>
        <v/>
      </c>
      <c r="G223">
        <f>IF($K223="","",INDEX(Raw_data!$H$2:$H$636,MATCH($K223,Model!$R$2:$R$636,0)))</f>
        <v/>
      </c>
      <c r="H223" s="8">
        <f>IF($K223="","",INDEX(Model!$B$2:$B$636,MATCH($K223,Model!$R$2:$R$636,0)))</f>
        <v/>
      </c>
      <c r="I223" s="8">
        <f>IF($K223="","",INDEX(Model!$C$2:$C$636,MATCH($K223,Model!$R$2:$R$636,0)))</f>
        <v/>
      </c>
      <c r="J223">
        <f>IF($K223="","",INDEX(Model!$D$2:$D$636,MATCH($K223,Model!$R$2:$R$636,0)))</f>
        <v/>
      </c>
      <c r="K223">
        <f>IF(187&lt;=$E$5,LARGE(Model!$R$2:$R$636,187),"")</f>
        <v/>
      </c>
    </row>
    <row r="224">
      <c r="A224">
        <f>IF($K224="","",INDEX(Raw_data!$D$2:$D$636,MATCH($K224,Model!$R$2:$R$636,0)))</f>
        <v/>
      </c>
      <c r="B224" s="11">
        <f>IF($K224="","",INDEX(Raw_data!$F$2:$F$636,MATCH($K224,Model!$R$2:$R$636,0)))</f>
        <v/>
      </c>
      <c r="C224">
        <f>IF($K224="","",HYPERLINK(INDEX(Raw_data!$C$2:$C$636,MATCH($K224,Model!$R$2:$R$636,0)),INDEX(Raw_data!$C$2:$C$636,MATCH($K224,Model!$R$2:$R$636,0))))</f>
        <v/>
      </c>
      <c r="D224">
        <f>IF($K224="","",INDEX(Raw_data!$AL$2:$AL$636,MATCH($K224,Model!$R$2:$R$636,0)))</f>
        <v/>
      </c>
      <c r="E224">
        <f>IF($K224="","",INDEX(Raw_data!$AM$2:$AM$636,MATCH($K224,Model!$R$2:$R$636,0)))</f>
        <v/>
      </c>
      <c r="F224">
        <f>IF($K224="","",INDEX(Raw_data!$AQ$2:$AQ$636,MATCH($K224,Model!$R$2:$R$636,0)))</f>
        <v/>
      </c>
      <c r="G224">
        <f>IF($K224="","",INDEX(Raw_data!$H$2:$H$636,MATCH($K224,Model!$R$2:$R$636,0)))</f>
        <v/>
      </c>
      <c r="H224" s="8">
        <f>IF($K224="","",INDEX(Model!$B$2:$B$636,MATCH($K224,Model!$R$2:$R$636,0)))</f>
        <v/>
      </c>
      <c r="I224" s="8">
        <f>IF($K224="","",INDEX(Model!$C$2:$C$636,MATCH($K224,Model!$R$2:$R$636,0)))</f>
        <v/>
      </c>
      <c r="J224">
        <f>IF($K224="","",INDEX(Model!$D$2:$D$636,MATCH($K224,Model!$R$2:$R$636,0)))</f>
        <v/>
      </c>
      <c r="K224">
        <f>IF(188&lt;=$E$5,LARGE(Model!$R$2:$R$636,188),"")</f>
        <v/>
      </c>
    </row>
    <row r="225">
      <c r="A225">
        <f>IF($K225="","",INDEX(Raw_data!$D$2:$D$636,MATCH($K225,Model!$R$2:$R$636,0)))</f>
        <v/>
      </c>
      <c r="B225" s="11">
        <f>IF($K225="","",INDEX(Raw_data!$F$2:$F$636,MATCH($K225,Model!$R$2:$R$636,0)))</f>
        <v/>
      </c>
      <c r="C225">
        <f>IF($K225="","",HYPERLINK(INDEX(Raw_data!$C$2:$C$636,MATCH($K225,Model!$R$2:$R$636,0)),INDEX(Raw_data!$C$2:$C$636,MATCH($K225,Model!$R$2:$R$636,0))))</f>
        <v/>
      </c>
      <c r="D225">
        <f>IF($K225="","",INDEX(Raw_data!$AL$2:$AL$636,MATCH($K225,Model!$R$2:$R$636,0)))</f>
        <v/>
      </c>
      <c r="E225">
        <f>IF($K225="","",INDEX(Raw_data!$AM$2:$AM$636,MATCH($K225,Model!$R$2:$R$636,0)))</f>
        <v/>
      </c>
      <c r="F225">
        <f>IF($K225="","",INDEX(Raw_data!$AQ$2:$AQ$636,MATCH($K225,Model!$R$2:$R$636,0)))</f>
        <v/>
      </c>
      <c r="G225">
        <f>IF($K225="","",INDEX(Raw_data!$H$2:$H$636,MATCH($K225,Model!$R$2:$R$636,0)))</f>
        <v/>
      </c>
      <c r="H225" s="8">
        <f>IF($K225="","",INDEX(Model!$B$2:$B$636,MATCH($K225,Model!$R$2:$R$636,0)))</f>
        <v/>
      </c>
      <c r="I225" s="8">
        <f>IF($K225="","",INDEX(Model!$C$2:$C$636,MATCH($K225,Model!$R$2:$R$636,0)))</f>
        <v/>
      </c>
      <c r="J225">
        <f>IF($K225="","",INDEX(Model!$D$2:$D$636,MATCH($K225,Model!$R$2:$R$636,0)))</f>
        <v/>
      </c>
      <c r="K225">
        <f>IF(189&lt;=$E$5,LARGE(Model!$R$2:$R$636,189),"")</f>
        <v/>
      </c>
    </row>
    <row r="226">
      <c r="A226">
        <f>IF($K226="","",INDEX(Raw_data!$D$2:$D$636,MATCH($K226,Model!$R$2:$R$636,0)))</f>
        <v/>
      </c>
      <c r="B226" s="11">
        <f>IF($K226="","",INDEX(Raw_data!$F$2:$F$636,MATCH($K226,Model!$R$2:$R$636,0)))</f>
        <v/>
      </c>
      <c r="C226">
        <f>IF($K226="","",HYPERLINK(INDEX(Raw_data!$C$2:$C$636,MATCH($K226,Model!$R$2:$R$636,0)),INDEX(Raw_data!$C$2:$C$636,MATCH($K226,Model!$R$2:$R$636,0))))</f>
        <v/>
      </c>
      <c r="D226">
        <f>IF($K226="","",INDEX(Raw_data!$AL$2:$AL$636,MATCH($K226,Model!$R$2:$R$636,0)))</f>
        <v/>
      </c>
      <c r="E226">
        <f>IF($K226="","",INDEX(Raw_data!$AM$2:$AM$636,MATCH($K226,Model!$R$2:$R$636,0)))</f>
        <v/>
      </c>
      <c r="F226">
        <f>IF($K226="","",INDEX(Raw_data!$AQ$2:$AQ$636,MATCH($K226,Model!$R$2:$R$636,0)))</f>
        <v/>
      </c>
      <c r="G226">
        <f>IF($K226="","",INDEX(Raw_data!$H$2:$H$636,MATCH($K226,Model!$R$2:$R$636,0)))</f>
        <v/>
      </c>
      <c r="H226" s="8">
        <f>IF($K226="","",INDEX(Model!$B$2:$B$636,MATCH($K226,Model!$R$2:$R$636,0)))</f>
        <v/>
      </c>
      <c r="I226" s="8">
        <f>IF($K226="","",INDEX(Model!$C$2:$C$636,MATCH($K226,Model!$R$2:$R$636,0)))</f>
        <v/>
      </c>
      <c r="J226">
        <f>IF($K226="","",INDEX(Model!$D$2:$D$636,MATCH($K226,Model!$R$2:$R$636,0)))</f>
        <v/>
      </c>
      <c r="K226">
        <f>IF(190&lt;=$E$5,LARGE(Model!$R$2:$R$636,190),"")</f>
        <v/>
      </c>
    </row>
    <row r="227">
      <c r="A227">
        <f>IF($K227="","",INDEX(Raw_data!$D$2:$D$636,MATCH($K227,Model!$R$2:$R$636,0)))</f>
        <v/>
      </c>
      <c r="B227" s="11">
        <f>IF($K227="","",INDEX(Raw_data!$F$2:$F$636,MATCH($K227,Model!$R$2:$R$636,0)))</f>
        <v/>
      </c>
      <c r="C227">
        <f>IF($K227="","",HYPERLINK(INDEX(Raw_data!$C$2:$C$636,MATCH($K227,Model!$R$2:$R$636,0)),INDEX(Raw_data!$C$2:$C$636,MATCH($K227,Model!$R$2:$R$636,0))))</f>
        <v/>
      </c>
      <c r="D227">
        <f>IF($K227="","",INDEX(Raw_data!$AL$2:$AL$636,MATCH($K227,Model!$R$2:$R$636,0)))</f>
        <v/>
      </c>
      <c r="E227">
        <f>IF($K227="","",INDEX(Raw_data!$AM$2:$AM$636,MATCH($K227,Model!$R$2:$R$636,0)))</f>
        <v/>
      </c>
      <c r="F227">
        <f>IF($K227="","",INDEX(Raw_data!$AQ$2:$AQ$636,MATCH($K227,Model!$R$2:$R$636,0)))</f>
        <v/>
      </c>
      <c r="G227">
        <f>IF($K227="","",INDEX(Raw_data!$H$2:$H$636,MATCH($K227,Model!$R$2:$R$636,0)))</f>
        <v/>
      </c>
      <c r="H227" s="8">
        <f>IF($K227="","",INDEX(Model!$B$2:$B$636,MATCH($K227,Model!$R$2:$R$636,0)))</f>
        <v/>
      </c>
      <c r="I227" s="8">
        <f>IF($K227="","",INDEX(Model!$C$2:$C$636,MATCH($K227,Model!$R$2:$R$636,0)))</f>
        <v/>
      </c>
      <c r="J227">
        <f>IF($K227="","",INDEX(Model!$D$2:$D$636,MATCH($K227,Model!$R$2:$R$636,0)))</f>
        <v/>
      </c>
      <c r="K227">
        <f>IF(191&lt;=$E$5,LARGE(Model!$R$2:$R$636,191),"")</f>
        <v/>
      </c>
    </row>
    <row r="228">
      <c r="A228">
        <f>IF($K228="","",INDEX(Raw_data!$D$2:$D$636,MATCH($K228,Model!$R$2:$R$636,0)))</f>
        <v/>
      </c>
      <c r="B228" s="11">
        <f>IF($K228="","",INDEX(Raw_data!$F$2:$F$636,MATCH($K228,Model!$R$2:$R$636,0)))</f>
        <v/>
      </c>
      <c r="C228">
        <f>IF($K228="","",HYPERLINK(INDEX(Raw_data!$C$2:$C$636,MATCH($K228,Model!$R$2:$R$636,0)),INDEX(Raw_data!$C$2:$C$636,MATCH($K228,Model!$R$2:$R$636,0))))</f>
        <v/>
      </c>
      <c r="D228">
        <f>IF($K228="","",INDEX(Raw_data!$AL$2:$AL$636,MATCH($K228,Model!$R$2:$R$636,0)))</f>
        <v/>
      </c>
      <c r="E228">
        <f>IF($K228="","",INDEX(Raw_data!$AM$2:$AM$636,MATCH($K228,Model!$R$2:$R$636,0)))</f>
        <v/>
      </c>
      <c r="F228">
        <f>IF($K228="","",INDEX(Raw_data!$AQ$2:$AQ$636,MATCH($K228,Model!$R$2:$R$636,0)))</f>
        <v/>
      </c>
      <c r="G228">
        <f>IF($K228="","",INDEX(Raw_data!$H$2:$H$636,MATCH($K228,Model!$R$2:$R$636,0)))</f>
        <v/>
      </c>
      <c r="H228" s="8">
        <f>IF($K228="","",INDEX(Model!$B$2:$B$636,MATCH($K228,Model!$R$2:$R$636,0)))</f>
        <v/>
      </c>
      <c r="I228" s="8">
        <f>IF($K228="","",INDEX(Model!$C$2:$C$636,MATCH($K228,Model!$R$2:$R$636,0)))</f>
        <v/>
      </c>
      <c r="J228">
        <f>IF($K228="","",INDEX(Model!$D$2:$D$636,MATCH($K228,Model!$R$2:$R$636,0)))</f>
        <v/>
      </c>
      <c r="K228">
        <f>IF(192&lt;=$E$5,LARGE(Model!$R$2:$R$636,192),"")</f>
        <v/>
      </c>
    </row>
    <row r="229">
      <c r="A229">
        <f>IF($K229="","",INDEX(Raw_data!$D$2:$D$636,MATCH($K229,Model!$R$2:$R$636,0)))</f>
        <v/>
      </c>
      <c r="B229" s="11">
        <f>IF($K229="","",INDEX(Raw_data!$F$2:$F$636,MATCH($K229,Model!$R$2:$R$636,0)))</f>
        <v/>
      </c>
      <c r="C229">
        <f>IF($K229="","",HYPERLINK(INDEX(Raw_data!$C$2:$C$636,MATCH($K229,Model!$R$2:$R$636,0)),INDEX(Raw_data!$C$2:$C$636,MATCH($K229,Model!$R$2:$R$636,0))))</f>
        <v/>
      </c>
      <c r="D229">
        <f>IF($K229="","",INDEX(Raw_data!$AL$2:$AL$636,MATCH($K229,Model!$R$2:$R$636,0)))</f>
        <v/>
      </c>
      <c r="E229">
        <f>IF($K229="","",INDEX(Raw_data!$AM$2:$AM$636,MATCH($K229,Model!$R$2:$R$636,0)))</f>
        <v/>
      </c>
      <c r="F229">
        <f>IF($K229="","",INDEX(Raw_data!$AQ$2:$AQ$636,MATCH($K229,Model!$R$2:$R$636,0)))</f>
        <v/>
      </c>
      <c r="G229">
        <f>IF($K229="","",INDEX(Raw_data!$H$2:$H$636,MATCH($K229,Model!$R$2:$R$636,0)))</f>
        <v/>
      </c>
      <c r="H229" s="8">
        <f>IF($K229="","",INDEX(Model!$B$2:$B$636,MATCH($K229,Model!$R$2:$R$636,0)))</f>
        <v/>
      </c>
      <c r="I229" s="8">
        <f>IF($K229="","",INDEX(Model!$C$2:$C$636,MATCH($K229,Model!$R$2:$R$636,0)))</f>
        <v/>
      </c>
      <c r="J229">
        <f>IF($K229="","",INDEX(Model!$D$2:$D$636,MATCH($K229,Model!$R$2:$R$636,0)))</f>
        <v/>
      </c>
      <c r="K229">
        <f>IF(193&lt;=$E$5,LARGE(Model!$R$2:$R$636,193),"")</f>
        <v/>
      </c>
    </row>
    <row r="230">
      <c r="A230">
        <f>IF($K230="","",INDEX(Raw_data!$D$2:$D$636,MATCH($K230,Model!$R$2:$R$636,0)))</f>
        <v/>
      </c>
      <c r="B230" s="11">
        <f>IF($K230="","",INDEX(Raw_data!$F$2:$F$636,MATCH($K230,Model!$R$2:$R$636,0)))</f>
        <v/>
      </c>
      <c r="C230">
        <f>IF($K230="","",HYPERLINK(INDEX(Raw_data!$C$2:$C$636,MATCH($K230,Model!$R$2:$R$636,0)),INDEX(Raw_data!$C$2:$C$636,MATCH($K230,Model!$R$2:$R$636,0))))</f>
        <v/>
      </c>
      <c r="D230">
        <f>IF($K230="","",INDEX(Raw_data!$AL$2:$AL$636,MATCH($K230,Model!$R$2:$R$636,0)))</f>
        <v/>
      </c>
      <c r="E230">
        <f>IF($K230="","",INDEX(Raw_data!$AM$2:$AM$636,MATCH($K230,Model!$R$2:$R$636,0)))</f>
        <v/>
      </c>
      <c r="F230">
        <f>IF($K230="","",INDEX(Raw_data!$AQ$2:$AQ$636,MATCH($K230,Model!$R$2:$R$636,0)))</f>
        <v/>
      </c>
      <c r="G230">
        <f>IF($K230="","",INDEX(Raw_data!$H$2:$H$636,MATCH($K230,Model!$R$2:$R$636,0)))</f>
        <v/>
      </c>
      <c r="H230" s="8">
        <f>IF($K230="","",INDEX(Model!$B$2:$B$636,MATCH($K230,Model!$R$2:$R$636,0)))</f>
        <v/>
      </c>
      <c r="I230" s="8">
        <f>IF($K230="","",INDEX(Model!$C$2:$C$636,MATCH($K230,Model!$R$2:$R$636,0)))</f>
        <v/>
      </c>
      <c r="J230">
        <f>IF($K230="","",INDEX(Model!$D$2:$D$636,MATCH($K230,Model!$R$2:$R$636,0)))</f>
        <v/>
      </c>
      <c r="K230">
        <f>IF(194&lt;=$E$5,LARGE(Model!$R$2:$R$636,194),"")</f>
        <v/>
      </c>
    </row>
    <row r="231">
      <c r="A231">
        <f>IF($K231="","",INDEX(Raw_data!$D$2:$D$636,MATCH($K231,Model!$R$2:$R$636,0)))</f>
        <v/>
      </c>
      <c r="B231" s="11">
        <f>IF($K231="","",INDEX(Raw_data!$F$2:$F$636,MATCH($K231,Model!$R$2:$R$636,0)))</f>
        <v/>
      </c>
      <c r="C231">
        <f>IF($K231="","",HYPERLINK(INDEX(Raw_data!$C$2:$C$636,MATCH($K231,Model!$R$2:$R$636,0)),INDEX(Raw_data!$C$2:$C$636,MATCH($K231,Model!$R$2:$R$636,0))))</f>
        <v/>
      </c>
      <c r="D231">
        <f>IF($K231="","",INDEX(Raw_data!$AL$2:$AL$636,MATCH($K231,Model!$R$2:$R$636,0)))</f>
        <v/>
      </c>
      <c r="E231">
        <f>IF($K231="","",INDEX(Raw_data!$AM$2:$AM$636,MATCH($K231,Model!$R$2:$R$636,0)))</f>
        <v/>
      </c>
      <c r="F231">
        <f>IF($K231="","",INDEX(Raw_data!$AQ$2:$AQ$636,MATCH($K231,Model!$R$2:$R$636,0)))</f>
        <v/>
      </c>
      <c r="G231">
        <f>IF($K231="","",INDEX(Raw_data!$H$2:$H$636,MATCH($K231,Model!$R$2:$R$636,0)))</f>
        <v/>
      </c>
      <c r="H231" s="8">
        <f>IF($K231="","",INDEX(Model!$B$2:$B$636,MATCH($K231,Model!$R$2:$R$636,0)))</f>
        <v/>
      </c>
      <c r="I231" s="8">
        <f>IF($K231="","",INDEX(Model!$C$2:$C$636,MATCH($K231,Model!$R$2:$R$636,0)))</f>
        <v/>
      </c>
      <c r="J231">
        <f>IF($K231="","",INDEX(Model!$D$2:$D$636,MATCH($K231,Model!$R$2:$R$636,0)))</f>
        <v/>
      </c>
      <c r="K231">
        <f>IF(195&lt;=$E$5,LARGE(Model!$R$2:$R$636,195),"")</f>
        <v/>
      </c>
    </row>
    <row r="232">
      <c r="A232">
        <f>IF($K232="","",INDEX(Raw_data!$D$2:$D$636,MATCH($K232,Model!$R$2:$R$636,0)))</f>
        <v/>
      </c>
      <c r="B232" s="11">
        <f>IF($K232="","",INDEX(Raw_data!$F$2:$F$636,MATCH($K232,Model!$R$2:$R$636,0)))</f>
        <v/>
      </c>
      <c r="C232">
        <f>IF($K232="","",HYPERLINK(INDEX(Raw_data!$C$2:$C$636,MATCH($K232,Model!$R$2:$R$636,0)),INDEX(Raw_data!$C$2:$C$636,MATCH($K232,Model!$R$2:$R$636,0))))</f>
        <v/>
      </c>
      <c r="D232">
        <f>IF($K232="","",INDEX(Raw_data!$AL$2:$AL$636,MATCH($K232,Model!$R$2:$R$636,0)))</f>
        <v/>
      </c>
      <c r="E232">
        <f>IF($K232="","",INDEX(Raw_data!$AM$2:$AM$636,MATCH($K232,Model!$R$2:$R$636,0)))</f>
        <v/>
      </c>
      <c r="F232">
        <f>IF($K232="","",INDEX(Raw_data!$AQ$2:$AQ$636,MATCH($K232,Model!$R$2:$R$636,0)))</f>
        <v/>
      </c>
      <c r="G232">
        <f>IF($K232="","",INDEX(Raw_data!$H$2:$H$636,MATCH($K232,Model!$R$2:$R$636,0)))</f>
        <v/>
      </c>
      <c r="H232" s="8">
        <f>IF($K232="","",INDEX(Model!$B$2:$B$636,MATCH($K232,Model!$R$2:$R$636,0)))</f>
        <v/>
      </c>
      <c r="I232" s="8">
        <f>IF($K232="","",INDEX(Model!$C$2:$C$636,MATCH($K232,Model!$R$2:$R$636,0)))</f>
        <v/>
      </c>
      <c r="J232">
        <f>IF($K232="","",INDEX(Model!$D$2:$D$636,MATCH($K232,Model!$R$2:$R$636,0)))</f>
        <v/>
      </c>
      <c r="K232">
        <f>IF(196&lt;=$E$5,LARGE(Model!$R$2:$R$636,196),"")</f>
        <v/>
      </c>
    </row>
    <row r="233">
      <c r="A233">
        <f>IF($K233="","",INDEX(Raw_data!$D$2:$D$636,MATCH($K233,Model!$R$2:$R$636,0)))</f>
        <v/>
      </c>
      <c r="B233" s="11">
        <f>IF($K233="","",INDEX(Raw_data!$F$2:$F$636,MATCH($K233,Model!$R$2:$R$636,0)))</f>
        <v/>
      </c>
      <c r="C233">
        <f>IF($K233="","",HYPERLINK(INDEX(Raw_data!$C$2:$C$636,MATCH($K233,Model!$R$2:$R$636,0)),INDEX(Raw_data!$C$2:$C$636,MATCH($K233,Model!$R$2:$R$636,0))))</f>
        <v/>
      </c>
      <c r="D233">
        <f>IF($K233="","",INDEX(Raw_data!$AL$2:$AL$636,MATCH($K233,Model!$R$2:$R$636,0)))</f>
        <v/>
      </c>
      <c r="E233">
        <f>IF($K233="","",INDEX(Raw_data!$AM$2:$AM$636,MATCH($K233,Model!$R$2:$R$636,0)))</f>
        <v/>
      </c>
      <c r="F233">
        <f>IF($K233="","",INDEX(Raw_data!$AQ$2:$AQ$636,MATCH($K233,Model!$R$2:$R$636,0)))</f>
        <v/>
      </c>
      <c r="G233">
        <f>IF($K233="","",INDEX(Raw_data!$H$2:$H$636,MATCH($K233,Model!$R$2:$R$636,0)))</f>
        <v/>
      </c>
      <c r="H233" s="8">
        <f>IF($K233="","",INDEX(Model!$B$2:$B$636,MATCH($K233,Model!$R$2:$R$636,0)))</f>
        <v/>
      </c>
      <c r="I233" s="8">
        <f>IF($K233="","",INDEX(Model!$C$2:$C$636,MATCH($K233,Model!$R$2:$R$636,0)))</f>
        <v/>
      </c>
      <c r="J233">
        <f>IF($K233="","",INDEX(Model!$D$2:$D$636,MATCH($K233,Model!$R$2:$R$636,0)))</f>
        <v/>
      </c>
      <c r="K233">
        <f>IF(197&lt;=$E$5,LARGE(Model!$R$2:$R$636,197),"")</f>
        <v/>
      </c>
    </row>
    <row r="234">
      <c r="A234">
        <f>IF($K234="","",INDEX(Raw_data!$D$2:$D$636,MATCH($K234,Model!$R$2:$R$636,0)))</f>
        <v/>
      </c>
      <c r="B234" s="11">
        <f>IF($K234="","",INDEX(Raw_data!$F$2:$F$636,MATCH($K234,Model!$R$2:$R$636,0)))</f>
        <v/>
      </c>
      <c r="C234">
        <f>IF($K234="","",HYPERLINK(INDEX(Raw_data!$C$2:$C$636,MATCH($K234,Model!$R$2:$R$636,0)),INDEX(Raw_data!$C$2:$C$636,MATCH($K234,Model!$R$2:$R$636,0))))</f>
        <v/>
      </c>
      <c r="D234">
        <f>IF($K234="","",INDEX(Raw_data!$AL$2:$AL$636,MATCH($K234,Model!$R$2:$R$636,0)))</f>
        <v/>
      </c>
      <c r="E234">
        <f>IF($K234="","",INDEX(Raw_data!$AM$2:$AM$636,MATCH($K234,Model!$R$2:$R$636,0)))</f>
        <v/>
      </c>
      <c r="F234">
        <f>IF($K234="","",INDEX(Raw_data!$AQ$2:$AQ$636,MATCH($K234,Model!$R$2:$R$636,0)))</f>
        <v/>
      </c>
      <c r="G234">
        <f>IF($K234="","",INDEX(Raw_data!$H$2:$H$636,MATCH($K234,Model!$R$2:$R$636,0)))</f>
        <v/>
      </c>
      <c r="H234" s="8">
        <f>IF($K234="","",INDEX(Model!$B$2:$B$636,MATCH($K234,Model!$R$2:$R$636,0)))</f>
        <v/>
      </c>
      <c r="I234" s="8">
        <f>IF($K234="","",INDEX(Model!$C$2:$C$636,MATCH($K234,Model!$R$2:$R$636,0)))</f>
        <v/>
      </c>
      <c r="J234">
        <f>IF($K234="","",INDEX(Model!$D$2:$D$636,MATCH($K234,Model!$R$2:$R$636,0)))</f>
        <v/>
      </c>
      <c r="K234">
        <f>IF(198&lt;=$E$5,LARGE(Model!$R$2:$R$636,198),"")</f>
        <v/>
      </c>
    </row>
    <row r="235">
      <c r="A235">
        <f>IF($K235="","",INDEX(Raw_data!$D$2:$D$636,MATCH($K235,Model!$R$2:$R$636,0)))</f>
        <v/>
      </c>
      <c r="B235" s="11">
        <f>IF($K235="","",INDEX(Raw_data!$F$2:$F$636,MATCH($K235,Model!$R$2:$R$636,0)))</f>
        <v/>
      </c>
      <c r="C235">
        <f>IF($K235="","",HYPERLINK(INDEX(Raw_data!$C$2:$C$636,MATCH($K235,Model!$R$2:$R$636,0)),INDEX(Raw_data!$C$2:$C$636,MATCH($K235,Model!$R$2:$R$636,0))))</f>
        <v/>
      </c>
      <c r="D235">
        <f>IF($K235="","",INDEX(Raw_data!$AL$2:$AL$636,MATCH($K235,Model!$R$2:$R$636,0)))</f>
        <v/>
      </c>
      <c r="E235">
        <f>IF($K235="","",INDEX(Raw_data!$AM$2:$AM$636,MATCH($K235,Model!$R$2:$R$636,0)))</f>
        <v/>
      </c>
      <c r="F235">
        <f>IF($K235="","",INDEX(Raw_data!$AQ$2:$AQ$636,MATCH($K235,Model!$R$2:$R$636,0)))</f>
        <v/>
      </c>
      <c r="G235">
        <f>IF($K235="","",INDEX(Raw_data!$H$2:$H$636,MATCH($K235,Model!$R$2:$R$636,0)))</f>
        <v/>
      </c>
      <c r="H235" s="8">
        <f>IF($K235="","",INDEX(Model!$B$2:$B$636,MATCH($K235,Model!$R$2:$R$636,0)))</f>
        <v/>
      </c>
      <c r="I235" s="8">
        <f>IF($K235="","",INDEX(Model!$C$2:$C$636,MATCH($K235,Model!$R$2:$R$636,0)))</f>
        <v/>
      </c>
      <c r="J235">
        <f>IF($K235="","",INDEX(Model!$D$2:$D$636,MATCH($K235,Model!$R$2:$R$636,0)))</f>
        <v/>
      </c>
      <c r="K235">
        <f>IF(199&lt;=$E$5,LARGE(Model!$R$2:$R$636,199),"")</f>
        <v/>
      </c>
    </row>
    <row r="236">
      <c r="A236">
        <f>IF($K236="","",INDEX(Raw_data!$D$2:$D$636,MATCH($K236,Model!$R$2:$R$636,0)))</f>
        <v/>
      </c>
      <c r="B236" s="11">
        <f>IF($K236="","",INDEX(Raw_data!$F$2:$F$636,MATCH($K236,Model!$R$2:$R$636,0)))</f>
        <v/>
      </c>
      <c r="C236">
        <f>IF($K236="","",HYPERLINK(INDEX(Raw_data!$C$2:$C$636,MATCH($K236,Model!$R$2:$R$636,0)),INDEX(Raw_data!$C$2:$C$636,MATCH($K236,Model!$R$2:$R$636,0))))</f>
        <v/>
      </c>
      <c r="D236">
        <f>IF($K236="","",INDEX(Raw_data!$AL$2:$AL$636,MATCH($K236,Model!$R$2:$R$636,0)))</f>
        <v/>
      </c>
      <c r="E236">
        <f>IF($K236="","",INDEX(Raw_data!$AM$2:$AM$636,MATCH($K236,Model!$R$2:$R$636,0)))</f>
        <v/>
      </c>
      <c r="F236">
        <f>IF($K236="","",INDEX(Raw_data!$AQ$2:$AQ$636,MATCH($K236,Model!$R$2:$R$636,0)))</f>
        <v/>
      </c>
      <c r="G236">
        <f>IF($K236="","",INDEX(Raw_data!$H$2:$H$636,MATCH($K236,Model!$R$2:$R$636,0)))</f>
        <v/>
      </c>
      <c r="H236" s="8">
        <f>IF($K236="","",INDEX(Model!$B$2:$B$636,MATCH($K236,Model!$R$2:$R$636,0)))</f>
        <v/>
      </c>
      <c r="I236" s="8">
        <f>IF($K236="","",INDEX(Model!$C$2:$C$636,MATCH($K236,Model!$R$2:$R$636,0)))</f>
        <v/>
      </c>
      <c r="J236">
        <f>IF($K236="","",INDEX(Model!$D$2:$D$636,MATCH($K236,Model!$R$2:$R$636,0)))</f>
        <v/>
      </c>
      <c r="K236">
        <f>IF(200&lt;=$E$5,LARGE(Model!$R$2:$R$636,200),"")</f>
        <v/>
      </c>
    </row>
    <row r="237">
      <c r="A237">
        <f>IF($K237="","",INDEX(Raw_data!$D$2:$D$636,MATCH($K237,Model!$R$2:$R$636,0)))</f>
        <v/>
      </c>
      <c r="B237" s="11">
        <f>IF($K237="","",INDEX(Raw_data!$F$2:$F$636,MATCH($K237,Model!$R$2:$R$636,0)))</f>
        <v/>
      </c>
      <c r="C237">
        <f>IF($K237="","",HYPERLINK(INDEX(Raw_data!$C$2:$C$636,MATCH($K237,Model!$R$2:$R$636,0)),INDEX(Raw_data!$C$2:$C$636,MATCH($K237,Model!$R$2:$R$636,0))))</f>
        <v/>
      </c>
      <c r="D237">
        <f>IF($K237="","",INDEX(Raw_data!$AL$2:$AL$636,MATCH($K237,Model!$R$2:$R$636,0)))</f>
        <v/>
      </c>
      <c r="E237">
        <f>IF($K237="","",INDEX(Raw_data!$AM$2:$AM$636,MATCH($K237,Model!$R$2:$R$636,0)))</f>
        <v/>
      </c>
      <c r="F237">
        <f>IF($K237="","",INDEX(Raw_data!$AQ$2:$AQ$636,MATCH($K237,Model!$R$2:$R$636,0)))</f>
        <v/>
      </c>
      <c r="G237">
        <f>IF($K237="","",INDEX(Raw_data!$H$2:$H$636,MATCH($K237,Model!$R$2:$R$636,0)))</f>
        <v/>
      </c>
      <c r="H237" s="8">
        <f>IF($K237="","",INDEX(Model!$B$2:$B$636,MATCH($K237,Model!$R$2:$R$636,0)))</f>
        <v/>
      </c>
      <c r="I237" s="8">
        <f>IF($K237="","",INDEX(Model!$C$2:$C$636,MATCH($K237,Model!$R$2:$R$636,0)))</f>
        <v/>
      </c>
      <c r="J237">
        <f>IF($K237="","",INDEX(Model!$D$2:$D$636,MATCH($K237,Model!$R$2:$R$636,0)))</f>
        <v/>
      </c>
      <c r="K237">
        <f>IF(201&lt;=$E$5,LARGE(Model!$R$2:$R$636,201),"")</f>
        <v/>
      </c>
    </row>
    <row r="238">
      <c r="A238">
        <f>IF($K238="","",INDEX(Raw_data!$D$2:$D$636,MATCH($K238,Model!$R$2:$R$636,0)))</f>
        <v/>
      </c>
      <c r="B238" s="11">
        <f>IF($K238="","",INDEX(Raw_data!$F$2:$F$636,MATCH($K238,Model!$R$2:$R$636,0)))</f>
        <v/>
      </c>
      <c r="C238">
        <f>IF($K238="","",HYPERLINK(INDEX(Raw_data!$C$2:$C$636,MATCH($K238,Model!$R$2:$R$636,0)),INDEX(Raw_data!$C$2:$C$636,MATCH($K238,Model!$R$2:$R$636,0))))</f>
        <v/>
      </c>
      <c r="D238">
        <f>IF($K238="","",INDEX(Raw_data!$AL$2:$AL$636,MATCH($K238,Model!$R$2:$R$636,0)))</f>
        <v/>
      </c>
      <c r="E238">
        <f>IF($K238="","",INDEX(Raw_data!$AM$2:$AM$636,MATCH($K238,Model!$R$2:$R$636,0)))</f>
        <v/>
      </c>
      <c r="F238">
        <f>IF($K238="","",INDEX(Raw_data!$AQ$2:$AQ$636,MATCH($K238,Model!$R$2:$R$636,0)))</f>
        <v/>
      </c>
      <c r="G238">
        <f>IF($K238="","",INDEX(Raw_data!$H$2:$H$636,MATCH($K238,Model!$R$2:$R$636,0)))</f>
        <v/>
      </c>
      <c r="H238" s="8">
        <f>IF($K238="","",INDEX(Model!$B$2:$B$636,MATCH($K238,Model!$R$2:$R$636,0)))</f>
        <v/>
      </c>
      <c r="I238" s="8">
        <f>IF($K238="","",INDEX(Model!$C$2:$C$636,MATCH($K238,Model!$R$2:$R$636,0)))</f>
        <v/>
      </c>
      <c r="J238">
        <f>IF($K238="","",INDEX(Model!$D$2:$D$636,MATCH($K238,Model!$R$2:$R$636,0)))</f>
        <v/>
      </c>
      <c r="K238">
        <f>IF(202&lt;=$E$5,LARGE(Model!$R$2:$R$636,202),"")</f>
        <v/>
      </c>
    </row>
    <row r="239">
      <c r="A239">
        <f>IF($K239="","",INDEX(Raw_data!$D$2:$D$636,MATCH($K239,Model!$R$2:$R$636,0)))</f>
        <v/>
      </c>
      <c r="B239" s="11">
        <f>IF($K239="","",INDEX(Raw_data!$F$2:$F$636,MATCH($K239,Model!$R$2:$R$636,0)))</f>
        <v/>
      </c>
      <c r="C239">
        <f>IF($K239="","",HYPERLINK(INDEX(Raw_data!$C$2:$C$636,MATCH($K239,Model!$R$2:$R$636,0)),INDEX(Raw_data!$C$2:$C$636,MATCH($K239,Model!$R$2:$R$636,0))))</f>
        <v/>
      </c>
      <c r="D239">
        <f>IF($K239="","",INDEX(Raw_data!$AL$2:$AL$636,MATCH($K239,Model!$R$2:$R$636,0)))</f>
        <v/>
      </c>
      <c r="E239">
        <f>IF($K239="","",INDEX(Raw_data!$AM$2:$AM$636,MATCH($K239,Model!$R$2:$R$636,0)))</f>
        <v/>
      </c>
      <c r="F239">
        <f>IF($K239="","",INDEX(Raw_data!$AQ$2:$AQ$636,MATCH($K239,Model!$R$2:$R$636,0)))</f>
        <v/>
      </c>
      <c r="G239">
        <f>IF($K239="","",INDEX(Raw_data!$H$2:$H$636,MATCH($K239,Model!$R$2:$R$636,0)))</f>
        <v/>
      </c>
      <c r="H239" s="8">
        <f>IF($K239="","",INDEX(Model!$B$2:$B$636,MATCH($K239,Model!$R$2:$R$636,0)))</f>
        <v/>
      </c>
      <c r="I239" s="8">
        <f>IF($K239="","",INDEX(Model!$C$2:$C$636,MATCH($K239,Model!$R$2:$R$636,0)))</f>
        <v/>
      </c>
      <c r="J239">
        <f>IF($K239="","",INDEX(Model!$D$2:$D$636,MATCH($K239,Model!$R$2:$R$636,0)))</f>
        <v/>
      </c>
      <c r="K239">
        <f>IF(203&lt;=$E$5,LARGE(Model!$R$2:$R$636,203),"")</f>
        <v/>
      </c>
    </row>
    <row r="240">
      <c r="A240">
        <f>IF($K240="","",INDEX(Raw_data!$D$2:$D$636,MATCH($K240,Model!$R$2:$R$636,0)))</f>
        <v/>
      </c>
      <c r="B240" s="11">
        <f>IF($K240="","",INDEX(Raw_data!$F$2:$F$636,MATCH($K240,Model!$R$2:$R$636,0)))</f>
        <v/>
      </c>
      <c r="C240">
        <f>IF($K240="","",HYPERLINK(INDEX(Raw_data!$C$2:$C$636,MATCH($K240,Model!$R$2:$R$636,0)),INDEX(Raw_data!$C$2:$C$636,MATCH($K240,Model!$R$2:$R$636,0))))</f>
        <v/>
      </c>
      <c r="D240">
        <f>IF($K240="","",INDEX(Raw_data!$AL$2:$AL$636,MATCH($K240,Model!$R$2:$R$636,0)))</f>
        <v/>
      </c>
      <c r="E240">
        <f>IF($K240="","",INDEX(Raw_data!$AM$2:$AM$636,MATCH($K240,Model!$R$2:$R$636,0)))</f>
        <v/>
      </c>
      <c r="F240">
        <f>IF($K240="","",INDEX(Raw_data!$AQ$2:$AQ$636,MATCH($K240,Model!$R$2:$R$636,0)))</f>
        <v/>
      </c>
      <c r="G240">
        <f>IF($K240="","",INDEX(Raw_data!$H$2:$H$636,MATCH($K240,Model!$R$2:$R$636,0)))</f>
        <v/>
      </c>
      <c r="H240" s="8">
        <f>IF($K240="","",INDEX(Model!$B$2:$B$636,MATCH($K240,Model!$R$2:$R$636,0)))</f>
        <v/>
      </c>
      <c r="I240" s="8">
        <f>IF($K240="","",INDEX(Model!$C$2:$C$636,MATCH($K240,Model!$R$2:$R$636,0)))</f>
        <v/>
      </c>
      <c r="J240">
        <f>IF($K240="","",INDEX(Model!$D$2:$D$636,MATCH($K240,Model!$R$2:$R$636,0)))</f>
        <v/>
      </c>
      <c r="K240">
        <f>IF(204&lt;=$E$5,LARGE(Model!$R$2:$R$636,204),"")</f>
        <v/>
      </c>
    </row>
    <row r="241">
      <c r="A241">
        <f>IF($K241="","",INDEX(Raw_data!$D$2:$D$636,MATCH($K241,Model!$R$2:$R$636,0)))</f>
        <v/>
      </c>
      <c r="B241" s="11">
        <f>IF($K241="","",INDEX(Raw_data!$F$2:$F$636,MATCH($K241,Model!$R$2:$R$636,0)))</f>
        <v/>
      </c>
      <c r="C241">
        <f>IF($K241="","",HYPERLINK(INDEX(Raw_data!$C$2:$C$636,MATCH($K241,Model!$R$2:$R$636,0)),INDEX(Raw_data!$C$2:$C$636,MATCH($K241,Model!$R$2:$R$636,0))))</f>
        <v/>
      </c>
      <c r="D241">
        <f>IF($K241="","",INDEX(Raw_data!$AL$2:$AL$636,MATCH($K241,Model!$R$2:$R$636,0)))</f>
        <v/>
      </c>
      <c r="E241">
        <f>IF($K241="","",INDEX(Raw_data!$AM$2:$AM$636,MATCH($K241,Model!$R$2:$R$636,0)))</f>
        <v/>
      </c>
      <c r="F241">
        <f>IF($K241="","",INDEX(Raw_data!$AQ$2:$AQ$636,MATCH($K241,Model!$R$2:$R$636,0)))</f>
        <v/>
      </c>
      <c r="G241">
        <f>IF($K241="","",INDEX(Raw_data!$H$2:$H$636,MATCH($K241,Model!$R$2:$R$636,0)))</f>
        <v/>
      </c>
      <c r="H241" s="8">
        <f>IF($K241="","",INDEX(Model!$B$2:$B$636,MATCH($K241,Model!$R$2:$R$636,0)))</f>
        <v/>
      </c>
      <c r="I241" s="8">
        <f>IF($K241="","",INDEX(Model!$C$2:$C$636,MATCH($K241,Model!$R$2:$R$636,0)))</f>
        <v/>
      </c>
      <c r="J241">
        <f>IF($K241="","",INDEX(Model!$D$2:$D$636,MATCH($K241,Model!$R$2:$R$636,0)))</f>
        <v/>
      </c>
      <c r="K241">
        <f>IF(205&lt;=$E$5,LARGE(Model!$R$2:$R$636,205),"")</f>
        <v/>
      </c>
    </row>
    <row r="242">
      <c r="A242">
        <f>IF($K242="","",INDEX(Raw_data!$D$2:$D$636,MATCH($K242,Model!$R$2:$R$636,0)))</f>
        <v/>
      </c>
      <c r="B242" s="11">
        <f>IF($K242="","",INDEX(Raw_data!$F$2:$F$636,MATCH($K242,Model!$R$2:$R$636,0)))</f>
        <v/>
      </c>
      <c r="C242">
        <f>IF($K242="","",HYPERLINK(INDEX(Raw_data!$C$2:$C$636,MATCH($K242,Model!$R$2:$R$636,0)),INDEX(Raw_data!$C$2:$C$636,MATCH($K242,Model!$R$2:$R$636,0))))</f>
        <v/>
      </c>
      <c r="D242">
        <f>IF($K242="","",INDEX(Raw_data!$AL$2:$AL$636,MATCH($K242,Model!$R$2:$R$636,0)))</f>
        <v/>
      </c>
      <c r="E242">
        <f>IF($K242="","",INDEX(Raw_data!$AM$2:$AM$636,MATCH($K242,Model!$R$2:$R$636,0)))</f>
        <v/>
      </c>
      <c r="F242">
        <f>IF($K242="","",INDEX(Raw_data!$AQ$2:$AQ$636,MATCH($K242,Model!$R$2:$R$636,0)))</f>
        <v/>
      </c>
      <c r="G242">
        <f>IF($K242="","",INDEX(Raw_data!$H$2:$H$636,MATCH($K242,Model!$R$2:$R$636,0)))</f>
        <v/>
      </c>
      <c r="H242" s="8">
        <f>IF($K242="","",INDEX(Model!$B$2:$B$636,MATCH($K242,Model!$R$2:$R$636,0)))</f>
        <v/>
      </c>
      <c r="I242" s="8">
        <f>IF($K242="","",INDEX(Model!$C$2:$C$636,MATCH($K242,Model!$R$2:$R$636,0)))</f>
        <v/>
      </c>
      <c r="J242">
        <f>IF($K242="","",INDEX(Model!$D$2:$D$636,MATCH($K242,Model!$R$2:$R$636,0)))</f>
        <v/>
      </c>
      <c r="K242">
        <f>IF(206&lt;=$E$5,LARGE(Model!$R$2:$R$636,206),"")</f>
        <v/>
      </c>
    </row>
    <row r="243">
      <c r="A243">
        <f>IF($K243="","",INDEX(Raw_data!$D$2:$D$636,MATCH($K243,Model!$R$2:$R$636,0)))</f>
        <v/>
      </c>
      <c r="B243" s="11">
        <f>IF($K243="","",INDEX(Raw_data!$F$2:$F$636,MATCH($K243,Model!$R$2:$R$636,0)))</f>
        <v/>
      </c>
      <c r="C243">
        <f>IF($K243="","",HYPERLINK(INDEX(Raw_data!$C$2:$C$636,MATCH($K243,Model!$R$2:$R$636,0)),INDEX(Raw_data!$C$2:$C$636,MATCH($K243,Model!$R$2:$R$636,0))))</f>
        <v/>
      </c>
      <c r="D243">
        <f>IF($K243="","",INDEX(Raw_data!$AL$2:$AL$636,MATCH($K243,Model!$R$2:$R$636,0)))</f>
        <v/>
      </c>
      <c r="E243">
        <f>IF($K243="","",INDEX(Raw_data!$AM$2:$AM$636,MATCH($K243,Model!$R$2:$R$636,0)))</f>
        <v/>
      </c>
      <c r="F243">
        <f>IF($K243="","",INDEX(Raw_data!$AQ$2:$AQ$636,MATCH($K243,Model!$R$2:$R$636,0)))</f>
        <v/>
      </c>
      <c r="G243">
        <f>IF($K243="","",INDEX(Raw_data!$H$2:$H$636,MATCH($K243,Model!$R$2:$R$636,0)))</f>
        <v/>
      </c>
      <c r="H243" s="8">
        <f>IF($K243="","",INDEX(Model!$B$2:$B$636,MATCH($K243,Model!$R$2:$R$636,0)))</f>
        <v/>
      </c>
      <c r="I243" s="8">
        <f>IF($K243="","",INDEX(Model!$C$2:$C$636,MATCH($K243,Model!$R$2:$R$636,0)))</f>
        <v/>
      </c>
      <c r="J243">
        <f>IF($K243="","",INDEX(Model!$D$2:$D$636,MATCH($K243,Model!$R$2:$R$636,0)))</f>
        <v/>
      </c>
      <c r="K243">
        <f>IF(207&lt;=$E$5,LARGE(Model!$R$2:$R$636,207),"")</f>
        <v/>
      </c>
    </row>
    <row r="244">
      <c r="A244">
        <f>IF($K244="","",INDEX(Raw_data!$D$2:$D$636,MATCH($K244,Model!$R$2:$R$636,0)))</f>
        <v/>
      </c>
      <c r="B244" s="11">
        <f>IF($K244="","",INDEX(Raw_data!$F$2:$F$636,MATCH($K244,Model!$R$2:$R$636,0)))</f>
        <v/>
      </c>
      <c r="C244">
        <f>IF($K244="","",HYPERLINK(INDEX(Raw_data!$C$2:$C$636,MATCH($K244,Model!$R$2:$R$636,0)),INDEX(Raw_data!$C$2:$C$636,MATCH($K244,Model!$R$2:$R$636,0))))</f>
        <v/>
      </c>
      <c r="D244">
        <f>IF($K244="","",INDEX(Raw_data!$AL$2:$AL$636,MATCH($K244,Model!$R$2:$R$636,0)))</f>
        <v/>
      </c>
      <c r="E244">
        <f>IF($K244="","",INDEX(Raw_data!$AM$2:$AM$636,MATCH($K244,Model!$R$2:$R$636,0)))</f>
        <v/>
      </c>
      <c r="F244">
        <f>IF($K244="","",INDEX(Raw_data!$AQ$2:$AQ$636,MATCH($K244,Model!$R$2:$R$636,0)))</f>
        <v/>
      </c>
      <c r="G244">
        <f>IF($K244="","",INDEX(Raw_data!$H$2:$H$636,MATCH($K244,Model!$R$2:$R$636,0)))</f>
        <v/>
      </c>
      <c r="H244" s="8">
        <f>IF($K244="","",INDEX(Model!$B$2:$B$636,MATCH($K244,Model!$R$2:$R$636,0)))</f>
        <v/>
      </c>
      <c r="I244" s="8">
        <f>IF($K244="","",INDEX(Model!$C$2:$C$636,MATCH($K244,Model!$R$2:$R$636,0)))</f>
        <v/>
      </c>
      <c r="J244">
        <f>IF($K244="","",INDEX(Model!$D$2:$D$636,MATCH($K244,Model!$R$2:$R$636,0)))</f>
        <v/>
      </c>
      <c r="K244">
        <f>IF(208&lt;=$E$5,LARGE(Model!$R$2:$R$636,208),"")</f>
        <v/>
      </c>
    </row>
    <row r="245">
      <c r="A245">
        <f>IF($K245="","",INDEX(Raw_data!$D$2:$D$636,MATCH($K245,Model!$R$2:$R$636,0)))</f>
        <v/>
      </c>
      <c r="B245" s="11">
        <f>IF($K245="","",INDEX(Raw_data!$F$2:$F$636,MATCH($K245,Model!$R$2:$R$636,0)))</f>
        <v/>
      </c>
      <c r="C245">
        <f>IF($K245="","",HYPERLINK(INDEX(Raw_data!$C$2:$C$636,MATCH($K245,Model!$R$2:$R$636,0)),INDEX(Raw_data!$C$2:$C$636,MATCH($K245,Model!$R$2:$R$636,0))))</f>
        <v/>
      </c>
      <c r="D245">
        <f>IF($K245="","",INDEX(Raw_data!$AL$2:$AL$636,MATCH($K245,Model!$R$2:$R$636,0)))</f>
        <v/>
      </c>
      <c r="E245">
        <f>IF($K245="","",INDEX(Raw_data!$AM$2:$AM$636,MATCH($K245,Model!$R$2:$R$636,0)))</f>
        <v/>
      </c>
      <c r="F245">
        <f>IF($K245="","",INDEX(Raw_data!$AQ$2:$AQ$636,MATCH($K245,Model!$R$2:$R$636,0)))</f>
        <v/>
      </c>
      <c r="G245">
        <f>IF($K245="","",INDEX(Raw_data!$H$2:$H$636,MATCH($K245,Model!$R$2:$R$636,0)))</f>
        <v/>
      </c>
      <c r="H245" s="8">
        <f>IF($K245="","",INDEX(Model!$B$2:$B$636,MATCH($K245,Model!$R$2:$R$636,0)))</f>
        <v/>
      </c>
      <c r="I245" s="8">
        <f>IF($K245="","",INDEX(Model!$C$2:$C$636,MATCH($K245,Model!$R$2:$R$636,0)))</f>
        <v/>
      </c>
      <c r="J245">
        <f>IF($K245="","",INDEX(Model!$D$2:$D$636,MATCH($K245,Model!$R$2:$R$636,0)))</f>
        <v/>
      </c>
      <c r="K245">
        <f>IF(209&lt;=$E$5,LARGE(Model!$R$2:$R$636,209),"")</f>
        <v/>
      </c>
    </row>
    <row r="246">
      <c r="A246">
        <f>IF($K246="","",INDEX(Raw_data!$D$2:$D$636,MATCH($K246,Model!$R$2:$R$636,0)))</f>
        <v/>
      </c>
      <c r="B246" s="11">
        <f>IF($K246="","",INDEX(Raw_data!$F$2:$F$636,MATCH($K246,Model!$R$2:$R$636,0)))</f>
        <v/>
      </c>
      <c r="C246">
        <f>IF($K246="","",HYPERLINK(INDEX(Raw_data!$C$2:$C$636,MATCH($K246,Model!$R$2:$R$636,0)),INDEX(Raw_data!$C$2:$C$636,MATCH($K246,Model!$R$2:$R$636,0))))</f>
        <v/>
      </c>
      <c r="D246">
        <f>IF($K246="","",INDEX(Raw_data!$AL$2:$AL$636,MATCH($K246,Model!$R$2:$R$636,0)))</f>
        <v/>
      </c>
      <c r="E246">
        <f>IF($K246="","",INDEX(Raw_data!$AM$2:$AM$636,MATCH($K246,Model!$R$2:$R$636,0)))</f>
        <v/>
      </c>
      <c r="F246">
        <f>IF($K246="","",INDEX(Raw_data!$AQ$2:$AQ$636,MATCH($K246,Model!$R$2:$R$636,0)))</f>
        <v/>
      </c>
      <c r="G246">
        <f>IF($K246="","",INDEX(Raw_data!$H$2:$H$636,MATCH($K246,Model!$R$2:$R$636,0)))</f>
        <v/>
      </c>
      <c r="H246" s="8">
        <f>IF($K246="","",INDEX(Model!$B$2:$B$636,MATCH($K246,Model!$R$2:$R$636,0)))</f>
        <v/>
      </c>
      <c r="I246" s="8">
        <f>IF($K246="","",INDEX(Model!$C$2:$C$636,MATCH($K246,Model!$R$2:$R$636,0)))</f>
        <v/>
      </c>
      <c r="J246">
        <f>IF($K246="","",INDEX(Model!$D$2:$D$636,MATCH($K246,Model!$R$2:$R$636,0)))</f>
        <v/>
      </c>
      <c r="K246">
        <f>IF(210&lt;=$E$5,LARGE(Model!$R$2:$R$636,210),"")</f>
        <v/>
      </c>
    </row>
    <row r="247">
      <c r="A247">
        <f>IF($K247="","",INDEX(Raw_data!$D$2:$D$636,MATCH($K247,Model!$R$2:$R$636,0)))</f>
        <v/>
      </c>
      <c r="B247" s="11">
        <f>IF($K247="","",INDEX(Raw_data!$F$2:$F$636,MATCH($K247,Model!$R$2:$R$636,0)))</f>
        <v/>
      </c>
      <c r="C247">
        <f>IF($K247="","",HYPERLINK(INDEX(Raw_data!$C$2:$C$636,MATCH($K247,Model!$R$2:$R$636,0)),INDEX(Raw_data!$C$2:$C$636,MATCH($K247,Model!$R$2:$R$636,0))))</f>
        <v/>
      </c>
      <c r="D247">
        <f>IF($K247="","",INDEX(Raw_data!$AL$2:$AL$636,MATCH($K247,Model!$R$2:$R$636,0)))</f>
        <v/>
      </c>
      <c r="E247">
        <f>IF($K247="","",INDEX(Raw_data!$AM$2:$AM$636,MATCH($K247,Model!$R$2:$R$636,0)))</f>
        <v/>
      </c>
      <c r="F247">
        <f>IF($K247="","",INDEX(Raw_data!$AQ$2:$AQ$636,MATCH($K247,Model!$R$2:$R$636,0)))</f>
        <v/>
      </c>
      <c r="G247">
        <f>IF($K247="","",INDEX(Raw_data!$H$2:$H$636,MATCH($K247,Model!$R$2:$R$636,0)))</f>
        <v/>
      </c>
      <c r="H247" s="8">
        <f>IF($K247="","",INDEX(Model!$B$2:$B$636,MATCH($K247,Model!$R$2:$R$636,0)))</f>
        <v/>
      </c>
      <c r="I247" s="8">
        <f>IF($K247="","",INDEX(Model!$C$2:$C$636,MATCH($K247,Model!$R$2:$R$636,0)))</f>
        <v/>
      </c>
      <c r="J247">
        <f>IF($K247="","",INDEX(Model!$D$2:$D$636,MATCH($K247,Model!$R$2:$R$636,0)))</f>
        <v/>
      </c>
      <c r="K247">
        <f>IF(211&lt;=$E$5,LARGE(Model!$R$2:$R$636,211),"")</f>
        <v/>
      </c>
    </row>
    <row r="248">
      <c r="A248">
        <f>IF($K248="","",INDEX(Raw_data!$D$2:$D$636,MATCH($K248,Model!$R$2:$R$636,0)))</f>
        <v/>
      </c>
      <c r="B248" s="11">
        <f>IF($K248="","",INDEX(Raw_data!$F$2:$F$636,MATCH($K248,Model!$R$2:$R$636,0)))</f>
        <v/>
      </c>
      <c r="C248">
        <f>IF($K248="","",HYPERLINK(INDEX(Raw_data!$C$2:$C$636,MATCH($K248,Model!$R$2:$R$636,0)),INDEX(Raw_data!$C$2:$C$636,MATCH($K248,Model!$R$2:$R$636,0))))</f>
        <v/>
      </c>
      <c r="D248">
        <f>IF($K248="","",INDEX(Raw_data!$AL$2:$AL$636,MATCH($K248,Model!$R$2:$R$636,0)))</f>
        <v/>
      </c>
      <c r="E248">
        <f>IF($K248="","",INDEX(Raw_data!$AM$2:$AM$636,MATCH($K248,Model!$R$2:$R$636,0)))</f>
        <v/>
      </c>
      <c r="F248">
        <f>IF($K248="","",INDEX(Raw_data!$AQ$2:$AQ$636,MATCH($K248,Model!$R$2:$R$636,0)))</f>
        <v/>
      </c>
      <c r="G248">
        <f>IF($K248="","",INDEX(Raw_data!$H$2:$H$636,MATCH($K248,Model!$R$2:$R$636,0)))</f>
        <v/>
      </c>
      <c r="H248" s="8">
        <f>IF($K248="","",INDEX(Model!$B$2:$B$636,MATCH($K248,Model!$R$2:$R$636,0)))</f>
        <v/>
      </c>
      <c r="I248" s="8">
        <f>IF($K248="","",INDEX(Model!$C$2:$C$636,MATCH($K248,Model!$R$2:$R$636,0)))</f>
        <v/>
      </c>
      <c r="J248">
        <f>IF($K248="","",INDEX(Model!$D$2:$D$636,MATCH($K248,Model!$R$2:$R$636,0)))</f>
        <v/>
      </c>
      <c r="K248">
        <f>IF(212&lt;=$E$5,LARGE(Model!$R$2:$R$636,212),"")</f>
        <v/>
      </c>
    </row>
    <row r="249">
      <c r="A249">
        <f>IF($K249="","",INDEX(Raw_data!$D$2:$D$636,MATCH($K249,Model!$R$2:$R$636,0)))</f>
        <v/>
      </c>
      <c r="B249" s="11">
        <f>IF($K249="","",INDEX(Raw_data!$F$2:$F$636,MATCH($K249,Model!$R$2:$R$636,0)))</f>
        <v/>
      </c>
      <c r="C249">
        <f>IF($K249="","",HYPERLINK(INDEX(Raw_data!$C$2:$C$636,MATCH($K249,Model!$R$2:$R$636,0)),INDEX(Raw_data!$C$2:$C$636,MATCH($K249,Model!$R$2:$R$636,0))))</f>
        <v/>
      </c>
      <c r="D249">
        <f>IF($K249="","",INDEX(Raw_data!$AL$2:$AL$636,MATCH($K249,Model!$R$2:$R$636,0)))</f>
        <v/>
      </c>
      <c r="E249">
        <f>IF($K249="","",INDEX(Raw_data!$AM$2:$AM$636,MATCH($K249,Model!$R$2:$R$636,0)))</f>
        <v/>
      </c>
      <c r="F249">
        <f>IF($K249="","",INDEX(Raw_data!$AQ$2:$AQ$636,MATCH($K249,Model!$R$2:$R$636,0)))</f>
        <v/>
      </c>
      <c r="G249">
        <f>IF($K249="","",INDEX(Raw_data!$H$2:$H$636,MATCH($K249,Model!$R$2:$R$636,0)))</f>
        <v/>
      </c>
      <c r="H249" s="8">
        <f>IF($K249="","",INDEX(Model!$B$2:$B$636,MATCH($K249,Model!$R$2:$R$636,0)))</f>
        <v/>
      </c>
      <c r="I249" s="8">
        <f>IF($K249="","",INDEX(Model!$C$2:$C$636,MATCH($K249,Model!$R$2:$R$636,0)))</f>
        <v/>
      </c>
      <c r="J249">
        <f>IF($K249="","",INDEX(Model!$D$2:$D$636,MATCH($K249,Model!$R$2:$R$636,0)))</f>
        <v/>
      </c>
      <c r="K249">
        <f>IF(213&lt;=$E$5,LARGE(Model!$R$2:$R$636,213),"")</f>
        <v/>
      </c>
    </row>
    <row r="250">
      <c r="A250">
        <f>IF($K250="","",INDEX(Raw_data!$D$2:$D$636,MATCH($K250,Model!$R$2:$R$636,0)))</f>
        <v/>
      </c>
      <c r="B250" s="11">
        <f>IF($K250="","",INDEX(Raw_data!$F$2:$F$636,MATCH($K250,Model!$R$2:$R$636,0)))</f>
        <v/>
      </c>
      <c r="C250">
        <f>IF($K250="","",HYPERLINK(INDEX(Raw_data!$C$2:$C$636,MATCH($K250,Model!$R$2:$R$636,0)),INDEX(Raw_data!$C$2:$C$636,MATCH($K250,Model!$R$2:$R$636,0))))</f>
        <v/>
      </c>
      <c r="D250">
        <f>IF($K250="","",INDEX(Raw_data!$AL$2:$AL$636,MATCH($K250,Model!$R$2:$R$636,0)))</f>
        <v/>
      </c>
      <c r="E250">
        <f>IF($K250="","",INDEX(Raw_data!$AM$2:$AM$636,MATCH($K250,Model!$R$2:$R$636,0)))</f>
        <v/>
      </c>
      <c r="F250">
        <f>IF($K250="","",INDEX(Raw_data!$AQ$2:$AQ$636,MATCH($K250,Model!$R$2:$R$636,0)))</f>
        <v/>
      </c>
      <c r="G250">
        <f>IF($K250="","",INDEX(Raw_data!$H$2:$H$636,MATCH($K250,Model!$R$2:$R$636,0)))</f>
        <v/>
      </c>
      <c r="H250" s="8">
        <f>IF($K250="","",INDEX(Model!$B$2:$B$636,MATCH($K250,Model!$R$2:$R$636,0)))</f>
        <v/>
      </c>
      <c r="I250" s="8">
        <f>IF($K250="","",INDEX(Model!$C$2:$C$636,MATCH($K250,Model!$R$2:$R$636,0)))</f>
        <v/>
      </c>
      <c r="J250">
        <f>IF($K250="","",INDEX(Model!$D$2:$D$636,MATCH($K250,Model!$R$2:$R$636,0)))</f>
        <v/>
      </c>
      <c r="K250">
        <f>IF(214&lt;=$E$5,LARGE(Model!$R$2:$R$636,214),"")</f>
        <v/>
      </c>
    </row>
    <row r="251">
      <c r="A251">
        <f>IF($K251="","",INDEX(Raw_data!$D$2:$D$636,MATCH($K251,Model!$R$2:$R$636,0)))</f>
        <v/>
      </c>
      <c r="B251" s="11">
        <f>IF($K251="","",INDEX(Raw_data!$F$2:$F$636,MATCH($K251,Model!$R$2:$R$636,0)))</f>
        <v/>
      </c>
      <c r="C251">
        <f>IF($K251="","",HYPERLINK(INDEX(Raw_data!$C$2:$C$636,MATCH($K251,Model!$R$2:$R$636,0)),INDEX(Raw_data!$C$2:$C$636,MATCH($K251,Model!$R$2:$R$636,0))))</f>
        <v/>
      </c>
      <c r="D251">
        <f>IF($K251="","",INDEX(Raw_data!$AL$2:$AL$636,MATCH($K251,Model!$R$2:$R$636,0)))</f>
        <v/>
      </c>
      <c r="E251">
        <f>IF($K251="","",INDEX(Raw_data!$AM$2:$AM$636,MATCH($K251,Model!$R$2:$R$636,0)))</f>
        <v/>
      </c>
      <c r="F251">
        <f>IF($K251="","",INDEX(Raw_data!$AQ$2:$AQ$636,MATCH($K251,Model!$R$2:$R$636,0)))</f>
        <v/>
      </c>
      <c r="G251">
        <f>IF($K251="","",INDEX(Raw_data!$H$2:$H$636,MATCH($K251,Model!$R$2:$R$636,0)))</f>
        <v/>
      </c>
      <c r="H251" s="8">
        <f>IF($K251="","",INDEX(Model!$B$2:$B$636,MATCH($K251,Model!$R$2:$R$636,0)))</f>
        <v/>
      </c>
      <c r="I251" s="8">
        <f>IF($K251="","",INDEX(Model!$C$2:$C$636,MATCH($K251,Model!$R$2:$R$636,0)))</f>
        <v/>
      </c>
      <c r="J251">
        <f>IF($K251="","",INDEX(Model!$D$2:$D$636,MATCH($K251,Model!$R$2:$R$636,0)))</f>
        <v/>
      </c>
      <c r="K251">
        <f>IF(215&lt;=$E$5,LARGE(Model!$R$2:$R$636,215),"")</f>
        <v/>
      </c>
    </row>
    <row r="252">
      <c r="A252">
        <f>IF($K252="","",INDEX(Raw_data!$D$2:$D$636,MATCH($K252,Model!$R$2:$R$636,0)))</f>
        <v/>
      </c>
      <c r="B252" s="11">
        <f>IF($K252="","",INDEX(Raw_data!$F$2:$F$636,MATCH($K252,Model!$R$2:$R$636,0)))</f>
        <v/>
      </c>
      <c r="C252">
        <f>IF($K252="","",HYPERLINK(INDEX(Raw_data!$C$2:$C$636,MATCH($K252,Model!$R$2:$R$636,0)),INDEX(Raw_data!$C$2:$C$636,MATCH($K252,Model!$R$2:$R$636,0))))</f>
        <v/>
      </c>
      <c r="D252">
        <f>IF($K252="","",INDEX(Raw_data!$AL$2:$AL$636,MATCH($K252,Model!$R$2:$R$636,0)))</f>
        <v/>
      </c>
      <c r="E252">
        <f>IF($K252="","",INDEX(Raw_data!$AM$2:$AM$636,MATCH($K252,Model!$R$2:$R$636,0)))</f>
        <v/>
      </c>
      <c r="F252">
        <f>IF($K252="","",INDEX(Raw_data!$AQ$2:$AQ$636,MATCH($K252,Model!$R$2:$R$636,0)))</f>
        <v/>
      </c>
      <c r="G252">
        <f>IF($K252="","",INDEX(Raw_data!$H$2:$H$636,MATCH($K252,Model!$R$2:$R$636,0)))</f>
        <v/>
      </c>
      <c r="H252" s="8">
        <f>IF($K252="","",INDEX(Model!$B$2:$B$636,MATCH($K252,Model!$R$2:$R$636,0)))</f>
        <v/>
      </c>
      <c r="I252" s="8">
        <f>IF($K252="","",INDEX(Model!$C$2:$C$636,MATCH($K252,Model!$R$2:$R$636,0)))</f>
        <v/>
      </c>
      <c r="J252">
        <f>IF($K252="","",INDEX(Model!$D$2:$D$636,MATCH($K252,Model!$R$2:$R$636,0)))</f>
        <v/>
      </c>
      <c r="K252">
        <f>IF(216&lt;=$E$5,LARGE(Model!$R$2:$R$636,216),"")</f>
        <v/>
      </c>
    </row>
    <row r="253">
      <c r="A253">
        <f>IF($K253="","",INDEX(Raw_data!$D$2:$D$636,MATCH($K253,Model!$R$2:$R$636,0)))</f>
        <v/>
      </c>
      <c r="B253" s="11">
        <f>IF($K253="","",INDEX(Raw_data!$F$2:$F$636,MATCH($K253,Model!$R$2:$R$636,0)))</f>
        <v/>
      </c>
      <c r="C253">
        <f>IF($K253="","",HYPERLINK(INDEX(Raw_data!$C$2:$C$636,MATCH($K253,Model!$R$2:$R$636,0)),INDEX(Raw_data!$C$2:$C$636,MATCH($K253,Model!$R$2:$R$636,0))))</f>
        <v/>
      </c>
      <c r="D253">
        <f>IF($K253="","",INDEX(Raw_data!$AL$2:$AL$636,MATCH($K253,Model!$R$2:$R$636,0)))</f>
        <v/>
      </c>
      <c r="E253">
        <f>IF($K253="","",INDEX(Raw_data!$AM$2:$AM$636,MATCH($K253,Model!$R$2:$R$636,0)))</f>
        <v/>
      </c>
      <c r="F253">
        <f>IF($K253="","",INDEX(Raw_data!$AQ$2:$AQ$636,MATCH($K253,Model!$R$2:$R$636,0)))</f>
        <v/>
      </c>
      <c r="G253">
        <f>IF($K253="","",INDEX(Raw_data!$H$2:$H$636,MATCH($K253,Model!$R$2:$R$636,0)))</f>
        <v/>
      </c>
      <c r="H253" s="8">
        <f>IF($K253="","",INDEX(Model!$B$2:$B$636,MATCH($K253,Model!$R$2:$R$636,0)))</f>
        <v/>
      </c>
      <c r="I253" s="8">
        <f>IF($K253="","",INDEX(Model!$C$2:$C$636,MATCH($K253,Model!$R$2:$R$636,0)))</f>
        <v/>
      </c>
      <c r="J253">
        <f>IF($K253="","",INDEX(Model!$D$2:$D$636,MATCH($K253,Model!$R$2:$R$636,0)))</f>
        <v/>
      </c>
      <c r="K253">
        <f>IF(217&lt;=$E$5,LARGE(Model!$R$2:$R$636,217),"")</f>
        <v/>
      </c>
    </row>
    <row r="254">
      <c r="A254">
        <f>IF($K254="","",INDEX(Raw_data!$D$2:$D$636,MATCH($K254,Model!$R$2:$R$636,0)))</f>
        <v/>
      </c>
      <c r="B254" s="11">
        <f>IF($K254="","",INDEX(Raw_data!$F$2:$F$636,MATCH($K254,Model!$R$2:$R$636,0)))</f>
        <v/>
      </c>
      <c r="C254">
        <f>IF($K254="","",HYPERLINK(INDEX(Raw_data!$C$2:$C$636,MATCH($K254,Model!$R$2:$R$636,0)),INDEX(Raw_data!$C$2:$C$636,MATCH($K254,Model!$R$2:$R$636,0))))</f>
        <v/>
      </c>
      <c r="D254">
        <f>IF($K254="","",INDEX(Raw_data!$AL$2:$AL$636,MATCH($K254,Model!$R$2:$R$636,0)))</f>
        <v/>
      </c>
      <c r="E254">
        <f>IF($K254="","",INDEX(Raw_data!$AM$2:$AM$636,MATCH($K254,Model!$R$2:$R$636,0)))</f>
        <v/>
      </c>
      <c r="F254">
        <f>IF($K254="","",INDEX(Raw_data!$AQ$2:$AQ$636,MATCH($K254,Model!$R$2:$R$636,0)))</f>
        <v/>
      </c>
      <c r="G254">
        <f>IF($K254="","",INDEX(Raw_data!$H$2:$H$636,MATCH($K254,Model!$R$2:$R$636,0)))</f>
        <v/>
      </c>
      <c r="H254" s="8">
        <f>IF($K254="","",INDEX(Model!$B$2:$B$636,MATCH($K254,Model!$R$2:$R$636,0)))</f>
        <v/>
      </c>
      <c r="I254" s="8">
        <f>IF($K254="","",INDEX(Model!$C$2:$C$636,MATCH($K254,Model!$R$2:$R$636,0)))</f>
        <v/>
      </c>
      <c r="J254">
        <f>IF($K254="","",INDEX(Model!$D$2:$D$636,MATCH($K254,Model!$R$2:$R$636,0)))</f>
        <v/>
      </c>
      <c r="K254">
        <f>IF(218&lt;=$E$5,LARGE(Model!$R$2:$R$636,218),"")</f>
        <v/>
      </c>
    </row>
    <row r="255">
      <c r="A255">
        <f>IF($K255="","",INDEX(Raw_data!$D$2:$D$636,MATCH($K255,Model!$R$2:$R$636,0)))</f>
        <v/>
      </c>
      <c r="B255" s="11">
        <f>IF($K255="","",INDEX(Raw_data!$F$2:$F$636,MATCH($K255,Model!$R$2:$R$636,0)))</f>
        <v/>
      </c>
      <c r="C255">
        <f>IF($K255="","",HYPERLINK(INDEX(Raw_data!$C$2:$C$636,MATCH($K255,Model!$R$2:$R$636,0)),INDEX(Raw_data!$C$2:$C$636,MATCH($K255,Model!$R$2:$R$636,0))))</f>
        <v/>
      </c>
      <c r="D255">
        <f>IF($K255="","",INDEX(Raw_data!$AL$2:$AL$636,MATCH($K255,Model!$R$2:$R$636,0)))</f>
        <v/>
      </c>
      <c r="E255">
        <f>IF($K255="","",INDEX(Raw_data!$AM$2:$AM$636,MATCH($K255,Model!$R$2:$R$636,0)))</f>
        <v/>
      </c>
      <c r="F255">
        <f>IF($K255="","",INDEX(Raw_data!$AQ$2:$AQ$636,MATCH($K255,Model!$R$2:$R$636,0)))</f>
        <v/>
      </c>
      <c r="G255">
        <f>IF($K255="","",INDEX(Raw_data!$H$2:$H$636,MATCH($K255,Model!$R$2:$R$636,0)))</f>
        <v/>
      </c>
      <c r="H255" s="8">
        <f>IF($K255="","",INDEX(Model!$B$2:$B$636,MATCH($K255,Model!$R$2:$R$636,0)))</f>
        <v/>
      </c>
      <c r="I255" s="8">
        <f>IF($K255="","",INDEX(Model!$C$2:$C$636,MATCH($K255,Model!$R$2:$R$636,0)))</f>
        <v/>
      </c>
      <c r="J255">
        <f>IF($K255="","",INDEX(Model!$D$2:$D$636,MATCH($K255,Model!$R$2:$R$636,0)))</f>
        <v/>
      </c>
      <c r="K255">
        <f>IF(219&lt;=$E$5,LARGE(Model!$R$2:$R$636,219),"")</f>
        <v/>
      </c>
    </row>
    <row r="256">
      <c r="A256">
        <f>IF($K256="","",INDEX(Raw_data!$D$2:$D$636,MATCH($K256,Model!$R$2:$R$636,0)))</f>
        <v/>
      </c>
      <c r="B256" s="11">
        <f>IF($K256="","",INDEX(Raw_data!$F$2:$F$636,MATCH($K256,Model!$R$2:$R$636,0)))</f>
        <v/>
      </c>
      <c r="C256">
        <f>IF($K256="","",HYPERLINK(INDEX(Raw_data!$C$2:$C$636,MATCH($K256,Model!$R$2:$R$636,0)),INDEX(Raw_data!$C$2:$C$636,MATCH($K256,Model!$R$2:$R$636,0))))</f>
        <v/>
      </c>
      <c r="D256">
        <f>IF($K256="","",INDEX(Raw_data!$AL$2:$AL$636,MATCH($K256,Model!$R$2:$R$636,0)))</f>
        <v/>
      </c>
      <c r="E256">
        <f>IF($K256="","",INDEX(Raw_data!$AM$2:$AM$636,MATCH($K256,Model!$R$2:$R$636,0)))</f>
        <v/>
      </c>
      <c r="F256">
        <f>IF($K256="","",INDEX(Raw_data!$AQ$2:$AQ$636,MATCH($K256,Model!$R$2:$R$636,0)))</f>
        <v/>
      </c>
      <c r="G256">
        <f>IF($K256="","",INDEX(Raw_data!$H$2:$H$636,MATCH($K256,Model!$R$2:$R$636,0)))</f>
        <v/>
      </c>
      <c r="H256" s="8">
        <f>IF($K256="","",INDEX(Model!$B$2:$B$636,MATCH($K256,Model!$R$2:$R$636,0)))</f>
        <v/>
      </c>
      <c r="I256" s="8">
        <f>IF($K256="","",INDEX(Model!$C$2:$C$636,MATCH($K256,Model!$R$2:$R$636,0)))</f>
        <v/>
      </c>
      <c r="J256">
        <f>IF($K256="","",INDEX(Model!$D$2:$D$636,MATCH($K256,Model!$R$2:$R$636,0)))</f>
        <v/>
      </c>
      <c r="K256">
        <f>IF(220&lt;=$E$5,LARGE(Model!$R$2:$R$636,220),"")</f>
        <v/>
      </c>
    </row>
    <row r="257">
      <c r="A257">
        <f>IF($K257="","",INDEX(Raw_data!$D$2:$D$636,MATCH($K257,Model!$R$2:$R$636,0)))</f>
        <v/>
      </c>
      <c r="B257" s="11">
        <f>IF($K257="","",INDEX(Raw_data!$F$2:$F$636,MATCH($K257,Model!$R$2:$R$636,0)))</f>
        <v/>
      </c>
      <c r="C257">
        <f>IF($K257="","",HYPERLINK(INDEX(Raw_data!$C$2:$C$636,MATCH($K257,Model!$R$2:$R$636,0)),INDEX(Raw_data!$C$2:$C$636,MATCH($K257,Model!$R$2:$R$636,0))))</f>
        <v/>
      </c>
      <c r="D257">
        <f>IF($K257="","",INDEX(Raw_data!$AL$2:$AL$636,MATCH($K257,Model!$R$2:$R$636,0)))</f>
        <v/>
      </c>
      <c r="E257">
        <f>IF($K257="","",INDEX(Raw_data!$AM$2:$AM$636,MATCH($K257,Model!$R$2:$R$636,0)))</f>
        <v/>
      </c>
      <c r="F257">
        <f>IF($K257="","",INDEX(Raw_data!$AQ$2:$AQ$636,MATCH($K257,Model!$R$2:$R$636,0)))</f>
        <v/>
      </c>
      <c r="G257">
        <f>IF($K257="","",INDEX(Raw_data!$H$2:$H$636,MATCH($K257,Model!$R$2:$R$636,0)))</f>
        <v/>
      </c>
      <c r="H257" s="8">
        <f>IF($K257="","",INDEX(Model!$B$2:$B$636,MATCH($K257,Model!$R$2:$R$636,0)))</f>
        <v/>
      </c>
      <c r="I257" s="8">
        <f>IF($K257="","",INDEX(Model!$C$2:$C$636,MATCH($K257,Model!$R$2:$R$636,0)))</f>
        <v/>
      </c>
      <c r="J257">
        <f>IF($K257="","",INDEX(Model!$D$2:$D$636,MATCH($K257,Model!$R$2:$R$636,0)))</f>
        <v/>
      </c>
      <c r="K257">
        <f>IF(221&lt;=$E$5,LARGE(Model!$R$2:$R$636,221),"")</f>
        <v/>
      </c>
    </row>
    <row r="258">
      <c r="A258">
        <f>IF($K258="","",INDEX(Raw_data!$D$2:$D$636,MATCH($K258,Model!$R$2:$R$636,0)))</f>
        <v/>
      </c>
      <c r="B258" s="11">
        <f>IF($K258="","",INDEX(Raw_data!$F$2:$F$636,MATCH($K258,Model!$R$2:$R$636,0)))</f>
        <v/>
      </c>
      <c r="C258">
        <f>IF($K258="","",HYPERLINK(INDEX(Raw_data!$C$2:$C$636,MATCH($K258,Model!$R$2:$R$636,0)),INDEX(Raw_data!$C$2:$C$636,MATCH($K258,Model!$R$2:$R$636,0))))</f>
        <v/>
      </c>
      <c r="D258">
        <f>IF($K258="","",INDEX(Raw_data!$AL$2:$AL$636,MATCH($K258,Model!$R$2:$R$636,0)))</f>
        <v/>
      </c>
      <c r="E258">
        <f>IF($K258="","",INDEX(Raw_data!$AM$2:$AM$636,MATCH($K258,Model!$R$2:$R$636,0)))</f>
        <v/>
      </c>
      <c r="F258">
        <f>IF($K258="","",INDEX(Raw_data!$AQ$2:$AQ$636,MATCH($K258,Model!$R$2:$R$636,0)))</f>
        <v/>
      </c>
      <c r="G258">
        <f>IF($K258="","",INDEX(Raw_data!$H$2:$H$636,MATCH($K258,Model!$R$2:$R$636,0)))</f>
        <v/>
      </c>
      <c r="H258" s="8">
        <f>IF($K258="","",INDEX(Model!$B$2:$B$636,MATCH($K258,Model!$R$2:$R$636,0)))</f>
        <v/>
      </c>
      <c r="I258" s="8">
        <f>IF($K258="","",INDEX(Model!$C$2:$C$636,MATCH($K258,Model!$R$2:$R$636,0)))</f>
        <v/>
      </c>
      <c r="J258">
        <f>IF($K258="","",INDEX(Model!$D$2:$D$636,MATCH($K258,Model!$R$2:$R$636,0)))</f>
        <v/>
      </c>
      <c r="K258">
        <f>IF(222&lt;=$E$5,LARGE(Model!$R$2:$R$636,222),"")</f>
        <v/>
      </c>
    </row>
    <row r="259">
      <c r="A259">
        <f>IF($K259="","",INDEX(Raw_data!$D$2:$D$636,MATCH($K259,Model!$R$2:$R$636,0)))</f>
        <v/>
      </c>
      <c r="B259" s="11">
        <f>IF($K259="","",INDEX(Raw_data!$F$2:$F$636,MATCH($K259,Model!$R$2:$R$636,0)))</f>
        <v/>
      </c>
      <c r="C259">
        <f>IF($K259="","",HYPERLINK(INDEX(Raw_data!$C$2:$C$636,MATCH($K259,Model!$R$2:$R$636,0)),INDEX(Raw_data!$C$2:$C$636,MATCH($K259,Model!$R$2:$R$636,0))))</f>
        <v/>
      </c>
      <c r="D259">
        <f>IF($K259="","",INDEX(Raw_data!$AL$2:$AL$636,MATCH($K259,Model!$R$2:$R$636,0)))</f>
        <v/>
      </c>
      <c r="E259">
        <f>IF($K259="","",INDEX(Raw_data!$AM$2:$AM$636,MATCH($K259,Model!$R$2:$R$636,0)))</f>
        <v/>
      </c>
      <c r="F259">
        <f>IF($K259="","",INDEX(Raw_data!$AQ$2:$AQ$636,MATCH($K259,Model!$R$2:$R$636,0)))</f>
        <v/>
      </c>
      <c r="G259">
        <f>IF($K259="","",INDEX(Raw_data!$H$2:$H$636,MATCH($K259,Model!$R$2:$R$636,0)))</f>
        <v/>
      </c>
      <c r="H259" s="8">
        <f>IF($K259="","",INDEX(Model!$B$2:$B$636,MATCH($K259,Model!$R$2:$R$636,0)))</f>
        <v/>
      </c>
      <c r="I259" s="8">
        <f>IF($K259="","",INDEX(Model!$C$2:$C$636,MATCH($K259,Model!$R$2:$R$636,0)))</f>
        <v/>
      </c>
      <c r="J259">
        <f>IF($K259="","",INDEX(Model!$D$2:$D$636,MATCH($K259,Model!$R$2:$R$636,0)))</f>
        <v/>
      </c>
      <c r="K259">
        <f>IF(223&lt;=$E$5,LARGE(Model!$R$2:$R$636,223),"")</f>
        <v/>
      </c>
    </row>
    <row r="260">
      <c r="A260">
        <f>IF($K260="","",INDEX(Raw_data!$D$2:$D$636,MATCH($K260,Model!$R$2:$R$636,0)))</f>
        <v/>
      </c>
      <c r="B260" s="11">
        <f>IF($K260="","",INDEX(Raw_data!$F$2:$F$636,MATCH($K260,Model!$R$2:$R$636,0)))</f>
        <v/>
      </c>
      <c r="C260">
        <f>IF($K260="","",HYPERLINK(INDEX(Raw_data!$C$2:$C$636,MATCH($K260,Model!$R$2:$R$636,0)),INDEX(Raw_data!$C$2:$C$636,MATCH($K260,Model!$R$2:$R$636,0))))</f>
        <v/>
      </c>
      <c r="D260">
        <f>IF($K260="","",INDEX(Raw_data!$AL$2:$AL$636,MATCH($K260,Model!$R$2:$R$636,0)))</f>
        <v/>
      </c>
      <c r="E260">
        <f>IF($K260="","",INDEX(Raw_data!$AM$2:$AM$636,MATCH($K260,Model!$R$2:$R$636,0)))</f>
        <v/>
      </c>
      <c r="F260">
        <f>IF($K260="","",INDEX(Raw_data!$AQ$2:$AQ$636,MATCH($K260,Model!$R$2:$R$636,0)))</f>
        <v/>
      </c>
      <c r="G260">
        <f>IF($K260="","",INDEX(Raw_data!$H$2:$H$636,MATCH($K260,Model!$R$2:$R$636,0)))</f>
        <v/>
      </c>
      <c r="H260" s="8">
        <f>IF($K260="","",INDEX(Model!$B$2:$B$636,MATCH($K260,Model!$R$2:$R$636,0)))</f>
        <v/>
      </c>
      <c r="I260" s="8">
        <f>IF($K260="","",INDEX(Model!$C$2:$C$636,MATCH($K260,Model!$R$2:$R$636,0)))</f>
        <v/>
      </c>
      <c r="J260">
        <f>IF($K260="","",INDEX(Model!$D$2:$D$636,MATCH($K260,Model!$R$2:$R$636,0)))</f>
        <v/>
      </c>
      <c r="K260">
        <f>IF(224&lt;=$E$5,LARGE(Model!$R$2:$R$636,224),"")</f>
        <v/>
      </c>
    </row>
    <row r="261">
      <c r="A261">
        <f>IF($K261="","",INDEX(Raw_data!$D$2:$D$636,MATCH($K261,Model!$R$2:$R$636,0)))</f>
        <v/>
      </c>
      <c r="B261" s="11">
        <f>IF($K261="","",INDEX(Raw_data!$F$2:$F$636,MATCH($K261,Model!$R$2:$R$636,0)))</f>
        <v/>
      </c>
      <c r="C261">
        <f>IF($K261="","",HYPERLINK(INDEX(Raw_data!$C$2:$C$636,MATCH($K261,Model!$R$2:$R$636,0)),INDEX(Raw_data!$C$2:$C$636,MATCH($K261,Model!$R$2:$R$636,0))))</f>
        <v/>
      </c>
      <c r="D261">
        <f>IF($K261="","",INDEX(Raw_data!$AL$2:$AL$636,MATCH($K261,Model!$R$2:$R$636,0)))</f>
        <v/>
      </c>
      <c r="E261">
        <f>IF($K261="","",INDEX(Raw_data!$AM$2:$AM$636,MATCH($K261,Model!$R$2:$R$636,0)))</f>
        <v/>
      </c>
      <c r="F261">
        <f>IF($K261="","",INDEX(Raw_data!$AQ$2:$AQ$636,MATCH($K261,Model!$R$2:$R$636,0)))</f>
        <v/>
      </c>
      <c r="G261">
        <f>IF($K261="","",INDEX(Raw_data!$H$2:$H$636,MATCH($K261,Model!$R$2:$R$636,0)))</f>
        <v/>
      </c>
      <c r="H261" s="8">
        <f>IF($K261="","",INDEX(Model!$B$2:$B$636,MATCH($K261,Model!$R$2:$R$636,0)))</f>
        <v/>
      </c>
      <c r="I261" s="8">
        <f>IF($K261="","",INDEX(Model!$C$2:$C$636,MATCH($K261,Model!$R$2:$R$636,0)))</f>
        <v/>
      </c>
      <c r="J261">
        <f>IF($K261="","",INDEX(Model!$D$2:$D$636,MATCH($K261,Model!$R$2:$R$636,0)))</f>
        <v/>
      </c>
      <c r="K261">
        <f>IF(225&lt;=$E$5,LARGE(Model!$R$2:$R$636,225),"")</f>
        <v/>
      </c>
    </row>
    <row r="262">
      <c r="A262">
        <f>IF($K262="","",INDEX(Raw_data!$D$2:$D$636,MATCH($K262,Model!$R$2:$R$636,0)))</f>
        <v/>
      </c>
      <c r="B262" s="11">
        <f>IF($K262="","",INDEX(Raw_data!$F$2:$F$636,MATCH($K262,Model!$R$2:$R$636,0)))</f>
        <v/>
      </c>
      <c r="C262">
        <f>IF($K262="","",HYPERLINK(INDEX(Raw_data!$C$2:$C$636,MATCH($K262,Model!$R$2:$R$636,0)),INDEX(Raw_data!$C$2:$C$636,MATCH($K262,Model!$R$2:$R$636,0))))</f>
        <v/>
      </c>
      <c r="D262">
        <f>IF($K262="","",INDEX(Raw_data!$AL$2:$AL$636,MATCH($K262,Model!$R$2:$R$636,0)))</f>
        <v/>
      </c>
      <c r="E262">
        <f>IF($K262="","",INDEX(Raw_data!$AM$2:$AM$636,MATCH($K262,Model!$R$2:$R$636,0)))</f>
        <v/>
      </c>
      <c r="F262">
        <f>IF($K262="","",INDEX(Raw_data!$AQ$2:$AQ$636,MATCH($K262,Model!$R$2:$R$636,0)))</f>
        <v/>
      </c>
      <c r="G262">
        <f>IF($K262="","",INDEX(Raw_data!$H$2:$H$636,MATCH($K262,Model!$R$2:$R$636,0)))</f>
        <v/>
      </c>
      <c r="H262" s="8">
        <f>IF($K262="","",INDEX(Model!$B$2:$B$636,MATCH($K262,Model!$R$2:$R$636,0)))</f>
        <v/>
      </c>
      <c r="I262" s="8">
        <f>IF($K262="","",INDEX(Model!$C$2:$C$636,MATCH($K262,Model!$R$2:$R$636,0)))</f>
        <v/>
      </c>
      <c r="J262">
        <f>IF($K262="","",INDEX(Model!$D$2:$D$636,MATCH($K262,Model!$R$2:$R$636,0)))</f>
        <v/>
      </c>
      <c r="K262">
        <f>IF(226&lt;=$E$5,LARGE(Model!$R$2:$R$636,226),"")</f>
        <v/>
      </c>
    </row>
    <row r="263">
      <c r="A263">
        <f>IF($K263="","",INDEX(Raw_data!$D$2:$D$636,MATCH($K263,Model!$R$2:$R$636,0)))</f>
        <v/>
      </c>
      <c r="B263" s="11">
        <f>IF($K263="","",INDEX(Raw_data!$F$2:$F$636,MATCH($K263,Model!$R$2:$R$636,0)))</f>
        <v/>
      </c>
      <c r="C263">
        <f>IF($K263="","",HYPERLINK(INDEX(Raw_data!$C$2:$C$636,MATCH($K263,Model!$R$2:$R$636,0)),INDEX(Raw_data!$C$2:$C$636,MATCH($K263,Model!$R$2:$R$636,0))))</f>
        <v/>
      </c>
      <c r="D263">
        <f>IF($K263="","",INDEX(Raw_data!$AL$2:$AL$636,MATCH($K263,Model!$R$2:$R$636,0)))</f>
        <v/>
      </c>
      <c r="E263">
        <f>IF($K263="","",INDEX(Raw_data!$AM$2:$AM$636,MATCH($K263,Model!$R$2:$R$636,0)))</f>
        <v/>
      </c>
      <c r="F263">
        <f>IF($K263="","",INDEX(Raw_data!$AQ$2:$AQ$636,MATCH($K263,Model!$R$2:$R$636,0)))</f>
        <v/>
      </c>
      <c r="G263">
        <f>IF($K263="","",INDEX(Raw_data!$H$2:$H$636,MATCH($K263,Model!$R$2:$R$636,0)))</f>
        <v/>
      </c>
      <c r="H263" s="8">
        <f>IF($K263="","",INDEX(Model!$B$2:$B$636,MATCH($K263,Model!$R$2:$R$636,0)))</f>
        <v/>
      </c>
      <c r="I263" s="8">
        <f>IF($K263="","",INDEX(Model!$C$2:$C$636,MATCH($K263,Model!$R$2:$R$636,0)))</f>
        <v/>
      </c>
      <c r="J263">
        <f>IF($K263="","",INDEX(Model!$D$2:$D$636,MATCH($K263,Model!$R$2:$R$636,0)))</f>
        <v/>
      </c>
      <c r="K263">
        <f>IF(227&lt;=$E$5,LARGE(Model!$R$2:$R$636,227),"")</f>
        <v/>
      </c>
    </row>
    <row r="264">
      <c r="A264">
        <f>IF($K264="","",INDEX(Raw_data!$D$2:$D$636,MATCH($K264,Model!$R$2:$R$636,0)))</f>
        <v/>
      </c>
      <c r="B264" s="11">
        <f>IF($K264="","",INDEX(Raw_data!$F$2:$F$636,MATCH($K264,Model!$R$2:$R$636,0)))</f>
        <v/>
      </c>
      <c r="C264">
        <f>IF($K264="","",HYPERLINK(INDEX(Raw_data!$C$2:$C$636,MATCH($K264,Model!$R$2:$R$636,0)),INDEX(Raw_data!$C$2:$C$636,MATCH($K264,Model!$R$2:$R$636,0))))</f>
        <v/>
      </c>
      <c r="D264">
        <f>IF($K264="","",INDEX(Raw_data!$AL$2:$AL$636,MATCH($K264,Model!$R$2:$R$636,0)))</f>
        <v/>
      </c>
      <c r="E264">
        <f>IF($K264="","",INDEX(Raw_data!$AM$2:$AM$636,MATCH($K264,Model!$R$2:$R$636,0)))</f>
        <v/>
      </c>
      <c r="F264">
        <f>IF($K264="","",INDEX(Raw_data!$AQ$2:$AQ$636,MATCH($K264,Model!$R$2:$R$636,0)))</f>
        <v/>
      </c>
      <c r="G264">
        <f>IF($K264="","",INDEX(Raw_data!$H$2:$H$636,MATCH($K264,Model!$R$2:$R$636,0)))</f>
        <v/>
      </c>
      <c r="H264" s="8">
        <f>IF($K264="","",INDEX(Model!$B$2:$B$636,MATCH($K264,Model!$R$2:$R$636,0)))</f>
        <v/>
      </c>
      <c r="I264" s="8">
        <f>IF($K264="","",INDEX(Model!$C$2:$C$636,MATCH($K264,Model!$R$2:$R$636,0)))</f>
        <v/>
      </c>
      <c r="J264">
        <f>IF($K264="","",INDEX(Model!$D$2:$D$636,MATCH($K264,Model!$R$2:$R$636,0)))</f>
        <v/>
      </c>
      <c r="K264">
        <f>IF(228&lt;=$E$5,LARGE(Model!$R$2:$R$636,228),"")</f>
        <v/>
      </c>
    </row>
    <row r="265">
      <c r="A265">
        <f>IF($K265="","",INDEX(Raw_data!$D$2:$D$636,MATCH($K265,Model!$R$2:$R$636,0)))</f>
        <v/>
      </c>
      <c r="B265" s="11">
        <f>IF($K265="","",INDEX(Raw_data!$F$2:$F$636,MATCH($K265,Model!$R$2:$R$636,0)))</f>
        <v/>
      </c>
      <c r="C265">
        <f>IF($K265="","",HYPERLINK(INDEX(Raw_data!$C$2:$C$636,MATCH($K265,Model!$R$2:$R$636,0)),INDEX(Raw_data!$C$2:$C$636,MATCH($K265,Model!$R$2:$R$636,0))))</f>
        <v/>
      </c>
      <c r="D265">
        <f>IF($K265="","",INDEX(Raw_data!$AL$2:$AL$636,MATCH($K265,Model!$R$2:$R$636,0)))</f>
        <v/>
      </c>
      <c r="E265">
        <f>IF($K265="","",INDEX(Raw_data!$AM$2:$AM$636,MATCH($K265,Model!$R$2:$R$636,0)))</f>
        <v/>
      </c>
      <c r="F265">
        <f>IF($K265="","",INDEX(Raw_data!$AQ$2:$AQ$636,MATCH($K265,Model!$R$2:$R$636,0)))</f>
        <v/>
      </c>
      <c r="G265">
        <f>IF($K265="","",INDEX(Raw_data!$H$2:$H$636,MATCH($K265,Model!$R$2:$R$636,0)))</f>
        <v/>
      </c>
      <c r="H265" s="8">
        <f>IF($K265="","",INDEX(Model!$B$2:$B$636,MATCH($K265,Model!$R$2:$R$636,0)))</f>
        <v/>
      </c>
      <c r="I265" s="8">
        <f>IF($K265="","",INDEX(Model!$C$2:$C$636,MATCH($K265,Model!$R$2:$R$636,0)))</f>
        <v/>
      </c>
      <c r="J265">
        <f>IF($K265="","",INDEX(Model!$D$2:$D$636,MATCH($K265,Model!$R$2:$R$636,0)))</f>
        <v/>
      </c>
      <c r="K265">
        <f>IF(229&lt;=$E$5,LARGE(Model!$R$2:$R$636,229),"")</f>
        <v/>
      </c>
    </row>
    <row r="266">
      <c r="A266">
        <f>IF($K266="","",INDEX(Raw_data!$D$2:$D$636,MATCH($K266,Model!$R$2:$R$636,0)))</f>
        <v/>
      </c>
      <c r="B266" s="11">
        <f>IF($K266="","",INDEX(Raw_data!$F$2:$F$636,MATCH($K266,Model!$R$2:$R$636,0)))</f>
        <v/>
      </c>
      <c r="C266">
        <f>IF($K266="","",HYPERLINK(INDEX(Raw_data!$C$2:$C$636,MATCH($K266,Model!$R$2:$R$636,0)),INDEX(Raw_data!$C$2:$C$636,MATCH($K266,Model!$R$2:$R$636,0))))</f>
        <v/>
      </c>
      <c r="D266">
        <f>IF($K266="","",INDEX(Raw_data!$AL$2:$AL$636,MATCH($K266,Model!$R$2:$R$636,0)))</f>
        <v/>
      </c>
      <c r="E266">
        <f>IF($K266="","",INDEX(Raw_data!$AM$2:$AM$636,MATCH($K266,Model!$R$2:$R$636,0)))</f>
        <v/>
      </c>
      <c r="F266">
        <f>IF($K266="","",INDEX(Raw_data!$AQ$2:$AQ$636,MATCH($K266,Model!$R$2:$R$636,0)))</f>
        <v/>
      </c>
      <c r="G266">
        <f>IF($K266="","",INDEX(Raw_data!$H$2:$H$636,MATCH($K266,Model!$R$2:$R$636,0)))</f>
        <v/>
      </c>
      <c r="H266" s="8">
        <f>IF($K266="","",INDEX(Model!$B$2:$B$636,MATCH($K266,Model!$R$2:$R$636,0)))</f>
        <v/>
      </c>
      <c r="I266" s="8">
        <f>IF($K266="","",INDEX(Model!$C$2:$C$636,MATCH($K266,Model!$R$2:$R$636,0)))</f>
        <v/>
      </c>
      <c r="J266">
        <f>IF($K266="","",INDEX(Model!$D$2:$D$636,MATCH($K266,Model!$R$2:$R$636,0)))</f>
        <v/>
      </c>
      <c r="K266">
        <f>IF(230&lt;=$E$5,LARGE(Model!$R$2:$R$636,230),"")</f>
        <v/>
      </c>
    </row>
    <row r="267">
      <c r="A267">
        <f>IF($K267="","",INDEX(Raw_data!$D$2:$D$636,MATCH($K267,Model!$R$2:$R$636,0)))</f>
        <v/>
      </c>
      <c r="B267" s="11">
        <f>IF($K267="","",INDEX(Raw_data!$F$2:$F$636,MATCH($K267,Model!$R$2:$R$636,0)))</f>
        <v/>
      </c>
      <c r="C267">
        <f>IF($K267="","",HYPERLINK(INDEX(Raw_data!$C$2:$C$636,MATCH($K267,Model!$R$2:$R$636,0)),INDEX(Raw_data!$C$2:$C$636,MATCH($K267,Model!$R$2:$R$636,0))))</f>
        <v/>
      </c>
      <c r="D267">
        <f>IF($K267="","",INDEX(Raw_data!$AL$2:$AL$636,MATCH($K267,Model!$R$2:$R$636,0)))</f>
        <v/>
      </c>
      <c r="E267">
        <f>IF($K267="","",INDEX(Raw_data!$AM$2:$AM$636,MATCH($K267,Model!$R$2:$R$636,0)))</f>
        <v/>
      </c>
      <c r="F267">
        <f>IF($K267="","",INDEX(Raw_data!$AQ$2:$AQ$636,MATCH($K267,Model!$R$2:$R$636,0)))</f>
        <v/>
      </c>
      <c r="G267">
        <f>IF($K267="","",INDEX(Raw_data!$H$2:$H$636,MATCH($K267,Model!$R$2:$R$636,0)))</f>
        <v/>
      </c>
      <c r="H267" s="8">
        <f>IF($K267="","",INDEX(Model!$B$2:$B$636,MATCH($K267,Model!$R$2:$R$636,0)))</f>
        <v/>
      </c>
      <c r="I267" s="8">
        <f>IF($K267="","",INDEX(Model!$C$2:$C$636,MATCH($K267,Model!$R$2:$R$636,0)))</f>
        <v/>
      </c>
      <c r="J267">
        <f>IF($K267="","",INDEX(Model!$D$2:$D$636,MATCH($K267,Model!$R$2:$R$636,0)))</f>
        <v/>
      </c>
      <c r="K267">
        <f>IF(231&lt;=$E$5,LARGE(Model!$R$2:$R$636,231),"")</f>
        <v/>
      </c>
    </row>
    <row r="268">
      <c r="A268">
        <f>IF($K268="","",INDEX(Raw_data!$D$2:$D$636,MATCH($K268,Model!$R$2:$R$636,0)))</f>
        <v/>
      </c>
      <c r="B268" s="11">
        <f>IF($K268="","",INDEX(Raw_data!$F$2:$F$636,MATCH($K268,Model!$R$2:$R$636,0)))</f>
        <v/>
      </c>
      <c r="C268">
        <f>IF($K268="","",HYPERLINK(INDEX(Raw_data!$C$2:$C$636,MATCH($K268,Model!$R$2:$R$636,0)),INDEX(Raw_data!$C$2:$C$636,MATCH($K268,Model!$R$2:$R$636,0))))</f>
        <v/>
      </c>
      <c r="D268">
        <f>IF($K268="","",INDEX(Raw_data!$AL$2:$AL$636,MATCH($K268,Model!$R$2:$R$636,0)))</f>
        <v/>
      </c>
      <c r="E268">
        <f>IF($K268="","",INDEX(Raw_data!$AM$2:$AM$636,MATCH($K268,Model!$R$2:$R$636,0)))</f>
        <v/>
      </c>
      <c r="F268">
        <f>IF($K268="","",INDEX(Raw_data!$AQ$2:$AQ$636,MATCH($K268,Model!$R$2:$R$636,0)))</f>
        <v/>
      </c>
      <c r="G268">
        <f>IF($K268="","",INDEX(Raw_data!$H$2:$H$636,MATCH($K268,Model!$R$2:$R$636,0)))</f>
        <v/>
      </c>
      <c r="H268" s="8">
        <f>IF($K268="","",INDEX(Model!$B$2:$B$636,MATCH($K268,Model!$R$2:$R$636,0)))</f>
        <v/>
      </c>
      <c r="I268" s="8">
        <f>IF($K268="","",INDEX(Model!$C$2:$C$636,MATCH($K268,Model!$R$2:$R$636,0)))</f>
        <v/>
      </c>
      <c r="J268">
        <f>IF($K268="","",INDEX(Model!$D$2:$D$636,MATCH($K268,Model!$R$2:$R$636,0)))</f>
        <v/>
      </c>
      <c r="K268">
        <f>IF(232&lt;=$E$5,LARGE(Model!$R$2:$R$636,232),"")</f>
        <v/>
      </c>
    </row>
    <row r="269">
      <c r="A269">
        <f>IF($K269="","",INDEX(Raw_data!$D$2:$D$636,MATCH($K269,Model!$R$2:$R$636,0)))</f>
        <v/>
      </c>
      <c r="B269" s="11">
        <f>IF($K269="","",INDEX(Raw_data!$F$2:$F$636,MATCH($K269,Model!$R$2:$R$636,0)))</f>
        <v/>
      </c>
      <c r="C269">
        <f>IF($K269="","",HYPERLINK(INDEX(Raw_data!$C$2:$C$636,MATCH($K269,Model!$R$2:$R$636,0)),INDEX(Raw_data!$C$2:$C$636,MATCH($K269,Model!$R$2:$R$636,0))))</f>
        <v/>
      </c>
      <c r="D269">
        <f>IF($K269="","",INDEX(Raw_data!$AL$2:$AL$636,MATCH($K269,Model!$R$2:$R$636,0)))</f>
        <v/>
      </c>
      <c r="E269">
        <f>IF($K269="","",INDEX(Raw_data!$AM$2:$AM$636,MATCH($K269,Model!$R$2:$R$636,0)))</f>
        <v/>
      </c>
      <c r="F269">
        <f>IF($K269="","",INDEX(Raw_data!$AQ$2:$AQ$636,MATCH($K269,Model!$R$2:$R$636,0)))</f>
        <v/>
      </c>
      <c r="G269">
        <f>IF($K269="","",INDEX(Raw_data!$H$2:$H$636,MATCH($K269,Model!$R$2:$R$636,0)))</f>
        <v/>
      </c>
      <c r="H269" s="8">
        <f>IF($K269="","",INDEX(Model!$B$2:$B$636,MATCH($K269,Model!$R$2:$R$636,0)))</f>
        <v/>
      </c>
      <c r="I269" s="8">
        <f>IF($K269="","",INDEX(Model!$C$2:$C$636,MATCH($K269,Model!$R$2:$R$636,0)))</f>
        <v/>
      </c>
      <c r="J269">
        <f>IF($K269="","",INDEX(Model!$D$2:$D$636,MATCH($K269,Model!$R$2:$R$636,0)))</f>
        <v/>
      </c>
      <c r="K269">
        <f>IF(233&lt;=$E$5,LARGE(Model!$R$2:$R$636,233),"")</f>
        <v/>
      </c>
    </row>
    <row r="270">
      <c r="A270">
        <f>IF($K270="","",INDEX(Raw_data!$D$2:$D$636,MATCH($K270,Model!$R$2:$R$636,0)))</f>
        <v/>
      </c>
      <c r="B270" s="11">
        <f>IF($K270="","",INDEX(Raw_data!$F$2:$F$636,MATCH($K270,Model!$R$2:$R$636,0)))</f>
        <v/>
      </c>
      <c r="C270">
        <f>IF($K270="","",HYPERLINK(INDEX(Raw_data!$C$2:$C$636,MATCH($K270,Model!$R$2:$R$636,0)),INDEX(Raw_data!$C$2:$C$636,MATCH($K270,Model!$R$2:$R$636,0))))</f>
        <v/>
      </c>
      <c r="D270">
        <f>IF($K270="","",INDEX(Raw_data!$AL$2:$AL$636,MATCH($K270,Model!$R$2:$R$636,0)))</f>
        <v/>
      </c>
      <c r="E270">
        <f>IF($K270="","",INDEX(Raw_data!$AM$2:$AM$636,MATCH($K270,Model!$R$2:$R$636,0)))</f>
        <v/>
      </c>
      <c r="F270">
        <f>IF($K270="","",INDEX(Raw_data!$AQ$2:$AQ$636,MATCH($K270,Model!$R$2:$R$636,0)))</f>
        <v/>
      </c>
      <c r="G270">
        <f>IF($K270="","",INDEX(Raw_data!$H$2:$H$636,MATCH($K270,Model!$R$2:$R$636,0)))</f>
        <v/>
      </c>
      <c r="H270" s="8">
        <f>IF($K270="","",INDEX(Model!$B$2:$B$636,MATCH($K270,Model!$R$2:$R$636,0)))</f>
        <v/>
      </c>
      <c r="I270" s="8">
        <f>IF($K270="","",INDEX(Model!$C$2:$C$636,MATCH($K270,Model!$R$2:$R$636,0)))</f>
        <v/>
      </c>
      <c r="J270">
        <f>IF($K270="","",INDEX(Model!$D$2:$D$636,MATCH($K270,Model!$R$2:$R$636,0)))</f>
        <v/>
      </c>
      <c r="K270">
        <f>IF(234&lt;=$E$5,LARGE(Model!$R$2:$R$636,234),"")</f>
        <v/>
      </c>
    </row>
    <row r="271">
      <c r="A271">
        <f>IF($K271="","",INDEX(Raw_data!$D$2:$D$636,MATCH($K271,Model!$R$2:$R$636,0)))</f>
        <v/>
      </c>
      <c r="B271" s="11">
        <f>IF($K271="","",INDEX(Raw_data!$F$2:$F$636,MATCH($K271,Model!$R$2:$R$636,0)))</f>
        <v/>
      </c>
      <c r="C271">
        <f>IF($K271="","",HYPERLINK(INDEX(Raw_data!$C$2:$C$636,MATCH($K271,Model!$R$2:$R$636,0)),INDEX(Raw_data!$C$2:$C$636,MATCH($K271,Model!$R$2:$R$636,0))))</f>
        <v/>
      </c>
      <c r="D271">
        <f>IF($K271="","",INDEX(Raw_data!$AL$2:$AL$636,MATCH($K271,Model!$R$2:$R$636,0)))</f>
        <v/>
      </c>
      <c r="E271">
        <f>IF($K271="","",INDEX(Raw_data!$AM$2:$AM$636,MATCH($K271,Model!$R$2:$R$636,0)))</f>
        <v/>
      </c>
      <c r="F271">
        <f>IF($K271="","",INDEX(Raw_data!$AQ$2:$AQ$636,MATCH($K271,Model!$R$2:$R$636,0)))</f>
        <v/>
      </c>
      <c r="G271">
        <f>IF($K271="","",INDEX(Raw_data!$H$2:$H$636,MATCH($K271,Model!$R$2:$R$636,0)))</f>
        <v/>
      </c>
      <c r="H271" s="8">
        <f>IF($K271="","",INDEX(Model!$B$2:$B$636,MATCH($K271,Model!$R$2:$R$636,0)))</f>
        <v/>
      </c>
      <c r="I271" s="8">
        <f>IF($K271="","",INDEX(Model!$C$2:$C$636,MATCH($K271,Model!$R$2:$R$636,0)))</f>
        <v/>
      </c>
      <c r="J271">
        <f>IF($K271="","",INDEX(Model!$D$2:$D$636,MATCH($K271,Model!$R$2:$R$636,0)))</f>
        <v/>
      </c>
      <c r="K271">
        <f>IF(235&lt;=$E$5,LARGE(Model!$R$2:$R$636,235),"")</f>
        <v/>
      </c>
    </row>
    <row r="272">
      <c r="A272">
        <f>IF($K272="","",INDEX(Raw_data!$D$2:$D$636,MATCH($K272,Model!$R$2:$R$636,0)))</f>
        <v/>
      </c>
      <c r="B272" s="11">
        <f>IF($K272="","",INDEX(Raw_data!$F$2:$F$636,MATCH($K272,Model!$R$2:$R$636,0)))</f>
        <v/>
      </c>
      <c r="C272">
        <f>IF($K272="","",HYPERLINK(INDEX(Raw_data!$C$2:$C$636,MATCH($K272,Model!$R$2:$R$636,0)),INDEX(Raw_data!$C$2:$C$636,MATCH($K272,Model!$R$2:$R$636,0))))</f>
        <v/>
      </c>
      <c r="D272">
        <f>IF($K272="","",INDEX(Raw_data!$AL$2:$AL$636,MATCH($K272,Model!$R$2:$R$636,0)))</f>
        <v/>
      </c>
      <c r="E272">
        <f>IF($K272="","",INDEX(Raw_data!$AM$2:$AM$636,MATCH($K272,Model!$R$2:$R$636,0)))</f>
        <v/>
      </c>
      <c r="F272">
        <f>IF($K272="","",INDEX(Raw_data!$AQ$2:$AQ$636,MATCH($K272,Model!$R$2:$R$636,0)))</f>
        <v/>
      </c>
      <c r="G272">
        <f>IF($K272="","",INDEX(Raw_data!$H$2:$H$636,MATCH($K272,Model!$R$2:$R$636,0)))</f>
        <v/>
      </c>
      <c r="H272" s="8">
        <f>IF($K272="","",INDEX(Model!$B$2:$B$636,MATCH($K272,Model!$R$2:$R$636,0)))</f>
        <v/>
      </c>
      <c r="I272" s="8">
        <f>IF($K272="","",INDEX(Model!$C$2:$C$636,MATCH($K272,Model!$R$2:$R$636,0)))</f>
        <v/>
      </c>
      <c r="J272">
        <f>IF($K272="","",INDEX(Model!$D$2:$D$636,MATCH($K272,Model!$R$2:$R$636,0)))</f>
        <v/>
      </c>
      <c r="K272">
        <f>IF(236&lt;=$E$5,LARGE(Model!$R$2:$R$636,236),"")</f>
        <v/>
      </c>
    </row>
    <row r="273">
      <c r="A273">
        <f>IF($K273="","",INDEX(Raw_data!$D$2:$D$636,MATCH($K273,Model!$R$2:$R$636,0)))</f>
        <v/>
      </c>
      <c r="B273" s="11">
        <f>IF($K273="","",INDEX(Raw_data!$F$2:$F$636,MATCH($K273,Model!$R$2:$R$636,0)))</f>
        <v/>
      </c>
      <c r="C273">
        <f>IF($K273="","",HYPERLINK(INDEX(Raw_data!$C$2:$C$636,MATCH($K273,Model!$R$2:$R$636,0)),INDEX(Raw_data!$C$2:$C$636,MATCH($K273,Model!$R$2:$R$636,0))))</f>
        <v/>
      </c>
      <c r="D273">
        <f>IF($K273="","",INDEX(Raw_data!$AL$2:$AL$636,MATCH($K273,Model!$R$2:$R$636,0)))</f>
        <v/>
      </c>
      <c r="E273">
        <f>IF($K273="","",INDEX(Raw_data!$AM$2:$AM$636,MATCH($K273,Model!$R$2:$R$636,0)))</f>
        <v/>
      </c>
      <c r="F273">
        <f>IF($K273="","",INDEX(Raw_data!$AQ$2:$AQ$636,MATCH($K273,Model!$R$2:$R$636,0)))</f>
        <v/>
      </c>
      <c r="G273">
        <f>IF($K273="","",INDEX(Raw_data!$H$2:$H$636,MATCH($K273,Model!$R$2:$R$636,0)))</f>
        <v/>
      </c>
      <c r="H273" s="8">
        <f>IF($K273="","",INDEX(Model!$B$2:$B$636,MATCH($K273,Model!$R$2:$R$636,0)))</f>
        <v/>
      </c>
      <c r="I273" s="8">
        <f>IF($K273="","",INDEX(Model!$C$2:$C$636,MATCH($K273,Model!$R$2:$R$636,0)))</f>
        <v/>
      </c>
      <c r="J273">
        <f>IF($K273="","",INDEX(Model!$D$2:$D$636,MATCH($K273,Model!$R$2:$R$636,0)))</f>
        <v/>
      </c>
      <c r="K273">
        <f>IF(237&lt;=$E$5,LARGE(Model!$R$2:$R$636,237),"")</f>
        <v/>
      </c>
    </row>
    <row r="274">
      <c r="A274">
        <f>IF($K274="","",INDEX(Raw_data!$D$2:$D$636,MATCH($K274,Model!$R$2:$R$636,0)))</f>
        <v/>
      </c>
      <c r="B274" s="11">
        <f>IF($K274="","",INDEX(Raw_data!$F$2:$F$636,MATCH($K274,Model!$R$2:$R$636,0)))</f>
        <v/>
      </c>
      <c r="C274">
        <f>IF($K274="","",HYPERLINK(INDEX(Raw_data!$C$2:$C$636,MATCH($K274,Model!$R$2:$R$636,0)),INDEX(Raw_data!$C$2:$C$636,MATCH($K274,Model!$R$2:$R$636,0))))</f>
        <v/>
      </c>
      <c r="D274">
        <f>IF($K274="","",INDEX(Raw_data!$AL$2:$AL$636,MATCH($K274,Model!$R$2:$R$636,0)))</f>
        <v/>
      </c>
      <c r="E274">
        <f>IF($K274="","",INDEX(Raw_data!$AM$2:$AM$636,MATCH($K274,Model!$R$2:$R$636,0)))</f>
        <v/>
      </c>
      <c r="F274">
        <f>IF($K274="","",INDEX(Raw_data!$AQ$2:$AQ$636,MATCH($K274,Model!$R$2:$R$636,0)))</f>
        <v/>
      </c>
      <c r="G274">
        <f>IF($K274="","",INDEX(Raw_data!$H$2:$H$636,MATCH($K274,Model!$R$2:$R$636,0)))</f>
        <v/>
      </c>
      <c r="H274" s="8">
        <f>IF($K274="","",INDEX(Model!$B$2:$B$636,MATCH($K274,Model!$R$2:$R$636,0)))</f>
        <v/>
      </c>
      <c r="I274" s="8">
        <f>IF($K274="","",INDEX(Model!$C$2:$C$636,MATCH($K274,Model!$R$2:$R$636,0)))</f>
        <v/>
      </c>
      <c r="J274">
        <f>IF($K274="","",INDEX(Model!$D$2:$D$636,MATCH($K274,Model!$R$2:$R$636,0)))</f>
        <v/>
      </c>
      <c r="K274">
        <f>IF(238&lt;=$E$5,LARGE(Model!$R$2:$R$636,238),"")</f>
        <v/>
      </c>
    </row>
    <row r="275">
      <c r="A275">
        <f>IF($K275="","",INDEX(Raw_data!$D$2:$D$636,MATCH($K275,Model!$R$2:$R$636,0)))</f>
        <v/>
      </c>
      <c r="B275" s="11">
        <f>IF($K275="","",INDEX(Raw_data!$F$2:$F$636,MATCH($K275,Model!$R$2:$R$636,0)))</f>
        <v/>
      </c>
      <c r="C275">
        <f>IF($K275="","",HYPERLINK(INDEX(Raw_data!$C$2:$C$636,MATCH($K275,Model!$R$2:$R$636,0)),INDEX(Raw_data!$C$2:$C$636,MATCH($K275,Model!$R$2:$R$636,0))))</f>
        <v/>
      </c>
      <c r="D275">
        <f>IF($K275="","",INDEX(Raw_data!$AL$2:$AL$636,MATCH($K275,Model!$R$2:$R$636,0)))</f>
        <v/>
      </c>
      <c r="E275">
        <f>IF($K275="","",INDEX(Raw_data!$AM$2:$AM$636,MATCH($K275,Model!$R$2:$R$636,0)))</f>
        <v/>
      </c>
      <c r="F275">
        <f>IF($K275="","",INDEX(Raw_data!$AQ$2:$AQ$636,MATCH($K275,Model!$R$2:$R$636,0)))</f>
        <v/>
      </c>
      <c r="G275">
        <f>IF($K275="","",INDEX(Raw_data!$H$2:$H$636,MATCH($K275,Model!$R$2:$R$636,0)))</f>
        <v/>
      </c>
      <c r="H275" s="8">
        <f>IF($K275="","",INDEX(Model!$B$2:$B$636,MATCH($K275,Model!$R$2:$R$636,0)))</f>
        <v/>
      </c>
      <c r="I275" s="8">
        <f>IF($K275="","",INDEX(Model!$C$2:$C$636,MATCH($K275,Model!$R$2:$R$636,0)))</f>
        <v/>
      </c>
      <c r="J275">
        <f>IF($K275="","",INDEX(Model!$D$2:$D$636,MATCH($K275,Model!$R$2:$R$636,0)))</f>
        <v/>
      </c>
      <c r="K275">
        <f>IF(239&lt;=$E$5,LARGE(Model!$R$2:$R$636,239),"")</f>
        <v/>
      </c>
    </row>
    <row r="276">
      <c r="A276">
        <f>IF($K276="","",INDEX(Raw_data!$D$2:$D$636,MATCH($K276,Model!$R$2:$R$636,0)))</f>
        <v/>
      </c>
      <c r="B276" s="11">
        <f>IF($K276="","",INDEX(Raw_data!$F$2:$F$636,MATCH($K276,Model!$R$2:$R$636,0)))</f>
        <v/>
      </c>
      <c r="C276">
        <f>IF($K276="","",HYPERLINK(INDEX(Raw_data!$C$2:$C$636,MATCH($K276,Model!$R$2:$R$636,0)),INDEX(Raw_data!$C$2:$C$636,MATCH($K276,Model!$R$2:$R$636,0))))</f>
        <v/>
      </c>
      <c r="D276">
        <f>IF($K276="","",INDEX(Raw_data!$AL$2:$AL$636,MATCH($K276,Model!$R$2:$R$636,0)))</f>
        <v/>
      </c>
      <c r="E276">
        <f>IF($K276="","",INDEX(Raw_data!$AM$2:$AM$636,MATCH($K276,Model!$R$2:$R$636,0)))</f>
        <v/>
      </c>
      <c r="F276">
        <f>IF($K276="","",INDEX(Raw_data!$AQ$2:$AQ$636,MATCH($K276,Model!$R$2:$R$636,0)))</f>
        <v/>
      </c>
      <c r="G276">
        <f>IF($K276="","",INDEX(Raw_data!$H$2:$H$636,MATCH($K276,Model!$R$2:$R$636,0)))</f>
        <v/>
      </c>
      <c r="H276" s="8">
        <f>IF($K276="","",INDEX(Model!$B$2:$B$636,MATCH($K276,Model!$R$2:$R$636,0)))</f>
        <v/>
      </c>
      <c r="I276" s="8">
        <f>IF($K276="","",INDEX(Model!$C$2:$C$636,MATCH($K276,Model!$R$2:$R$636,0)))</f>
        <v/>
      </c>
      <c r="J276">
        <f>IF($K276="","",INDEX(Model!$D$2:$D$636,MATCH($K276,Model!$R$2:$R$636,0)))</f>
        <v/>
      </c>
      <c r="K276">
        <f>IF(240&lt;=$E$5,LARGE(Model!$R$2:$R$636,240),"")</f>
        <v/>
      </c>
    </row>
    <row r="277">
      <c r="A277">
        <f>IF($K277="","",INDEX(Raw_data!$D$2:$D$636,MATCH($K277,Model!$R$2:$R$636,0)))</f>
        <v/>
      </c>
      <c r="B277" s="11">
        <f>IF($K277="","",INDEX(Raw_data!$F$2:$F$636,MATCH($K277,Model!$R$2:$R$636,0)))</f>
        <v/>
      </c>
      <c r="C277">
        <f>IF($K277="","",HYPERLINK(INDEX(Raw_data!$C$2:$C$636,MATCH($K277,Model!$R$2:$R$636,0)),INDEX(Raw_data!$C$2:$C$636,MATCH($K277,Model!$R$2:$R$636,0))))</f>
        <v/>
      </c>
      <c r="D277">
        <f>IF($K277="","",INDEX(Raw_data!$AL$2:$AL$636,MATCH($K277,Model!$R$2:$R$636,0)))</f>
        <v/>
      </c>
      <c r="E277">
        <f>IF($K277="","",INDEX(Raw_data!$AM$2:$AM$636,MATCH($K277,Model!$R$2:$R$636,0)))</f>
        <v/>
      </c>
      <c r="F277">
        <f>IF($K277="","",INDEX(Raw_data!$AQ$2:$AQ$636,MATCH($K277,Model!$R$2:$R$636,0)))</f>
        <v/>
      </c>
      <c r="G277">
        <f>IF($K277="","",INDEX(Raw_data!$H$2:$H$636,MATCH($K277,Model!$R$2:$R$636,0)))</f>
        <v/>
      </c>
      <c r="H277" s="8">
        <f>IF($K277="","",INDEX(Model!$B$2:$B$636,MATCH($K277,Model!$R$2:$R$636,0)))</f>
        <v/>
      </c>
      <c r="I277" s="8">
        <f>IF($K277="","",INDEX(Model!$C$2:$C$636,MATCH($K277,Model!$R$2:$R$636,0)))</f>
        <v/>
      </c>
      <c r="J277">
        <f>IF($K277="","",INDEX(Model!$D$2:$D$636,MATCH($K277,Model!$R$2:$R$636,0)))</f>
        <v/>
      </c>
      <c r="K277">
        <f>IF(241&lt;=$E$5,LARGE(Model!$R$2:$R$636,241),"")</f>
        <v/>
      </c>
    </row>
    <row r="278">
      <c r="A278">
        <f>IF($K278="","",INDEX(Raw_data!$D$2:$D$636,MATCH($K278,Model!$R$2:$R$636,0)))</f>
        <v/>
      </c>
      <c r="B278" s="11">
        <f>IF($K278="","",INDEX(Raw_data!$F$2:$F$636,MATCH($K278,Model!$R$2:$R$636,0)))</f>
        <v/>
      </c>
      <c r="C278">
        <f>IF($K278="","",HYPERLINK(INDEX(Raw_data!$C$2:$C$636,MATCH($K278,Model!$R$2:$R$636,0)),INDEX(Raw_data!$C$2:$C$636,MATCH($K278,Model!$R$2:$R$636,0))))</f>
        <v/>
      </c>
      <c r="D278">
        <f>IF($K278="","",INDEX(Raw_data!$AL$2:$AL$636,MATCH($K278,Model!$R$2:$R$636,0)))</f>
        <v/>
      </c>
      <c r="E278">
        <f>IF($K278="","",INDEX(Raw_data!$AM$2:$AM$636,MATCH($K278,Model!$R$2:$R$636,0)))</f>
        <v/>
      </c>
      <c r="F278">
        <f>IF($K278="","",INDEX(Raw_data!$AQ$2:$AQ$636,MATCH($K278,Model!$R$2:$R$636,0)))</f>
        <v/>
      </c>
      <c r="G278">
        <f>IF($K278="","",INDEX(Raw_data!$H$2:$H$636,MATCH($K278,Model!$R$2:$R$636,0)))</f>
        <v/>
      </c>
      <c r="H278" s="8">
        <f>IF($K278="","",INDEX(Model!$B$2:$B$636,MATCH($K278,Model!$R$2:$R$636,0)))</f>
        <v/>
      </c>
      <c r="I278" s="8">
        <f>IF($K278="","",INDEX(Model!$C$2:$C$636,MATCH($K278,Model!$R$2:$R$636,0)))</f>
        <v/>
      </c>
      <c r="J278">
        <f>IF($K278="","",INDEX(Model!$D$2:$D$636,MATCH($K278,Model!$R$2:$R$636,0)))</f>
        <v/>
      </c>
      <c r="K278">
        <f>IF(242&lt;=$E$5,LARGE(Model!$R$2:$R$636,242),"")</f>
        <v/>
      </c>
    </row>
    <row r="279">
      <c r="A279">
        <f>IF($K279="","",INDEX(Raw_data!$D$2:$D$636,MATCH($K279,Model!$R$2:$R$636,0)))</f>
        <v/>
      </c>
      <c r="B279" s="11">
        <f>IF($K279="","",INDEX(Raw_data!$F$2:$F$636,MATCH($K279,Model!$R$2:$R$636,0)))</f>
        <v/>
      </c>
      <c r="C279">
        <f>IF($K279="","",HYPERLINK(INDEX(Raw_data!$C$2:$C$636,MATCH($K279,Model!$R$2:$R$636,0)),INDEX(Raw_data!$C$2:$C$636,MATCH($K279,Model!$R$2:$R$636,0))))</f>
        <v/>
      </c>
      <c r="D279">
        <f>IF($K279="","",INDEX(Raw_data!$AL$2:$AL$636,MATCH($K279,Model!$R$2:$R$636,0)))</f>
        <v/>
      </c>
      <c r="E279">
        <f>IF($K279="","",INDEX(Raw_data!$AM$2:$AM$636,MATCH($K279,Model!$R$2:$R$636,0)))</f>
        <v/>
      </c>
      <c r="F279">
        <f>IF($K279="","",INDEX(Raw_data!$AQ$2:$AQ$636,MATCH($K279,Model!$R$2:$R$636,0)))</f>
        <v/>
      </c>
      <c r="G279">
        <f>IF($K279="","",INDEX(Raw_data!$H$2:$H$636,MATCH($K279,Model!$R$2:$R$636,0)))</f>
        <v/>
      </c>
      <c r="H279" s="8">
        <f>IF($K279="","",INDEX(Model!$B$2:$B$636,MATCH($K279,Model!$R$2:$R$636,0)))</f>
        <v/>
      </c>
      <c r="I279" s="8">
        <f>IF($K279="","",INDEX(Model!$C$2:$C$636,MATCH($K279,Model!$R$2:$R$636,0)))</f>
        <v/>
      </c>
      <c r="J279">
        <f>IF($K279="","",INDEX(Model!$D$2:$D$636,MATCH($K279,Model!$R$2:$R$636,0)))</f>
        <v/>
      </c>
      <c r="K279">
        <f>IF(243&lt;=$E$5,LARGE(Model!$R$2:$R$636,243),"")</f>
        <v/>
      </c>
    </row>
    <row r="280">
      <c r="A280">
        <f>IF($K280="","",INDEX(Raw_data!$D$2:$D$636,MATCH($K280,Model!$R$2:$R$636,0)))</f>
        <v/>
      </c>
      <c r="B280" s="11">
        <f>IF($K280="","",INDEX(Raw_data!$F$2:$F$636,MATCH($K280,Model!$R$2:$R$636,0)))</f>
        <v/>
      </c>
      <c r="C280">
        <f>IF($K280="","",HYPERLINK(INDEX(Raw_data!$C$2:$C$636,MATCH($K280,Model!$R$2:$R$636,0)),INDEX(Raw_data!$C$2:$C$636,MATCH($K280,Model!$R$2:$R$636,0))))</f>
        <v/>
      </c>
      <c r="D280">
        <f>IF($K280="","",INDEX(Raw_data!$AL$2:$AL$636,MATCH($K280,Model!$R$2:$R$636,0)))</f>
        <v/>
      </c>
      <c r="E280">
        <f>IF($K280="","",INDEX(Raw_data!$AM$2:$AM$636,MATCH($K280,Model!$R$2:$R$636,0)))</f>
        <v/>
      </c>
      <c r="F280">
        <f>IF($K280="","",INDEX(Raw_data!$AQ$2:$AQ$636,MATCH($K280,Model!$R$2:$R$636,0)))</f>
        <v/>
      </c>
      <c r="G280">
        <f>IF($K280="","",INDEX(Raw_data!$H$2:$H$636,MATCH($K280,Model!$R$2:$R$636,0)))</f>
        <v/>
      </c>
      <c r="H280" s="8">
        <f>IF($K280="","",INDEX(Model!$B$2:$B$636,MATCH($K280,Model!$R$2:$R$636,0)))</f>
        <v/>
      </c>
      <c r="I280" s="8">
        <f>IF($K280="","",INDEX(Model!$C$2:$C$636,MATCH($K280,Model!$R$2:$R$636,0)))</f>
        <v/>
      </c>
      <c r="J280">
        <f>IF($K280="","",INDEX(Model!$D$2:$D$636,MATCH($K280,Model!$R$2:$R$636,0)))</f>
        <v/>
      </c>
      <c r="K280">
        <f>IF(244&lt;=$E$5,LARGE(Model!$R$2:$R$636,244),"")</f>
        <v/>
      </c>
    </row>
    <row r="281">
      <c r="A281">
        <f>IF($K281="","",INDEX(Raw_data!$D$2:$D$636,MATCH($K281,Model!$R$2:$R$636,0)))</f>
        <v/>
      </c>
      <c r="B281" s="11">
        <f>IF($K281="","",INDEX(Raw_data!$F$2:$F$636,MATCH($K281,Model!$R$2:$R$636,0)))</f>
        <v/>
      </c>
      <c r="C281">
        <f>IF($K281="","",HYPERLINK(INDEX(Raw_data!$C$2:$C$636,MATCH($K281,Model!$R$2:$R$636,0)),INDEX(Raw_data!$C$2:$C$636,MATCH($K281,Model!$R$2:$R$636,0))))</f>
        <v/>
      </c>
      <c r="D281">
        <f>IF($K281="","",INDEX(Raw_data!$AL$2:$AL$636,MATCH($K281,Model!$R$2:$R$636,0)))</f>
        <v/>
      </c>
      <c r="E281">
        <f>IF($K281="","",INDEX(Raw_data!$AM$2:$AM$636,MATCH($K281,Model!$R$2:$R$636,0)))</f>
        <v/>
      </c>
      <c r="F281">
        <f>IF($K281="","",INDEX(Raw_data!$AQ$2:$AQ$636,MATCH($K281,Model!$R$2:$R$636,0)))</f>
        <v/>
      </c>
      <c r="G281">
        <f>IF($K281="","",INDEX(Raw_data!$H$2:$H$636,MATCH($K281,Model!$R$2:$R$636,0)))</f>
        <v/>
      </c>
      <c r="H281" s="8">
        <f>IF($K281="","",INDEX(Model!$B$2:$B$636,MATCH($K281,Model!$R$2:$R$636,0)))</f>
        <v/>
      </c>
      <c r="I281" s="8">
        <f>IF($K281="","",INDEX(Model!$C$2:$C$636,MATCH($K281,Model!$R$2:$R$636,0)))</f>
        <v/>
      </c>
      <c r="J281">
        <f>IF($K281="","",INDEX(Model!$D$2:$D$636,MATCH($K281,Model!$R$2:$R$636,0)))</f>
        <v/>
      </c>
      <c r="K281">
        <f>IF(245&lt;=$E$5,LARGE(Model!$R$2:$R$636,245),"")</f>
        <v/>
      </c>
    </row>
    <row r="282">
      <c r="A282">
        <f>IF($K282="","",INDEX(Raw_data!$D$2:$D$636,MATCH($K282,Model!$R$2:$R$636,0)))</f>
        <v/>
      </c>
      <c r="B282" s="11">
        <f>IF($K282="","",INDEX(Raw_data!$F$2:$F$636,MATCH($K282,Model!$R$2:$R$636,0)))</f>
        <v/>
      </c>
      <c r="C282">
        <f>IF($K282="","",HYPERLINK(INDEX(Raw_data!$C$2:$C$636,MATCH($K282,Model!$R$2:$R$636,0)),INDEX(Raw_data!$C$2:$C$636,MATCH($K282,Model!$R$2:$R$636,0))))</f>
        <v/>
      </c>
      <c r="D282">
        <f>IF($K282="","",INDEX(Raw_data!$AL$2:$AL$636,MATCH($K282,Model!$R$2:$R$636,0)))</f>
        <v/>
      </c>
      <c r="E282">
        <f>IF($K282="","",INDEX(Raw_data!$AM$2:$AM$636,MATCH($K282,Model!$R$2:$R$636,0)))</f>
        <v/>
      </c>
      <c r="F282">
        <f>IF($K282="","",INDEX(Raw_data!$AQ$2:$AQ$636,MATCH($K282,Model!$R$2:$R$636,0)))</f>
        <v/>
      </c>
      <c r="G282">
        <f>IF($K282="","",INDEX(Raw_data!$H$2:$H$636,MATCH($K282,Model!$R$2:$R$636,0)))</f>
        <v/>
      </c>
      <c r="H282" s="8">
        <f>IF($K282="","",INDEX(Model!$B$2:$B$636,MATCH($K282,Model!$R$2:$R$636,0)))</f>
        <v/>
      </c>
      <c r="I282" s="8">
        <f>IF($K282="","",INDEX(Model!$C$2:$C$636,MATCH($K282,Model!$R$2:$R$636,0)))</f>
        <v/>
      </c>
      <c r="J282">
        <f>IF($K282="","",INDEX(Model!$D$2:$D$636,MATCH($K282,Model!$R$2:$R$636,0)))</f>
        <v/>
      </c>
      <c r="K282">
        <f>IF(246&lt;=$E$5,LARGE(Model!$R$2:$R$636,246),"")</f>
        <v/>
      </c>
    </row>
    <row r="283">
      <c r="A283">
        <f>IF($K283="","",INDEX(Raw_data!$D$2:$D$636,MATCH($K283,Model!$R$2:$R$636,0)))</f>
        <v/>
      </c>
      <c r="B283" s="11">
        <f>IF($K283="","",INDEX(Raw_data!$F$2:$F$636,MATCH($K283,Model!$R$2:$R$636,0)))</f>
        <v/>
      </c>
      <c r="C283">
        <f>IF($K283="","",HYPERLINK(INDEX(Raw_data!$C$2:$C$636,MATCH($K283,Model!$R$2:$R$636,0)),INDEX(Raw_data!$C$2:$C$636,MATCH($K283,Model!$R$2:$R$636,0))))</f>
        <v/>
      </c>
      <c r="D283">
        <f>IF($K283="","",INDEX(Raw_data!$AL$2:$AL$636,MATCH($K283,Model!$R$2:$R$636,0)))</f>
        <v/>
      </c>
      <c r="E283">
        <f>IF($K283="","",INDEX(Raw_data!$AM$2:$AM$636,MATCH($K283,Model!$R$2:$R$636,0)))</f>
        <v/>
      </c>
      <c r="F283">
        <f>IF($K283="","",INDEX(Raw_data!$AQ$2:$AQ$636,MATCH($K283,Model!$R$2:$R$636,0)))</f>
        <v/>
      </c>
      <c r="G283">
        <f>IF($K283="","",INDEX(Raw_data!$H$2:$H$636,MATCH($K283,Model!$R$2:$R$636,0)))</f>
        <v/>
      </c>
      <c r="H283" s="8">
        <f>IF($K283="","",INDEX(Model!$B$2:$B$636,MATCH($K283,Model!$R$2:$R$636,0)))</f>
        <v/>
      </c>
      <c r="I283" s="8">
        <f>IF($K283="","",INDEX(Model!$C$2:$C$636,MATCH($K283,Model!$R$2:$R$636,0)))</f>
        <v/>
      </c>
      <c r="J283">
        <f>IF($K283="","",INDEX(Model!$D$2:$D$636,MATCH($K283,Model!$R$2:$R$636,0)))</f>
        <v/>
      </c>
      <c r="K283">
        <f>IF(247&lt;=$E$5,LARGE(Model!$R$2:$R$636,247),"")</f>
        <v/>
      </c>
    </row>
    <row r="284">
      <c r="A284">
        <f>IF($K284="","",INDEX(Raw_data!$D$2:$D$636,MATCH($K284,Model!$R$2:$R$636,0)))</f>
        <v/>
      </c>
      <c r="B284" s="11">
        <f>IF($K284="","",INDEX(Raw_data!$F$2:$F$636,MATCH($K284,Model!$R$2:$R$636,0)))</f>
        <v/>
      </c>
      <c r="C284">
        <f>IF($K284="","",HYPERLINK(INDEX(Raw_data!$C$2:$C$636,MATCH($K284,Model!$R$2:$R$636,0)),INDEX(Raw_data!$C$2:$C$636,MATCH($K284,Model!$R$2:$R$636,0))))</f>
        <v/>
      </c>
      <c r="D284">
        <f>IF($K284="","",INDEX(Raw_data!$AL$2:$AL$636,MATCH($K284,Model!$R$2:$R$636,0)))</f>
        <v/>
      </c>
      <c r="E284">
        <f>IF($K284="","",INDEX(Raw_data!$AM$2:$AM$636,MATCH($K284,Model!$R$2:$R$636,0)))</f>
        <v/>
      </c>
      <c r="F284">
        <f>IF($K284="","",INDEX(Raw_data!$AQ$2:$AQ$636,MATCH($K284,Model!$R$2:$R$636,0)))</f>
        <v/>
      </c>
      <c r="G284">
        <f>IF($K284="","",INDEX(Raw_data!$H$2:$H$636,MATCH($K284,Model!$R$2:$R$636,0)))</f>
        <v/>
      </c>
      <c r="H284" s="8">
        <f>IF($K284="","",INDEX(Model!$B$2:$B$636,MATCH($K284,Model!$R$2:$R$636,0)))</f>
        <v/>
      </c>
      <c r="I284" s="8">
        <f>IF($K284="","",INDEX(Model!$C$2:$C$636,MATCH($K284,Model!$R$2:$R$636,0)))</f>
        <v/>
      </c>
      <c r="J284">
        <f>IF($K284="","",INDEX(Model!$D$2:$D$636,MATCH($K284,Model!$R$2:$R$636,0)))</f>
        <v/>
      </c>
      <c r="K284">
        <f>IF(248&lt;=$E$5,LARGE(Model!$R$2:$R$636,248),"")</f>
        <v/>
      </c>
    </row>
    <row r="285">
      <c r="A285">
        <f>IF($K285="","",INDEX(Raw_data!$D$2:$D$636,MATCH($K285,Model!$R$2:$R$636,0)))</f>
        <v/>
      </c>
      <c r="B285" s="11">
        <f>IF($K285="","",INDEX(Raw_data!$F$2:$F$636,MATCH($K285,Model!$R$2:$R$636,0)))</f>
        <v/>
      </c>
      <c r="C285">
        <f>IF($K285="","",HYPERLINK(INDEX(Raw_data!$C$2:$C$636,MATCH($K285,Model!$R$2:$R$636,0)),INDEX(Raw_data!$C$2:$C$636,MATCH($K285,Model!$R$2:$R$636,0))))</f>
        <v/>
      </c>
      <c r="D285">
        <f>IF($K285="","",INDEX(Raw_data!$AL$2:$AL$636,MATCH($K285,Model!$R$2:$R$636,0)))</f>
        <v/>
      </c>
      <c r="E285">
        <f>IF($K285="","",INDEX(Raw_data!$AM$2:$AM$636,MATCH($K285,Model!$R$2:$R$636,0)))</f>
        <v/>
      </c>
      <c r="F285">
        <f>IF($K285="","",INDEX(Raw_data!$AQ$2:$AQ$636,MATCH($K285,Model!$R$2:$R$636,0)))</f>
        <v/>
      </c>
      <c r="G285">
        <f>IF($K285="","",INDEX(Raw_data!$H$2:$H$636,MATCH($K285,Model!$R$2:$R$636,0)))</f>
        <v/>
      </c>
      <c r="H285" s="8">
        <f>IF($K285="","",INDEX(Model!$B$2:$B$636,MATCH($K285,Model!$R$2:$R$636,0)))</f>
        <v/>
      </c>
      <c r="I285" s="8">
        <f>IF($K285="","",INDEX(Model!$C$2:$C$636,MATCH($K285,Model!$R$2:$R$636,0)))</f>
        <v/>
      </c>
      <c r="J285">
        <f>IF($K285="","",INDEX(Model!$D$2:$D$636,MATCH($K285,Model!$R$2:$R$636,0)))</f>
        <v/>
      </c>
      <c r="K285">
        <f>IF(249&lt;=$E$5,LARGE(Model!$R$2:$R$636,249),"")</f>
        <v/>
      </c>
    </row>
    <row r="286">
      <c r="A286">
        <f>IF($K286="","",INDEX(Raw_data!$D$2:$D$636,MATCH($K286,Model!$R$2:$R$636,0)))</f>
        <v/>
      </c>
      <c r="B286" s="11">
        <f>IF($K286="","",INDEX(Raw_data!$F$2:$F$636,MATCH($K286,Model!$R$2:$R$636,0)))</f>
        <v/>
      </c>
      <c r="C286">
        <f>IF($K286="","",HYPERLINK(INDEX(Raw_data!$C$2:$C$636,MATCH($K286,Model!$R$2:$R$636,0)),INDEX(Raw_data!$C$2:$C$636,MATCH($K286,Model!$R$2:$R$636,0))))</f>
        <v/>
      </c>
      <c r="D286">
        <f>IF($K286="","",INDEX(Raw_data!$AL$2:$AL$636,MATCH($K286,Model!$R$2:$R$636,0)))</f>
        <v/>
      </c>
      <c r="E286">
        <f>IF($K286="","",INDEX(Raw_data!$AM$2:$AM$636,MATCH($K286,Model!$R$2:$R$636,0)))</f>
        <v/>
      </c>
      <c r="F286">
        <f>IF($K286="","",INDEX(Raw_data!$AQ$2:$AQ$636,MATCH($K286,Model!$R$2:$R$636,0)))</f>
        <v/>
      </c>
      <c r="G286">
        <f>IF($K286="","",INDEX(Raw_data!$H$2:$H$636,MATCH($K286,Model!$R$2:$R$636,0)))</f>
        <v/>
      </c>
      <c r="H286" s="8">
        <f>IF($K286="","",INDEX(Model!$B$2:$B$636,MATCH($K286,Model!$R$2:$R$636,0)))</f>
        <v/>
      </c>
      <c r="I286" s="8">
        <f>IF($K286="","",INDEX(Model!$C$2:$C$636,MATCH($K286,Model!$R$2:$R$636,0)))</f>
        <v/>
      </c>
      <c r="J286">
        <f>IF($K286="","",INDEX(Model!$D$2:$D$636,MATCH($K286,Model!$R$2:$R$636,0)))</f>
        <v/>
      </c>
      <c r="K286">
        <f>IF(250&lt;=$E$5,LARGE(Model!$R$2:$R$636,250),"")</f>
        <v/>
      </c>
    </row>
    <row r="287">
      <c r="A287">
        <f>IF($K287="","",INDEX(Raw_data!$D$2:$D$636,MATCH($K287,Model!$R$2:$R$636,0)))</f>
        <v/>
      </c>
      <c r="B287" s="11">
        <f>IF($K287="","",INDEX(Raw_data!$F$2:$F$636,MATCH($K287,Model!$R$2:$R$636,0)))</f>
        <v/>
      </c>
      <c r="C287">
        <f>IF($K287="","",HYPERLINK(INDEX(Raw_data!$C$2:$C$636,MATCH($K287,Model!$R$2:$R$636,0)),INDEX(Raw_data!$C$2:$C$636,MATCH($K287,Model!$R$2:$R$636,0))))</f>
        <v/>
      </c>
      <c r="D287">
        <f>IF($K287="","",INDEX(Raw_data!$AL$2:$AL$636,MATCH($K287,Model!$R$2:$R$636,0)))</f>
        <v/>
      </c>
      <c r="E287">
        <f>IF($K287="","",INDEX(Raw_data!$AM$2:$AM$636,MATCH($K287,Model!$R$2:$R$636,0)))</f>
        <v/>
      </c>
      <c r="F287">
        <f>IF($K287="","",INDEX(Raw_data!$AQ$2:$AQ$636,MATCH($K287,Model!$R$2:$R$636,0)))</f>
        <v/>
      </c>
      <c r="G287">
        <f>IF($K287="","",INDEX(Raw_data!$H$2:$H$636,MATCH($K287,Model!$R$2:$R$636,0)))</f>
        <v/>
      </c>
      <c r="H287" s="8">
        <f>IF($K287="","",INDEX(Model!$B$2:$B$636,MATCH($K287,Model!$R$2:$R$636,0)))</f>
        <v/>
      </c>
      <c r="I287" s="8">
        <f>IF($K287="","",INDEX(Model!$C$2:$C$636,MATCH($K287,Model!$R$2:$R$636,0)))</f>
        <v/>
      </c>
      <c r="J287">
        <f>IF($K287="","",INDEX(Model!$D$2:$D$636,MATCH($K287,Model!$R$2:$R$636,0)))</f>
        <v/>
      </c>
      <c r="K287">
        <f>IF(251&lt;=$E$5,LARGE(Model!$R$2:$R$636,251),"")</f>
        <v/>
      </c>
    </row>
    <row r="288">
      <c r="A288">
        <f>IF($K288="","",INDEX(Raw_data!$D$2:$D$636,MATCH($K288,Model!$R$2:$R$636,0)))</f>
        <v/>
      </c>
      <c r="B288" s="11">
        <f>IF($K288="","",INDEX(Raw_data!$F$2:$F$636,MATCH($K288,Model!$R$2:$R$636,0)))</f>
        <v/>
      </c>
      <c r="C288">
        <f>IF($K288="","",HYPERLINK(INDEX(Raw_data!$C$2:$C$636,MATCH($K288,Model!$R$2:$R$636,0)),INDEX(Raw_data!$C$2:$C$636,MATCH($K288,Model!$R$2:$R$636,0))))</f>
        <v/>
      </c>
      <c r="D288">
        <f>IF($K288="","",INDEX(Raw_data!$AL$2:$AL$636,MATCH($K288,Model!$R$2:$R$636,0)))</f>
        <v/>
      </c>
      <c r="E288">
        <f>IF($K288="","",INDEX(Raw_data!$AM$2:$AM$636,MATCH($K288,Model!$R$2:$R$636,0)))</f>
        <v/>
      </c>
      <c r="F288">
        <f>IF($K288="","",INDEX(Raw_data!$AQ$2:$AQ$636,MATCH($K288,Model!$R$2:$R$636,0)))</f>
        <v/>
      </c>
      <c r="G288">
        <f>IF($K288="","",INDEX(Raw_data!$H$2:$H$636,MATCH($K288,Model!$R$2:$R$636,0)))</f>
        <v/>
      </c>
      <c r="H288" s="8">
        <f>IF($K288="","",INDEX(Model!$B$2:$B$636,MATCH($K288,Model!$R$2:$R$636,0)))</f>
        <v/>
      </c>
      <c r="I288" s="8">
        <f>IF($K288="","",INDEX(Model!$C$2:$C$636,MATCH($K288,Model!$R$2:$R$636,0)))</f>
        <v/>
      </c>
      <c r="J288">
        <f>IF($K288="","",INDEX(Model!$D$2:$D$636,MATCH($K288,Model!$R$2:$R$636,0)))</f>
        <v/>
      </c>
      <c r="K288">
        <f>IF(252&lt;=$E$5,LARGE(Model!$R$2:$R$636,252),"")</f>
        <v/>
      </c>
    </row>
    <row r="289">
      <c r="A289">
        <f>IF($K289="","",INDEX(Raw_data!$D$2:$D$636,MATCH($K289,Model!$R$2:$R$636,0)))</f>
        <v/>
      </c>
      <c r="B289" s="11">
        <f>IF($K289="","",INDEX(Raw_data!$F$2:$F$636,MATCH($K289,Model!$R$2:$R$636,0)))</f>
        <v/>
      </c>
      <c r="C289">
        <f>IF($K289="","",HYPERLINK(INDEX(Raw_data!$C$2:$C$636,MATCH($K289,Model!$R$2:$R$636,0)),INDEX(Raw_data!$C$2:$C$636,MATCH($K289,Model!$R$2:$R$636,0))))</f>
        <v/>
      </c>
      <c r="D289">
        <f>IF($K289="","",INDEX(Raw_data!$AL$2:$AL$636,MATCH($K289,Model!$R$2:$R$636,0)))</f>
        <v/>
      </c>
      <c r="E289">
        <f>IF($K289="","",INDEX(Raw_data!$AM$2:$AM$636,MATCH($K289,Model!$R$2:$R$636,0)))</f>
        <v/>
      </c>
      <c r="F289">
        <f>IF($K289="","",INDEX(Raw_data!$AQ$2:$AQ$636,MATCH($K289,Model!$R$2:$R$636,0)))</f>
        <v/>
      </c>
      <c r="G289">
        <f>IF($K289="","",INDEX(Raw_data!$H$2:$H$636,MATCH($K289,Model!$R$2:$R$636,0)))</f>
        <v/>
      </c>
      <c r="H289" s="8">
        <f>IF($K289="","",INDEX(Model!$B$2:$B$636,MATCH($K289,Model!$R$2:$R$636,0)))</f>
        <v/>
      </c>
      <c r="I289" s="8">
        <f>IF($K289="","",INDEX(Model!$C$2:$C$636,MATCH($K289,Model!$R$2:$R$636,0)))</f>
        <v/>
      </c>
      <c r="J289">
        <f>IF($K289="","",INDEX(Model!$D$2:$D$636,MATCH($K289,Model!$R$2:$R$636,0)))</f>
        <v/>
      </c>
      <c r="K289">
        <f>IF(253&lt;=$E$5,LARGE(Model!$R$2:$R$636,253),"")</f>
        <v/>
      </c>
    </row>
    <row r="290">
      <c r="A290">
        <f>IF($K290="","",INDEX(Raw_data!$D$2:$D$636,MATCH($K290,Model!$R$2:$R$636,0)))</f>
        <v/>
      </c>
      <c r="B290" s="11">
        <f>IF($K290="","",INDEX(Raw_data!$F$2:$F$636,MATCH($K290,Model!$R$2:$R$636,0)))</f>
        <v/>
      </c>
      <c r="C290">
        <f>IF($K290="","",HYPERLINK(INDEX(Raw_data!$C$2:$C$636,MATCH($K290,Model!$R$2:$R$636,0)),INDEX(Raw_data!$C$2:$C$636,MATCH($K290,Model!$R$2:$R$636,0))))</f>
        <v/>
      </c>
      <c r="D290">
        <f>IF($K290="","",INDEX(Raw_data!$AL$2:$AL$636,MATCH($K290,Model!$R$2:$R$636,0)))</f>
        <v/>
      </c>
      <c r="E290">
        <f>IF($K290="","",INDEX(Raw_data!$AM$2:$AM$636,MATCH($K290,Model!$R$2:$R$636,0)))</f>
        <v/>
      </c>
      <c r="F290">
        <f>IF($K290="","",INDEX(Raw_data!$AQ$2:$AQ$636,MATCH($K290,Model!$R$2:$R$636,0)))</f>
        <v/>
      </c>
      <c r="G290">
        <f>IF($K290="","",INDEX(Raw_data!$H$2:$H$636,MATCH($K290,Model!$R$2:$R$636,0)))</f>
        <v/>
      </c>
      <c r="H290" s="8">
        <f>IF($K290="","",INDEX(Model!$B$2:$B$636,MATCH($K290,Model!$R$2:$R$636,0)))</f>
        <v/>
      </c>
      <c r="I290" s="8">
        <f>IF($K290="","",INDEX(Model!$C$2:$C$636,MATCH($K290,Model!$R$2:$R$636,0)))</f>
        <v/>
      </c>
      <c r="J290">
        <f>IF($K290="","",INDEX(Model!$D$2:$D$636,MATCH($K290,Model!$R$2:$R$636,0)))</f>
        <v/>
      </c>
      <c r="K290">
        <f>IF(254&lt;=$E$5,LARGE(Model!$R$2:$R$636,254),"")</f>
        <v/>
      </c>
    </row>
    <row r="291">
      <c r="A291">
        <f>IF($K291="","",INDEX(Raw_data!$D$2:$D$636,MATCH($K291,Model!$R$2:$R$636,0)))</f>
        <v/>
      </c>
      <c r="B291" s="11">
        <f>IF($K291="","",INDEX(Raw_data!$F$2:$F$636,MATCH($K291,Model!$R$2:$R$636,0)))</f>
        <v/>
      </c>
      <c r="C291">
        <f>IF($K291="","",HYPERLINK(INDEX(Raw_data!$C$2:$C$636,MATCH($K291,Model!$R$2:$R$636,0)),INDEX(Raw_data!$C$2:$C$636,MATCH($K291,Model!$R$2:$R$636,0))))</f>
        <v/>
      </c>
      <c r="D291">
        <f>IF($K291="","",INDEX(Raw_data!$AL$2:$AL$636,MATCH($K291,Model!$R$2:$R$636,0)))</f>
        <v/>
      </c>
      <c r="E291">
        <f>IF($K291="","",INDEX(Raw_data!$AM$2:$AM$636,MATCH($K291,Model!$R$2:$R$636,0)))</f>
        <v/>
      </c>
      <c r="F291">
        <f>IF($K291="","",INDEX(Raw_data!$AQ$2:$AQ$636,MATCH($K291,Model!$R$2:$R$636,0)))</f>
        <v/>
      </c>
      <c r="G291">
        <f>IF($K291="","",INDEX(Raw_data!$H$2:$H$636,MATCH($K291,Model!$R$2:$R$636,0)))</f>
        <v/>
      </c>
      <c r="H291" s="8">
        <f>IF($K291="","",INDEX(Model!$B$2:$B$636,MATCH($K291,Model!$R$2:$R$636,0)))</f>
        <v/>
      </c>
      <c r="I291" s="8">
        <f>IF($K291="","",INDEX(Model!$C$2:$C$636,MATCH($K291,Model!$R$2:$R$636,0)))</f>
        <v/>
      </c>
      <c r="J291">
        <f>IF($K291="","",INDEX(Model!$D$2:$D$636,MATCH($K291,Model!$R$2:$R$636,0)))</f>
        <v/>
      </c>
      <c r="K291">
        <f>IF(255&lt;=$E$5,LARGE(Model!$R$2:$R$636,255),"")</f>
        <v/>
      </c>
    </row>
    <row r="292">
      <c r="A292">
        <f>IF($K292="","",INDEX(Raw_data!$D$2:$D$636,MATCH($K292,Model!$R$2:$R$636,0)))</f>
        <v/>
      </c>
      <c r="B292" s="11">
        <f>IF($K292="","",INDEX(Raw_data!$F$2:$F$636,MATCH($K292,Model!$R$2:$R$636,0)))</f>
        <v/>
      </c>
      <c r="C292">
        <f>IF($K292="","",HYPERLINK(INDEX(Raw_data!$C$2:$C$636,MATCH($K292,Model!$R$2:$R$636,0)),INDEX(Raw_data!$C$2:$C$636,MATCH($K292,Model!$R$2:$R$636,0))))</f>
        <v/>
      </c>
      <c r="D292">
        <f>IF($K292="","",INDEX(Raw_data!$AL$2:$AL$636,MATCH($K292,Model!$R$2:$R$636,0)))</f>
        <v/>
      </c>
      <c r="E292">
        <f>IF($K292="","",INDEX(Raw_data!$AM$2:$AM$636,MATCH($K292,Model!$R$2:$R$636,0)))</f>
        <v/>
      </c>
      <c r="F292">
        <f>IF($K292="","",INDEX(Raw_data!$AQ$2:$AQ$636,MATCH($K292,Model!$R$2:$R$636,0)))</f>
        <v/>
      </c>
      <c r="G292">
        <f>IF($K292="","",INDEX(Raw_data!$H$2:$H$636,MATCH($K292,Model!$R$2:$R$636,0)))</f>
        <v/>
      </c>
      <c r="H292" s="8">
        <f>IF($K292="","",INDEX(Model!$B$2:$B$636,MATCH($K292,Model!$R$2:$R$636,0)))</f>
        <v/>
      </c>
      <c r="I292" s="8">
        <f>IF($K292="","",INDEX(Model!$C$2:$C$636,MATCH($K292,Model!$R$2:$R$636,0)))</f>
        <v/>
      </c>
      <c r="J292">
        <f>IF($K292="","",INDEX(Model!$D$2:$D$636,MATCH($K292,Model!$R$2:$R$636,0)))</f>
        <v/>
      </c>
      <c r="K292">
        <f>IF(256&lt;=$E$5,LARGE(Model!$R$2:$R$636,256),"")</f>
        <v/>
      </c>
    </row>
    <row r="293">
      <c r="A293">
        <f>IF($K293="","",INDEX(Raw_data!$D$2:$D$636,MATCH($K293,Model!$R$2:$R$636,0)))</f>
        <v/>
      </c>
      <c r="B293" s="11">
        <f>IF($K293="","",INDEX(Raw_data!$F$2:$F$636,MATCH($K293,Model!$R$2:$R$636,0)))</f>
        <v/>
      </c>
      <c r="C293">
        <f>IF($K293="","",HYPERLINK(INDEX(Raw_data!$C$2:$C$636,MATCH($K293,Model!$R$2:$R$636,0)),INDEX(Raw_data!$C$2:$C$636,MATCH($K293,Model!$R$2:$R$636,0))))</f>
        <v/>
      </c>
      <c r="D293">
        <f>IF($K293="","",INDEX(Raw_data!$AL$2:$AL$636,MATCH($K293,Model!$R$2:$R$636,0)))</f>
        <v/>
      </c>
      <c r="E293">
        <f>IF($K293="","",INDEX(Raw_data!$AM$2:$AM$636,MATCH($K293,Model!$R$2:$R$636,0)))</f>
        <v/>
      </c>
      <c r="F293">
        <f>IF($K293="","",INDEX(Raw_data!$AQ$2:$AQ$636,MATCH($K293,Model!$R$2:$R$636,0)))</f>
        <v/>
      </c>
      <c r="G293">
        <f>IF($K293="","",INDEX(Raw_data!$H$2:$H$636,MATCH($K293,Model!$R$2:$R$636,0)))</f>
        <v/>
      </c>
      <c r="H293" s="8">
        <f>IF($K293="","",INDEX(Model!$B$2:$B$636,MATCH($K293,Model!$R$2:$R$636,0)))</f>
        <v/>
      </c>
      <c r="I293" s="8">
        <f>IF($K293="","",INDEX(Model!$C$2:$C$636,MATCH($K293,Model!$R$2:$R$636,0)))</f>
        <v/>
      </c>
      <c r="J293">
        <f>IF($K293="","",INDEX(Model!$D$2:$D$636,MATCH($K293,Model!$R$2:$R$636,0)))</f>
        <v/>
      </c>
      <c r="K293">
        <f>IF(257&lt;=$E$5,LARGE(Model!$R$2:$R$636,257),"")</f>
        <v/>
      </c>
    </row>
    <row r="294">
      <c r="A294">
        <f>IF($K294="","",INDEX(Raw_data!$D$2:$D$636,MATCH($K294,Model!$R$2:$R$636,0)))</f>
        <v/>
      </c>
      <c r="B294" s="11">
        <f>IF($K294="","",INDEX(Raw_data!$F$2:$F$636,MATCH($K294,Model!$R$2:$R$636,0)))</f>
        <v/>
      </c>
      <c r="C294">
        <f>IF($K294="","",HYPERLINK(INDEX(Raw_data!$C$2:$C$636,MATCH($K294,Model!$R$2:$R$636,0)),INDEX(Raw_data!$C$2:$C$636,MATCH($K294,Model!$R$2:$R$636,0))))</f>
        <v/>
      </c>
      <c r="D294">
        <f>IF($K294="","",INDEX(Raw_data!$AL$2:$AL$636,MATCH($K294,Model!$R$2:$R$636,0)))</f>
        <v/>
      </c>
      <c r="E294">
        <f>IF($K294="","",INDEX(Raw_data!$AM$2:$AM$636,MATCH($K294,Model!$R$2:$R$636,0)))</f>
        <v/>
      </c>
      <c r="F294">
        <f>IF($K294="","",INDEX(Raw_data!$AQ$2:$AQ$636,MATCH($K294,Model!$R$2:$R$636,0)))</f>
        <v/>
      </c>
      <c r="G294">
        <f>IF($K294="","",INDEX(Raw_data!$H$2:$H$636,MATCH($K294,Model!$R$2:$R$636,0)))</f>
        <v/>
      </c>
      <c r="H294" s="8">
        <f>IF($K294="","",INDEX(Model!$B$2:$B$636,MATCH($K294,Model!$R$2:$R$636,0)))</f>
        <v/>
      </c>
      <c r="I294" s="8">
        <f>IF($K294="","",INDEX(Model!$C$2:$C$636,MATCH($K294,Model!$R$2:$R$636,0)))</f>
        <v/>
      </c>
      <c r="J294">
        <f>IF($K294="","",INDEX(Model!$D$2:$D$636,MATCH($K294,Model!$R$2:$R$636,0)))</f>
        <v/>
      </c>
      <c r="K294">
        <f>IF(258&lt;=$E$5,LARGE(Model!$R$2:$R$636,258),"")</f>
        <v/>
      </c>
    </row>
    <row r="295">
      <c r="A295">
        <f>IF($K295="","",INDEX(Raw_data!$D$2:$D$636,MATCH($K295,Model!$R$2:$R$636,0)))</f>
        <v/>
      </c>
      <c r="B295" s="11">
        <f>IF($K295="","",INDEX(Raw_data!$F$2:$F$636,MATCH($K295,Model!$R$2:$R$636,0)))</f>
        <v/>
      </c>
      <c r="C295">
        <f>IF($K295="","",HYPERLINK(INDEX(Raw_data!$C$2:$C$636,MATCH($K295,Model!$R$2:$R$636,0)),INDEX(Raw_data!$C$2:$C$636,MATCH($K295,Model!$R$2:$R$636,0))))</f>
        <v/>
      </c>
      <c r="D295">
        <f>IF($K295="","",INDEX(Raw_data!$AL$2:$AL$636,MATCH($K295,Model!$R$2:$R$636,0)))</f>
        <v/>
      </c>
      <c r="E295">
        <f>IF($K295="","",INDEX(Raw_data!$AM$2:$AM$636,MATCH($K295,Model!$R$2:$R$636,0)))</f>
        <v/>
      </c>
      <c r="F295">
        <f>IF($K295="","",INDEX(Raw_data!$AQ$2:$AQ$636,MATCH($K295,Model!$R$2:$R$636,0)))</f>
        <v/>
      </c>
      <c r="G295">
        <f>IF($K295="","",INDEX(Raw_data!$H$2:$H$636,MATCH($K295,Model!$R$2:$R$636,0)))</f>
        <v/>
      </c>
      <c r="H295" s="8">
        <f>IF($K295="","",INDEX(Model!$B$2:$B$636,MATCH($K295,Model!$R$2:$R$636,0)))</f>
        <v/>
      </c>
      <c r="I295" s="8">
        <f>IF($K295="","",INDEX(Model!$C$2:$C$636,MATCH($K295,Model!$R$2:$R$636,0)))</f>
        <v/>
      </c>
      <c r="J295">
        <f>IF($K295="","",INDEX(Model!$D$2:$D$636,MATCH($K295,Model!$R$2:$R$636,0)))</f>
        <v/>
      </c>
      <c r="K295">
        <f>IF(259&lt;=$E$5,LARGE(Model!$R$2:$R$636,259),"")</f>
        <v/>
      </c>
    </row>
    <row r="296">
      <c r="A296">
        <f>IF($K296="","",INDEX(Raw_data!$D$2:$D$636,MATCH($K296,Model!$R$2:$R$636,0)))</f>
        <v/>
      </c>
      <c r="B296" s="11">
        <f>IF($K296="","",INDEX(Raw_data!$F$2:$F$636,MATCH($K296,Model!$R$2:$R$636,0)))</f>
        <v/>
      </c>
      <c r="C296">
        <f>IF($K296="","",HYPERLINK(INDEX(Raw_data!$C$2:$C$636,MATCH($K296,Model!$R$2:$R$636,0)),INDEX(Raw_data!$C$2:$C$636,MATCH($K296,Model!$R$2:$R$636,0))))</f>
        <v/>
      </c>
      <c r="D296">
        <f>IF($K296="","",INDEX(Raw_data!$AL$2:$AL$636,MATCH($K296,Model!$R$2:$R$636,0)))</f>
        <v/>
      </c>
      <c r="E296">
        <f>IF($K296="","",INDEX(Raw_data!$AM$2:$AM$636,MATCH($K296,Model!$R$2:$R$636,0)))</f>
        <v/>
      </c>
      <c r="F296">
        <f>IF($K296="","",INDEX(Raw_data!$AQ$2:$AQ$636,MATCH($K296,Model!$R$2:$R$636,0)))</f>
        <v/>
      </c>
      <c r="G296">
        <f>IF($K296="","",INDEX(Raw_data!$H$2:$H$636,MATCH($K296,Model!$R$2:$R$636,0)))</f>
        <v/>
      </c>
      <c r="H296" s="8">
        <f>IF($K296="","",INDEX(Model!$B$2:$B$636,MATCH($K296,Model!$R$2:$R$636,0)))</f>
        <v/>
      </c>
      <c r="I296" s="8">
        <f>IF($K296="","",INDEX(Model!$C$2:$C$636,MATCH($K296,Model!$R$2:$R$636,0)))</f>
        <v/>
      </c>
      <c r="J296">
        <f>IF($K296="","",INDEX(Model!$D$2:$D$636,MATCH($K296,Model!$R$2:$R$636,0)))</f>
        <v/>
      </c>
      <c r="K296">
        <f>IF(260&lt;=$E$5,LARGE(Model!$R$2:$R$636,260),"")</f>
        <v/>
      </c>
    </row>
    <row r="297">
      <c r="A297">
        <f>IF($K297="","",INDEX(Raw_data!$D$2:$D$636,MATCH($K297,Model!$R$2:$R$636,0)))</f>
        <v/>
      </c>
      <c r="B297" s="11">
        <f>IF($K297="","",INDEX(Raw_data!$F$2:$F$636,MATCH($K297,Model!$R$2:$R$636,0)))</f>
        <v/>
      </c>
      <c r="C297">
        <f>IF($K297="","",HYPERLINK(INDEX(Raw_data!$C$2:$C$636,MATCH($K297,Model!$R$2:$R$636,0)),INDEX(Raw_data!$C$2:$C$636,MATCH($K297,Model!$R$2:$R$636,0))))</f>
        <v/>
      </c>
      <c r="D297">
        <f>IF($K297="","",INDEX(Raw_data!$AL$2:$AL$636,MATCH($K297,Model!$R$2:$R$636,0)))</f>
        <v/>
      </c>
      <c r="E297">
        <f>IF($K297="","",INDEX(Raw_data!$AM$2:$AM$636,MATCH($K297,Model!$R$2:$R$636,0)))</f>
        <v/>
      </c>
      <c r="F297">
        <f>IF($K297="","",INDEX(Raw_data!$AQ$2:$AQ$636,MATCH($K297,Model!$R$2:$R$636,0)))</f>
        <v/>
      </c>
      <c r="G297">
        <f>IF($K297="","",INDEX(Raw_data!$H$2:$H$636,MATCH($K297,Model!$R$2:$R$636,0)))</f>
        <v/>
      </c>
      <c r="H297" s="8">
        <f>IF($K297="","",INDEX(Model!$B$2:$B$636,MATCH($K297,Model!$R$2:$R$636,0)))</f>
        <v/>
      </c>
      <c r="I297" s="8">
        <f>IF($K297="","",INDEX(Model!$C$2:$C$636,MATCH($K297,Model!$R$2:$R$636,0)))</f>
        <v/>
      </c>
      <c r="J297">
        <f>IF($K297="","",INDEX(Model!$D$2:$D$636,MATCH($K297,Model!$R$2:$R$636,0)))</f>
        <v/>
      </c>
      <c r="K297">
        <f>IF(261&lt;=$E$5,LARGE(Model!$R$2:$R$636,261),"")</f>
        <v/>
      </c>
    </row>
    <row r="298">
      <c r="A298">
        <f>IF($K298="","",INDEX(Raw_data!$D$2:$D$636,MATCH($K298,Model!$R$2:$R$636,0)))</f>
        <v/>
      </c>
      <c r="B298" s="11">
        <f>IF($K298="","",INDEX(Raw_data!$F$2:$F$636,MATCH($K298,Model!$R$2:$R$636,0)))</f>
        <v/>
      </c>
      <c r="C298">
        <f>IF($K298="","",HYPERLINK(INDEX(Raw_data!$C$2:$C$636,MATCH($K298,Model!$R$2:$R$636,0)),INDEX(Raw_data!$C$2:$C$636,MATCH($K298,Model!$R$2:$R$636,0))))</f>
        <v/>
      </c>
      <c r="D298">
        <f>IF($K298="","",INDEX(Raw_data!$AL$2:$AL$636,MATCH($K298,Model!$R$2:$R$636,0)))</f>
        <v/>
      </c>
      <c r="E298">
        <f>IF($K298="","",INDEX(Raw_data!$AM$2:$AM$636,MATCH($K298,Model!$R$2:$R$636,0)))</f>
        <v/>
      </c>
      <c r="F298">
        <f>IF($K298="","",INDEX(Raw_data!$AQ$2:$AQ$636,MATCH($K298,Model!$R$2:$R$636,0)))</f>
        <v/>
      </c>
      <c r="G298">
        <f>IF($K298="","",INDEX(Raw_data!$H$2:$H$636,MATCH($K298,Model!$R$2:$R$636,0)))</f>
        <v/>
      </c>
      <c r="H298" s="8">
        <f>IF($K298="","",INDEX(Model!$B$2:$B$636,MATCH($K298,Model!$R$2:$R$636,0)))</f>
        <v/>
      </c>
      <c r="I298" s="8">
        <f>IF($K298="","",INDEX(Model!$C$2:$C$636,MATCH($K298,Model!$R$2:$R$636,0)))</f>
        <v/>
      </c>
      <c r="J298">
        <f>IF($K298="","",INDEX(Model!$D$2:$D$636,MATCH($K298,Model!$R$2:$R$636,0)))</f>
        <v/>
      </c>
      <c r="K298">
        <f>IF(262&lt;=$E$5,LARGE(Model!$R$2:$R$636,262),"")</f>
        <v/>
      </c>
    </row>
    <row r="299">
      <c r="A299">
        <f>IF($K299="","",INDEX(Raw_data!$D$2:$D$636,MATCH($K299,Model!$R$2:$R$636,0)))</f>
        <v/>
      </c>
      <c r="B299" s="11">
        <f>IF($K299="","",INDEX(Raw_data!$F$2:$F$636,MATCH($K299,Model!$R$2:$R$636,0)))</f>
        <v/>
      </c>
      <c r="C299">
        <f>IF($K299="","",HYPERLINK(INDEX(Raw_data!$C$2:$C$636,MATCH($K299,Model!$R$2:$R$636,0)),INDEX(Raw_data!$C$2:$C$636,MATCH($K299,Model!$R$2:$R$636,0))))</f>
        <v/>
      </c>
      <c r="D299">
        <f>IF($K299="","",INDEX(Raw_data!$AL$2:$AL$636,MATCH($K299,Model!$R$2:$R$636,0)))</f>
        <v/>
      </c>
      <c r="E299">
        <f>IF($K299="","",INDEX(Raw_data!$AM$2:$AM$636,MATCH($K299,Model!$R$2:$R$636,0)))</f>
        <v/>
      </c>
      <c r="F299">
        <f>IF($K299="","",INDEX(Raw_data!$AQ$2:$AQ$636,MATCH($K299,Model!$R$2:$R$636,0)))</f>
        <v/>
      </c>
      <c r="G299">
        <f>IF($K299="","",INDEX(Raw_data!$H$2:$H$636,MATCH($K299,Model!$R$2:$R$636,0)))</f>
        <v/>
      </c>
      <c r="H299" s="8">
        <f>IF($K299="","",INDEX(Model!$B$2:$B$636,MATCH($K299,Model!$R$2:$R$636,0)))</f>
        <v/>
      </c>
      <c r="I299" s="8">
        <f>IF($K299="","",INDEX(Model!$C$2:$C$636,MATCH($K299,Model!$R$2:$R$636,0)))</f>
        <v/>
      </c>
      <c r="J299">
        <f>IF($K299="","",INDEX(Model!$D$2:$D$636,MATCH($K299,Model!$R$2:$R$636,0)))</f>
        <v/>
      </c>
      <c r="K299">
        <f>IF(263&lt;=$E$5,LARGE(Model!$R$2:$R$636,263),"")</f>
        <v/>
      </c>
    </row>
    <row r="300">
      <c r="A300">
        <f>IF($K300="","",INDEX(Raw_data!$D$2:$D$636,MATCH($K300,Model!$R$2:$R$636,0)))</f>
        <v/>
      </c>
      <c r="B300" s="11">
        <f>IF($K300="","",INDEX(Raw_data!$F$2:$F$636,MATCH($K300,Model!$R$2:$R$636,0)))</f>
        <v/>
      </c>
      <c r="C300">
        <f>IF($K300="","",HYPERLINK(INDEX(Raw_data!$C$2:$C$636,MATCH($K300,Model!$R$2:$R$636,0)),INDEX(Raw_data!$C$2:$C$636,MATCH($K300,Model!$R$2:$R$636,0))))</f>
        <v/>
      </c>
      <c r="D300">
        <f>IF($K300="","",INDEX(Raw_data!$AL$2:$AL$636,MATCH($K300,Model!$R$2:$R$636,0)))</f>
        <v/>
      </c>
      <c r="E300">
        <f>IF($K300="","",INDEX(Raw_data!$AM$2:$AM$636,MATCH($K300,Model!$R$2:$R$636,0)))</f>
        <v/>
      </c>
      <c r="F300">
        <f>IF($K300="","",INDEX(Raw_data!$AQ$2:$AQ$636,MATCH($K300,Model!$R$2:$R$636,0)))</f>
        <v/>
      </c>
      <c r="G300">
        <f>IF($K300="","",INDEX(Raw_data!$H$2:$H$636,MATCH($K300,Model!$R$2:$R$636,0)))</f>
        <v/>
      </c>
      <c r="H300" s="8">
        <f>IF($K300="","",INDEX(Model!$B$2:$B$636,MATCH($K300,Model!$R$2:$R$636,0)))</f>
        <v/>
      </c>
      <c r="I300" s="8">
        <f>IF($K300="","",INDEX(Model!$C$2:$C$636,MATCH($K300,Model!$R$2:$R$636,0)))</f>
        <v/>
      </c>
      <c r="J300">
        <f>IF($K300="","",INDEX(Model!$D$2:$D$636,MATCH($K300,Model!$R$2:$R$636,0)))</f>
        <v/>
      </c>
      <c r="K300">
        <f>IF(264&lt;=$E$5,LARGE(Model!$R$2:$R$636,264),"")</f>
        <v/>
      </c>
    </row>
    <row r="301">
      <c r="A301">
        <f>IF($K301="","",INDEX(Raw_data!$D$2:$D$636,MATCH($K301,Model!$R$2:$R$636,0)))</f>
        <v/>
      </c>
      <c r="B301" s="11">
        <f>IF($K301="","",INDEX(Raw_data!$F$2:$F$636,MATCH($K301,Model!$R$2:$R$636,0)))</f>
        <v/>
      </c>
      <c r="C301">
        <f>IF($K301="","",HYPERLINK(INDEX(Raw_data!$C$2:$C$636,MATCH($K301,Model!$R$2:$R$636,0)),INDEX(Raw_data!$C$2:$C$636,MATCH($K301,Model!$R$2:$R$636,0))))</f>
        <v/>
      </c>
      <c r="D301">
        <f>IF($K301="","",INDEX(Raw_data!$AL$2:$AL$636,MATCH($K301,Model!$R$2:$R$636,0)))</f>
        <v/>
      </c>
      <c r="E301">
        <f>IF($K301="","",INDEX(Raw_data!$AM$2:$AM$636,MATCH($K301,Model!$R$2:$R$636,0)))</f>
        <v/>
      </c>
      <c r="F301">
        <f>IF($K301="","",INDEX(Raw_data!$AQ$2:$AQ$636,MATCH($K301,Model!$R$2:$R$636,0)))</f>
        <v/>
      </c>
      <c r="G301">
        <f>IF($K301="","",INDEX(Raw_data!$H$2:$H$636,MATCH($K301,Model!$R$2:$R$636,0)))</f>
        <v/>
      </c>
      <c r="H301" s="8">
        <f>IF($K301="","",INDEX(Model!$B$2:$B$636,MATCH($K301,Model!$R$2:$R$636,0)))</f>
        <v/>
      </c>
      <c r="I301" s="8">
        <f>IF($K301="","",INDEX(Model!$C$2:$C$636,MATCH($K301,Model!$R$2:$R$636,0)))</f>
        <v/>
      </c>
      <c r="J301">
        <f>IF($K301="","",INDEX(Model!$D$2:$D$636,MATCH($K301,Model!$R$2:$R$636,0)))</f>
        <v/>
      </c>
      <c r="K301">
        <f>IF(265&lt;=$E$5,LARGE(Model!$R$2:$R$636,265),"")</f>
        <v/>
      </c>
    </row>
    <row r="302">
      <c r="A302">
        <f>IF($K302="","",INDEX(Raw_data!$D$2:$D$636,MATCH($K302,Model!$R$2:$R$636,0)))</f>
        <v/>
      </c>
      <c r="B302" s="11">
        <f>IF($K302="","",INDEX(Raw_data!$F$2:$F$636,MATCH($K302,Model!$R$2:$R$636,0)))</f>
        <v/>
      </c>
      <c r="C302">
        <f>IF($K302="","",HYPERLINK(INDEX(Raw_data!$C$2:$C$636,MATCH($K302,Model!$R$2:$R$636,0)),INDEX(Raw_data!$C$2:$C$636,MATCH($K302,Model!$R$2:$R$636,0))))</f>
        <v/>
      </c>
      <c r="D302">
        <f>IF($K302="","",INDEX(Raw_data!$AL$2:$AL$636,MATCH($K302,Model!$R$2:$R$636,0)))</f>
        <v/>
      </c>
      <c r="E302">
        <f>IF($K302="","",INDEX(Raw_data!$AM$2:$AM$636,MATCH($K302,Model!$R$2:$R$636,0)))</f>
        <v/>
      </c>
      <c r="F302">
        <f>IF($K302="","",INDEX(Raw_data!$AQ$2:$AQ$636,MATCH($K302,Model!$R$2:$R$636,0)))</f>
        <v/>
      </c>
      <c r="G302">
        <f>IF($K302="","",INDEX(Raw_data!$H$2:$H$636,MATCH($K302,Model!$R$2:$R$636,0)))</f>
        <v/>
      </c>
      <c r="H302" s="8">
        <f>IF($K302="","",INDEX(Model!$B$2:$B$636,MATCH($K302,Model!$R$2:$R$636,0)))</f>
        <v/>
      </c>
      <c r="I302" s="8">
        <f>IF($K302="","",INDEX(Model!$C$2:$C$636,MATCH($K302,Model!$R$2:$R$636,0)))</f>
        <v/>
      </c>
      <c r="J302">
        <f>IF($K302="","",INDEX(Model!$D$2:$D$636,MATCH($K302,Model!$R$2:$R$636,0)))</f>
        <v/>
      </c>
      <c r="K302">
        <f>IF(266&lt;=$E$5,LARGE(Model!$R$2:$R$636,266),"")</f>
        <v/>
      </c>
    </row>
    <row r="303">
      <c r="A303">
        <f>IF($K303="","",INDEX(Raw_data!$D$2:$D$636,MATCH($K303,Model!$R$2:$R$636,0)))</f>
        <v/>
      </c>
      <c r="B303" s="11">
        <f>IF($K303="","",INDEX(Raw_data!$F$2:$F$636,MATCH($K303,Model!$R$2:$R$636,0)))</f>
        <v/>
      </c>
      <c r="C303">
        <f>IF($K303="","",HYPERLINK(INDEX(Raw_data!$C$2:$C$636,MATCH($K303,Model!$R$2:$R$636,0)),INDEX(Raw_data!$C$2:$C$636,MATCH($K303,Model!$R$2:$R$636,0))))</f>
        <v/>
      </c>
      <c r="D303">
        <f>IF($K303="","",INDEX(Raw_data!$AL$2:$AL$636,MATCH($K303,Model!$R$2:$R$636,0)))</f>
        <v/>
      </c>
      <c r="E303">
        <f>IF($K303="","",INDEX(Raw_data!$AM$2:$AM$636,MATCH($K303,Model!$R$2:$R$636,0)))</f>
        <v/>
      </c>
      <c r="F303">
        <f>IF($K303="","",INDEX(Raw_data!$AQ$2:$AQ$636,MATCH($K303,Model!$R$2:$R$636,0)))</f>
        <v/>
      </c>
      <c r="G303">
        <f>IF($K303="","",INDEX(Raw_data!$H$2:$H$636,MATCH($K303,Model!$R$2:$R$636,0)))</f>
        <v/>
      </c>
      <c r="H303" s="8">
        <f>IF($K303="","",INDEX(Model!$B$2:$B$636,MATCH($K303,Model!$R$2:$R$636,0)))</f>
        <v/>
      </c>
      <c r="I303" s="8">
        <f>IF($K303="","",INDEX(Model!$C$2:$C$636,MATCH($K303,Model!$R$2:$R$636,0)))</f>
        <v/>
      </c>
      <c r="J303">
        <f>IF($K303="","",INDEX(Model!$D$2:$D$636,MATCH($K303,Model!$R$2:$R$636,0)))</f>
        <v/>
      </c>
      <c r="K303">
        <f>IF(267&lt;=$E$5,LARGE(Model!$R$2:$R$636,267),"")</f>
        <v/>
      </c>
    </row>
    <row r="304">
      <c r="A304">
        <f>IF($K304="","",INDEX(Raw_data!$D$2:$D$636,MATCH($K304,Model!$R$2:$R$636,0)))</f>
        <v/>
      </c>
      <c r="B304" s="11">
        <f>IF($K304="","",INDEX(Raw_data!$F$2:$F$636,MATCH($K304,Model!$R$2:$R$636,0)))</f>
        <v/>
      </c>
      <c r="C304">
        <f>IF($K304="","",HYPERLINK(INDEX(Raw_data!$C$2:$C$636,MATCH($K304,Model!$R$2:$R$636,0)),INDEX(Raw_data!$C$2:$C$636,MATCH($K304,Model!$R$2:$R$636,0))))</f>
        <v/>
      </c>
      <c r="D304">
        <f>IF($K304="","",INDEX(Raw_data!$AL$2:$AL$636,MATCH($K304,Model!$R$2:$R$636,0)))</f>
        <v/>
      </c>
      <c r="E304">
        <f>IF($K304="","",INDEX(Raw_data!$AM$2:$AM$636,MATCH($K304,Model!$R$2:$R$636,0)))</f>
        <v/>
      </c>
      <c r="F304">
        <f>IF($K304="","",INDEX(Raw_data!$AQ$2:$AQ$636,MATCH($K304,Model!$R$2:$R$636,0)))</f>
        <v/>
      </c>
      <c r="G304">
        <f>IF($K304="","",INDEX(Raw_data!$H$2:$H$636,MATCH($K304,Model!$R$2:$R$636,0)))</f>
        <v/>
      </c>
      <c r="H304" s="8">
        <f>IF($K304="","",INDEX(Model!$B$2:$B$636,MATCH($K304,Model!$R$2:$R$636,0)))</f>
        <v/>
      </c>
      <c r="I304" s="8">
        <f>IF($K304="","",INDEX(Model!$C$2:$C$636,MATCH($K304,Model!$R$2:$R$636,0)))</f>
        <v/>
      </c>
      <c r="J304">
        <f>IF($K304="","",INDEX(Model!$D$2:$D$636,MATCH($K304,Model!$R$2:$R$636,0)))</f>
        <v/>
      </c>
      <c r="K304">
        <f>IF(268&lt;=$E$5,LARGE(Model!$R$2:$R$636,268),"")</f>
        <v/>
      </c>
    </row>
    <row r="305">
      <c r="A305">
        <f>IF($K305="","",INDEX(Raw_data!$D$2:$D$636,MATCH($K305,Model!$R$2:$R$636,0)))</f>
        <v/>
      </c>
      <c r="B305" s="11">
        <f>IF($K305="","",INDEX(Raw_data!$F$2:$F$636,MATCH($K305,Model!$R$2:$R$636,0)))</f>
        <v/>
      </c>
      <c r="C305">
        <f>IF($K305="","",HYPERLINK(INDEX(Raw_data!$C$2:$C$636,MATCH($K305,Model!$R$2:$R$636,0)),INDEX(Raw_data!$C$2:$C$636,MATCH($K305,Model!$R$2:$R$636,0))))</f>
        <v/>
      </c>
      <c r="D305">
        <f>IF($K305="","",INDEX(Raw_data!$AL$2:$AL$636,MATCH($K305,Model!$R$2:$R$636,0)))</f>
        <v/>
      </c>
      <c r="E305">
        <f>IF($K305="","",INDEX(Raw_data!$AM$2:$AM$636,MATCH($K305,Model!$R$2:$R$636,0)))</f>
        <v/>
      </c>
      <c r="F305">
        <f>IF($K305="","",INDEX(Raw_data!$AQ$2:$AQ$636,MATCH($K305,Model!$R$2:$R$636,0)))</f>
        <v/>
      </c>
      <c r="G305">
        <f>IF($K305="","",INDEX(Raw_data!$H$2:$H$636,MATCH($K305,Model!$R$2:$R$636,0)))</f>
        <v/>
      </c>
      <c r="H305" s="8">
        <f>IF($K305="","",INDEX(Model!$B$2:$B$636,MATCH($K305,Model!$R$2:$R$636,0)))</f>
        <v/>
      </c>
      <c r="I305" s="8">
        <f>IF($K305="","",INDEX(Model!$C$2:$C$636,MATCH($K305,Model!$R$2:$R$636,0)))</f>
        <v/>
      </c>
      <c r="J305">
        <f>IF($K305="","",INDEX(Model!$D$2:$D$636,MATCH($K305,Model!$R$2:$R$636,0)))</f>
        <v/>
      </c>
      <c r="K305">
        <f>IF(269&lt;=$E$5,LARGE(Model!$R$2:$R$636,269),"")</f>
        <v/>
      </c>
    </row>
    <row r="306">
      <c r="A306">
        <f>IF($K306="","",INDEX(Raw_data!$D$2:$D$636,MATCH($K306,Model!$R$2:$R$636,0)))</f>
        <v/>
      </c>
      <c r="B306" s="11">
        <f>IF($K306="","",INDEX(Raw_data!$F$2:$F$636,MATCH($K306,Model!$R$2:$R$636,0)))</f>
        <v/>
      </c>
      <c r="C306">
        <f>IF($K306="","",HYPERLINK(INDEX(Raw_data!$C$2:$C$636,MATCH($K306,Model!$R$2:$R$636,0)),INDEX(Raw_data!$C$2:$C$636,MATCH($K306,Model!$R$2:$R$636,0))))</f>
        <v/>
      </c>
      <c r="D306">
        <f>IF($K306="","",INDEX(Raw_data!$AL$2:$AL$636,MATCH($K306,Model!$R$2:$R$636,0)))</f>
        <v/>
      </c>
      <c r="E306">
        <f>IF($K306="","",INDEX(Raw_data!$AM$2:$AM$636,MATCH($K306,Model!$R$2:$R$636,0)))</f>
        <v/>
      </c>
      <c r="F306">
        <f>IF($K306="","",INDEX(Raw_data!$AQ$2:$AQ$636,MATCH($K306,Model!$R$2:$R$636,0)))</f>
        <v/>
      </c>
      <c r="G306">
        <f>IF($K306="","",INDEX(Raw_data!$H$2:$H$636,MATCH($K306,Model!$R$2:$R$636,0)))</f>
        <v/>
      </c>
      <c r="H306" s="8">
        <f>IF($K306="","",INDEX(Model!$B$2:$B$636,MATCH($K306,Model!$R$2:$R$636,0)))</f>
        <v/>
      </c>
      <c r="I306" s="8">
        <f>IF($K306="","",INDEX(Model!$C$2:$C$636,MATCH($K306,Model!$R$2:$R$636,0)))</f>
        <v/>
      </c>
      <c r="J306">
        <f>IF($K306="","",INDEX(Model!$D$2:$D$636,MATCH($K306,Model!$R$2:$R$636,0)))</f>
        <v/>
      </c>
      <c r="K306">
        <f>IF(270&lt;=$E$5,LARGE(Model!$R$2:$R$636,270),"")</f>
        <v/>
      </c>
    </row>
    <row r="307">
      <c r="A307">
        <f>IF($K307="","",INDEX(Raw_data!$D$2:$D$636,MATCH($K307,Model!$R$2:$R$636,0)))</f>
        <v/>
      </c>
      <c r="B307" s="11">
        <f>IF($K307="","",INDEX(Raw_data!$F$2:$F$636,MATCH($K307,Model!$R$2:$R$636,0)))</f>
        <v/>
      </c>
      <c r="C307">
        <f>IF($K307="","",HYPERLINK(INDEX(Raw_data!$C$2:$C$636,MATCH($K307,Model!$R$2:$R$636,0)),INDEX(Raw_data!$C$2:$C$636,MATCH($K307,Model!$R$2:$R$636,0))))</f>
        <v/>
      </c>
      <c r="D307">
        <f>IF($K307="","",INDEX(Raw_data!$AL$2:$AL$636,MATCH($K307,Model!$R$2:$R$636,0)))</f>
        <v/>
      </c>
      <c r="E307">
        <f>IF($K307="","",INDEX(Raw_data!$AM$2:$AM$636,MATCH($K307,Model!$R$2:$R$636,0)))</f>
        <v/>
      </c>
      <c r="F307">
        <f>IF($K307="","",INDEX(Raw_data!$AQ$2:$AQ$636,MATCH($K307,Model!$R$2:$R$636,0)))</f>
        <v/>
      </c>
      <c r="G307">
        <f>IF($K307="","",INDEX(Raw_data!$H$2:$H$636,MATCH($K307,Model!$R$2:$R$636,0)))</f>
        <v/>
      </c>
      <c r="H307" s="8">
        <f>IF($K307="","",INDEX(Model!$B$2:$B$636,MATCH($K307,Model!$R$2:$R$636,0)))</f>
        <v/>
      </c>
      <c r="I307" s="8">
        <f>IF($K307="","",INDEX(Model!$C$2:$C$636,MATCH($K307,Model!$R$2:$R$636,0)))</f>
        <v/>
      </c>
      <c r="J307">
        <f>IF($K307="","",INDEX(Model!$D$2:$D$636,MATCH($K307,Model!$R$2:$R$636,0)))</f>
        <v/>
      </c>
      <c r="K307">
        <f>IF(271&lt;=$E$5,LARGE(Model!$R$2:$R$636,271),"")</f>
        <v/>
      </c>
    </row>
    <row r="308">
      <c r="A308">
        <f>IF($K308="","",INDEX(Raw_data!$D$2:$D$636,MATCH($K308,Model!$R$2:$R$636,0)))</f>
        <v/>
      </c>
      <c r="B308" s="11">
        <f>IF($K308="","",INDEX(Raw_data!$F$2:$F$636,MATCH($K308,Model!$R$2:$R$636,0)))</f>
        <v/>
      </c>
      <c r="C308">
        <f>IF($K308="","",HYPERLINK(INDEX(Raw_data!$C$2:$C$636,MATCH($K308,Model!$R$2:$R$636,0)),INDEX(Raw_data!$C$2:$C$636,MATCH($K308,Model!$R$2:$R$636,0))))</f>
        <v/>
      </c>
      <c r="D308">
        <f>IF($K308="","",INDEX(Raw_data!$AL$2:$AL$636,MATCH($K308,Model!$R$2:$R$636,0)))</f>
        <v/>
      </c>
      <c r="E308">
        <f>IF($K308="","",INDEX(Raw_data!$AM$2:$AM$636,MATCH($K308,Model!$R$2:$R$636,0)))</f>
        <v/>
      </c>
      <c r="F308">
        <f>IF($K308="","",INDEX(Raw_data!$AQ$2:$AQ$636,MATCH($K308,Model!$R$2:$R$636,0)))</f>
        <v/>
      </c>
      <c r="G308">
        <f>IF($K308="","",INDEX(Raw_data!$H$2:$H$636,MATCH($K308,Model!$R$2:$R$636,0)))</f>
        <v/>
      </c>
      <c r="H308" s="8">
        <f>IF($K308="","",INDEX(Model!$B$2:$B$636,MATCH($K308,Model!$R$2:$R$636,0)))</f>
        <v/>
      </c>
      <c r="I308" s="8">
        <f>IF($K308="","",INDEX(Model!$C$2:$C$636,MATCH($K308,Model!$R$2:$R$636,0)))</f>
        <v/>
      </c>
      <c r="J308">
        <f>IF($K308="","",INDEX(Model!$D$2:$D$636,MATCH($K308,Model!$R$2:$R$636,0)))</f>
        <v/>
      </c>
      <c r="K308">
        <f>IF(272&lt;=$E$5,LARGE(Model!$R$2:$R$636,272),"")</f>
        <v/>
      </c>
    </row>
    <row r="309">
      <c r="A309">
        <f>IF($K309="","",INDEX(Raw_data!$D$2:$D$636,MATCH($K309,Model!$R$2:$R$636,0)))</f>
        <v/>
      </c>
      <c r="B309" s="11">
        <f>IF($K309="","",INDEX(Raw_data!$F$2:$F$636,MATCH($K309,Model!$R$2:$R$636,0)))</f>
        <v/>
      </c>
      <c r="C309">
        <f>IF($K309="","",HYPERLINK(INDEX(Raw_data!$C$2:$C$636,MATCH($K309,Model!$R$2:$R$636,0)),INDEX(Raw_data!$C$2:$C$636,MATCH($K309,Model!$R$2:$R$636,0))))</f>
        <v/>
      </c>
      <c r="D309">
        <f>IF($K309="","",INDEX(Raw_data!$AL$2:$AL$636,MATCH($K309,Model!$R$2:$R$636,0)))</f>
        <v/>
      </c>
      <c r="E309">
        <f>IF($K309="","",INDEX(Raw_data!$AM$2:$AM$636,MATCH($K309,Model!$R$2:$R$636,0)))</f>
        <v/>
      </c>
      <c r="F309">
        <f>IF($K309="","",INDEX(Raw_data!$AQ$2:$AQ$636,MATCH($K309,Model!$R$2:$R$636,0)))</f>
        <v/>
      </c>
      <c r="G309">
        <f>IF($K309="","",INDEX(Raw_data!$H$2:$H$636,MATCH($K309,Model!$R$2:$R$636,0)))</f>
        <v/>
      </c>
      <c r="H309" s="8">
        <f>IF($K309="","",INDEX(Model!$B$2:$B$636,MATCH($K309,Model!$R$2:$R$636,0)))</f>
        <v/>
      </c>
      <c r="I309" s="8">
        <f>IF($K309="","",INDEX(Model!$C$2:$C$636,MATCH($K309,Model!$R$2:$R$636,0)))</f>
        <v/>
      </c>
      <c r="J309">
        <f>IF($K309="","",INDEX(Model!$D$2:$D$636,MATCH($K309,Model!$R$2:$R$636,0)))</f>
        <v/>
      </c>
      <c r="K309">
        <f>IF(273&lt;=$E$5,LARGE(Model!$R$2:$R$636,273),"")</f>
        <v/>
      </c>
    </row>
    <row r="310">
      <c r="A310">
        <f>IF($K310="","",INDEX(Raw_data!$D$2:$D$636,MATCH($K310,Model!$R$2:$R$636,0)))</f>
        <v/>
      </c>
      <c r="B310" s="11">
        <f>IF($K310="","",INDEX(Raw_data!$F$2:$F$636,MATCH($K310,Model!$R$2:$R$636,0)))</f>
        <v/>
      </c>
      <c r="C310">
        <f>IF($K310="","",HYPERLINK(INDEX(Raw_data!$C$2:$C$636,MATCH($K310,Model!$R$2:$R$636,0)),INDEX(Raw_data!$C$2:$C$636,MATCH($K310,Model!$R$2:$R$636,0))))</f>
        <v/>
      </c>
      <c r="D310">
        <f>IF($K310="","",INDEX(Raw_data!$AL$2:$AL$636,MATCH($K310,Model!$R$2:$R$636,0)))</f>
        <v/>
      </c>
      <c r="E310">
        <f>IF($K310="","",INDEX(Raw_data!$AM$2:$AM$636,MATCH($K310,Model!$R$2:$R$636,0)))</f>
        <v/>
      </c>
      <c r="F310">
        <f>IF($K310="","",INDEX(Raw_data!$AQ$2:$AQ$636,MATCH($K310,Model!$R$2:$R$636,0)))</f>
        <v/>
      </c>
      <c r="G310">
        <f>IF($K310="","",INDEX(Raw_data!$H$2:$H$636,MATCH($K310,Model!$R$2:$R$636,0)))</f>
        <v/>
      </c>
      <c r="H310" s="8">
        <f>IF($K310="","",INDEX(Model!$B$2:$B$636,MATCH($K310,Model!$R$2:$R$636,0)))</f>
        <v/>
      </c>
      <c r="I310" s="8">
        <f>IF($K310="","",INDEX(Model!$C$2:$C$636,MATCH($K310,Model!$R$2:$R$636,0)))</f>
        <v/>
      </c>
      <c r="J310">
        <f>IF($K310="","",INDEX(Model!$D$2:$D$636,MATCH($K310,Model!$R$2:$R$636,0)))</f>
        <v/>
      </c>
      <c r="K310">
        <f>IF(274&lt;=$E$5,LARGE(Model!$R$2:$R$636,274),"")</f>
        <v/>
      </c>
    </row>
    <row r="311">
      <c r="A311">
        <f>IF($K311="","",INDEX(Raw_data!$D$2:$D$636,MATCH($K311,Model!$R$2:$R$636,0)))</f>
        <v/>
      </c>
      <c r="B311" s="11">
        <f>IF($K311="","",INDEX(Raw_data!$F$2:$F$636,MATCH($K311,Model!$R$2:$R$636,0)))</f>
        <v/>
      </c>
      <c r="C311">
        <f>IF($K311="","",HYPERLINK(INDEX(Raw_data!$C$2:$C$636,MATCH($K311,Model!$R$2:$R$636,0)),INDEX(Raw_data!$C$2:$C$636,MATCH($K311,Model!$R$2:$R$636,0))))</f>
        <v/>
      </c>
      <c r="D311">
        <f>IF($K311="","",INDEX(Raw_data!$AL$2:$AL$636,MATCH($K311,Model!$R$2:$R$636,0)))</f>
        <v/>
      </c>
      <c r="E311">
        <f>IF($K311="","",INDEX(Raw_data!$AM$2:$AM$636,MATCH($K311,Model!$R$2:$R$636,0)))</f>
        <v/>
      </c>
      <c r="F311">
        <f>IF($K311="","",INDEX(Raw_data!$AQ$2:$AQ$636,MATCH($K311,Model!$R$2:$R$636,0)))</f>
        <v/>
      </c>
      <c r="G311">
        <f>IF($K311="","",INDEX(Raw_data!$H$2:$H$636,MATCH($K311,Model!$R$2:$R$636,0)))</f>
        <v/>
      </c>
      <c r="H311" s="8">
        <f>IF($K311="","",INDEX(Model!$B$2:$B$636,MATCH($K311,Model!$R$2:$R$636,0)))</f>
        <v/>
      </c>
      <c r="I311" s="8">
        <f>IF($K311="","",INDEX(Model!$C$2:$C$636,MATCH($K311,Model!$R$2:$R$636,0)))</f>
        <v/>
      </c>
      <c r="J311">
        <f>IF($K311="","",INDEX(Model!$D$2:$D$636,MATCH($K311,Model!$R$2:$R$636,0)))</f>
        <v/>
      </c>
      <c r="K311">
        <f>IF(275&lt;=$E$5,LARGE(Model!$R$2:$R$636,275),"")</f>
        <v/>
      </c>
    </row>
    <row r="312">
      <c r="A312">
        <f>IF($K312="","",INDEX(Raw_data!$D$2:$D$636,MATCH($K312,Model!$R$2:$R$636,0)))</f>
        <v/>
      </c>
      <c r="B312" s="11">
        <f>IF($K312="","",INDEX(Raw_data!$F$2:$F$636,MATCH($K312,Model!$R$2:$R$636,0)))</f>
        <v/>
      </c>
      <c r="C312">
        <f>IF($K312="","",HYPERLINK(INDEX(Raw_data!$C$2:$C$636,MATCH($K312,Model!$R$2:$R$636,0)),INDEX(Raw_data!$C$2:$C$636,MATCH($K312,Model!$R$2:$R$636,0))))</f>
        <v/>
      </c>
      <c r="D312">
        <f>IF($K312="","",INDEX(Raw_data!$AL$2:$AL$636,MATCH($K312,Model!$R$2:$R$636,0)))</f>
        <v/>
      </c>
      <c r="E312">
        <f>IF($K312="","",INDEX(Raw_data!$AM$2:$AM$636,MATCH($K312,Model!$R$2:$R$636,0)))</f>
        <v/>
      </c>
      <c r="F312">
        <f>IF($K312="","",INDEX(Raw_data!$AQ$2:$AQ$636,MATCH($K312,Model!$R$2:$R$636,0)))</f>
        <v/>
      </c>
      <c r="G312">
        <f>IF($K312="","",INDEX(Raw_data!$H$2:$H$636,MATCH($K312,Model!$R$2:$R$636,0)))</f>
        <v/>
      </c>
      <c r="H312" s="8">
        <f>IF($K312="","",INDEX(Model!$B$2:$B$636,MATCH($K312,Model!$R$2:$R$636,0)))</f>
        <v/>
      </c>
      <c r="I312" s="8">
        <f>IF($K312="","",INDEX(Model!$C$2:$C$636,MATCH($K312,Model!$R$2:$R$636,0)))</f>
        <v/>
      </c>
      <c r="J312">
        <f>IF($K312="","",INDEX(Model!$D$2:$D$636,MATCH($K312,Model!$R$2:$R$636,0)))</f>
        <v/>
      </c>
      <c r="K312">
        <f>IF(276&lt;=$E$5,LARGE(Model!$R$2:$R$636,276),"")</f>
        <v/>
      </c>
    </row>
    <row r="313">
      <c r="A313">
        <f>IF($K313="","",INDEX(Raw_data!$D$2:$D$636,MATCH($K313,Model!$R$2:$R$636,0)))</f>
        <v/>
      </c>
      <c r="B313" s="11">
        <f>IF($K313="","",INDEX(Raw_data!$F$2:$F$636,MATCH($K313,Model!$R$2:$R$636,0)))</f>
        <v/>
      </c>
      <c r="C313">
        <f>IF($K313="","",HYPERLINK(INDEX(Raw_data!$C$2:$C$636,MATCH($K313,Model!$R$2:$R$636,0)),INDEX(Raw_data!$C$2:$C$636,MATCH($K313,Model!$R$2:$R$636,0))))</f>
        <v/>
      </c>
      <c r="D313">
        <f>IF($K313="","",INDEX(Raw_data!$AL$2:$AL$636,MATCH($K313,Model!$R$2:$R$636,0)))</f>
        <v/>
      </c>
      <c r="E313">
        <f>IF($K313="","",INDEX(Raw_data!$AM$2:$AM$636,MATCH($K313,Model!$R$2:$R$636,0)))</f>
        <v/>
      </c>
      <c r="F313">
        <f>IF($K313="","",INDEX(Raw_data!$AQ$2:$AQ$636,MATCH($K313,Model!$R$2:$R$636,0)))</f>
        <v/>
      </c>
      <c r="G313">
        <f>IF($K313="","",INDEX(Raw_data!$H$2:$H$636,MATCH($K313,Model!$R$2:$R$636,0)))</f>
        <v/>
      </c>
      <c r="H313" s="8">
        <f>IF($K313="","",INDEX(Model!$B$2:$B$636,MATCH($K313,Model!$R$2:$R$636,0)))</f>
        <v/>
      </c>
      <c r="I313" s="8">
        <f>IF($K313="","",INDEX(Model!$C$2:$C$636,MATCH($K313,Model!$R$2:$R$636,0)))</f>
        <v/>
      </c>
      <c r="J313">
        <f>IF($K313="","",INDEX(Model!$D$2:$D$636,MATCH($K313,Model!$R$2:$R$636,0)))</f>
        <v/>
      </c>
      <c r="K313">
        <f>IF(277&lt;=$E$5,LARGE(Model!$R$2:$R$636,277),"")</f>
        <v/>
      </c>
    </row>
    <row r="314">
      <c r="A314">
        <f>IF($K314="","",INDEX(Raw_data!$D$2:$D$636,MATCH($K314,Model!$R$2:$R$636,0)))</f>
        <v/>
      </c>
      <c r="B314" s="11">
        <f>IF($K314="","",INDEX(Raw_data!$F$2:$F$636,MATCH($K314,Model!$R$2:$R$636,0)))</f>
        <v/>
      </c>
      <c r="C314">
        <f>IF($K314="","",HYPERLINK(INDEX(Raw_data!$C$2:$C$636,MATCH($K314,Model!$R$2:$R$636,0)),INDEX(Raw_data!$C$2:$C$636,MATCH($K314,Model!$R$2:$R$636,0))))</f>
        <v/>
      </c>
      <c r="D314">
        <f>IF($K314="","",INDEX(Raw_data!$AL$2:$AL$636,MATCH($K314,Model!$R$2:$R$636,0)))</f>
        <v/>
      </c>
      <c r="E314">
        <f>IF($K314="","",INDEX(Raw_data!$AM$2:$AM$636,MATCH($K314,Model!$R$2:$R$636,0)))</f>
        <v/>
      </c>
      <c r="F314">
        <f>IF($K314="","",INDEX(Raw_data!$AQ$2:$AQ$636,MATCH($K314,Model!$R$2:$R$636,0)))</f>
        <v/>
      </c>
      <c r="G314">
        <f>IF($K314="","",INDEX(Raw_data!$H$2:$H$636,MATCH($K314,Model!$R$2:$R$636,0)))</f>
        <v/>
      </c>
      <c r="H314" s="8">
        <f>IF($K314="","",INDEX(Model!$B$2:$B$636,MATCH($K314,Model!$R$2:$R$636,0)))</f>
        <v/>
      </c>
      <c r="I314" s="8">
        <f>IF($K314="","",INDEX(Model!$C$2:$C$636,MATCH($K314,Model!$R$2:$R$636,0)))</f>
        <v/>
      </c>
      <c r="J314">
        <f>IF($K314="","",INDEX(Model!$D$2:$D$636,MATCH($K314,Model!$R$2:$R$636,0)))</f>
        <v/>
      </c>
      <c r="K314">
        <f>IF(278&lt;=$E$5,LARGE(Model!$R$2:$R$636,278),"")</f>
        <v/>
      </c>
    </row>
    <row r="315">
      <c r="A315">
        <f>IF($K315="","",INDEX(Raw_data!$D$2:$D$636,MATCH($K315,Model!$R$2:$R$636,0)))</f>
        <v/>
      </c>
      <c r="B315" s="11">
        <f>IF($K315="","",INDEX(Raw_data!$F$2:$F$636,MATCH($K315,Model!$R$2:$R$636,0)))</f>
        <v/>
      </c>
      <c r="C315">
        <f>IF($K315="","",HYPERLINK(INDEX(Raw_data!$C$2:$C$636,MATCH($K315,Model!$R$2:$R$636,0)),INDEX(Raw_data!$C$2:$C$636,MATCH($K315,Model!$R$2:$R$636,0))))</f>
        <v/>
      </c>
      <c r="D315">
        <f>IF($K315="","",INDEX(Raw_data!$AL$2:$AL$636,MATCH($K315,Model!$R$2:$R$636,0)))</f>
        <v/>
      </c>
      <c r="E315">
        <f>IF($K315="","",INDEX(Raw_data!$AM$2:$AM$636,MATCH($K315,Model!$R$2:$R$636,0)))</f>
        <v/>
      </c>
      <c r="F315">
        <f>IF($K315="","",INDEX(Raw_data!$AQ$2:$AQ$636,MATCH($K315,Model!$R$2:$R$636,0)))</f>
        <v/>
      </c>
      <c r="G315">
        <f>IF($K315="","",INDEX(Raw_data!$H$2:$H$636,MATCH($K315,Model!$R$2:$R$636,0)))</f>
        <v/>
      </c>
      <c r="H315" s="8">
        <f>IF($K315="","",INDEX(Model!$B$2:$B$636,MATCH($K315,Model!$R$2:$R$636,0)))</f>
        <v/>
      </c>
      <c r="I315" s="8">
        <f>IF($K315="","",INDEX(Model!$C$2:$C$636,MATCH($K315,Model!$R$2:$R$636,0)))</f>
        <v/>
      </c>
      <c r="J315">
        <f>IF($K315="","",INDEX(Model!$D$2:$D$636,MATCH($K315,Model!$R$2:$R$636,0)))</f>
        <v/>
      </c>
      <c r="K315">
        <f>IF(279&lt;=$E$5,LARGE(Model!$R$2:$R$636,279),"")</f>
        <v/>
      </c>
    </row>
    <row r="316">
      <c r="A316">
        <f>IF($K316="","",INDEX(Raw_data!$D$2:$D$636,MATCH($K316,Model!$R$2:$R$636,0)))</f>
        <v/>
      </c>
      <c r="B316" s="11">
        <f>IF($K316="","",INDEX(Raw_data!$F$2:$F$636,MATCH($K316,Model!$R$2:$R$636,0)))</f>
        <v/>
      </c>
      <c r="C316">
        <f>IF($K316="","",HYPERLINK(INDEX(Raw_data!$C$2:$C$636,MATCH($K316,Model!$R$2:$R$636,0)),INDEX(Raw_data!$C$2:$C$636,MATCH($K316,Model!$R$2:$R$636,0))))</f>
        <v/>
      </c>
      <c r="D316">
        <f>IF($K316="","",INDEX(Raw_data!$AL$2:$AL$636,MATCH($K316,Model!$R$2:$R$636,0)))</f>
        <v/>
      </c>
      <c r="E316">
        <f>IF($K316="","",INDEX(Raw_data!$AM$2:$AM$636,MATCH($K316,Model!$R$2:$R$636,0)))</f>
        <v/>
      </c>
      <c r="F316">
        <f>IF($K316="","",INDEX(Raw_data!$AQ$2:$AQ$636,MATCH($K316,Model!$R$2:$R$636,0)))</f>
        <v/>
      </c>
      <c r="G316">
        <f>IF($K316="","",INDEX(Raw_data!$H$2:$H$636,MATCH($K316,Model!$R$2:$R$636,0)))</f>
        <v/>
      </c>
      <c r="H316" s="8">
        <f>IF($K316="","",INDEX(Model!$B$2:$B$636,MATCH($K316,Model!$R$2:$R$636,0)))</f>
        <v/>
      </c>
      <c r="I316" s="8">
        <f>IF($K316="","",INDEX(Model!$C$2:$C$636,MATCH($K316,Model!$R$2:$R$636,0)))</f>
        <v/>
      </c>
      <c r="J316">
        <f>IF($K316="","",INDEX(Model!$D$2:$D$636,MATCH($K316,Model!$R$2:$R$636,0)))</f>
        <v/>
      </c>
      <c r="K316">
        <f>IF(280&lt;=$E$5,LARGE(Model!$R$2:$R$636,280),"")</f>
        <v/>
      </c>
    </row>
    <row r="317">
      <c r="A317">
        <f>IF($K317="","",INDEX(Raw_data!$D$2:$D$636,MATCH($K317,Model!$R$2:$R$636,0)))</f>
        <v/>
      </c>
      <c r="B317" s="11">
        <f>IF($K317="","",INDEX(Raw_data!$F$2:$F$636,MATCH($K317,Model!$R$2:$R$636,0)))</f>
        <v/>
      </c>
      <c r="C317">
        <f>IF($K317="","",HYPERLINK(INDEX(Raw_data!$C$2:$C$636,MATCH($K317,Model!$R$2:$R$636,0)),INDEX(Raw_data!$C$2:$C$636,MATCH($K317,Model!$R$2:$R$636,0))))</f>
        <v/>
      </c>
      <c r="D317">
        <f>IF($K317="","",INDEX(Raw_data!$AL$2:$AL$636,MATCH($K317,Model!$R$2:$R$636,0)))</f>
        <v/>
      </c>
      <c r="E317">
        <f>IF($K317="","",INDEX(Raw_data!$AM$2:$AM$636,MATCH($K317,Model!$R$2:$R$636,0)))</f>
        <v/>
      </c>
      <c r="F317">
        <f>IF($K317="","",INDEX(Raw_data!$AQ$2:$AQ$636,MATCH($K317,Model!$R$2:$R$636,0)))</f>
        <v/>
      </c>
      <c r="G317">
        <f>IF($K317="","",INDEX(Raw_data!$H$2:$H$636,MATCH($K317,Model!$R$2:$R$636,0)))</f>
        <v/>
      </c>
      <c r="H317" s="8">
        <f>IF($K317="","",INDEX(Model!$B$2:$B$636,MATCH($K317,Model!$R$2:$R$636,0)))</f>
        <v/>
      </c>
      <c r="I317" s="8">
        <f>IF($K317="","",INDEX(Model!$C$2:$C$636,MATCH($K317,Model!$R$2:$R$636,0)))</f>
        <v/>
      </c>
      <c r="J317">
        <f>IF($K317="","",INDEX(Model!$D$2:$D$636,MATCH($K317,Model!$R$2:$R$636,0)))</f>
        <v/>
      </c>
      <c r="K317">
        <f>IF(281&lt;=$E$5,LARGE(Model!$R$2:$R$636,281),"")</f>
        <v/>
      </c>
    </row>
    <row r="318">
      <c r="A318">
        <f>IF($K318="","",INDEX(Raw_data!$D$2:$D$636,MATCH($K318,Model!$R$2:$R$636,0)))</f>
        <v/>
      </c>
      <c r="B318" s="11">
        <f>IF($K318="","",INDEX(Raw_data!$F$2:$F$636,MATCH($K318,Model!$R$2:$R$636,0)))</f>
        <v/>
      </c>
      <c r="C318">
        <f>IF($K318="","",HYPERLINK(INDEX(Raw_data!$C$2:$C$636,MATCH($K318,Model!$R$2:$R$636,0)),INDEX(Raw_data!$C$2:$C$636,MATCH($K318,Model!$R$2:$R$636,0))))</f>
        <v/>
      </c>
      <c r="D318">
        <f>IF($K318="","",INDEX(Raw_data!$AL$2:$AL$636,MATCH($K318,Model!$R$2:$R$636,0)))</f>
        <v/>
      </c>
      <c r="E318">
        <f>IF($K318="","",INDEX(Raw_data!$AM$2:$AM$636,MATCH($K318,Model!$R$2:$R$636,0)))</f>
        <v/>
      </c>
      <c r="F318">
        <f>IF($K318="","",INDEX(Raw_data!$AQ$2:$AQ$636,MATCH($K318,Model!$R$2:$R$636,0)))</f>
        <v/>
      </c>
      <c r="G318">
        <f>IF($K318="","",INDEX(Raw_data!$H$2:$H$636,MATCH($K318,Model!$R$2:$R$636,0)))</f>
        <v/>
      </c>
      <c r="H318" s="8">
        <f>IF($K318="","",INDEX(Model!$B$2:$B$636,MATCH($K318,Model!$R$2:$R$636,0)))</f>
        <v/>
      </c>
      <c r="I318" s="8">
        <f>IF($K318="","",INDEX(Model!$C$2:$C$636,MATCH($K318,Model!$R$2:$R$636,0)))</f>
        <v/>
      </c>
      <c r="J318">
        <f>IF($K318="","",INDEX(Model!$D$2:$D$636,MATCH($K318,Model!$R$2:$R$636,0)))</f>
        <v/>
      </c>
      <c r="K318">
        <f>IF(282&lt;=$E$5,LARGE(Model!$R$2:$R$636,282),"")</f>
        <v/>
      </c>
    </row>
    <row r="319">
      <c r="A319">
        <f>IF($K319="","",INDEX(Raw_data!$D$2:$D$636,MATCH($K319,Model!$R$2:$R$636,0)))</f>
        <v/>
      </c>
      <c r="B319" s="11">
        <f>IF($K319="","",INDEX(Raw_data!$F$2:$F$636,MATCH($K319,Model!$R$2:$R$636,0)))</f>
        <v/>
      </c>
      <c r="C319">
        <f>IF($K319="","",HYPERLINK(INDEX(Raw_data!$C$2:$C$636,MATCH($K319,Model!$R$2:$R$636,0)),INDEX(Raw_data!$C$2:$C$636,MATCH($K319,Model!$R$2:$R$636,0))))</f>
        <v/>
      </c>
      <c r="D319">
        <f>IF($K319="","",INDEX(Raw_data!$AL$2:$AL$636,MATCH($K319,Model!$R$2:$R$636,0)))</f>
        <v/>
      </c>
      <c r="E319">
        <f>IF($K319="","",INDEX(Raw_data!$AM$2:$AM$636,MATCH($K319,Model!$R$2:$R$636,0)))</f>
        <v/>
      </c>
      <c r="F319">
        <f>IF($K319="","",INDEX(Raw_data!$AQ$2:$AQ$636,MATCH($K319,Model!$R$2:$R$636,0)))</f>
        <v/>
      </c>
      <c r="G319">
        <f>IF($K319="","",INDEX(Raw_data!$H$2:$H$636,MATCH($K319,Model!$R$2:$R$636,0)))</f>
        <v/>
      </c>
      <c r="H319" s="8">
        <f>IF($K319="","",INDEX(Model!$B$2:$B$636,MATCH($K319,Model!$R$2:$R$636,0)))</f>
        <v/>
      </c>
      <c r="I319" s="8">
        <f>IF($K319="","",INDEX(Model!$C$2:$C$636,MATCH($K319,Model!$R$2:$R$636,0)))</f>
        <v/>
      </c>
      <c r="J319">
        <f>IF($K319="","",INDEX(Model!$D$2:$D$636,MATCH($K319,Model!$R$2:$R$636,0)))</f>
        <v/>
      </c>
      <c r="K319">
        <f>IF(283&lt;=$E$5,LARGE(Model!$R$2:$R$636,283),"")</f>
        <v/>
      </c>
    </row>
    <row r="320">
      <c r="A320">
        <f>IF($K320="","",INDEX(Raw_data!$D$2:$D$636,MATCH($K320,Model!$R$2:$R$636,0)))</f>
        <v/>
      </c>
      <c r="B320" s="11">
        <f>IF($K320="","",INDEX(Raw_data!$F$2:$F$636,MATCH($K320,Model!$R$2:$R$636,0)))</f>
        <v/>
      </c>
      <c r="C320">
        <f>IF($K320="","",HYPERLINK(INDEX(Raw_data!$C$2:$C$636,MATCH($K320,Model!$R$2:$R$636,0)),INDEX(Raw_data!$C$2:$C$636,MATCH($K320,Model!$R$2:$R$636,0))))</f>
        <v/>
      </c>
      <c r="D320">
        <f>IF($K320="","",INDEX(Raw_data!$AL$2:$AL$636,MATCH($K320,Model!$R$2:$R$636,0)))</f>
        <v/>
      </c>
      <c r="E320">
        <f>IF($K320="","",INDEX(Raw_data!$AM$2:$AM$636,MATCH($K320,Model!$R$2:$R$636,0)))</f>
        <v/>
      </c>
      <c r="F320">
        <f>IF($K320="","",INDEX(Raw_data!$AQ$2:$AQ$636,MATCH($K320,Model!$R$2:$R$636,0)))</f>
        <v/>
      </c>
      <c r="G320">
        <f>IF($K320="","",INDEX(Raw_data!$H$2:$H$636,MATCH($K320,Model!$R$2:$R$636,0)))</f>
        <v/>
      </c>
      <c r="H320" s="8">
        <f>IF($K320="","",INDEX(Model!$B$2:$B$636,MATCH($K320,Model!$R$2:$R$636,0)))</f>
        <v/>
      </c>
      <c r="I320" s="8">
        <f>IF($K320="","",INDEX(Model!$C$2:$C$636,MATCH($K320,Model!$R$2:$R$636,0)))</f>
        <v/>
      </c>
      <c r="J320">
        <f>IF($K320="","",INDEX(Model!$D$2:$D$636,MATCH($K320,Model!$R$2:$R$636,0)))</f>
        <v/>
      </c>
      <c r="K320">
        <f>IF(284&lt;=$E$5,LARGE(Model!$R$2:$R$636,284),"")</f>
        <v/>
      </c>
    </row>
    <row r="321">
      <c r="A321">
        <f>IF($K321="","",INDEX(Raw_data!$D$2:$D$636,MATCH($K321,Model!$R$2:$R$636,0)))</f>
        <v/>
      </c>
      <c r="B321" s="11">
        <f>IF($K321="","",INDEX(Raw_data!$F$2:$F$636,MATCH($K321,Model!$R$2:$R$636,0)))</f>
        <v/>
      </c>
      <c r="C321">
        <f>IF($K321="","",HYPERLINK(INDEX(Raw_data!$C$2:$C$636,MATCH($K321,Model!$R$2:$R$636,0)),INDEX(Raw_data!$C$2:$C$636,MATCH($K321,Model!$R$2:$R$636,0))))</f>
        <v/>
      </c>
      <c r="D321">
        <f>IF($K321="","",INDEX(Raw_data!$AL$2:$AL$636,MATCH($K321,Model!$R$2:$R$636,0)))</f>
        <v/>
      </c>
      <c r="E321">
        <f>IF($K321="","",INDEX(Raw_data!$AM$2:$AM$636,MATCH($K321,Model!$R$2:$R$636,0)))</f>
        <v/>
      </c>
      <c r="F321">
        <f>IF($K321="","",INDEX(Raw_data!$AQ$2:$AQ$636,MATCH($K321,Model!$R$2:$R$636,0)))</f>
        <v/>
      </c>
      <c r="G321">
        <f>IF($K321="","",INDEX(Raw_data!$H$2:$H$636,MATCH($K321,Model!$R$2:$R$636,0)))</f>
        <v/>
      </c>
      <c r="H321" s="8">
        <f>IF($K321="","",INDEX(Model!$B$2:$B$636,MATCH($K321,Model!$R$2:$R$636,0)))</f>
        <v/>
      </c>
      <c r="I321" s="8">
        <f>IF($K321="","",INDEX(Model!$C$2:$C$636,MATCH($K321,Model!$R$2:$R$636,0)))</f>
        <v/>
      </c>
      <c r="J321">
        <f>IF($K321="","",INDEX(Model!$D$2:$D$636,MATCH($K321,Model!$R$2:$R$636,0)))</f>
        <v/>
      </c>
      <c r="K321">
        <f>IF(285&lt;=$E$5,LARGE(Model!$R$2:$R$636,285),"")</f>
        <v/>
      </c>
    </row>
    <row r="322">
      <c r="A322">
        <f>IF($K322="","",INDEX(Raw_data!$D$2:$D$636,MATCH($K322,Model!$R$2:$R$636,0)))</f>
        <v/>
      </c>
      <c r="B322" s="11">
        <f>IF($K322="","",INDEX(Raw_data!$F$2:$F$636,MATCH($K322,Model!$R$2:$R$636,0)))</f>
        <v/>
      </c>
      <c r="C322">
        <f>IF($K322="","",HYPERLINK(INDEX(Raw_data!$C$2:$C$636,MATCH($K322,Model!$R$2:$R$636,0)),INDEX(Raw_data!$C$2:$C$636,MATCH($K322,Model!$R$2:$R$636,0))))</f>
        <v/>
      </c>
      <c r="D322">
        <f>IF($K322="","",INDEX(Raw_data!$AL$2:$AL$636,MATCH($K322,Model!$R$2:$R$636,0)))</f>
        <v/>
      </c>
      <c r="E322">
        <f>IF($K322="","",INDEX(Raw_data!$AM$2:$AM$636,MATCH($K322,Model!$R$2:$R$636,0)))</f>
        <v/>
      </c>
      <c r="F322">
        <f>IF($K322="","",INDEX(Raw_data!$AQ$2:$AQ$636,MATCH($K322,Model!$R$2:$R$636,0)))</f>
        <v/>
      </c>
      <c r="G322">
        <f>IF($K322="","",INDEX(Raw_data!$H$2:$H$636,MATCH($K322,Model!$R$2:$R$636,0)))</f>
        <v/>
      </c>
      <c r="H322" s="8">
        <f>IF($K322="","",INDEX(Model!$B$2:$B$636,MATCH($K322,Model!$R$2:$R$636,0)))</f>
        <v/>
      </c>
      <c r="I322" s="8">
        <f>IF($K322="","",INDEX(Model!$C$2:$C$636,MATCH($K322,Model!$R$2:$R$636,0)))</f>
        <v/>
      </c>
      <c r="J322">
        <f>IF($K322="","",INDEX(Model!$D$2:$D$636,MATCH($K322,Model!$R$2:$R$636,0)))</f>
        <v/>
      </c>
      <c r="K322">
        <f>IF(286&lt;=$E$5,LARGE(Model!$R$2:$R$636,286),"")</f>
        <v/>
      </c>
    </row>
    <row r="323">
      <c r="A323">
        <f>IF($K323="","",INDEX(Raw_data!$D$2:$D$636,MATCH($K323,Model!$R$2:$R$636,0)))</f>
        <v/>
      </c>
      <c r="B323" s="11">
        <f>IF($K323="","",INDEX(Raw_data!$F$2:$F$636,MATCH($K323,Model!$R$2:$R$636,0)))</f>
        <v/>
      </c>
      <c r="C323">
        <f>IF($K323="","",HYPERLINK(INDEX(Raw_data!$C$2:$C$636,MATCH($K323,Model!$R$2:$R$636,0)),INDEX(Raw_data!$C$2:$C$636,MATCH($K323,Model!$R$2:$R$636,0))))</f>
        <v/>
      </c>
      <c r="D323">
        <f>IF($K323="","",INDEX(Raw_data!$AL$2:$AL$636,MATCH($K323,Model!$R$2:$R$636,0)))</f>
        <v/>
      </c>
      <c r="E323">
        <f>IF($K323="","",INDEX(Raw_data!$AM$2:$AM$636,MATCH($K323,Model!$R$2:$R$636,0)))</f>
        <v/>
      </c>
      <c r="F323">
        <f>IF($K323="","",INDEX(Raw_data!$AQ$2:$AQ$636,MATCH($K323,Model!$R$2:$R$636,0)))</f>
        <v/>
      </c>
      <c r="G323">
        <f>IF($K323="","",INDEX(Raw_data!$H$2:$H$636,MATCH($K323,Model!$R$2:$R$636,0)))</f>
        <v/>
      </c>
      <c r="H323" s="8">
        <f>IF($K323="","",INDEX(Model!$B$2:$B$636,MATCH($K323,Model!$R$2:$R$636,0)))</f>
        <v/>
      </c>
      <c r="I323" s="8">
        <f>IF($K323="","",INDEX(Model!$C$2:$C$636,MATCH($K323,Model!$R$2:$R$636,0)))</f>
        <v/>
      </c>
      <c r="J323">
        <f>IF($K323="","",INDEX(Model!$D$2:$D$636,MATCH($K323,Model!$R$2:$R$636,0)))</f>
        <v/>
      </c>
      <c r="K323">
        <f>IF(287&lt;=$E$5,LARGE(Model!$R$2:$R$636,287),"")</f>
        <v/>
      </c>
    </row>
    <row r="324">
      <c r="A324">
        <f>IF($K324="","",INDEX(Raw_data!$D$2:$D$636,MATCH($K324,Model!$R$2:$R$636,0)))</f>
        <v/>
      </c>
      <c r="B324" s="11">
        <f>IF($K324="","",INDEX(Raw_data!$F$2:$F$636,MATCH($K324,Model!$R$2:$R$636,0)))</f>
        <v/>
      </c>
      <c r="C324">
        <f>IF($K324="","",HYPERLINK(INDEX(Raw_data!$C$2:$C$636,MATCH($K324,Model!$R$2:$R$636,0)),INDEX(Raw_data!$C$2:$C$636,MATCH($K324,Model!$R$2:$R$636,0))))</f>
        <v/>
      </c>
      <c r="D324">
        <f>IF($K324="","",INDEX(Raw_data!$AL$2:$AL$636,MATCH($K324,Model!$R$2:$R$636,0)))</f>
        <v/>
      </c>
      <c r="E324">
        <f>IF($K324="","",INDEX(Raw_data!$AM$2:$AM$636,MATCH($K324,Model!$R$2:$R$636,0)))</f>
        <v/>
      </c>
      <c r="F324">
        <f>IF($K324="","",INDEX(Raw_data!$AQ$2:$AQ$636,MATCH($K324,Model!$R$2:$R$636,0)))</f>
        <v/>
      </c>
      <c r="G324">
        <f>IF($K324="","",INDEX(Raw_data!$H$2:$H$636,MATCH($K324,Model!$R$2:$R$636,0)))</f>
        <v/>
      </c>
      <c r="H324" s="8">
        <f>IF($K324="","",INDEX(Model!$B$2:$B$636,MATCH($K324,Model!$R$2:$R$636,0)))</f>
        <v/>
      </c>
      <c r="I324" s="8">
        <f>IF($K324="","",INDEX(Model!$C$2:$C$636,MATCH($K324,Model!$R$2:$R$636,0)))</f>
        <v/>
      </c>
      <c r="J324">
        <f>IF($K324="","",INDEX(Model!$D$2:$D$636,MATCH($K324,Model!$R$2:$R$636,0)))</f>
        <v/>
      </c>
      <c r="K324">
        <f>IF(288&lt;=$E$5,LARGE(Model!$R$2:$R$636,288),"")</f>
        <v/>
      </c>
    </row>
    <row r="325">
      <c r="A325">
        <f>IF($K325="","",INDEX(Raw_data!$D$2:$D$636,MATCH($K325,Model!$R$2:$R$636,0)))</f>
        <v/>
      </c>
      <c r="B325" s="11">
        <f>IF($K325="","",INDEX(Raw_data!$F$2:$F$636,MATCH($K325,Model!$R$2:$R$636,0)))</f>
        <v/>
      </c>
      <c r="C325">
        <f>IF($K325="","",HYPERLINK(INDEX(Raw_data!$C$2:$C$636,MATCH($K325,Model!$R$2:$R$636,0)),INDEX(Raw_data!$C$2:$C$636,MATCH($K325,Model!$R$2:$R$636,0))))</f>
        <v/>
      </c>
      <c r="D325">
        <f>IF($K325="","",INDEX(Raw_data!$AL$2:$AL$636,MATCH($K325,Model!$R$2:$R$636,0)))</f>
        <v/>
      </c>
      <c r="E325">
        <f>IF($K325="","",INDEX(Raw_data!$AM$2:$AM$636,MATCH($K325,Model!$R$2:$R$636,0)))</f>
        <v/>
      </c>
      <c r="F325">
        <f>IF($K325="","",INDEX(Raw_data!$AQ$2:$AQ$636,MATCH($K325,Model!$R$2:$R$636,0)))</f>
        <v/>
      </c>
      <c r="G325">
        <f>IF($K325="","",INDEX(Raw_data!$H$2:$H$636,MATCH($K325,Model!$R$2:$R$636,0)))</f>
        <v/>
      </c>
      <c r="H325" s="8">
        <f>IF($K325="","",INDEX(Model!$B$2:$B$636,MATCH($K325,Model!$R$2:$R$636,0)))</f>
        <v/>
      </c>
      <c r="I325" s="8">
        <f>IF($K325="","",INDEX(Model!$C$2:$C$636,MATCH($K325,Model!$R$2:$R$636,0)))</f>
        <v/>
      </c>
      <c r="J325">
        <f>IF($K325="","",INDEX(Model!$D$2:$D$636,MATCH($K325,Model!$R$2:$R$636,0)))</f>
        <v/>
      </c>
      <c r="K325">
        <f>IF(289&lt;=$E$5,LARGE(Model!$R$2:$R$636,289),"")</f>
        <v/>
      </c>
    </row>
    <row r="326">
      <c r="A326">
        <f>IF($K326="","",INDEX(Raw_data!$D$2:$D$636,MATCH($K326,Model!$R$2:$R$636,0)))</f>
        <v/>
      </c>
      <c r="B326" s="11">
        <f>IF($K326="","",INDEX(Raw_data!$F$2:$F$636,MATCH($K326,Model!$R$2:$R$636,0)))</f>
        <v/>
      </c>
      <c r="C326">
        <f>IF($K326="","",HYPERLINK(INDEX(Raw_data!$C$2:$C$636,MATCH($K326,Model!$R$2:$R$636,0)),INDEX(Raw_data!$C$2:$C$636,MATCH($K326,Model!$R$2:$R$636,0))))</f>
        <v/>
      </c>
      <c r="D326">
        <f>IF($K326="","",INDEX(Raw_data!$AL$2:$AL$636,MATCH($K326,Model!$R$2:$R$636,0)))</f>
        <v/>
      </c>
      <c r="E326">
        <f>IF($K326="","",INDEX(Raw_data!$AM$2:$AM$636,MATCH($K326,Model!$R$2:$R$636,0)))</f>
        <v/>
      </c>
      <c r="F326">
        <f>IF($K326="","",INDEX(Raw_data!$AQ$2:$AQ$636,MATCH($K326,Model!$R$2:$R$636,0)))</f>
        <v/>
      </c>
      <c r="G326">
        <f>IF($K326="","",INDEX(Raw_data!$H$2:$H$636,MATCH($K326,Model!$R$2:$R$636,0)))</f>
        <v/>
      </c>
      <c r="H326" s="8">
        <f>IF($K326="","",INDEX(Model!$B$2:$B$636,MATCH($K326,Model!$R$2:$R$636,0)))</f>
        <v/>
      </c>
      <c r="I326" s="8">
        <f>IF($K326="","",INDEX(Model!$C$2:$C$636,MATCH($K326,Model!$R$2:$R$636,0)))</f>
        <v/>
      </c>
      <c r="J326">
        <f>IF($K326="","",INDEX(Model!$D$2:$D$636,MATCH($K326,Model!$R$2:$R$636,0)))</f>
        <v/>
      </c>
      <c r="K326">
        <f>IF(290&lt;=$E$5,LARGE(Model!$R$2:$R$636,290),"")</f>
        <v/>
      </c>
    </row>
    <row r="327">
      <c r="A327">
        <f>IF($K327="","",INDEX(Raw_data!$D$2:$D$636,MATCH($K327,Model!$R$2:$R$636,0)))</f>
        <v/>
      </c>
      <c r="B327" s="11">
        <f>IF($K327="","",INDEX(Raw_data!$F$2:$F$636,MATCH($K327,Model!$R$2:$R$636,0)))</f>
        <v/>
      </c>
      <c r="C327">
        <f>IF($K327="","",HYPERLINK(INDEX(Raw_data!$C$2:$C$636,MATCH($K327,Model!$R$2:$R$636,0)),INDEX(Raw_data!$C$2:$C$636,MATCH($K327,Model!$R$2:$R$636,0))))</f>
        <v/>
      </c>
      <c r="D327">
        <f>IF($K327="","",INDEX(Raw_data!$AL$2:$AL$636,MATCH($K327,Model!$R$2:$R$636,0)))</f>
        <v/>
      </c>
      <c r="E327">
        <f>IF($K327="","",INDEX(Raw_data!$AM$2:$AM$636,MATCH($K327,Model!$R$2:$R$636,0)))</f>
        <v/>
      </c>
      <c r="F327">
        <f>IF($K327="","",INDEX(Raw_data!$AQ$2:$AQ$636,MATCH($K327,Model!$R$2:$R$636,0)))</f>
        <v/>
      </c>
      <c r="G327">
        <f>IF($K327="","",INDEX(Raw_data!$H$2:$H$636,MATCH($K327,Model!$R$2:$R$636,0)))</f>
        <v/>
      </c>
      <c r="H327" s="8">
        <f>IF($K327="","",INDEX(Model!$B$2:$B$636,MATCH($K327,Model!$R$2:$R$636,0)))</f>
        <v/>
      </c>
      <c r="I327" s="8">
        <f>IF($K327="","",INDEX(Model!$C$2:$C$636,MATCH($K327,Model!$R$2:$R$636,0)))</f>
        <v/>
      </c>
      <c r="J327">
        <f>IF($K327="","",INDEX(Model!$D$2:$D$636,MATCH($K327,Model!$R$2:$R$636,0)))</f>
        <v/>
      </c>
      <c r="K327">
        <f>IF(291&lt;=$E$5,LARGE(Model!$R$2:$R$636,291),"")</f>
        <v/>
      </c>
    </row>
    <row r="328">
      <c r="A328">
        <f>IF($K328="","",INDEX(Raw_data!$D$2:$D$636,MATCH($K328,Model!$R$2:$R$636,0)))</f>
        <v/>
      </c>
      <c r="B328" s="11">
        <f>IF($K328="","",INDEX(Raw_data!$F$2:$F$636,MATCH($K328,Model!$R$2:$R$636,0)))</f>
        <v/>
      </c>
      <c r="C328">
        <f>IF($K328="","",HYPERLINK(INDEX(Raw_data!$C$2:$C$636,MATCH($K328,Model!$R$2:$R$636,0)),INDEX(Raw_data!$C$2:$C$636,MATCH($K328,Model!$R$2:$R$636,0))))</f>
        <v/>
      </c>
      <c r="D328">
        <f>IF($K328="","",INDEX(Raw_data!$AL$2:$AL$636,MATCH($K328,Model!$R$2:$R$636,0)))</f>
        <v/>
      </c>
      <c r="E328">
        <f>IF($K328="","",INDEX(Raw_data!$AM$2:$AM$636,MATCH($K328,Model!$R$2:$R$636,0)))</f>
        <v/>
      </c>
      <c r="F328">
        <f>IF($K328="","",INDEX(Raw_data!$AQ$2:$AQ$636,MATCH($K328,Model!$R$2:$R$636,0)))</f>
        <v/>
      </c>
      <c r="G328">
        <f>IF($K328="","",INDEX(Raw_data!$H$2:$H$636,MATCH($K328,Model!$R$2:$R$636,0)))</f>
        <v/>
      </c>
      <c r="H328" s="8">
        <f>IF($K328="","",INDEX(Model!$B$2:$B$636,MATCH($K328,Model!$R$2:$R$636,0)))</f>
        <v/>
      </c>
      <c r="I328" s="8">
        <f>IF($K328="","",INDEX(Model!$C$2:$C$636,MATCH($K328,Model!$R$2:$R$636,0)))</f>
        <v/>
      </c>
      <c r="J328">
        <f>IF($K328="","",INDEX(Model!$D$2:$D$636,MATCH($K328,Model!$R$2:$R$636,0)))</f>
        <v/>
      </c>
      <c r="K328">
        <f>IF(292&lt;=$E$5,LARGE(Model!$R$2:$R$636,292),"")</f>
        <v/>
      </c>
    </row>
    <row r="329">
      <c r="A329">
        <f>IF($K329="","",INDEX(Raw_data!$D$2:$D$636,MATCH($K329,Model!$R$2:$R$636,0)))</f>
        <v/>
      </c>
      <c r="B329" s="11">
        <f>IF($K329="","",INDEX(Raw_data!$F$2:$F$636,MATCH($K329,Model!$R$2:$R$636,0)))</f>
        <v/>
      </c>
      <c r="C329">
        <f>IF($K329="","",HYPERLINK(INDEX(Raw_data!$C$2:$C$636,MATCH($K329,Model!$R$2:$R$636,0)),INDEX(Raw_data!$C$2:$C$636,MATCH($K329,Model!$R$2:$R$636,0))))</f>
        <v/>
      </c>
      <c r="D329">
        <f>IF($K329="","",INDEX(Raw_data!$AL$2:$AL$636,MATCH($K329,Model!$R$2:$R$636,0)))</f>
        <v/>
      </c>
      <c r="E329">
        <f>IF($K329="","",INDEX(Raw_data!$AM$2:$AM$636,MATCH($K329,Model!$R$2:$R$636,0)))</f>
        <v/>
      </c>
      <c r="F329">
        <f>IF($K329="","",INDEX(Raw_data!$AQ$2:$AQ$636,MATCH($K329,Model!$R$2:$R$636,0)))</f>
        <v/>
      </c>
      <c r="G329">
        <f>IF($K329="","",INDEX(Raw_data!$H$2:$H$636,MATCH($K329,Model!$R$2:$R$636,0)))</f>
        <v/>
      </c>
      <c r="H329" s="8">
        <f>IF($K329="","",INDEX(Model!$B$2:$B$636,MATCH($K329,Model!$R$2:$R$636,0)))</f>
        <v/>
      </c>
      <c r="I329" s="8">
        <f>IF($K329="","",INDEX(Model!$C$2:$C$636,MATCH($K329,Model!$R$2:$R$636,0)))</f>
        <v/>
      </c>
      <c r="J329">
        <f>IF($K329="","",INDEX(Model!$D$2:$D$636,MATCH($K329,Model!$R$2:$R$636,0)))</f>
        <v/>
      </c>
      <c r="K329">
        <f>IF(293&lt;=$E$5,LARGE(Model!$R$2:$R$636,293),"")</f>
        <v/>
      </c>
    </row>
    <row r="330">
      <c r="A330">
        <f>IF($K330="","",INDEX(Raw_data!$D$2:$D$636,MATCH($K330,Model!$R$2:$R$636,0)))</f>
        <v/>
      </c>
      <c r="B330" s="11">
        <f>IF($K330="","",INDEX(Raw_data!$F$2:$F$636,MATCH($K330,Model!$R$2:$R$636,0)))</f>
        <v/>
      </c>
      <c r="C330">
        <f>IF($K330="","",HYPERLINK(INDEX(Raw_data!$C$2:$C$636,MATCH($K330,Model!$R$2:$R$636,0)),INDEX(Raw_data!$C$2:$C$636,MATCH($K330,Model!$R$2:$R$636,0))))</f>
        <v/>
      </c>
      <c r="D330">
        <f>IF($K330="","",INDEX(Raw_data!$AL$2:$AL$636,MATCH($K330,Model!$R$2:$R$636,0)))</f>
        <v/>
      </c>
      <c r="E330">
        <f>IF($K330="","",INDEX(Raw_data!$AM$2:$AM$636,MATCH($K330,Model!$R$2:$R$636,0)))</f>
        <v/>
      </c>
      <c r="F330">
        <f>IF($K330="","",INDEX(Raw_data!$AQ$2:$AQ$636,MATCH($K330,Model!$R$2:$R$636,0)))</f>
        <v/>
      </c>
      <c r="G330">
        <f>IF($K330="","",INDEX(Raw_data!$H$2:$H$636,MATCH($K330,Model!$R$2:$R$636,0)))</f>
        <v/>
      </c>
      <c r="H330" s="8">
        <f>IF($K330="","",INDEX(Model!$B$2:$B$636,MATCH($K330,Model!$R$2:$R$636,0)))</f>
        <v/>
      </c>
      <c r="I330" s="8">
        <f>IF($K330="","",INDEX(Model!$C$2:$C$636,MATCH($K330,Model!$R$2:$R$636,0)))</f>
        <v/>
      </c>
      <c r="J330">
        <f>IF($K330="","",INDEX(Model!$D$2:$D$636,MATCH($K330,Model!$R$2:$R$636,0)))</f>
        <v/>
      </c>
      <c r="K330">
        <f>IF(294&lt;=$E$5,LARGE(Model!$R$2:$R$636,294),"")</f>
        <v/>
      </c>
    </row>
    <row r="331">
      <c r="A331">
        <f>IF($K331="","",INDEX(Raw_data!$D$2:$D$636,MATCH($K331,Model!$R$2:$R$636,0)))</f>
        <v/>
      </c>
      <c r="B331" s="11">
        <f>IF($K331="","",INDEX(Raw_data!$F$2:$F$636,MATCH($K331,Model!$R$2:$R$636,0)))</f>
        <v/>
      </c>
      <c r="C331">
        <f>IF($K331="","",HYPERLINK(INDEX(Raw_data!$C$2:$C$636,MATCH($K331,Model!$R$2:$R$636,0)),INDEX(Raw_data!$C$2:$C$636,MATCH($K331,Model!$R$2:$R$636,0))))</f>
        <v/>
      </c>
      <c r="D331">
        <f>IF($K331="","",INDEX(Raw_data!$AL$2:$AL$636,MATCH($K331,Model!$R$2:$R$636,0)))</f>
        <v/>
      </c>
      <c r="E331">
        <f>IF($K331="","",INDEX(Raw_data!$AM$2:$AM$636,MATCH($K331,Model!$R$2:$R$636,0)))</f>
        <v/>
      </c>
      <c r="F331">
        <f>IF($K331="","",INDEX(Raw_data!$AQ$2:$AQ$636,MATCH($K331,Model!$R$2:$R$636,0)))</f>
        <v/>
      </c>
      <c r="G331">
        <f>IF($K331="","",INDEX(Raw_data!$H$2:$H$636,MATCH($K331,Model!$R$2:$R$636,0)))</f>
        <v/>
      </c>
      <c r="H331" s="8">
        <f>IF($K331="","",INDEX(Model!$B$2:$B$636,MATCH($K331,Model!$R$2:$R$636,0)))</f>
        <v/>
      </c>
      <c r="I331" s="8">
        <f>IF($K331="","",INDEX(Model!$C$2:$C$636,MATCH($K331,Model!$R$2:$R$636,0)))</f>
        <v/>
      </c>
      <c r="J331">
        <f>IF($K331="","",INDEX(Model!$D$2:$D$636,MATCH($K331,Model!$R$2:$R$636,0)))</f>
        <v/>
      </c>
      <c r="K331">
        <f>IF(295&lt;=$E$5,LARGE(Model!$R$2:$R$636,295),"")</f>
        <v/>
      </c>
    </row>
    <row r="332">
      <c r="A332">
        <f>IF($K332="","",INDEX(Raw_data!$D$2:$D$636,MATCH($K332,Model!$R$2:$R$636,0)))</f>
        <v/>
      </c>
      <c r="B332" s="11">
        <f>IF($K332="","",INDEX(Raw_data!$F$2:$F$636,MATCH($K332,Model!$R$2:$R$636,0)))</f>
        <v/>
      </c>
      <c r="C332">
        <f>IF($K332="","",HYPERLINK(INDEX(Raw_data!$C$2:$C$636,MATCH($K332,Model!$R$2:$R$636,0)),INDEX(Raw_data!$C$2:$C$636,MATCH($K332,Model!$R$2:$R$636,0))))</f>
        <v/>
      </c>
      <c r="D332">
        <f>IF($K332="","",INDEX(Raw_data!$AL$2:$AL$636,MATCH($K332,Model!$R$2:$R$636,0)))</f>
        <v/>
      </c>
      <c r="E332">
        <f>IF($K332="","",INDEX(Raw_data!$AM$2:$AM$636,MATCH($K332,Model!$R$2:$R$636,0)))</f>
        <v/>
      </c>
      <c r="F332">
        <f>IF($K332="","",INDEX(Raw_data!$AQ$2:$AQ$636,MATCH($K332,Model!$R$2:$R$636,0)))</f>
        <v/>
      </c>
      <c r="G332">
        <f>IF($K332="","",INDEX(Raw_data!$H$2:$H$636,MATCH($K332,Model!$R$2:$R$636,0)))</f>
        <v/>
      </c>
      <c r="H332" s="8">
        <f>IF($K332="","",INDEX(Model!$B$2:$B$636,MATCH($K332,Model!$R$2:$R$636,0)))</f>
        <v/>
      </c>
      <c r="I332" s="8">
        <f>IF($K332="","",INDEX(Model!$C$2:$C$636,MATCH($K332,Model!$R$2:$R$636,0)))</f>
        <v/>
      </c>
      <c r="J332">
        <f>IF($K332="","",INDEX(Model!$D$2:$D$636,MATCH($K332,Model!$R$2:$R$636,0)))</f>
        <v/>
      </c>
      <c r="K332">
        <f>IF(296&lt;=$E$5,LARGE(Model!$R$2:$R$636,296),"")</f>
        <v/>
      </c>
    </row>
    <row r="333">
      <c r="A333">
        <f>IF($K333="","",INDEX(Raw_data!$D$2:$D$636,MATCH($K333,Model!$R$2:$R$636,0)))</f>
        <v/>
      </c>
      <c r="B333" s="11">
        <f>IF($K333="","",INDEX(Raw_data!$F$2:$F$636,MATCH($K333,Model!$R$2:$R$636,0)))</f>
        <v/>
      </c>
      <c r="C333">
        <f>IF($K333="","",HYPERLINK(INDEX(Raw_data!$C$2:$C$636,MATCH($K333,Model!$R$2:$R$636,0)),INDEX(Raw_data!$C$2:$C$636,MATCH($K333,Model!$R$2:$R$636,0))))</f>
        <v/>
      </c>
      <c r="D333">
        <f>IF($K333="","",INDEX(Raw_data!$AL$2:$AL$636,MATCH($K333,Model!$R$2:$R$636,0)))</f>
        <v/>
      </c>
      <c r="E333">
        <f>IF($K333="","",INDEX(Raw_data!$AM$2:$AM$636,MATCH($K333,Model!$R$2:$R$636,0)))</f>
        <v/>
      </c>
      <c r="F333">
        <f>IF($K333="","",INDEX(Raw_data!$AQ$2:$AQ$636,MATCH($K333,Model!$R$2:$R$636,0)))</f>
        <v/>
      </c>
      <c r="G333">
        <f>IF($K333="","",INDEX(Raw_data!$H$2:$H$636,MATCH($K333,Model!$R$2:$R$636,0)))</f>
        <v/>
      </c>
      <c r="H333" s="8">
        <f>IF($K333="","",INDEX(Model!$B$2:$B$636,MATCH($K333,Model!$R$2:$R$636,0)))</f>
        <v/>
      </c>
      <c r="I333" s="8">
        <f>IF($K333="","",INDEX(Model!$C$2:$C$636,MATCH($K333,Model!$R$2:$R$636,0)))</f>
        <v/>
      </c>
      <c r="J333">
        <f>IF($K333="","",INDEX(Model!$D$2:$D$636,MATCH($K333,Model!$R$2:$R$636,0)))</f>
        <v/>
      </c>
      <c r="K333">
        <f>IF(297&lt;=$E$5,LARGE(Model!$R$2:$R$636,297),"")</f>
        <v/>
      </c>
    </row>
    <row r="334">
      <c r="A334">
        <f>IF($K334="","",INDEX(Raw_data!$D$2:$D$636,MATCH($K334,Model!$R$2:$R$636,0)))</f>
        <v/>
      </c>
      <c r="B334" s="11">
        <f>IF($K334="","",INDEX(Raw_data!$F$2:$F$636,MATCH($K334,Model!$R$2:$R$636,0)))</f>
        <v/>
      </c>
      <c r="C334">
        <f>IF($K334="","",HYPERLINK(INDEX(Raw_data!$C$2:$C$636,MATCH($K334,Model!$R$2:$R$636,0)),INDEX(Raw_data!$C$2:$C$636,MATCH($K334,Model!$R$2:$R$636,0))))</f>
        <v/>
      </c>
      <c r="D334">
        <f>IF($K334="","",INDEX(Raw_data!$AL$2:$AL$636,MATCH($K334,Model!$R$2:$R$636,0)))</f>
        <v/>
      </c>
      <c r="E334">
        <f>IF($K334="","",INDEX(Raw_data!$AM$2:$AM$636,MATCH($K334,Model!$R$2:$R$636,0)))</f>
        <v/>
      </c>
      <c r="F334">
        <f>IF($K334="","",INDEX(Raw_data!$AQ$2:$AQ$636,MATCH($K334,Model!$R$2:$R$636,0)))</f>
        <v/>
      </c>
      <c r="G334">
        <f>IF($K334="","",INDEX(Raw_data!$H$2:$H$636,MATCH($K334,Model!$R$2:$R$636,0)))</f>
        <v/>
      </c>
      <c r="H334" s="8">
        <f>IF($K334="","",INDEX(Model!$B$2:$B$636,MATCH($K334,Model!$R$2:$R$636,0)))</f>
        <v/>
      </c>
      <c r="I334" s="8">
        <f>IF($K334="","",INDEX(Model!$C$2:$C$636,MATCH($K334,Model!$R$2:$R$636,0)))</f>
        <v/>
      </c>
      <c r="J334">
        <f>IF($K334="","",INDEX(Model!$D$2:$D$636,MATCH($K334,Model!$R$2:$R$636,0)))</f>
        <v/>
      </c>
      <c r="K334">
        <f>IF(298&lt;=$E$5,LARGE(Model!$R$2:$R$636,298),"")</f>
        <v/>
      </c>
    </row>
    <row r="335">
      <c r="A335">
        <f>IF($K335="","",INDEX(Raw_data!$D$2:$D$636,MATCH($K335,Model!$R$2:$R$636,0)))</f>
        <v/>
      </c>
      <c r="B335" s="11">
        <f>IF($K335="","",INDEX(Raw_data!$F$2:$F$636,MATCH($K335,Model!$R$2:$R$636,0)))</f>
        <v/>
      </c>
      <c r="C335">
        <f>IF($K335="","",HYPERLINK(INDEX(Raw_data!$C$2:$C$636,MATCH($K335,Model!$R$2:$R$636,0)),INDEX(Raw_data!$C$2:$C$636,MATCH($K335,Model!$R$2:$R$636,0))))</f>
        <v/>
      </c>
      <c r="D335">
        <f>IF($K335="","",INDEX(Raw_data!$AL$2:$AL$636,MATCH($K335,Model!$R$2:$R$636,0)))</f>
        <v/>
      </c>
      <c r="E335">
        <f>IF($K335="","",INDEX(Raw_data!$AM$2:$AM$636,MATCH($K335,Model!$R$2:$R$636,0)))</f>
        <v/>
      </c>
      <c r="F335">
        <f>IF($K335="","",INDEX(Raw_data!$AQ$2:$AQ$636,MATCH($K335,Model!$R$2:$R$636,0)))</f>
        <v/>
      </c>
      <c r="G335">
        <f>IF($K335="","",INDEX(Raw_data!$H$2:$H$636,MATCH($K335,Model!$R$2:$R$636,0)))</f>
        <v/>
      </c>
      <c r="H335" s="8">
        <f>IF($K335="","",INDEX(Model!$B$2:$B$636,MATCH($K335,Model!$R$2:$R$636,0)))</f>
        <v/>
      </c>
      <c r="I335" s="8">
        <f>IF($K335="","",INDEX(Model!$C$2:$C$636,MATCH($K335,Model!$R$2:$R$636,0)))</f>
        <v/>
      </c>
      <c r="J335">
        <f>IF($K335="","",INDEX(Model!$D$2:$D$636,MATCH($K335,Model!$R$2:$R$636,0)))</f>
        <v/>
      </c>
      <c r="K335">
        <f>IF(299&lt;=$E$5,LARGE(Model!$R$2:$R$636,299),"")</f>
        <v/>
      </c>
    </row>
    <row r="336">
      <c r="A336">
        <f>IF($K336="","",INDEX(Raw_data!$D$2:$D$636,MATCH($K336,Model!$R$2:$R$636,0)))</f>
        <v/>
      </c>
      <c r="B336" s="11">
        <f>IF($K336="","",INDEX(Raw_data!$F$2:$F$636,MATCH($K336,Model!$R$2:$R$636,0)))</f>
        <v/>
      </c>
      <c r="C336">
        <f>IF($K336="","",HYPERLINK(INDEX(Raw_data!$C$2:$C$636,MATCH($K336,Model!$R$2:$R$636,0)),INDEX(Raw_data!$C$2:$C$636,MATCH($K336,Model!$R$2:$R$636,0))))</f>
        <v/>
      </c>
      <c r="D336">
        <f>IF($K336="","",INDEX(Raw_data!$AL$2:$AL$636,MATCH($K336,Model!$R$2:$R$636,0)))</f>
        <v/>
      </c>
      <c r="E336">
        <f>IF($K336="","",INDEX(Raw_data!$AM$2:$AM$636,MATCH($K336,Model!$R$2:$R$636,0)))</f>
        <v/>
      </c>
      <c r="F336">
        <f>IF($K336="","",INDEX(Raw_data!$AQ$2:$AQ$636,MATCH($K336,Model!$R$2:$R$636,0)))</f>
        <v/>
      </c>
      <c r="G336">
        <f>IF($K336="","",INDEX(Raw_data!$H$2:$H$636,MATCH($K336,Model!$R$2:$R$636,0)))</f>
        <v/>
      </c>
      <c r="H336" s="8">
        <f>IF($K336="","",INDEX(Model!$B$2:$B$636,MATCH($K336,Model!$R$2:$R$636,0)))</f>
        <v/>
      </c>
      <c r="I336" s="8">
        <f>IF($K336="","",INDEX(Model!$C$2:$C$636,MATCH($K336,Model!$R$2:$R$636,0)))</f>
        <v/>
      </c>
      <c r="J336">
        <f>IF($K336="","",INDEX(Model!$D$2:$D$636,MATCH($K336,Model!$R$2:$R$636,0)))</f>
        <v/>
      </c>
      <c r="K336">
        <f>IF(300&lt;=$E$5,LARGE(Model!$R$2:$R$636,300),"")</f>
        <v/>
      </c>
    </row>
    <row r="337">
      <c r="A337">
        <f>IF($K337="","",INDEX(Raw_data!$D$2:$D$636,MATCH($K337,Model!$R$2:$R$636,0)))</f>
        <v/>
      </c>
      <c r="B337" s="11">
        <f>IF($K337="","",INDEX(Raw_data!$F$2:$F$636,MATCH($K337,Model!$R$2:$R$636,0)))</f>
        <v/>
      </c>
      <c r="C337">
        <f>IF($K337="","",HYPERLINK(INDEX(Raw_data!$C$2:$C$636,MATCH($K337,Model!$R$2:$R$636,0)),INDEX(Raw_data!$C$2:$C$636,MATCH($K337,Model!$R$2:$R$636,0))))</f>
        <v/>
      </c>
      <c r="D337">
        <f>IF($K337="","",INDEX(Raw_data!$AL$2:$AL$636,MATCH($K337,Model!$R$2:$R$636,0)))</f>
        <v/>
      </c>
      <c r="E337">
        <f>IF($K337="","",INDEX(Raw_data!$AM$2:$AM$636,MATCH($K337,Model!$R$2:$R$636,0)))</f>
        <v/>
      </c>
      <c r="F337">
        <f>IF($K337="","",INDEX(Raw_data!$AQ$2:$AQ$636,MATCH($K337,Model!$R$2:$R$636,0)))</f>
        <v/>
      </c>
      <c r="G337">
        <f>IF($K337="","",INDEX(Raw_data!$H$2:$H$636,MATCH($K337,Model!$R$2:$R$636,0)))</f>
        <v/>
      </c>
      <c r="H337" s="8">
        <f>IF($K337="","",INDEX(Model!$B$2:$B$636,MATCH($K337,Model!$R$2:$R$636,0)))</f>
        <v/>
      </c>
      <c r="I337" s="8">
        <f>IF($K337="","",INDEX(Model!$C$2:$C$636,MATCH($K337,Model!$R$2:$R$636,0)))</f>
        <v/>
      </c>
      <c r="J337">
        <f>IF($K337="","",INDEX(Model!$D$2:$D$636,MATCH($K337,Model!$R$2:$R$636,0)))</f>
        <v/>
      </c>
      <c r="K337">
        <f>IF(301&lt;=$E$5,LARGE(Model!$R$2:$R$636,301),"")</f>
        <v/>
      </c>
    </row>
    <row r="338">
      <c r="A338">
        <f>IF($K338="","",INDEX(Raw_data!$D$2:$D$636,MATCH($K338,Model!$R$2:$R$636,0)))</f>
        <v/>
      </c>
      <c r="B338" s="11">
        <f>IF($K338="","",INDEX(Raw_data!$F$2:$F$636,MATCH($K338,Model!$R$2:$R$636,0)))</f>
        <v/>
      </c>
      <c r="C338">
        <f>IF($K338="","",HYPERLINK(INDEX(Raw_data!$C$2:$C$636,MATCH($K338,Model!$R$2:$R$636,0)),INDEX(Raw_data!$C$2:$C$636,MATCH($K338,Model!$R$2:$R$636,0))))</f>
        <v/>
      </c>
      <c r="D338">
        <f>IF($K338="","",INDEX(Raw_data!$AL$2:$AL$636,MATCH($K338,Model!$R$2:$R$636,0)))</f>
        <v/>
      </c>
      <c r="E338">
        <f>IF($K338="","",INDEX(Raw_data!$AM$2:$AM$636,MATCH($K338,Model!$R$2:$R$636,0)))</f>
        <v/>
      </c>
      <c r="F338">
        <f>IF($K338="","",INDEX(Raw_data!$AQ$2:$AQ$636,MATCH($K338,Model!$R$2:$R$636,0)))</f>
        <v/>
      </c>
      <c r="G338">
        <f>IF($K338="","",INDEX(Raw_data!$H$2:$H$636,MATCH($K338,Model!$R$2:$R$636,0)))</f>
        <v/>
      </c>
      <c r="H338" s="8">
        <f>IF($K338="","",INDEX(Model!$B$2:$B$636,MATCH($K338,Model!$R$2:$R$636,0)))</f>
        <v/>
      </c>
      <c r="I338" s="8">
        <f>IF($K338="","",INDEX(Model!$C$2:$C$636,MATCH($K338,Model!$R$2:$R$636,0)))</f>
        <v/>
      </c>
      <c r="J338">
        <f>IF($K338="","",INDEX(Model!$D$2:$D$636,MATCH($K338,Model!$R$2:$R$636,0)))</f>
        <v/>
      </c>
      <c r="K338">
        <f>IF(302&lt;=$E$5,LARGE(Model!$R$2:$R$636,302),"")</f>
        <v/>
      </c>
    </row>
    <row r="339">
      <c r="A339">
        <f>IF($K339="","",INDEX(Raw_data!$D$2:$D$636,MATCH($K339,Model!$R$2:$R$636,0)))</f>
        <v/>
      </c>
      <c r="B339" s="11">
        <f>IF($K339="","",INDEX(Raw_data!$F$2:$F$636,MATCH($K339,Model!$R$2:$R$636,0)))</f>
        <v/>
      </c>
      <c r="C339">
        <f>IF($K339="","",HYPERLINK(INDEX(Raw_data!$C$2:$C$636,MATCH($K339,Model!$R$2:$R$636,0)),INDEX(Raw_data!$C$2:$C$636,MATCH($K339,Model!$R$2:$R$636,0))))</f>
        <v/>
      </c>
      <c r="D339">
        <f>IF($K339="","",INDEX(Raw_data!$AL$2:$AL$636,MATCH($K339,Model!$R$2:$R$636,0)))</f>
        <v/>
      </c>
      <c r="E339">
        <f>IF($K339="","",INDEX(Raw_data!$AM$2:$AM$636,MATCH($K339,Model!$R$2:$R$636,0)))</f>
        <v/>
      </c>
      <c r="F339">
        <f>IF($K339="","",INDEX(Raw_data!$AQ$2:$AQ$636,MATCH($K339,Model!$R$2:$R$636,0)))</f>
        <v/>
      </c>
      <c r="G339">
        <f>IF($K339="","",INDEX(Raw_data!$H$2:$H$636,MATCH($K339,Model!$R$2:$R$636,0)))</f>
        <v/>
      </c>
      <c r="H339" s="8">
        <f>IF($K339="","",INDEX(Model!$B$2:$B$636,MATCH($K339,Model!$R$2:$R$636,0)))</f>
        <v/>
      </c>
      <c r="I339" s="8">
        <f>IF($K339="","",INDEX(Model!$C$2:$C$636,MATCH($K339,Model!$R$2:$R$636,0)))</f>
        <v/>
      </c>
      <c r="J339">
        <f>IF($K339="","",INDEX(Model!$D$2:$D$636,MATCH($K339,Model!$R$2:$R$636,0)))</f>
        <v/>
      </c>
      <c r="K339">
        <f>IF(303&lt;=$E$5,LARGE(Model!$R$2:$R$636,303),"")</f>
        <v/>
      </c>
    </row>
    <row r="340">
      <c r="A340">
        <f>IF($K340="","",INDEX(Raw_data!$D$2:$D$636,MATCH($K340,Model!$R$2:$R$636,0)))</f>
        <v/>
      </c>
      <c r="B340" s="11">
        <f>IF($K340="","",INDEX(Raw_data!$F$2:$F$636,MATCH($K340,Model!$R$2:$R$636,0)))</f>
        <v/>
      </c>
      <c r="C340">
        <f>IF($K340="","",HYPERLINK(INDEX(Raw_data!$C$2:$C$636,MATCH($K340,Model!$R$2:$R$636,0)),INDEX(Raw_data!$C$2:$C$636,MATCH($K340,Model!$R$2:$R$636,0))))</f>
        <v/>
      </c>
      <c r="D340">
        <f>IF($K340="","",INDEX(Raw_data!$AL$2:$AL$636,MATCH($K340,Model!$R$2:$R$636,0)))</f>
        <v/>
      </c>
      <c r="E340">
        <f>IF($K340="","",INDEX(Raw_data!$AM$2:$AM$636,MATCH($K340,Model!$R$2:$R$636,0)))</f>
        <v/>
      </c>
      <c r="F340">
        <f>IF($K340="","",INDEX(Raw_data!$AQ$2:$AQ$636,MATCH($K340,Model!$R$2:$R$636,0)))</f>
        <v/>
      </c>
      <c r="G340">
        <f>IF($K340="","",INDEX(Raw_data!$H$2:$H$636,MATCH($K340,Model!$R$2:$R$636,0)))</f>
        <v/>
      </c>
      <c r="H340" s="8">
        <f>IF($K340="","",INDEX(Model!$B$2:$B$636,MATCH($K340,Model!$R$2:$R$636,0)))</f>
        <v/>
      </c>
      <c r="I340" s="8">
        <f>IF($K340="","",INDEX(Model!$C$2:$C$636,MATCH($K340,Model!$R$2:$R$636,0)))</f>
        <v/>
      </c>
      <c r="J340">
        <f>IF($K340="","",INDEX(Model!$D$2:$D$636,MATCH($K340,Model!$R$2:$R$636,0)))</f>
        <v/>
      </c>
      <c r="K340">
        <f>IF(304&lt;=$E$5,LARGE(Model!$R$2:$R$636,304),"")</f>
        <v/>
      </c>
    </row>
    <row r="341">
      <c r="A341">
        <f>IF($K341="","",INDEX(Raw_data!$D$2:$D$636,MATCH($K341,Model!$R$2:$R$636,0)))</f>
        <v/>
      </c>
      <c r="B341" s="11">
        <f>IF($K341="","",INDEX(Raw_data!$F$2:$F$636,MATCH($K341,Model!$R$2:$R$636,0)))</f>
        <v/>
      </c>
      <c r="C341">
        <f>IF($K341="","",HYPERLINK(INDEX(Raw_data!$C$2:$C$636,MATCH($K341,Model!$R$2:$R$636,0)),INDEX(Raw_data!$C$2:$C$636,MATCH($K341,Model!$R$2:$R$636,0))))</f>
        <v/>
      </c>
      <c r="D341">
        <f>IF($K341="","",INDEX(Raw_data!$AL$2:$AL$636,MATCH($K341,Model!$R$2:$R$636,0)))</f>
        <v/>
      </c>
      <c r="E341">
        <f>IF($K341="","",INDEX(Raw_data!$AM$2:$AM$636,MATCH($K341,Model!$R$2:$R$636,0)))</f>
        <v/>
      </c>
      <c r="F341">
        <f>IF($K341="","",INDEX(Raw_data!$AQ$2:$AQ$636,MATCH($K341,Model!$R$2:$R$636,0)))</f>
        <v/>
      </c>
      <c r="G341">
        <f>IF($K341="","",INDEX(Raw_data!$H$2:$H$636,MATCH($K341,Model!$R$2:$R$636,0)))</f>
        <v/>
      </c>
      <c r="H341" s="8">
        <f>IF($K341="","",INDEX(Model!$B$2:$B$636,MATCH($K341,Model!$R$2:$R$636,0)))</f>
        <v/>
      </c>
      <c r="I341" s="8">
        <f>IF($K341="","",INDEX(Model!$C$2:$C$636,MATCH($K341,Model!$R$2:$R$636,0)))</f>
        <v/>
      </c>
      <c r="J341">
        <f>IF($K341="","",INDEX(Model!$D$2:$D$636,MATCH($K341,Model!$R$2:$R$636,0)))</f>
        <v/>
      </c>
      <c r="K341">
        <f>IF(305&lt;=$E$5,LARGE(Model!$R$2:$R$636,305),"")</f>
        <v/>
      </c>
    </row>
    <row r="342">
      <c r="A342">
        <f>IF($K342="","",INDEX(Raw_data!$D$2:$D$636,MATCH($K342,Model!$R$2:$R$636,0)))</f>
        <v/>
      </c>
      <c r="B342" s="11">
        <f>IF($K342="","",INDEX(Raw_data!$F$2:$F$636,MATCH($K342,Model!$R$2:$R$636,0)))</f>
        <v/>
      </c>
      <c r="C342">
        <f>IF($K342="","",HYPERLINK(INDEX(Raw_data!$C$2:$C$636,MATCH($K342,Model!$R$2:$R$636,0)),INDEX(Raw_data!$C$2:$C$636,MATCH($K342,Model!$R$2:$R$636,0))))</f>
        <v/>
      </c>
      <c r="D342">
        <f>IF($K342="","",INDEX(Raw_data!$AL$2:$AL$636,MATCH($K342,Model!$R$2:$R$636,0)))</f>
        <v/>
      </c>
      <c r="E342">
        <f>IF($K342="","",INDEX(Raw_data!$AM$2:$AM$636,MATCH($K342,Model!$R$2:$R$636,0)))</f>
        <v/>
      </c>
      <c r="F342">
        <f>IF($K342="","",INDEX(Raw_data!$AQ$2:$AQ$636,MATCH($K342,Model!$R$2:$R$636,0)))</f>
        <v/>
      </c>
      <c r="G342">
        <f>IF($K342="","",INDEX(Raw_data!$H$2:$H$636,MATCH($K342,Model!$R$2:$R$636,0)))</f>
        <v/>
      </c>
      <c r="H342" s="8">
        <f>IF($K342="","",INDEX(Model!$B$2:$B$636,MATCH($K342,Model!$R$2:$R$636,0)))</f>
        <v/>
      </c>
      <c r="I342" s="8">
        <f>IF($K342="","",INDEX(Model!$C$2:$C$636,MATCH($K342,Model!$R$2:$R$636,0)))</f>
        <v/>
      </c>
      <c r="J342">
        <f>IF($K342="","",INDEX(Model!$D$2:$D$636,MATCH($K342,Model!$R$2:$R$636,0)))</f>
        <v/>
      </c>
      <c r="K342">
        <f>IF(306&lt;=$E$5,LARGE(Model!$R$2:$R$636,306),"")</f>
        <v/>
      </c>
    </row>
    <row r="343">
      <c r="A343">
        <f>IF($K343="","",INDEX(Raw_data!$D$2:$D$636,MATCH($K343,Model!$R$2:$R$636,0)))</f>
        <v/>
      </c>
      <c r="B343" s="11">
        <f>IF($K343="","",INDEX(Raw_data!$F$2:$F$636,MATCH($K343,Model!$R$2:$R$636,0)))</f>
        <v/>
      </c>
      <c r="C343">
        <f>IF($K343="","",HYPERLINK(INDEX(Raw_data!$C$2:$C$636,MATCH($K343,Model!$R$2:$R$636,0)),INDEX(Raw_data!$C$2:$C$636,MATCH($K343,Model!$R$2:$R$636,0))))</f>
        <v/>
      </c>
      <c r="D343">
        <f>IF($K343="","",INDEX(Raw_data!$AL$2:$AL$636,MATCH($K343,Model!$R$2:$R$636,0)))</f>
        <v/>
      </c>
      <c r="E343">
        <f>IF($K343="","",INDEX(Raw_data!$AM$2:$AM$636,MATCH($K343,Model!$R$2:$R$636,0)))</f>
        <v/>
      </c>
      <c r="F343">
        <f>IF($K343="","",INDEX(Raw_data!$AQ$2:$AQ$636,MATCH($K343,Model!$R$2:$R$636,0)))</f>
        <v/>
      </c>
      <c r="G343">
        <f>IF($K343="","",INDEX(Raw_data!$H$2:$H$636,MATCH($K343,Model!$R$2:$R$636,0)))</f>
        <v/>
      </c>
      <c r="H343" s="8">
        <f>IF($K343="","",INDEX(Model!$B$2:$B$636,MATCH($K343,Model!$R$2:$R$636,0)))</f>
        <v/>
      </c>
      <c r="I343" s="8">
        <f>IF($K343="","",INDEX(Model!$C$2:$C$636,MATCH($K343,Model!$R$2:$R$636,0)))</f>
        <v/>
      </c>
      <c r="J343">
        <f>IF($K343="","",INDEX(Model!$D$2:$D$636,MATCH($K343,Model!$R$2:$R$636,0)))</f>
        <v/>
      </c>
      <c r="K343">
        <f>IF(307&lt;=$E$5,LARGE(Model!$R$2:$R$636,307),"")</f>
        <v/>
      </c>
    </row>
    <row r="344">
      <c r="A344">
        <f>IF($K344="","",INDEX(Raw_data!$D$2:$D$636,MATCH($K344,Model!$R$2:$R$636,0)))</f>
        <v/>
      </c>
      <c r="B344" s="11">
        <f>IF($K344="","",INDEX(Raw_data!$F$2:$F$636,MATCH($K344,Model!$R$2:$R$636,0)))</f>
        <v/>
      </c>
      <c r="C344">
        <f>IF($K344="","",HYPERLINK(INDEX(Raw_data!$C$2:$C$636,MATCH($K344,Model!$R$2:$R$636,0)),INDEX(Raw_data!$C$2:$C$636,MATCH($K344,Model!$R$2:$R$636,0))))</f>
        <v/>
      </c>
      <c r="D344">
        <f>IF($K344="","",INDEX(Raw_data!$AL$2:$AL$636,MATCH($K344,Model!$R$2:$R$636,0)))</f>
        <v/>
      </c>
      <c r="E344">
        <f>IF($K344="","",INDEX(Raw_data!$AM$2:$AM$636,MATCH($K344,Model!$R$2:$R$636,0)))</f>
        <v/>
      </c>
      <c r="F344">
        <f>IF($K344="","",INDEX(Raw_data!$AQ$2:$AQ$636,MATCH($K344,Model!$R$2:$R$636,0)))</f>
        <v/>
      </c>
      <c r="G344">
        <f>IF($K344="","",INDEX(Raw_data!$H$2:$H$636,MATCH($K344,Model!$R$2:$R$636,0)))</f>
        <v/>
      </c>
      <c r="H344" s="8">
        <f>IF($K344="","",INDEX(Model!$B$2:$B$636,MATCH($K344,Model!$R$2:$R$636,0)))</f>
        <v/>
      </c>
      <c r="I344" s="8">
        <f>IF($K344="","",INDEX(Model!$C$2:$C$636,MATCH($K344,Model!$R$2:$R$636,0)))</f>
        <v/>
      </c>
      <c r="J344">
        <f>IF($K344="","",INDEX(Model!$D$2:$D$636,MATCH($K344,Model!$R$2:$R$636,0)))</f>
        <v/>
      </c>
      <c r="K344">
        <f>IF(308&lt;=$E$5,LARGE(Model!$R$2:$R$636,308),"")</f>
        <v/>
      </c>
    </row>
    <row r="345">
      <c r="A345">
        <f>IF($K345="","",INDEX(Raw_data!$D$2:$D$636,MATCH($K345,Model!$R$2:$R$636,0)))</f>
        <v/>
      </c>
      <c r="B345" s="11">
        <f>IF($K345="","",INDEX(Raw_data!$F$2:$F$636,MATCH($K345,Model!$R$2:$R$636,0)))</f>
        <v/>
      </c>
      <c r="C345">
        <f>IF($K345="","",HYPERLINK(INDEX(Raw_data!$C$2:$C$636,MATCH($K345,Model!$R$2:$R$636,0)),INDEX(Raw_data!$C$2:$C$636,MATCH($K345,Model!$R$2:$R$636,0))))</f>
        <v/>
      </c>
      <c r="D345">
        <f>IF($K345="","",INDEX(Raw_data!$AL$2:$AL$636,MATCH($K345,Model!$R$2:$R$636,0)))</f>
        <v/>
      </c>
      <c r="E345">
        <f>IF($K345="","",INDEX(Raw_data!$AM$2:$AM$636,MATCH($K345,Model!$R$2:$R$636,0)))</f>
        <v/>
      </c>
      <c r="F345">
        <f>IF($K345="","",INDEX(Raw_data!$AQ$2:$AQ$636,MATCH($K345,Model!$R$2:$R$636,0)))</f>
        <v/>
      </c>
      <c r="G345">
        <f>IF($K345="","",INDEX(Raw_data!$H$2:$H$636,MATCH($K345,Model!$R$2:$R$636,0)))</f>
        <v/>
      </c>
      <c r="H345" s="8">
        <f>IF($K345="","",INDEX(Model!$B$2:$B$636,MATCH($K345,Model!$R$2:$R$636,0)))</f>
        <v/>
      </c>
      <c r="I345" s="8">
        <f>IF($K345="","",INDEX(Model!$C$2:$C$636,MATCH($K345,Model!$R$2:$R$636,0)))</f>
        <v/>
      </c>
      <c r="J345">
        <f>IF($K345="","",INDEX(Model!$D$2:$D$636,MATCH($K345,Model!$R$2:$R$636,0)))</f>
        <v/>
      </c>
      <c r="K345">
        <f>IF(309&lt;=$E$5,LARGE(Model!$R$2:$R$636,309),"")</f>
        <v/>
      </c>
    </row>
    <row r="346">
      <c r="A346">
        <f>IF($K346="","",INDEX(Raw_data!$D$2:$D$636,MATCH($K346,Model!$R$2:$R$636,0)))</f>
        <v/>
      </c>
      <c r="B346" s="11">
        <f>IF($K346="","",INDEX(Raw_data!$F$2:$F$636,MATCH($K346,Model!$R$2:$R$636,0)))</f>
        <v/>
      </c>
      <c r="C346">
        <f>IF($K346="","",HYPERLINK(INDEX(Raw_data!$C$2:$C$636,MATCH($K346,Model!$R$2:$R$636,0)),INDEX(Raw_data!$C$2:$C$636,MATCH($K346,Model!$R$2:$R$636,0))))</f>
        <v/>
      </c>
      <c r="D346">
        <f>IF($K346="","",INDEX(Raw_data!$AL$2:$AL$636,MATCH($K346,Model!$R$2:$R$636,0)))</f>
        <v/>
      </c>
      <c r="E346">
        <f>IF($K346="","",INDEX(Raw_data!$AM$2:$AM$636,MATCH($K346,Model!$R$2:$R$636,0)))</f>
        <v/>
      </c>
      <c r="F346">
        <f>IF($K346="","",INDEX(Raw_data!$AQ$2:$AQ$636,MATCH($K346,Model!$R$2:$R$636,0)))</f>
        <v/>
      </c>
      <c r="G346">
        <f>IF($K346="","",INDEX(Raw_data!$H$2:$H$636,MATCH($K346,Model!$R$2:$R$636,0)))</f>
        <v/>
      </c>
      <c r="H346" s="8">
        <f>IF($K346="","",INDEX(Model!$B$2:$B$636,MATCH($K346,Model!$R$2:$R$636,0)))</f>
        <v/>
      </c>
      <c r="I346" s="8">
        <f>IF($K346="","",INDEX(Model!$C$2:$C$636,MATCH($K346,Model!$R$2:$R$636,0)))</f>
        <v/>
      </c>
      <c r="J346">
        <f>IF($K346="","",INDEX(Model!$D$2:$D$636,MATCH($K346,Model!$R$2:$R$636,0)))</f>
        <v/>
      </c>
      <c r="K346">
        <f>IF(310&lt;=$E$5,LARGE(Model!$R$2:$R$636,310),"")</f>
        <v/>
      </c>
    </row>
    <row r="347">
      <c r="A347">
        <f>IF($K347="","",INDEX(Raw_data!$D$2:$D$636,MATCH($K347,Model!$R$2:$R$636,0)))</f>
        <v/>
      </c>
      <c r="B347" s="11">
        <f>IF($K347="","",INDEX(Raw_data!$F$2:$F$636,MATCH($K347,Model!$R$2:$R$636,0)))</f>
        <v/>
      </c>
      <c r="C347">
        <f>IF($K347="","",HYPERLINK(INDEX(Raw_data!$C$2:$C$636,MATCH($K347,Model!$R$2:$R$636,0)),INDEX(Raw_data!$C$2:$C$636,MATCH($K347,Model!$R$2:$R$636,0))))</f>
        <v/>
      </c>
      <c r="D347">
        <f>IF($K347="","",INDEX(Raw_data!$AL$2:$AL$636,MATCH($K347,Model!$R$2:$R$636,0)))</f>
        <v/>
      </c>
      <c r="E347">
        <f>IF($K347="","",INDEX(Raw_data!$AM$2:$AM$636,MATCH($K347,Model!$R$2:$R$636,0)))</f>
        <v/>
      </c>
      <c r="F347">
        <f>IF($K347="","",INDEX(Raw_data!$AQ$2:$AQ$636,MATCH($K347,Model!$R$2:$R$636,0)))</f>
        <v/>
      </c>
      <c r="G347">
        <f>IF($K347="","",INDEX(Raw_data!$H$2:$H$636,MATCH($K347,Model!$R$2:$R$636,0)))</f>
        <v/>
      </c>
      <c r="H347" s="8">
        <f>IF($K347="","",INDEX(Model!$B$2:$B$636,MATCH($K347,Model!$R$2:$R$636,0)))</f>
        <v/>
      </c>
      <c r="I347" s="8">
        <f>IF($K347="","",INDEX(Model!$C$2:$C$636,MATCH($K347,Model!$R$2:$R$636,0)))</f>
        <v/>
      </c>
      <c r="J347">
        <f>IF($K347="","",INDEX(Model!$D$2:$D$636,MATCH($K347,Model!$R$2:$R$636,0)))</f>
        <v/>
      </c>
      <c r="K347">
        <f>IF(311&lt;=$E$5,LARGE(Model!$R$2:$R$636,311),"")</f>
        <v/>
      </c>
    </row>
    <row r="348">
      <c r="A348">
        <f>IF($K348="","",INDEX(Raw_data!$D$2:$D$636,MATCH($K348,Model!$R$2:$R$636,0)))</f>
        <v/>
      </c>
      <c r="B348" s="11">
        <f>IF($K348="","",INDEX(Raw_data!$F$2:$F$636,MATCH($K348,Model!$R$2:$R$636,0)))</f>
        <v/>
      </c>
      <c r="C348">
        <f>IF($K348="","",HYPERLINK(INDEX(Raw_data!$C$2:$C$636,MATCH($K348,Model!$R$2:$R$636,0)),INDEX(Raw_data!$C$2:$C$636,MATCH($K348,Model!$R$2:$R$636,0))))</f>
        <v/>
      </c>
      <c r="D348">
        <f>IF($K348="","",INDEX(Raw_data!$AL$2:$AL$636,MATCH($K348,Model!$R$2:$R$636,0)))</f>
        <v/>
      </c>
      <c r="E348">
        <f>IF($K348="","",INDEX(Raw_data!$AM$2:$AM$636,MATCH($K348,Model!$R$2:$R$636,0)))</f>
        <v/>
      </c>
      <c r="F348">
        <f>IF($K348="","",INDEX(Raw_data!$AQ$2:$AQ$636,MATCH($K348,Model!$R$2:$R$636,0)))</f>
        <v/>
      </c>
      <c r="G348">
        <f>IF($K348="","",INDEX(Raw_data!$H$2:$H$636,MATCH($K348,Model!$R$2:$R$636,0)))</f>
        <v/>
      </c>
      <c r="H348" s="8">
        <f>IF($K348="","",INDEX(Model!$B$2:$B$636,MATCH($K348,Model!$R$2:$R$636,0)))</f>
        <v/>
      </c>
      <c r="I348" s="8">
        <f>IF($K348="","",INDEX(Model!$C$2:$C$636,MATCH($K348,Model!$R$2:$R$636,0)))</f>
        <v/>
      </c>
      <c r="J348">
        <f>IF($K348="","",INDEX(Model!$D$2:$D$636,MATCH($K348,Model!$R$2:$R$636,0)))</f>
        <v/>
      </c>
      <c r="K348">
        <f>IF(312&lt;=$E$5,LARGE(Model!$R$2:$R$636,312),"")</f>
        <v/>
      </c>
    </row>
    <row r="349">
      <c r="A349">
        <f>IF($K349="","",INDEX(Raw_data!$D$2:$D$636,MATCH($K349,Model!$R$2:$R$636,0)))</f>
        <v/>
      </c>
      <c r="B349" s="11">
        <f>IF($K349="","",INDEX(Raw_data!$F$2:$F$636,MATCH($K349,Model!$R$2:$R$636,0)))</f>
        <v/>
      </c>
      <c r="C349">
        <f>IF($K349="","",HYPERLINK(INDEX(Raw_data!$C$2:$C$636,MATCH($K349,Model!$R$2:$R$636,0)),INDEX(Raw_data!$C$2:$C$636,MATCH($K349,Model!$R$2:$R$636,0))))</f>
        <v/>
      </c>
      <c r="D349">
        <f>IF($K349="","",INDEX(Raw_data!$AL$2:$AL$636,MATCH($K349,Model!$R$2:$R$636,0)))</f>
        <v/>
      </c>
      <c r="E349">
        <f>IF($K349="","",INDEX(Raw_data!$AM$2:$AM$636,MATCH($K349,Model!$R$2:$R$636,0)))</f>
        <v/>
      </c>
      <c r="F349">
        <f>IF($K349="","",INDEX(Raw_data!$AQ$2:$AQ$636,MATCH($K349,Model!$R$2:$R$636,0)))</f>
        <v/>
      </c>
      <c r="G349">
        <f>IF($K349="","",INDEX(Raw_data!$H$2:$H$636,MATCH($K349,Model!$R$2:$R$636,0)))</f>
        <v/>
      </c>
      <c r="H349" s="8">
        <f>IF($K349="","",INDEX(Model!$B$2:$B$636,MATCH($K349,Model!$R$2:$R$636,0)))</f>
        <v/>
      </c>
      <c r="I349" s="8">
        <f>IF($K349="","",INDEX(Model!$C$2:$C$636,MATCH($K349,Model!$R$2:$R$636,0)))</f>
        <v/>
      </c>
      <c r="J349">
        <f>IF($K349="","",INDEX(Model!$D$2:$D$636,MATCH($K349,Model!$R$2:$R$636,0)))</f>
        <v/>
      </c>
      <c r="K349">
        <f>IF(313&lt;=$E$5,LARGE(Model!$R$2:$R$636,313),"")</f>
        <v/>
      </c>
    </row>
    <row r="350">
      <c r="A350">
        <f>IF($K350="","",INDEX(Raw_data!$D$2:$D$636,MATCH($K350,Model!$R$2:$R$636,0)))</f>
        <v/>
      </c>
      <c r="B350" s="11">
        <f>IF($K350="","",INDEX(Raw_data!$F$2:$F$636,MATCH($K350,Model!$R$2:$R$636,0)))</f>
        <v/>
      </c>
      <c r="C350">
        <f>IF($K350="","",HYPERLINK(INDEX(Raw_data!$C$2:$C$636,MATCH($K350,Model!$R$2:$R$636,0)),INDEX(Raw_data!$C$2:$C$636,MATCH($K350,Model!$R$2:$R$636,0))))</f>
        <v/>
      </c>
      <c r="D350">
        <f>IF($K350="","",INDEX(Raw_data!$AL$2:$AL$636,MATCH($K350,Model!$R$2:$R$636,0)))</f>
        <v/>
      </c>
      <c r="E350">
        <f>IF($K350="","",INDEX(Raw_data!$AM$2:$AM$636,MATCH($K350,Model!$R$2:$R$636,0)))</f>
        <v/>
      </c>
      <c r="F350">
        <f>IF($K350="","",INDEX(Raw_data!$AQ$2:$AQ$636,MATCH($K350,Model!$R$2:$R$636,0)))</f>
        <v/>
      </c>
      <c r="G350">
        <f>IF($K350="","",INDEX(Raw_data!$H$2:$H$636,MATCH($K350,Model!$R$2:$R$636,0)))</f>
        <v/>
      </c>
      <c r="H350" s="8">
        <f>IF($K350="","",INDEX(Model!$B$2:$B$636,MATCH($K350,Model!$R$2:$R$636,0)))</f>
        <v/>
      </c>
      <c r="I350" s="8">
        <f>IF($K350="","",INDEX(Model!$C$2:$C$636,MATCH($K350,Model!$R$2:$R$636,0)))</f>
        <v/>
      </c>
      <c r="J350">
        <f>IF($K350="","",INDEX(Model!$D$2:$D$636,MATCH($K350,Model!$R$2:$R$636,0)))</f>
        <v/>
      </c>
      <c r="K350">
        <f>IF(314&lt;=$E$5,LARGE(Model!$R$2:$R$636,314),"")</f>
        <v/>
      </c>
    </row>
    <row r="351">
      <c r="A351">
        <f>IF($K351="","",INDEX(Raw_data!$D$2:$D$636,MATCH($K351,Model!$R$2:$R$636,0)))</f>
        <v/>
      </c>
      <c r="B351" s="11">
        <f>IF($K351="","",INDEX(Raw_data!$F$2:$F$636,MATCH($K351,Model!$R$2:$R$636,0)))</f>
        <v/>
      </c>
      <c r="C351">
        <f>IF($K351="","",HYPERLINK(INDEX(Raw_data!$C$2:$C$636,MATCH($K351,Model!$R$2:$R$636,0)),INDEX(Raw_data!$C$2:$C$636,MATCH($K351,Model!$R$2:$R$636,0))))</f>
        <v/>
      </c>
      <c r="D351">
        <f>IF($K351="","",INDEX(Raw_data!$AL$2:$AL$636,MATCH($K351,Model!$R$2:$R$636,0)))</f>
        <v/>
      </c>
      <c r="E351">
        <f>IF($K351="","",INDEX(Raw_data!$AM$2:$AM$636,MATCH($K351,Model!$R$2:$R$636,0)))</f>
        <v/>
      </c>
      <c r="F351">
        <f>IF($K351="","",INDEX(Raw_data!$AQ$2:$AQ$636,MATCH($K351,Model!$R$2:$R$636,0)))</f>
        <v/>
      </c>
      <c r="G351">
        <f>IF($K351="","",INDEX(Raw_data!$H$2:$H$636,MATCH($K351,Model!$R$2:$R$636,0)))</f>
        <v/>
      </c>
      <c r="H351" s="8">
        <f>IF($K351="","",INDEX(Model!$B$2:$B$636,MATCH($K351,Model!$R$2:$R$636,0)))</f>
        <v/>
      </c>
      <c r="I351" s="8">
        <f>IF($K351="","",INDEX(Model!$C$2:$C$636,MATCH($K351,Model!$R$2:$R$636,0)))</f>
        <v/>
      </c>
      <c r="J351">
        <f>IF($K351="","",INDEX(Model!$D$2:$D$636,MATCH($K351,Model!$R$2:$R$636,0)))</f>
        <v/>
      </c>
      <c r="K351">
        <f>IF(315&lt;=$E$5,LARGE(Model!$R$2:$R$636,315),"")</f>
        <v/>
      </c>
    </row>
    <row r="352">
      <c r="A352">
        <f>IF($K352="","",INDEX(Raw_data!$D$2:$D$636,MATCH($K352,Model!$R$2:$R$636,0)))</f>
        <v/>
      </c>
      <c r="B352" s="11">
        <f>IF($K352="","",INDEX(Raw_data!$F$2:$F$636,MATCH($K352,Model!$R$2:$R$636,0)))</f>
        <v/>
      </c>
      <c r="C352">
        <f>IF($K352="","",HYPERLINK(INDEX(Raw_data!$C$2:$C$636,MATCH($K352,Model!$R$2:$R$636,0)),INDEX(Raw_data!$C$2:$C$636,MATCH($K352,Model!$R$2:$R$636,0))))</f>
        <v/>
      </c>
      <c r="D352">
        <f>IF($K352="","",INDEX(Raw_data!$AL$2:$AL$636,MATCH($K352,Model!$R$2:$R$636,0)))</f>
        <v/>
      </c>
      <c r="E352">
        <f>IF($K352="","",INDEX(Raw_data!$AM$2:$AM$636,MATCH($K352,Model!$R$2:$R$636,0)))</f>
        <v/>
      </c>
      <c r="F352">
        <f>IF($K352="","",INDEX(Raw_data!$AQ$2:$AQ$636,MATCH($K352,Model!$R$2:$R$636,0)))</f>
        <v/>
      </c>
      <c r="G352">
        <f>IF($K352="","",INDEX(Raw_data!$H$2:$H$636,MATCH($K352,Model!$R$2:$R$636,0)))</f>
        <v/>
      </c>
      <c r="H352" s="8">
        <f>IF($K352="","",INDEX(Model!$B$2:$B$636,MATCH($K352,Model!$R$2:$R$636,0)))</f>
        <v/>
      </c>
      <c r="I352" s="8">
        <f>IF($K352="","",INDEX(Model!$C$2:$C$636,MATCH($K352,Model!$R$2:$R$636,0)))</f>
        <v/>
      </c>
      <c r="J352">
        <f>IF($K352="","",INDEX(Model!$D$2:$D$636,MATCH($K352,Model!$R$2:$R$636,0)))</f>
        <v/>
      </c>
      <c r="K352">
        <f>IF(316&lt;=$E$5,LARGE(Model!$R$2:$R$636,316),"")</f>
        <v/>
      </c>
    </row>
    <row r="353">
      <c r="A353">
        <f>IF($K353="","",INDEX(Raw_data!$D$2:$D$636,MATCH($K353,Model!$R$2:$R$636,0)))</f>
        <v/>
      </c>
      <c r="B353" s="11">
        <f>IF($K353="","",INDEX(Raw_data!$F$2:$F$636,MATCH($K353,Model!$R$2:$R$636,0)))</f>
        <v/>
      </c>
      <c r="C353">
        <f>IF($K353="","",HYPERLINK(INDEX(Raw_data!$C$2:$C$636,MATCH($K353,Model!$R$2:$R$636,0)),INDEX(Raw_data!$C$2:$C$636,MATCH($K353,Model!$R$2:$R$636,0))))</f>
        <v/>
      </c>
      <c r="D353">
        <f>IF($K353="","",INDEX(Raw_data!$AL$2:$AL$636,MATCH($K353,Model!$R$2:$R$636,0)))</f>
        <v/>
      </c>
      <c r="E353">
        <f>IF($K353="","",INDEX(Raw_data!$AM$2:$AM$636,MATCH($K353,Model!$R$2:$R$636,0)))</f>
        <v/>
      </c>
      <c r="F353">
        <f>IF($K353="","",INDEX(Raw_data!$AQ$2:$AQ$636,MATCH($K353,Model!$R$2:$R$636,0)))</f>
        <v/>
      </c>
      <c r="G353">
        <f>IF($K353="","",INDEX(Raw_data!$H$2:$H$636,MATCH($K353,Model!$R$2:$R$636,0)))</f>
        <v/>
      </c>
      <c r="H353" s="8">
        <f>IF($K353="","",INDEX(Model!$B$2:$B$636,MATCH($K353,Model!$R$2:$R$636,0)))</f>
        <v/>
      </c>
      <c r="I353" s="8">
        <f>IF($K353="","",INDEX(Model!$C$2:$C$636,MATCH($K353,Model!$R$2:$R$636,0)))</f>
        <v/>
      </c>
      <c r="J353">
        <f>IF($K353="","",INDEX(Model!$D$2:$D$636,MATCH($K353,Model!$R$2:$R$636,0)))</f>
        <v/>
      </c>
      <c r="K353">
        <f>IF(317&lt;=$E$5,LARGE(Model!$R$2:$R$636,317),"")</f>
        <v/>
      </c>
    </row>
    <row r="354">
      <c r="A354">
        <f>IF($K354="","",INDEX(Raw_data!$D$2:$D$636,MATCH($K354,Model!$R$2:$R$636,0)))</f>
        <v/>
      </c>
      <c r="B354" s="11">
        <f>IF($K354="","",INDEX(Raw_data!$F$2:$F$636,MATCH($K354,Model!$R$2:$R$636,0)))</f>
        <v/>
      </c>
      <c r="C354">
        <f>IF($K354="","",HYPERLINK(INDEX(Raw_data!$C$2:$C$636,MATCH($K354,Model!$R$2:$R$636,0)),INDEX(Raw_data!$C$2:$C$636,MATCH($K354,Model!$R$2:$R$636,0))))</f>
        <v/>
      </c>
      <c r="D354">
        <f>IF($K354="","",INDEX(Raw_data!$AL$2:$AL$636,MATCH($K354,Model!$R$2:$R$636,0)))</f>
        <v/>
      </c>
      <c r="E354">
        <f>IF($K354="","",INDEX(Raw_data!$AM$2:$AM$636,MATCH($K354,Model!$R$2:$R$636,0)))</f>
        <v/>
      </c>
      <c r="F354">
        <f>IF($K354="","",INDEX(Raw_data!$AQ$2:$AQ$636,MATCH($K354,Model!$R$2:$R$636,0)))</f>
        <v/>
      </c>
      <c r="G354">
        <f>IF($K354="","",INDEX(Raw_data!$H$2:$H$636,MATCH($K354,Model!$R$2:$R$636,0)))</f>
        <v/>
      </c>
      <c r="H354" s="8">
        <f>IF($K354="","",INDEX(Model!$B$2:$B$636,MATCH($K354,Model!$R$2:$R$636,0)))</f>
        <v/>
      </c>
      <c r="I354" s="8">
        <f>IF($K354="","",INDEX(Model!$C$2:$C$636,MATCH($K354,Model!$R$2:$R$636,0)))</f>
        <v/>
      </c>
      <c r="J354">
        <f>IF($K354="","",INDEX(Model!$D$2:$D$636,MATCH($K354,Model!$R$2:$R$636,0)))</f>
        <v/>
      </c>
      <c r="K354">
        <f>IF(318&lt;=$E$5,LARGE(Model!$R$2:$R$636,318),"")</f>
        <v/>
      </c>
    </row>
    <row r="355">
      <c r="A355">
        <f>IF($K355="","",INDEX(Raw_data!$D$2:$D$636,MATCH($K355,Model!$R$2:$R$636,0)))</f>
        <v/>
      </c>
      <c r="B355" s="11">
        <f>IF($K355="","",INDEX(Raw_data!$F$2:$F$636,MATCH($K355,Model!$R$2:$R$636,0)))</f>
        <v/>
      </c>
      <c r="C355">
        <f>IF($K355="","",HYPERLINK(INDEX(Raw_data!$C$2:$C$636,MATCH($K355,Model!$R$2:$R$636,0)),INDEX(Raw_data!$C$2:$C$636,MATCH($K355,Model!$R$2:$R$636,0))))</f>
        <v/>
      </c>
      <c r="D355">
        <f>IF($K355="","",INDEX(Raw_data!$AL$2:$AL$636,MATCH($K355,Model!$R$2:$R$636,0)))</f>
        <v/>
      </c>
      <c r="E355">
        <f>IF($K355="","",INDEX(Raw_data!$AM$2:$AM$636,MATCH($K355,Model!$R$2:$R$636,0)))</f>
        <v/>
      </c>
      <c r="F355">
        <f>IF($K355="","",INDEX(Raw_data!$AQ$2:$AQ$636,MATCH($K355,Model!$R$2:$R$636,0)))</f>
        <v/>
      </c>
      <c r="G355">
        <f>IF($K355="","",INDEX(Raw_data!$H$2:$H$636,MATCH($K355,Model!$R$2:$R$636,0)))</f>
        <v/>
      </c>
      <c r="H355" s="8">
        <f>IF($K355="","",INDEX(Model!$B$2:$B$636,MATCH($K355,Model!$R$2:$R$636,0)))</f>
        <v/>
      </c>
      <c r="I355" s="8">
        <f>IF($K355="","",INDEX(Model!$C$2:$C$636,MATCH($K355,Model!$R$2:$R$636,0)))</f>
        <v/>
      </c>
      <c r="J355">
        <f>IF($K355="","",INDEX(Model!$D$2:$D$636,MATCH($K355,Model!$R$2:$R$636,0)))</f>
        <v/>
      </c>
      <c r="K355">
        <f>IF(319&lt;=$E$5,LARGE(Model!$R$2:$R$636,319),"")</f>
        <v/>
      </c>
    </row>
    <row r="356">
      <c r="A356">
        <f>IF($K356="","",INDEX(Raw_data!$D$2:$D$636,MATCH($K356,Model!$R$2:$R$636,0)))</f>
        <v/>
      </c>
      <c r="B356" s="11">
        <f>IF($K356="","",INDEX(Raw_data!$F$2:$F$636,MATCH($K356,Model!$R$2:$R$636,0)))</f>
        <v/>
      </c>
      <c r="C356">
        <f>IF($K356="","",HYPERLINK(INDEX(Raw_data!$C$2:$C$636,MATCH($K356,Model!$R$2:$R$636,0)),INDEX(Raw_data!$C$2:$C$636,MATCH($K356,Model!$R$2:$R$636,0))))</f>
        <v/>
      </c>
      <c r="D356">
        <f>IF($K356="","",INDEX(Raw_data!$AL$2:$AL$636,MATCH($K356,Model!$R$2:$R$636,0)))</f>
        <v/>
      </c>
      <c r="E356">
        <f>IF($K356="","",INDEX(Raw_data!$AM$2:$AM$636,MATCH($K356,Model!$R$2:$R$636,0)))</f>
        <v/>
      </c>
      <c r="F356">
        <f>IF($K356="","",INDEX(Raw_data!$AQ$2:$AQ$636,MATCH($K356,Model!$R$2:$R$636,0)))</f>
        <v/>
      </c>
      <c r="G356">
        <f>IF($K356="","",INDEX(Raw_data!$H$2:$H$636,MATCH($K356,Model!$R$2:$R$636,0)))</f>
        <v/>
      </c>
      <c r="H356" s="8">
        <f>IF($K356="","",INDEX(Model!$B$2:$B$636,MATCH($K356,Model!$R$2:$R$636,0)))</f>
        <v/>
      </c>
      <c r="I356" s="8">
        <f>IF($K356="","",INDEX(Model!$C$2:$C$636,MATCH($K356,Model!$R$2:$R$636,0)))</f>
        <v/>
      </c>
      <c r="J356">
        <f>IF($K356="","",INDEX(Model!$D$2:$D$636,MATCH($K356,Model!$R$2:$R$636,0)))</f>
        <v/>
      </c>
      <c r="K356">
        <f>IF(320&lt;=$E$5,LARGE(Model!$R$2:$R$636,320),"")</f>
        <v/>
      </c>
    </row>
    <row r="357">
      <c r="A357">
        <f>IF($K357="","",INDEX(Raw_data!$D$2:$D$636,MATCH($K357,Model!$R$2:$R$636,0)))</f>
        <v/>
      </c>
      <c r="B357" s="11">
        <f>IF($K357="","",INDEX(Raw_data!$F$2:$F$636,MATCH($K357,Model!$R$2:$R$636,0)))</f>
        <v/>
      </c>
      <c r="C357">
        <f>IF($K357="","",HYPERLINK(INDEX(Raw_data!$C$2:$C$636,MATCH($K357,Model!$R$2:$R$636,0)),INDEX(Raw_data!$C$2:$C$636,MATCH($K357,Model!$R$2:$R$636,0))))</f>
        <v/>
      </c>
      <c r="D357">
        <f>IF($K357="","",INDEX(Raw_data!$AL$2:$AL$636,MATCH($K357,Model!$R$2:$R$636,0)))</f>
        <v/>
      </c>
      <c r="E357">
        <f>IF($K357="","",INDEX(Raw_data!$AM$2:$AM$636,MATCH($K357,Model!$R$2:$R$636,0)))</f>
        <v/>
      </c>
      <c r="F357">
        <f>IF($K357="","",INDEX(Raw_data!$AQ$2:$AQ$636,MATCH($K357,Model!$R$2:$R$636,0)))</f>
        <v/>
      </c>
      <c r="G357">
        <f>IF($K357="","",INDEX(Raw_data!$H$2:$H$636,MATCH($K357,Model!$R$2:$R$636,0)))</f>
        <v/>
      </c>
      <c r="H357" s="8">
        <f>IF($K357="","",INDEX(Model!$B$2:$B$636,MATCH($K357,Model!$R$2:$R$636,0)))</f>
        <v/>
      </c>
      <c r="I357" s="8">
        <f>IF($K357="","",INDEX(Model!$C$2:$C$636,MATCH($K357,Model!$R$2:$R$636,0)))</f>
        <v/>
      </c>
      <c r="J357">
        <f>IF($K357="","",INDEX(Model!$D$2:$D$636,MATCH($K357,Model!$R$2:$R$636,0)))</f>
        <v/>
      </c>
      <c r="K357">
        <f>IF(321&lt;=$E$5,LARGE(Model!$R$2:$R$636,321),"")</f>
        <v/>
      </c>
    </row>
    <row r="358">
      <c r="A358">
        <f>IF($K358="","",INDEX(Raw_data!$D$2:$D$636,MATCH($K358,Model!$R$2:$R$636,0)))</f>
        <v/>
      </c>
      <c r="B358" s="11">
        <f>IF($K358="","",INDEX(Raw_data!$F$2:$F$636,MATCH($K358,Model!$R$2:$R$636,0)))</f>
        <v/>
      </c>
      <c r="C358">
        <f>IF($K358="","",HYPERLINK(INDEX(Raw_data!$C$2:$C$636,MATCH($K358,Model!$R$2:$R$636,0)),INDEX(Raw_data!$C$2:$C$636,MATCH($K358,Model!$R$2:$R$636,0))))</f>
        <v/>
      </c>
      <c r="D358">
        <f>IF($K358="","",INDEX(Raw_data!$AL$2:$AL$636,MATCH($K358,Model!$R$2:$R$636,0)))</f>
        <v/>
      </c>
      <c r="E358">
        <f>IF($K358="","",INDEX(Raw_data!$AM$2:$AM$636,MATCH($K358,Model!$R$2:$R$636,0)))</f>
        <v/>
      </c>
      <c r="F358">
        <f>IF($K358="","",INDEX(Raw_data!$AQ$2:$AQ$636,MATCH($K358,Model!$R$2:$R$636,0)))</f>
        <v/>
      </c>
      <c r="G358">
        <f>IF($K358="","",INDEX(Raw_data!$H$2:$H$636,MATCH($K358,Model!$R$2:$R$636,0)))</f>
        <v/>
      </c>
      <c r="H358" s="8">
        <f>IF($K358="","",INDEX(Model!$B$2:$B$636,MATCH($K358,Model!$R$2:$R$636,0)))</f>
        <v/>
      </c>
      <c r="I358" s="8">
        <f>IF($K358="","",INDEX(Model!$C$2:$C$636,MATCH($K358,Model!$R$2:$R$636,0)))</f>
        <v/>
      </c>
      <c r="J358">
        <f>IF($K358="","",INDEX(Model!$D$2:$D$636,MATCH($K358,Model!$R$2:$R$636,0)))</f>
        <v/>
      </c>
      <c r="K358">
        <f>IF(322&lt;=$E$5,LARGE(Model!$R$2:$R$636,322),"")</f>
        <v/>
      </c>
    </row>
    <row r="359">
      <c r="A359">
        <f>IF($K359="","",INDEX(Raw_data!$D$2:$D$636,MATCH($K359,Model!$R$2:$R$636,0)))</f>
        <v/>
      </c>
      <c r="B359" s="11">
        <f>IF($K359="","",INDEX(Raw_data!$F$2:$F$636,MATCH($K359,Model!$R$2:$R$636,0)))</f>
        <v/>
      </c>
      <c r="C359">
        <f>IF($K359="","",HYPERLINK(INDEX(Raw_data!$C$2:$C$636,MATCH($K359,Model!$R$2:$R$636,0)),INDEX(Raw_data!$C$2:$C$636,MATCH($K359,Model!$R$2:$R$636,0))))</f>
        <v/>
      </c>
      <c r="D359">
        <f>IF($K359="","",INDEX(Raw_data!$AL$2:$AL$636,MATCH($K359,Model!$R$2:$R$636,0)))</f>
        <v/>
      </c>
      <c r="E359">
        <f>IF($K359="","",INDEX(Raw_data!$AM$2:$AM$636,MATCH($K359,Model!$R$2:$R$636,0)))</f>
        <v/>
      </c>
      <c r="F359">
        <f>IF($K359="","",INDEX(Raw_data!$AQ$2:$AQ$636,MATCH($K359,Model!$R$2:$R$636,0)))</f>
        <v/>
      </c>
      <c r="G359">
        <f>IF($K359="","",INDEX(Raw_data!$H$2:$H$636,MATCH($K359,Model!$R$2:$R$636,0)))</f>
        <v/>
      </c>
      <c r="H359" s="8">
        <f>IF($K359="","",INDEX(Model!$B$2:$B$636,MATCH($K359,Model!$R$2:$R$636,0)))</f>
        <v/>
      </c>
      <c r="I359" s="8">
        <f>IF($K359="","",INDEX(Model!$C$2:$C$636,MATCH($K359,Model!$R$2:$R$636,0)))</f>
        <v/>
      </c>
      <c r="J359">
        <f>IF($K359="","",INDEX(Model!$D$2:$D$636,MATCH($K359,Model!$R$2:$R$636,0)))</f>
        <v/>
      </c>
      <c r="K359">
        <f>IF(323&lt;=$E$5,LARGE(Model!$R$2:$R$636,323),"")</f>
        <v/>
      </c>
    </row>
    <row r="360">
      <c r="A360">
        <f>IF($K360="","",INDEX(Raw_data!$D$2:$D$636,MATCH($K360,Model!$R$2:$R$636,0)))</f>
        <v/>
      </c>
      <c r="B360" s="11">
        <f>IF($K360="","",INDEX(Raw_data!$F$2:$F$636,MATCH($K360,Model!$R$2:$R$636,0)))</f>
        <v/>
      </c>
      <c r="C360">
        <f>IF($K360="","",HYPERLINK(INDEX(Raw_data!$C$2:$C$636,MATCH($K360,Model!$R$2:$R$636,0)),INDEX(Raw_data!$C$2:$C$636,MATCH($K360,Model!$R$2:$R$636,0))))</f>
        <v/>
      </c>
      <c r="D360">
        <f>IF($K360="","",INDEX(Raw_data!$AL$2:$AL$636,MATCH($K360,Model!$R$2:$R$636,0)))</f>
        <v/>
      </c>
      <c r="E360">
        <f>IF($K360="","",INDEX(Raw_data!$AM$2:$AM$636,MATCH($K360,Model!$R$2:$R$636,0)))</f>
        <v/>
      </c>
      <c r="F360">
        <f>IF($K360="","",INDEX(Raw_data!$AQ$2:$AQ$636,MATCH($K360,Model!$R$2:$R$636,0)))</f>
        <v/>
      </c>
      <c r="G360">
        <f>IF($K360="","",INDEX(Raw_data!$H$2:$H$636,MATCH($K360,Model!$R$2:$R$636,0)))</f>
        <v/>
      </c>
      <c r="H360" s="8">
        <f>IF($K360="","",INDEX(Model!$B$2:$B$636,MATCH($K360,Model!$R$2:$R$636,0)))</f>
        <v/>
      </c>
      <c r="I360" s="8">
        <f>IF($K360="","",INDEX(Model!$C$2:$C$636,MATCH($K360,Model!$R$2:$R$636,0)))</f>
        <v/>
      </c>
      <c r="J360">
        <f>IF($K360="","",INDEX(Model!$D$2:$D$636,MATCH($K360,Model!$R$2:$R$636,0)))</f>
        <v/>
      </c>
      <c r="K360">
        <f>IF(324&lt;=$E$5,LARGE(Model!$R$2:$R$636,324),"")</f>
        <v/>
      </c>
    </row>
    <row r="361">
      <c r="A361">
        <f>IF($K361="","",INDEX(Raw_data!$D$2:$D$636,MATCH($K361,Model!$R$2:$R$636,0)))</f>
        <v/>
      </c>
      <c r="B361" s="11">
        <f>IF($K361="","",INDEX(Raw_data!$F$2:$F$636,MATCH($K361,Model!$R$2:$R$636,0)))</f>
        <v/>
      </c>
      <c r="C361">
        <f>IF($K361="","",HYPERLINK(INDEX(Raw_data!$C$2:$C$636,MATCH($K361,Model!$R$2:$R$636,0)),INDEX(Raw_data!$C$2:$C$636,MATCH($K361,Model!$R$2:$R$636,0))))</f>
        <v/>
      </c>
      <c r="D361">
        <f>IF($K361="","",INDEX(Raw_data!$AL$2:$AL$636,MATCH($K361,Model!$R$2:$R$636,0)))</f>
        <v/>
      </c>
      <c r="E361">
        <f>IF($K361="","",INDEX(Raw_data!$AM$2:$AM$636,MATCH($K361,Model!$R$2:$R$636,0)))</f>
        <v/>
      </c>
      <c r="F361">
        <f>IF($K361="","",INDEX(Raw_data!$AQ$2:$AQ$636,MATCH($K361,Model!$R$2:$R$636,0)))</f>
        <v/>
      </c>
      <c r="G361">
        <f>IF($K361="","",INDEX(Raw_data!$H$2:$H$636,MATCH($K361,Model!$R$2:$R$636,0)))</f>
        <v/>
      </c>
      <c r="H361" s="8">
        <f>IF($K361="","",INDEX(Model!$B$2:$B$636,MATCH($K361,Model!$R$2:$R$636,0)))</f>
        <v/>
      </c>
      <c r="I361" s="8">
        <f>IF($K361="","",INDEX(Model!$C$2:$C$636,MATCH($K361,Model!$R$2:$R$636,0)))</f>
        <v/>
      </c>
      <c r="J361">
        <f>IF($K361="","",INDEX(Model!$D$2:$D$636,MATCH($K361,Model!$R$2:$R$636,0)))</f>
        <v/>
      </c>
      <c r="K361">
        <f>IF(325&lt;=$E$5,LARGE(Model!$R$2:$R$636,325),"")</f>
        <v/>
      </c>
    </row>
    <row r="362">
      <c r="A362">
        <f>IF($K362="","",INDEX(Raw_data!$D$2:$D$636,MATCH($K362,Model!$R$2:$R$636,0)))</f>
        <v/>
      </c>
      <c r="B362" s="11">
        <f>IF($K362="","",INDEX(Raw_data!$F$2:$F$636,MATCH($K362,Model!$R$2:$R$636,0)))</f>
        <v/>
      </c>
      <c r="C362">
        <f>IF($K362="","",HYPERLINK(INDEX(Raw_data!$C$2:$C$636,MATCH($K362,Model!$R$2:$R$636,0)),INDEX(Raw_data!$C$2:$C$636,MATCH($K362,Model!$R$2:$R$636,0))))</f>
        <v/>
      </c>
      <c r="D362">
        <f>IF($K362="","",INDEX(Raw_data!$AL$2:$AL$636,MATCH($K362,Model!$R$2:$R$636,0)))</f>
        <v/>
      </c>
      <c r="E362">
        <f>IF($K362="","",INDEX(Raw_data!$AM$2:$AM$636,MATCH($K362,Model!$R$2:$R$636,0)))</f>
        <v/>
      </c>
      <c r="F362">
        <f>IF($K362="","",INDEX(Raw_data!$AQ$2:$AQ$636,MATCH($K362,Model!$R$2:$R$636,0)))</f>
        <v/>
      </c>
      <c r="G362">
        <f>IF($K362="","",INDEX(Raw_data!$H$2:$H$636,MATCH($K362,Model!$R$2:$R$636,0)))</f>
        <v/>
      </c>
      <c r="H362" s="8">
        <f>IF($K362="","",INDEX(Model!$B$2:$B$636,MATCH($K362,Model!$R$2:$R$636,0)))</f>
        <v/>
      </c>
      <c r="I362" s="8">
        <f>IF($K362="","",INDEX(Model!$C$2:$C$636,MATCH($K362,Model!$R$2:$R$636,0)))</f>
        <v/>
      </c>
      <c r="J362">
        <f>IF($K362="","",INDEX(Model!$D$2:$D$636,MATCH($K362,Model!$R$2:$R$636,0)))</f>
        <v/>
      </c>
      <c r="K362">
        <f>IF(326&lt;=$E$5,LARGE(Model!$R$2:$R$636,326),"")</f>
        <v/>
      </c>
    </row>
    <row r="363">
      <c r="A363">
        <f>IF($K363="","",INDEX(Raw_data!$D$2:$D$636,MATCH($K363,Model!$R$2:$R$636,0)))</f>
        <v/>
      </c>
      <c r="B363" s="11">
        <f>IF($K363="","",INDEX(Raw_data!$F$2:$F$636,MATCH($K363,Model!$R$2:$R$636,0)))</f>
        <v/>
      </c>
      <c r="C363">
        <f>IF($K363="","",HYPERLINK(INDEX(Raw_data!$C$2:$C$636,MATCH($K363,Model!$R$2:$R$636,0)),INDEX(Raw_data!$C$2:$C$636,MATCH($K363,Model!$R$2:$R$636,0))))</f>
        <v/>
      </c>
      <c r="D363">
        <f>IF($K363="","",INDEX(Raw_data!$AL$2:$AL$636,MATCH($K363,Model!$R$2:$R$636,0)))</f>
        <v/>
      </c>
      <c r="E363">
        <f>IF($K363="","",INDEX(Raw_data!$AM$2:$AM$636,MATCH($K363,Model!$R$2:$R$636,0)))</f>
        <v/>
      </c>
      <c r="F363">
        <f>IF($K363="","",INDEX(Raw_data!$AQ$2:$AQ$636,MATCH($K363,Model!$R$2:$R$636,0)))</f>
        <v/>
      </c>
      <c r="G363">
        <f>IF($K363="","",INDEX(Raw_data!$H$2:$H$636,MATCH($K363,Model!$R$2:$R$636,0)))</f>
        <v/>
      </c>
      <c r="H363" s="8">
        <f>IF($K363="","",INDEX(Model!$B$2:$B$636,MATCH($K363,Model!$R$2:$R$636,0)))</f>
        <v/>
      </c>
      <c r="I363" s="8">
        <f>IF($K363="","",INDEX(Model!$C$2:$C$636,MATCH($K363,Model!$R$2:$R$636,0)))</f>
        <v/>
      </c>
      <c r="J363">
        <f>IF($K363="","",INDEX(Model!$D$2:$D$636,MATCH($K363,Model!$R$2:$R$636,0)))</f>
        <v/>
      </c>
      <c r="K363">
        <f>IF(327&lt;=$E$5,LARGE(Model!$R$2:$R$636,327),"")</f>
        <v/>
      </c>
    </row>
    <row r="364">
      <c r="A364">
        <f>IF($K364="","",INDEX(Raw_data!$D$2:$D$636,MATCH($K364,Model!$R$2:$R$636,0)))</f>
        <v/>
      </c>
      <c r="B364" s="11">
        <f>IF($K364="","",INDEX(Raw_data!$F$2:$F$636,MATCH($K364,Model!$R$2:$R$636,0)))</f>
        <v/>
      </c>
      <c r="C364">
        <f>IF($K364="","",HYPERLINK(INDEX(Raw_data!$C$2:$C$636,MATCH($K364,Model!$R$2:$R$636,0)),INDEX(Raw_data!$C$2:$C$636,MATCH($K364,Model!$R$2:$R$636,0))))</f>
        <v/>
      </c>
      <c r="D364">
        <f>IF($K364="","",INDEX(Raw_data!$AL$2:$AL$636,MATCH($K364,Model!$R$2:$R$636,0)))</f>
        <v/>
      </c>
      <c r="E364">
        <f>IF($K364="","",INDEX(Raw_data!$AM$2:$AM$636,MATCH($K364,Model!$R$2:$R$636,0)))</f>
        <v/>
      </c>
      <c r="F364">
        <f>IF($K364="","",INDEX(Raw_data!$AQ$2:$AQ$636,MATCH($K364,Model!$R$2:$R$636,0)))</f>
        <v/>
      </c>
      <c r="G364">
        <f>IF($K364="","",INDEX(Raw_data!$H$2:$H$636,MATCH($K364,Model!$R$2:$R$636,0)))</f>
        <v/>
      </c>
      <c r="H364" s="8">
        <f>IF($K364="","",INDEX(Model!$B$2:$B$636,MATCH($K364,Model!$R$2:$R$636,0)))</f>
        <v/>
      </c>
      <c r="I364" s="8">
        <f>IF($K364="","",INDEX(Model!$C$2:$C$636,MATCH($K364,Model!$R$2:$R$636,0)))</f>
        <v/>
      </c>
      <c r="J364">
        <f>IF($K364="","",INDEX(Model!$D$2:$D$636,MATCH($K364,Model!$R$2:$R$636,0)))</f>
        <v/>
      </c>
      <c r="K364">
        <f>IF(328&lt;=$E$5,LARGE(Model!$R$2:$R$636,328),"")</f>
        <v/>
      </c>
    </row>
    <row r="365">
      <c r="A365">
        <f>IF($K365="","",INDEX(Raw_data!$D$2:$D$636,MATCH($K365,Model!$R$2:$R$636,0)))</f>
        <v/>
      </c>
      <c r="B365" s="11">
        <f>IF($K365="","",INDEX(Raw_data!$F$2:$F$636,MATCH($K365,Model!$R$2:$R$636,0)))</f>
        <v/>
      </c>
      <c r="C365">
        <f>IF($K365="","",HYPERLINK(INDEX(Raw_data!$C$2:$C$636,MATCH($K365,Model!$R$2:$R$636,0)),INDEX(Raw_data!$C$2:$C$636,MATCH($K365,Model!$R$2:$R$636,0))))</f>
        <v/>
      </c>
      <c r="D365">
        <f>IF($K365="","",INDEX(Raw_data!$AL$2:$AL$636,MATCH($K365,Model!$R$2:$R$636,0)))</f>
        <v/>
      </c>
      <c r="E365">
        <f>IF($K365="","",INDEX(Raw_data!$AM$2:$AM$636,MATCH($K365,Model!$R$2:$R$636,0)))</f>
        <v/>
      </c>
      <c r="F365">
        <f>IF($K365="","",INDEX(Raw_data!$AQ$2:$AQ$636,MATCH($K365,Model!$R$2:$R$636,0)))</f>
        <v/>
      </c>
      <c r="G365">
        <f>IF($K365="","",INDEX(Raw_data!$H$2:$H$636,MATCH($K365,Model!$R$2:$R$636,0)))</f>
        <v/>
      </c>
      <c r="H365" s="8">
        <f>IF($K365="","",INDEX(Model!$B$2:$B$636,MATCH($K365,Model!$R$2:$R$636,0)))</f>
        <v/>
      </c>
      <c r="I365" s="8">
        <f>IF($K365="","",INDEX(Model!$C$2:$C$636,MATCH($K365,Model!$R$2:$R$636,0)))</f>
        <v/>
      </c>
      <c r="J365">
        <f>IF($K365="","",INDEX(Model!$D$2:$D$636,MATCH($K365,Model!$R$2:$R$636,0)))</f>
        <v/>
      </c>
      <c r="K365">
        <f>IF(329&lt;=$E$5,LARGE(Model!$R$2:$R$636,329),"")</f>
        <v/>
      </c>
    </row>
    <row r="366">
      <c r="A366">
        <f>IF($K366="","",INDEX(Raw_data!$D$2:$D$636,MATCH($K366,Model!$R$2:$R$636,0)))</f>
        <v/>
      </c>
      <c r="B366" s="11">
        <f>IF($K366="","",INDEX(Raw_data!$F$2:$F$636,MATCH($K366,Model!$R$2:$R$636,0)))</f>
        <v/>
      </c>
      <c r="C366">
        <f>IF($K366="","",HYPERLINK(INDEX(Raw_data!$C$2:$C$636,MATCH($K366,Model!$R$2:$R$636,0)),INDEX(Raw_data!$C$2:$C$636,MATCH($K366,Model!$R$2:$R$636,0))))</f>
        <v/>
      </c>
      <c r="D366">
        <f>IF($K366="","",INDEX(Raw_data!$AL$2:$AL$636,MATCH($K366,Model!$R$2:$R$636,0)))</f>
        <v/>
      </c>
      <c r="E366">
        <f>IF($K366="","",INDEX(Raw_data!$AM$2:$AM$636,MATCH($K366,Model!$R$2:$R$636,0)))</f>
        <v/>
      </c>
      <c r="F366">
        <f>IF($K366="","",INDEX(Raw_data!$AQ$2:$AQ$636,MATCH($K366,Model!$R$2:$R$636,0)))</f>
        <v/>
      </c>
      <c r="G366">
        <f>IF($K366="","",INDEX(Raw_data!$H$2:$H$636,MATCH($K366,Model!$R$2:$R$636,0)))</f>
        <v/>
      </c>
      <c r="H366" s="8">
        <f>IF($K366="","",INDEX(Model!$B$2:$B$636,MATCH($K366,Model!$R$2:$R$636,0)))</f>
        <v/>
      </c>
      <c r="I366" s="8">
        <f>IF($K366="","",INDEX(Model!$C$2:$C$636,MATCH($K366,Model!$R$2:$R$636,0)))</f>
        <v/>
      </c>
      <c r="J366">
        <f>IF($K366="","",INDEX(Model!$D$2:$D$636,MATCH($K366,Model!$R$2:$R$636,0)))</f>
        <v/>
      </c>
      <c r="K366">
        <f>IF(330&lt;=$E$5,LARGE(Model!$R$2:$R$636,330),"")</f>
        <v/>
      </c>
    </row>
    <row r="367">
      <c r="A367">
        <f>IF($K367="","",INDEX(Raw_data!$D$2:$D$636,MATCH($K367,Model!$R$2:$R$636,0)))</f>
        <v/>
      </c>
      <c r="B367" s="11">
        <f>IF($K367="","",INDEX(Raw_data!$F$2:$F$636,MATCH($K367,Model!$R$2:$R$636,0)))</f>
        <v/>
      </c>
      <c r="C367">
        <f>IF($K367="","",HYPERLINK(INDEX(Raw_data!$C$2:$C$636,MATCH($K367,Model!$R$2:$R$636,0)),INDEX(Raw_data!$C$2:$C$636,MATCH($K367,Model!$R$2:$R$636,0))))</f>
        <v/>
      </c>
      <c r="D367">
        <f>IF($K367="","",INDEX(Raw_data!$AL$2:$AL$636,MATCH($K367,Model!$R$2:$R$636,0)))</f>
        <v/>
      </c>
      <c r="E367">
        <f>IF($K367="","",INDEX(Raw_data!$AM$2:$AM$636,MATCH($K367,Model!$R$2:$R$636,0)))</f>
        <v/>
      </c>
      <c r="F367">
        <f>IF($K367="","",INDEX(Raw_data!$AQ$2:$AQ$636,MATCH($K367,Model!$R$2:$R$636,0)))</f>
        <v/>
      </c>
      <c r="G367">
        <f>IF($K367="","",INDEX(Raw_data!$H$2:$H$636,MATCH($K367,Model!$R$2:$R$636,0)))</f>
        <v/>
      </c>
      <c r="H367" s="8">
        <f>IF($K367="","",INDEX(Model!$B$2:$B$636,MATCH($K367,Model!$R$2:$R$636,0)))</f>
        <v/>
      </c>
      <c r="I367" s="8">
        <f>IF($K367="","",INDEX(Model!$C$2:$C$636,MATCH($K367,Model!$R$2:$R$636,0)))</f>
        <v/>
      </c>
      <c r="J367">
        <f>IF($K367="","",INDEX(Model!$D$2:$D$636,MATCH($K367,Model!$R$2:$R$636,0)))</f>
        <v/>
      </c>
      <c r="K367">
        <f>IF(331&lt;=$E$5,LARGE(Model!$R$2:$R$636,331),"")</f>
        <v/>
      </c>
    </row>
    <row r="368">
      <c r="A368">
        <f>IF($K368="","",INDEX(Raw_data!$D$2:$D$636,MATCH($K368,Model!$R$2:$R$636,0)))</f>
        <v/>
      </c>
      <c r="B368" s="11">
        <f>IF($K368="","",INDEX(Raw_data!$F$2:$F$636,MATCH($K368,Model!$R$2:$R$636,0)))</f>
        <v/>
      </c>
      <c r="C368">
        <f>IF($K368="","",HYPERLINK(INDEX(Raw_data!$C$2:$C$636,MATCH($K368,Model!$R$2:$R$636,0)),INDEX(Raw_data!$C$2:$C$636,MATCH($K368,Model!$R$2:$R$636,0))))</f>
        <v/>
      </c>
      <c r="D368">
        <f>IF($K368="","",INDEX(Raw_data!$AL$2:$AL$636,MATCH($K368,Model!$R$2:$R$636,0)))</f>
        <v/>
      </c>
      <c r="E368">
        <f>IF($K368="","",INDEX(Raw_data!$AM$2:$AM$636,MATCH($K368,Model!$R$2:$R$636,0)))</f>
        <v/>
      </c>
      <c r="F368">
        <f>IF($K368="","",INDEX(Raw_data!$AQ$2:$AQ$636,MATCH($K368,Model!$R$2:$R$636,0)))</f>
        <v/>
      </c>
      <c r="G368">
        <f>IF($K368="","",INDEX(Raw_data!$H$2:$H$636,MATCH($K368,Model!$R$2:$R$636,0)))</f>
        <v/>
      </c>
      <c r="H368" s="8">
        <f>IF($K368="","",INDEX(Model!$B$2:$B$636,MATCH($K368,Model!$R$2:$R$636,0)))</f>
        <v/>
      </c>
      <c r="I368" s="8">
        <f>IF($K368="","",INDEX(Model!$C$2:$C$636,MATCH($K368,Model!$R$2:$R$636,0)))</f>
        <v/>
      </c>
      <c r="J368">
        <f>IF($K368="","",INDEX(Model!$D$2:$D$636,MATCH($K368,Model!$R$2:$R$636,0)))</f>
        <v/>
      </c>
      <c r="K368">
        <f>IF(332&lt;=$E$5,LARGE(Model!$R$2:$R$636,332),"")</f>
        <v/>
      </c>
    </row>
    <row r="369">
      <c r="A369">
        <f>IF($K369="","",INDEX(Raw_data!$D$2:$D$636,MATCH($K369,Model!$R$2:$R$636,0)))</f>
        <v/>
      </c>
      <c r="B369" s="11">
        <f>IF($K369="","",INDEX(Raw_data!$F$2:$F$636,MATCH($K369,Model!$R$2:$R$636,0)))</f>
        <v/>
      </c>
      <c r="C369">
        <f>IF($K369="","",HYPERLINK(INDEX(Raw_data!$C$2:$C$636,MATCH($K369,Model!$R$2:$R$636,0)),INDEX(Raw_data!$C$2:$C$636,MATCH($K369,Model!$R$2:$R$636,0))))</f>
        <v/>
      </c>
      <c r="D369">
        <f>IF($K369="","",INDEX(Raw_data!$AL$2:$AL$636,MATCH($K369,Model!$R$2:$R$636,0)))</f>
        <v/>
      </c>
      <c r="E369">
        <f>IF($K369="","",INDEX(Raw_data!$AM$2:$AM$636,MATCH($K369,Model!$R$2:$R$636,0)))</f>
        <v/>
      </c>
      <c r="F369">
        <f>IF($K369="","",INDEX(Raw_data!$AQ$2:$AQ$636,MATCH($K369,Model!$R$2:$R$636,0)))</f>
        <v/>
      </c>
      <c r="G369">
        <f>IF($K369="","",INDEX(Raw_data!$H$2:$H$636,MATCH($K369,Model!$R$2:$R$636,0)))</f>
        <v/>
      </c>
      <c r="H369" s="8">
        <f>IF($K369="","",INDEX(Model!$B$2:$B$636,MATCH($K369,Model!$R$2:$R$636,0)))</f>
        <v/>
      </c>
      <c r="I369" s="8">
        <f>IF($K369="","",INDEX(Model!$C$2:$C$636,MATCH($K369,Model!$R$2:$R$636,0)))</f>
        <v/>
      </c>
      <c r="J369">
        <f>IF($K369="","",INDEX(Model!$D$2:$D$636,MATCH($K369,Model!$R$2:$R$636,0)))</f>
        <v/>
      </c>
      <c r="K369">
        <f>IF(333&lt;=$E$5,LARGE(Model!$R$2:$R$636,333),"")</f>
        <v/>
      </c>
    </row>
    <row r="370">
      <c r="A370">
        <f>IF($K370="","",INDEX(Raw_data!$D$2:$D$636,MATCH($K370,Model!$R$2:$R$636,0)))</f>
        <v/>
      </c>
      <c r="B370" s="11">
        <f>IF($K370="","",INDEX(Raw_data!$F$2:$F$636,MATCH($K370,Model!$R$2:$R$636,0)))</f>
        <v/>
      </c>
      <c r="C370">
        <f>IF($K370="","",HYPERLINK(INDEX(Raw_data!$C$2:$C$636,MATCH($K370,Model!$R$2:$R$636,0)),INDEX(Raw_data!$C$2:$C$636,MATCH($K370,Model!$R$2:$R$636,0))))</f>
        <v/>
      </c>
      <c r="D370">
        <f>IF($K370="","",INDEX(Raw_data!$AL$2:$AL$636,MATCH($K370,Model!$R$2:$R$636,0)))</f>
        <v/>
      </c>
      <c r="E370">
        <f>IF($K370="","",INDEX(Raw_data!$AM$2:$AM$636,MATCH($K370,Model!$R$2:$R$636,0)))</f>
        <v/>
      </c>
      <c r="F370">
        <f>IF($K370="","",INDEX(Raw_data!$AQ$2:$AQ$636,MATCH($K370,Model!$R$2:$R$636,0)))</f>
        <v/>
      </c>
      <c r="G370">
        <f>IF($K370="","",INDEX(Raw_data!$H$2:$H$636,MATCH($K370,Model!$R$2:$R$636,0)))</f>
        <v/>
      </c>
      <c r="H370" s="8">
        <f>IF($K370="","",INDEX(Model!$B$2:$B$636,MATCH($K370,Model!$R$2:$R$636,0)))</f>
        <v/>
      </c>
      <c r="I370" s="8">
        <f>IF($K370="","",INDEX(Model!$C$2:$C$636,MATCH($K370,Model!$R$2:$R$636,0)))</f>
        <v/>
      </c>
      <c r="J370">
        <f>IF($K370="","",INDEX(Model!$D$2:$D$636,MATCH($K370,Model!$R$2:$R$636,0)))</f>
        <v/>
      </c>
      <c r="K370">
        <f>IF(334&lt;=$E$5,LARGE(Model!$R$2:$R$636,334),"")</f>
        <v/>
      </c>
    </row>
    <row r="371">
      <c r="A371">
        <f>IF($K371="","",INDEX(Raw_data!$D$2:$D$636,MATCH($K371,Model!$R$2:$R$636,0)))</f>
        <v/>
      </c>
      <c r="B371" s="11">
        <f>IF($K371="","",INDEX(Raw_data!$F$2:$F$636,MATCH($K371,Model!$R$2:$R$636,0)))</f>
        <v/>
      </c>
      <c r="C371">
        <f>IF($K371="","",HYPERLINK(INDEX(Raw_data!$C$2:$C$636,MATCH($K371,Model!$R$2:$R$636,0)),INDEX(Raw_data!$C$2:$C$636,MATCH($K371,Model!$R$2:$R$636,0))))</f>
        <v/>
      </c>
      <c r="D371">
        <f>IF($K371="","",INDEX(Raw_data!$AL$2:$AL$636,MATCH($K371,Model!$R$2:$R$636,0)))</f>
        <v/>
      </c>
      <c r="E371">
        <f>IF($K371="","",INDEX(Raw_data!$AM$2:$AM$636,MATCH($K371,Model!$R$2:$R$636,0)))</f>
        <v/>
      </c>
      <c r="F371">
        <f>IF($K371="","",INDEX(Raw_data!$AQ$2:$AQ$636,MATCH($K371,Model!$R$2:$R$636,0)))</f>
        <v/>
      </c>
      <c r="G371">
        <f>IF($K371="","",INDEX(Raw_data!$H$2:$H$636,MATCH($K371,Model!$R$2:$R$636,0)))</f>
        <v/>
      </c>
      <c r="H371" s="8">
        <f>IF($K371="","",INDEX(Model!$B$2:$B$636,MATCH($K371,Model!$R$2:$R$636,0)))</f>
        <v/>
      </c>
      <c r="I371" s="8">
        <f>IF($K371="","",INDEX(Model!$C$2:$C$636,MATCH($K371,Model!$R$2:$R$636,0)))</f>
        <v/>
      </c>
      <c r="J371">
        <f>IF($K371="","",INDEX(Model!$D$2:$D$636,MATCH($K371,Model!$R$2:$R$636,0)))</f>
        <v/>
      </c>
      <c r="K371">
        <f>IF(335&lt;=$E$5,LARGE(Model!$R$2:$R$636,335),"")</f>
        <v/>
      </c>
    </row>
    <row r="372">
      <c r="A372">
        <f>IF($K372="","",INDEX(Raw_data!$D$2:$D$636,MATCH($K372,Model!$R$2:$R$636,0)))</f>
        <v/>
      </c>
      <c r="B372" s="11">
        <f>IF($K372="","",INDEX(Raw_data!$F$2:$F$636,MATCH($K372,Model!$R$2:$R$636,0)))</f>
        <v/>
      </c>
      <c r="C372">
        <f>IF($K372="","",HYPERLINK(INDEX(Raw_data!$C$2:$C$636,MATCH($K372,Model!$R$2:$R$636,0)),INDEX(Raw_data!$C$2:$C$636,MATCH($K372,Model!$R$2:$R$636,0))))</f>
        <v/>
      </c>
      <c r="D372">
        <f>IF($K372="","",INDEX(Raw_data!$AL$2:$AL$636,MATCH($K372,Model!$R$2:$R$636,0)))</f>
        <v/>
      </c>
      <c r="E372">
        <f>IF($K372="","",INDEX(Raw_data!$AM$2:$AM$636,MATCH($K372,Model!$R$2:$R$636,0)))</f>
        <v/>
      </c>
      <c r="F372">
        <f>IF($K372="","",INDEX(Raw_data!$AQ$2:$AQ$636,MATCH($K372,Model!$R$2:$R$636,0)))</f>
        <v/>
      </c>
      <c r="G372">
        <f>IF($K372="","",INDEX(Raw_data!$H$2:$H$636,MATCH($K372,Model!$R$2:$R$636,0)))</f>
        <v/>
      </c>
      <c r="H372" s="8">
        <f>IF($K372="","",INDEX(Model!$B$2:$B$636,MATCH($K372,Model!$R$2:$R$636,0)))</f>
        <v/>
      </c>
      <c r="I372" s="8">
        <f>IF($K372="","",INDEX(Model!$C$2:$C$636,MATCH($K372,Model!$R$2:$R$636,0)))</f>
        <v/>
      </c>
      <c r="J372">
        <f>IF($K372="","",INDEX(Model!$D$2:$D$636,MATCH($K372,Model!$R$2:$R$636,0)))</f>
        <v/>
      </c>
      <c r="K372">
        <f>IF(336&lt;=$E$5,LARGE(Model!$R$2:$R$636,336),"")</f>
        <v/>
      </c>
    </row>
    <row r="373">
      <c r="A373">
        <f>IF($K373="","",INDEX(Raw_data!$D$2:$D$636,MATCH($K373,Model!$R$2:$R$636,0)))</f>
        <v/>
      </c>
      <c r="B373" s="11">
        <f>IF($K373="","",INDEX(Raw_data!$F$2:$F$636,MATCH($K373,Model!$R$2:$R$636,0)))</f>
        <v/>
      </c>
      <c r="C373">
        <f>IF($K373="","",HYPERLINK(INDEX(Raw_data!$C$2:$C$636,MATCH($K373,Model!$R$2:$R$636,0)),INDEX(Raw_data!$C$2:$C$636,MATCH($K373,Model!$R$2:$R$636,0))))</f>
        <v/>
      </c>
      <c r="D373">
        <f>IF($K373="","",INDEX(Raw_data!$AL$2:$AL$636,MATCH($K373,Model!$R$2:$R$636,0)))</f>
        <v/>
      </c>
      <c r="E373">
        <f>IF($K373="","",INDEX(Raw_data!$AM$2:$AM$636,MATCH($K373,Model!$R$2:$R$636,0)))</f>
        <v/>
      </c>
      <c r="F373">
        <f>IF($K373="","",INDEX(Raw_data!$AQ$2:$AQ$636,MATCH($K373,Model!$R$2:$R$636,0)))</f>
        <v/>
      </c>
      <c r="G373">
        <f>IF($K373="","",INDEX(Raw_data!$H$2:$H$636,MATCH($K373,Model!$R$2:$R$636,0)))</f>
        <v/>
      </c>
      <c r="H373" s="8">
        <f>IF($K373="","",INDEX(Model!$B$2:$B$636,MATCH($K373,Model!$R$2:$R$636,0)))</f>
        <v/>
      </c>
      <c r="I373" s="8">
        <f>IF($K373="","",INDEX(Model!$C$2:$C$636,MATCH($K373,Model!$R$2:$R$636,0)))</f>
        <v/>
      </c>
      <c r="J373">
        <f>IF($K373="","",INDEX(Model!$D$2:$D$636,MATCH($K373,Model!$R$2:$R$636,0)))</f>
        <v/>
      </c>
      <c r="K373">
        <f>IF(337&lt;=$E$5,LARGE(Model!$R$2:$R$636,337),"")</f>
        <v/>
      </c>
    </row>
    <row r="374">
      <c r="A374">
        <f>IF($K374="","",INDEX(Raw_data!$D$2:$D$636,MATCH($K374,Model!$R$2:$R$636,0)))</f>
        <v/>
      </c>
      <c r="B374" s="11">
        <f>IF($K374="","",INDEX(Raw_data!$F$2:$F$636,MATCH($K374,Model!$R$2:$R$636,0)))</f>
        <v/>
      </c>
      <c r="C374">
        <f>IF($K374="","",HYPERLINK(INDEX(Raw_data!$C$2:$C$636,MATCH($K374,Model!$R$2:$R$636,0)),INDEX(Raw_data!$C$2:$C$636,MATCH($K374,Model!$R$2:$R$636,0))))</f>
        <v/>
      </c>
      <c r="D374">
        <f>IF($K374="","",INDEX(Raw_data!$AL$2:$AL$636,MATCH($K374,Model!$R$2:$R$636,0)))</f>
        <v/>
      </c>
      <c r="E374">
        <f>IF($K374="","",INDEX(Raw_data!$AM$2:$AM$636,MATCH($K374,Model!$R$2:$R$636,0)))</f>
        <v/>
      </c>
      <c r="F374">
        <f>IF($K374="","",INDEX(Raw_data!$AQ$2:$AQ$636,MATCH($K374,Model!$R$2:$R$636,0)))</f>
        <v/>
      </c>
      <c r="G374">
        <f>IF($K374="","",INDEX(Raw_data!$H$2:$H$636,MATCH($K374,Model!$R$2:$R$636,0)))</f>
        <v/>
      </c>
      <c r="H374" s="8">
        <f>IF($K374="","",INDEX(Model!$B$2:$B$636,MATCH($K374,Model!$R$2:$R$636,0)))</f>
        <v/>
      </c>
      <c r="I374" s="8">
        <f>IF($K374="","",INDEX(Model!$C$2:$C$636,MATCH($K374,Model!$R$2:$R$636,0)))</f>
        <v/>
      </c>
      <c r="J374">
        <f>IF($K374="","",INDEX(Model!$D$2:$D$636,MATCH($K374,Model!$R$2:$R$636,0)))</f>
        <v/>
      </c>
      <c r="K374">
        <f>IF(338&lt;=$E$5,LARGE(Model!$R$2:$R$636,338),"")</f>
        <v/>
      </c>
    </row>
    <row r="375">
      <c r="A375">
        <f>IF($K375="","",INDEX(Raw_data!$D$2:$D$636,MATCH($K375,Model!$R$2:$R$636,0)))</f>
        <v/>
      </c>
      <c r="B375" s="11">
        <f>IF($K375="","",INDEX(Raw_data!$F$2:$F$636,MATCH($K375,Model!$R$2:$R$636,0)))</f>
        <v/>
      </c>
      <c r="C375">
        <f>IF($K375="","",HYPERLINK(INDEX(Raw_data!$C$2:$C$636,MATCH($K375,Model!$R$2:$R$636,0)),INDEX(Raw_data!$C$2:$C$636,MATCH($K375,Model!$R$2:$R$636,0))))</f>
        <v/>
      </c>
      <c r="D375">
        <f>IF($K375="","",INDEX(Raw_data!$AL$2:$AL$636,MATCH($K375,Model!$R$2:$R$636,0)))</f>
        <v/>
      </c>
      <c r="E375">
        <f>IF($K375="","",INDEX(Raw_data!$AM$2:$AM$636,MATCH($K375,Model!$R$2:$R$636,0)))</f>
        <v/>
      </c>
      <c r="F375">
        <f>IF($K375="","",INDEX(Raw_data!$AQ$2:$AQ$636,MATCH($K375,Model!$R$2:$R$636,0)))</f>
        <v/>
      </c>
      <c r="G375">
        <f>IF($K375="","",INDEX(Raw_data!$H$2:$H$636,MATCH($K375,Model!$R$2:$R$636,0)))</f>
        <v/>
      </c>
      <c r="H375" s="8">
        <f>IF($K375="","",INDEX(Model!$B$2:$B$636,MATCH($K375,Model!$R$2:$R$636,0)))</f>
        <v/>
      </c>
      <c r="I375" s="8">
        <f>IF($K375="","",INDEX(Model!$C$2:$C$636,MATCH($K375,Model!$R$2:$R$636,0)))</f>
        <v/>
      </c>
      <c r="J375">
        <f>IF($K375="","",INDEX(Model!$D$2:$D$636,MATCH($K375,Model!$R$2:$R$636,0)))</f>
        <v/>
      </c>
      <c r="K375">
        <f>IF(339&lt;=$E$5,LARGE(Model!$R$2:$R$636,339),"")</f>
        <v/>
      </c>
    </row>
    <row r="376">
      <c r="A376">
        <f>IF($K376="","",INDEX(Raw_data!$D$2:$D$636,MATCH($K376,Model!$R$2:$R$636,0)))</f>
        <v/>
      </c>
      <c r="B376" s="11">
        <f>IF($K376="","",INDEX(Raw_data!$F$2:$F$636,MATCH($K376,Model!$R$2:$R$636,0)))</f>
        <v/>
      </c>
      <c r="C376">
        <f>IF($K376="","",HYPERLINK(INDEX(Raw_data!$C$2:$C$636,MATCH($K376,Model!$R$2:$R$636,0)),INDEX(Raw_data!$C$2:$C$636,MATCH($K376,Model!$R$2:$R$636,0))))</f>
        <v/>
      </c>
      <c r="D376">
        <f>IF($K376="","",INDEX(Raw_data!$AL$2:$AL$636,MATCH($K376,Model!$R$2:$R$636,0)))</f>
        <v/>
      </c>
      <c r="E376">
        <f>IF($K376="","",INDEX(Raw_data!$AM$2:$AM$636,MATCH($K376,Model!$R$2:$R$636,0)))</f>
        <v/>
      </c>
      <c r="F376">
        <f>IF($K376="","",INDEX(Raw_data!$AQ$2:$AQ$636,MATCH($K376,Model!$R$2:$R$636,0)))</f>
        <v/>
      </c>
      <c r="G376">
        <f>IF($K376="","",INDEX(Raw_data!$H$2:$H$636,MATCH($K376,Model!$R$2:$R$636,0)))</f>
        <v/>
      </c>
      <c r="H376" s="8">
        <f>IF($K376="","",INDEX(Model!$B$2:$B$636,MATCH($K376,Model!$R$2:$R$636,0)))</f>
        <v/>
      </c>
      <c r="I376" s="8">
        <f>IF($K376="","",INDEX(Model!$C$2:$C$636,MATCH($K376,Model!$R$2:$R$636,0)))</f>
        <v/>
      </c>
      <c r="J376">
        <f>IF($K376="","",INDEX(Model!$D$2:$D$636,MATCH($K376,Model!$R$2:$R$636,0)))</f>
        <v/>
      </c>
      <c r="K376">
        <f>IF(340&lt;=$E$5,LARGE(Model!$R$2:$R$636,340),"")</f>
        <v/>
      </c>
    </row>
    <row r="377">
      <c r="A377">
        <f>IF($K377="","",INDEX(Raw_data!$D$2:$D$636,MATCH($K377,Model!$R$2:$R$636,0)))</f>
        <v/>
      </c>
      <c r="B377" s="11">
        <f>IF($K377="","",INDEX(Raw_data!$F$2:$F$636,MATCH($K377,Model!$R$2:$R$636,0)))</f>
        <v/>
      </c>
      <c r="C377">
        <f>IF($K377="","",HYPERLINK(INDEX(Raw_data!$C$2:$C$636,MATCH($K377,Model!$R$2:$R$636,0)),INDEX(Raw_data!$C$2:$C$636,MATCH($K377,Model!$R$2:$R$636,0))))</f>
        <v/>
      </c>
      <c r="D377">
        <f>IF($K377="","",INDEX(Raw_data!$AL$2:$AL$636,MATCH($K377,Model!$R$2:$R$636,0)))</f>
        <v/>
      </c>
      <c r="E377">
        <f>IF($K377="","",INDEX(Raw_data!$AM$2:$AM$636,MATCH($K377,Model!$R$2:$R$636,0)))</f>
        <v/>
      </c>
      <c r="F377">
        <f>IF($K377="","",INDEX(Raw_data!$AQ$2:$AQ$636,MATCH($K377,Model!$R$2:$R$636,0)))</f>
        <v/>
      </c>
      <c r="G377">
        <f>IF($K377="","",INDEX(Raw_data!$H$2:$H$636,MATCH($K377,Model!$R$2:$R$636,0)))</f>
        <v/>
      </c>
      <c r="H377" s="8">
        <f>IF($K377="","",INDEX(Model!$B$2:$B$636,MATCH($K377,Model!$R$2:$R$636,0)))</f>
        <v/>
      </c>
      <c r="I377" s="8">
        <f>IF($K377="","",INDEX(Model!$C$2:$C$636,MATCH($K377,Model!$R$2:$R$636,0)))</f>
        <v/>
      </c>
      <c r="J377">
        <f>IF($K377="","",INDEX(Model!$D$2:$D$636,MATCH($K377,Model!$R$2:$R$636,0)))</f>
        <v/>
      </c>
      <c r="K377">
        <f>IF(341&lt;=$E$5,LARGE(Model!$R$2:$R$636,341),"")</f>
        <v/>
      </c>
    </row>
    <row r="378">
      <c r="A378">
        <f>IF($K378="","",INDEX(Raw_data!$D$2:$D$636,MATCH($K378,Model!$R$2:$R$636,0)))</f>
        <v/>
      </c>
      <c r="B378" s="11">
        <f>IF($K378="","",INDEX(Raw_data!$F$2:$F$636,MATCH($K378,Model!$R$2:$R$636,0)))</f>
        <v/>
      </c>
      <c r="C378">
        <f>IF($K378="","",HYPERLINK(INDEX(Raw_data!$C$2:$C$636,MATCH($K378,Model!$R$2:$R$636,0)),INDEX(Raw_data!$C$2:$C$636,MATCH($K378,Model!$R$2:$R$636,0))))</f>
        <v/>
      </c>
      <c r="D378">
        <f>IF($K378="","",INDEX(Raw_data!$AL$2:$AL$636,MATCH($K378,Model!$R$2:$R$636,0)))</f>
        <v/>
      </c>
      <c r="E378">
        <f>IF($K378="","",INDEX(Raw_data!$AM$2:$AM$636,MATCH($K378,Model!$R$2:$R$636,0)))</f>
        <v/>
      </c>
      <c r="F378">
        <f>IF($K378="","",INDEX(Raw_data!$AQ$2:$AQ$636,MATCH($K378,Model!$R$2:$R$636,0)))</f>
        <v/>
      </c>
      <c r="G378">
        <f>IF($K378="","",INDEX(Raw_data!$H$2:$H$636,MATCH($K378,Model!$R$2:$R$636,0)))</f>
        <v/>
      </c>
      <c r="H378" s="8">
        <f>IF($K378="","",INDEX(Model!$B$2:$B$636,MATCH($K378,Model!$R$2:$R$636,0)))</f>
        <v/>
      </c>
      <c r="I378" s="8">
        <f>IF($K378="","",INDEX(Model!$C$2:$C$636,MATCH($K378,Model!$R$2:$R$636,0)))</f>
        <v/>
      </c>
      <c r="J378">
        <f>IF($K378="","",INDEX(Model!$D$2:$D$636,MATCH($K378,Model!$R$2:$R$636,0)))</f>
        <v/>
      </c>
      <c r="K378">
        <f>IF(342&lt;=$E$5,LARGE(Model!$R$2:$R$636,342),"")</f>
        <v/>
      </c>
    </row>
    <row r="379">
      <c r="A379">
        <f>IF($K379="","",INDEX(Raw_data!$D$2:$D$636,MATCH($K379,Model!$R$2:$R$636,0)))</f>
        <v/>
      </c>
      <c r="B379" s="11">
        <f>IF($K379="","",INDEX(Raw_data!$F$2:$F$636,MATCH($K379,Model!$R$2:$R$636,0)))</f>
        <v/>
      </c>
      <c r="C379">
        <f>IF($K379="","",HYPERLINK(INDEX(Raw_data!$C$2:$C$636,MATCH($K379,Model!$R$2:$R$636,0)),INDEX(Raw_data!$C$2:$C$636,MATCH($K379,Model!$R$2:$R$636,0))))</f>
        <v/>
      </c>
      <c r="D379">
        <f>IF($K379="","",INDEX(Raw_data!$AL$2:$AL$636,MATCH($K379,Model!$R$2:$R$636,0)))</f>
        <v/>
      </c>
      <c r="E379">
        <f>IF($K379="","",INDEX(Raw_data!$AM$2:$AM$636,MATCH($K379,Model!$R$2:$R$636,0)))</f>
        <v/>
      </c>
      <c r="F379">
        <f>IF($K379="","",INDEX(Raw_data!$AQ$2:$AQ$636,MATCH($K379,Model!$R$2:$R$636,0)))</f>
        <v/>
      </c>
      <c r="G379">
        <f>IF($K379="","",INDEX(Raw_data!$H$2:$H$636,MATCH($K379,Model!$R$2:$R$636,0)))</f>
        <v/>
      </c>
      <c r="H379" s="8">
        <f>IF($K379="","",INDEX(Model!$B$2:$B$636,MATCH($K379,Model!$R$2:$R$636,0)))</f>
        <v/>
      </c>
      <c r="I379" s="8">
        <f>IF($K379="","",INDEX(Model!$C$2:$C$636,MATCH($K379,Model!$R$2:$R$636,0)))</f>
        <v/>
      </c>
      <c r="J379">
        <f>IF($K379="","",INDEX(Model!$D$2:$D$636,MATCH($K379,Model!$R$2:$R$636,0)))</f>
        <v/>
      </c>
      <c r="K379">
        <f>IF(343&lt;=$E$5,LARGE(Model!$R$2:$R$636,343),"")</f>
        <v/>
      </c>
    </row>
    <row r="380">
      <c r="A380">
        <f>IF($K380="","",INDEX(Raw_data!$D$2:$D$636,MATCH($K380,Model!$R$2:$R$636,0)))</f>
        <v/>
      </c>
      <c r="B380" s="11">
        <f>IF($K380="","",INDEX(Raw_data!$F$2:$F$636,MATCH($K380,Model!$R$2:$R$636,0)))</f>
        <v/>
      </c>
      <c r="C380">
        <f>IF($K380="","",HYPERLINK(INDEX(Raw_data!$C$2:$C$636,MATCH($K380,Model!$R$2:$R$636,0)),INDEX(Raw_data!$C$2:$C$636,MATCH($K380,Model!$R$2:$R$636,0))))</f>
        <v/>
      </c>
      <c r="D380">
        <f>IF($K380="","",INDEX(Raw_data!$AL$2:$AL$636,MATCH($K380,Model!$R$2:$R$636,0)))</f>
        <v/>
      </c>
      <c r="E380">
        <f>IF($K380="","",INDEX(Raw_data!$AM$2:$AM$636,MATCH($K380,Model!$R$2:$R$636,0)))</f>
        <v/>
      </c>
      <c r="F380">
        <f>IF($K380="","",INDEX(Raw_data!$AQ$2:$AQ$636,MATCH($K380,Model!$R$2:$R$636,0)))</f>
        <v/>
      </c>
      <c r="G380">
        <f>IF($K380="","",INDEX(Raw_data!$H$2:$H$636,MATCH($K380,Model!$R$2:$R$636,0)))</f>
        <v/>
      </c>
      <c r="H380" s="8">
        <f>IF($K380="","",INDEX(Model!$B$2:$B$636,MATCH($K380,Model!$R$2:$R$636,0)))</f>
        <v/>
      </c>
      <c r="I380" s="8">
        <f>IF($K380="","",INDEX(Model!$C$2:$C$636,MATCH($K380,Model!$R$2:$R$636,0)))</f>
        <v/>
      </c>
      <c r="J380">
        <f>IF($K380="","",INDEX(Model!$D$2:$D$636,MATCH($K380,Model!$R$2:$R$636,0)))</f>
        <v/>
      </c>
      <c r="K380">
        <f>IF(344&lt;=$E$5,LARGE(Model!$R$2:$R$636,344),"")</f>
        <v/>
      </c>
    </row>
    <row r="381">
      <c r="A381">
        <f>IF($K381="","",INDEX(Raw_data!$D$2:$D$636,MATCH($K381,Model!$R$2:$R$636,0)))</f>
        <v/>
      </c>
      <c r="B381" s="11">
        <f>IF($K381="","",INDEX(Raw_data!$F$2:$F$636,MATCH($K381,Model!$R$2:$R$636,0)))</f>
        <v/>
      </c>
      <c r="C381">
        <f>IF($K381="","",HYPERLINK(INDEX(Raw_data!$C$2:$C$636,MATCH($K381,Model!$R$2:$R$636,0)),INDEX(Raw_data!$C$2:$C$636,MATCH($K381,Model!$R$2:$R$636,0))))</f>
        <v/>
      </c>
      <c r="D381">
        <f>IF($K381="","",INDEX(Raw_data!$AL$2:$AL$636,MATCH($K381,Model!$R$2:$R$636,0)))</f>
        <v/>
      </c>
      <c r="E381">
        <f>IF($K381="","",INDEX(Raw_data!$AM$2:$AM$636,MATCH($K381,Model!$R$2:$R$636,0)))</f>
        <v/>
      </c>
      <c r="F381">
        <f>IF($K381="","",INDEX(Raw_data!$AQ$2:$AQ$636,MATCH($K381,Model!$R$2:$R$636,0)))</f>
        <v/>
      </c>
      <c r="G381">
        <f>IF($K381="","",INDEX(Raw_data!$H$2:$H$636,MATCH($K381,Model!$R$2:$R$636,0)))</f>
        <v/>
      </c>
      <c r="H381" s="8">
        <f>IF($K381="","",INDEX(Model!$B$2:$B$636,MATCH($K381,Model!$R$2:$R$636,0)))</f>
        <v/>
      </c>
      <c r="I381" s="8">
        <f>IF($K381="","",INDEX(Model!$C$2:$C$636,MATCH($K381,Model!$R$2:$R$636,0)))</f>
        <v/>
      </c>
      <c r="J381">
        <f>IF($K381="","",INDEX(Model!$D$2:$D$636,MATCH($K381,Model!$R$2:$R$636,0)))</f>
        <v/>
      </c>
      <c r="K381">
        <f>IF(345&lt;=$E$5,LARGE(Model!$R$2:$R$636,345),"")</f>
        <v/>
      </c>
    </row>
    <row r="382">
      <c r="A382">
        <f>IF($K382="","",INDEX(Raw_data!$D$2:$D$636,MATCH($K382,Model!$R$2:$R$636,0)))</f>
        <v/>
      </c>
      <c r="B382" s="11">
        <f>IF($K382="","",INDEX(Raw_data!$F$2:$F$636,MATCH($K382,Model!$R$2:$R$636,0)))</f>
        <v/>
      </c>
      <c r="C382">
        <f>IF($K382="","",HYPERLINK(INDEX(Raw_data!$C$2:$C$636,MATCH($K382,Model!$R$2:$R$636,0)),INDEX(Raw_data!$C$2:$C$636,MATCH($K382,Model!$R$2:$R$636,0))))</f>
        <v/>
      </c>
      <c r="D382">
        <f>IF($K382="","",INDEX(Raw_data!$AL$2:$AL$636,MATCH($K382,Model!$R$2:$R$636,0)))</f>
        <v/>
      </c>
      <c r="E382">
        <f>IF($K382="","",INDEX(Raw_data!$AM$2:$AM$636,MATCH($K382,Model!$R$2:$R$636,0)))</f>
        <v/>
      </c>
      <c r="F382">
        <f>IF($K382="","",INDEX(Raw_data!$AQ$2:$AQ$636,MATCH($K382,Model!$R$2:$R$636,0)))</f>
        <v/>
      </c>
      <c r="G382">
        <f>IF($K382="","",INDEX(Raw_data!$H$2:$H$636,MATCH($K382,Model!$R$2:$R$636,0)))</f>
        <v/>
      </c>
      <c r="H382" s="8">
        <f>IF($K382="","",INDEX(Model!$B$2:$B$636,MATCH($K382,Model!$R$2:$R$636,0)))</f>
        <v/>
      </c>
      <c r="I382" s="8">
        <f>IF($K382="","",INDEX(Model!$C$2:$C$636,MATCH($K382,Model!$R$2:$R$636,0)))</f>
        <v/>
      </c>
      <c r="J382">
        <f>IF($K382="","",INDEX(Model!$D$2:$D$636,MATCH($K382,Model!$R$2:$R$636,0)))</f>
        <v/>
      </c>
      <c r="K382">
        <f>IF(346&lt;=$E$5,LARGE(Model!$R$2:$R$636,346),"")</f>
        <v/>
      </c>
    </row>
    <row r="383">
      <c r="A383">
        <f>IF($K383="","",INDEX(Raw_data!$D$2:$D$636,MATCH($K383,Model!$R$2:$R$636,0)))</f>
        <v/>
      </c>
      <c r="B383" s="11">
        <f>IF($K383="","",INDEX(Raw_data!$F$2:$F$636,MATCH($K383,Model!$R$2:$R$636,0)))</f>
        <v/>
      </c>
      <c r="C383">
        <f>IF($K383="","",HYPERLINK(INDEX(Raw_data!$C$2:$C$636,MATCH($K383,Model!$R$2:$R$636,0)),INDEX(Raw_data!$C$2:$C$636,MATCH($K383,Model!$R$2:$R$636,0))))</f>
        <v/>
      </c>
      <c r="D383">
        <f>IF($K383="","",INDEX(Raw_data!$AL$2:$AL$636,MATCH($K383,Model!$R$2:$R$636,0)))</f>
        <v/>
      </c>
      <c r="E383">
        <f>IF($K383="","",INDEX(Raw_data!$AM$2:$AM$636,MATCH($K383,Model!$R$2:$R$636,0)))</f>
        <v/>
      </c>
      <c r="F383">
        <f>IF($K383="","",INDEX(Raw_data!$AQ$2:$AQ$636,MATCH($K383,Model!$R$2:$R$636,0)))</f>
        <v/>
      </c>
      <c r="G383">
        <f>IF($K383="","",INDEX(Raw_data!$H$2:$H$636,MATCH($K383,Model!$R$2:$R$636,0)))</f>
        <v/>
      </c>
      <c r="H383" s="8">
        <f>IF($K383="","",INDEX(Model!$B$2:$B$636,MATCH($K383,Model!$R$2:$R$636,0)))</f>
        <v/>
      </c>
      <c r="I383" s="8">
        <f>IF($K383="","",INDEX(Model!$C$2:$C$636,MATCH($K383,Model!$R$2:$R$636,0)))</f>
        <v/>
      </c>
      <c r="J383">
        <f>IF($K383="","",INDEX(Model!$D$2:$D$636,MATCH($K383,Model!$R$2:$R$636,0)))</f>
        <v/>
      </c>
      <c r="K383">
        <f>IF(347&lt;=$E$5,LARGE(Model!$R$2:$R$636,347),"")</f>
        <v/>
      </c>
    </row>
    <row r="384">
      <c r="A384">
        <f>IF($K384="","",INDEX(Raw_data!$D$2:$D$636,MATCH($K384,Model!$R$2:$R$636,0)))</f>
        <v/>
      </c>
      <c r="B384" s="11">
        <f>IF($K384="","",INDEX(Raw_data!$F$2:$F$636,MATCH($K384,Model!$R$2:$R$636,0)))</f>
        <v/>
      </c>
      <c r="C384">
        <f>IF($K384="","",HYPERLINK(INDEX(Raw_data!$C$2:$C$636,MATCH($K384,Model!$R$2:$R$636,0)),INDEX(Raw_data!$C$2:$C$636,MATCH($K384,Model!$R$2:$R$636,0))))</f>
        <v/>
      </c>
      <c r="D384">
        <f>IF($K384="","",INDEX(Raw_data!$AL$2:$AL$636,MATCH($K384,Model!$R$2:$R$636,0)))</f>
        <v/>
      </c>
      <c r="E384">
        <f>IF($K384="","",INDEX(Raw_data!$AM$2:$AM$636,MATCH($K384,Model!$R$2:$R$636,0)))</f>
        <v/>
      </c>
      <c r="F384">
        <f>IF($K384="","",INDEX(Raw_data!$AQ$2:$AQ$636,MATCH($K384,Model!$R$2:$R$636,0)))</f>
        <v/>
      </c>
      <c r="G384">
        <f>IF($K384="","",INDEX(Raw_data!$H$2:$H$636,MATCH($K384,Model!$R$2:$R$636,0)))</f>
        <v/>
      </c>
      <c r="H384" s="8">
        <f>IF($K384="","",INDEX(Model!$B$2:$B$636,MATCH($K384,Model!$R$2:$R$636,0)))</f>
        <v/>
      </c>
      <c r="I384" s="8">
        <f>IF($K384="","",INDEX(Model!$C$2:$C$636,MATCH($K384,Model!$R$2:$R$636,0)))</f>
        <v/>
      </c>
      <c r="J384">
        <f>IF($K384="","",INDEX(Model!$D$2:$D$636,MATCH($K384,Model!$R$2:$R$636,0)))</f>
        <v/>
      </c>
      <c r="K384">
        <f>IF(348&lt;=$E$5,LARGE(Model!$R$2:$R$636,348),"")</f>
        <v/>
      </c>
    </row>
    <row r="385">
      <c r="A385">
        <f>IF($K385="","",INDEX(Raw_data!$D$2:$D$636,MATCH($K385,Model!$R$2:$R$636,0)))</f>
        <v/>
      </c>
      <c r="B385" s="11">
        <f>IF($K385="","",INDEX(Raw_data!$F$2:$F$636,MATCH($K385,Model!$R$2:$R$636,0)))</f>
        <v/>
      </c>
      <c r="C385">
        <f>IF($K385="","",HYPERLINK(INDEX(Raw_data!$C$2:$C$636,MATCH($K385,Model!$R$2:$R$636,0)),INDEX(Raw_data!$C$2:$C$636,MATCH($K385,Model!$R$2:$R$636,0))))</f>
        <v/>
      </c>
      <c r="D385">
        <f>IF($K385="","",INDEX(Raw_data!$AL$2:$AL$636,MATCH($K385,Model!$R$2:$R$636,0)))</f>
        <v/>
      </c>
      <c r="E385">
        <f>IF($K385="","",INDEX(Raw_data!$AM$2:$AM$636,MATCH($K385,Model!$R$2:$R$636,0)))</f>
        <v/>
      </c>
      <c r="F385">
        <f>IF($K385="","",INDEX(Raw_data!$AQ$2:$AQ$636,MATCH($K385,Model!$R$2:$R$636,0)))</f>
        <v/>
      </c>
      <c r="G385">
        <f>IF($K385="","",INDEX(Raw_data!$H$2:$H$636,MATCH($K385,Model!$R$2:$R$636,0)))</f>
        <v/>
      </c>
      <c r="H385" s="8">
        <f>IF($K385="","",INDEX(Model!$B$2:$B$636,MATCH($K385,Model!$R$2:$R$636,0)))</f>
        <v/>
      </c>
      <c r="I385" s="8">
        <f>IF($K385="","",INDEX(Model!$C$2:$C$636,MATCH($K385,Model!$R$2:$R$636,0)))</f>
        <v/>
      </c>
      <c r="J385">
        <f>IF($K385="","",INDEX(Model!$D$2:$D$636,MATCH($K385,Model!$R$2:$R$636,0)))</f>
        <v/>
      </c>
      <c r="K385">
        <f>IF(349&lt;=$E$5,LARGE(Model!$R$2:$R$636,349),"")</f>
        <v/>
      </c>
    </row>
    <row r="386">
      <c r="A386">
        <f>IF($K386="","",INDEX(Raw_data!$D$2:$D$636,MATCH($K386,Model!$R$2:$R$636,0)))</f>
        <v/>
      </c>
      <c r="B386" s="11">
        <f>IF($K386="","",INDEX(Raw_data!$F$2:$F$636,MATCH($K386,Model!$R$2:$R$636,0)))</f>
        <v/>
      </c>
      <c r="C386">
        <f>IF($K386="","",HYPERLINK(INDEX(Raw_data!$C$2:$C$636,MATCH($K386,Model!$R$2:$R$636,0)),INDEX(Raw_data!$C$2:$C$636,MATCH($K386,Model!$R$2:$R$636,0))))</f>
        <v/>
      </c>
      <c r="D386">
        <f>IF($K386="","",INDEX(Raw_data!$AL$2:$AL$636,MATCH($K386,Model!$R$2:$R$636,0)))</f>
        <v/>
      </c>
      <c r="E386">
        <f>IF($K386="","",INDEX(Raw_data!$AM$2:$AM$636,MATCH($K386,Model!$R$2:$R$636,0)))</f>
        <v/>
      </c>
      <c r="F386">
        <f>IF($K386="","",INDEX(Raw_data!$AQ$2:$AQ$636,MATCH($K386,Model!$R$2:$R$636,0)))</f>
        <v/>
      </c>
      <c r="G386">
        <f>IF($K386="","",INDEX(Raw_data!$H$2:$H$636,MATCH($K386,Model!$R$2:$R$636,0)))</f>
        <v/>
      </c>
      <c r="H386" s="8">
        <f>IF($K386="","",INDEX(Model!$B$2:$B$636,MATCH($K386,Model!$R$2:$R$636,0)))</f>
        <v/>
      </c>
      <c r="I386" s="8">
        <f>IF($K386="","",INDEX(Model!$C$2:$C$636,MATCH($K386,Model!$R$2:$R$636,0)))</f>
        <v/>
      </c>
      <c r="J386">
        <f>IF($K386="","",INDEX(Model!$D$2:$D$636,MATCH($K386,Model!$R$2:$R$636,0)))</f>
        <v/>
      </c>
      <c r="K386">
        <f>IF(350&lt;=$E$5,LARGE(Model!$R$2:$R$636,350),"")</f>
        <v/>
      </c>
    </row>
    <row r="387">
      <c r="A387">
        <f>IF($K387="","",INDEX(Raw_data!$D$2:$D$636,MATCH($K387,Model!$R$2:$R$636,0)))</f>
        <v/>
      </c>
      <c r="B387" s="11">
        <f>IF($K387="","",INDEX(Raw_data!$F$2:$F$636,MATCH($K387,Model!$R$2:$R$636,0)))</f>
        <v/>
      </c>
      <c r="C387">
        <f>IF($K387="","",HYPERLINK(INDEX(Raw_data!$C$2:$C$636,MATCH($K387,Model!$R$2:$R$636,0)),INDEX(Raw_data!$C$2:$C$636,MATCH($K387,Model!$R$2:$R$636,0))))</f>
        <v/>
      </c>
      <c r="D387">
        <f>IF($K387="","",INDEX(Raw_data!$AL$2:$AL$636,MATCH($K387,Model!$R$2:$R$636,0)))</f>
        <v/>
      </c>
      <c r="E387">
        <f>IF($K387="","",INDEX(Raw_data!$AM$2:$AM$636,MATCH($K387,Model!$R$2:$R$636,0)))</f>
        <v/>
      </c>
      <c r="F387">
        <f>IF($K387="","",INDEX(Raw_data!$AQ$2:$AQ$636,MATCH($K387,Model!$R$2:$R$636,0)))</f>
        <v/>
      </c>
      <c r="G387">
        <f>IF($K387="","",INDEX(Raw_data!$H$2:$H$636,MATCH($K387,Model!$R$2:$R$636,0)))</f>
        <v/>
      </c>
      <c r="H387" s="8">
        <f>IF($K387="","",INDEX(Model!$B$2:$B$636,MATCH($K387,Model!$R$2:$R$636,0)))</f>
        <v/>
      </c>
      <c r="I387" s="8">
        <f>IF($K387="","",INDEX(Model!$C$2:$C$636,MATCH($K387,Model!$R$2:$R$636,0)))</f>
        <v/>
      </c>
      <c r="J387">
        <f>IF($K387="","",INDEX(Model!$D$2:$D$636,MATCH($K387,Model!$R$2:$R$636,0)))</f>
        <v/>
      </c>
      <c r="K387">
        <f>IF(351&lt;=$E$5,LARGE(Model!$R$2:$R$636,351),"")</f>
        <v/>
      </c>
    </row>
    <row r="388">
      <c r="A388">
        <f>IF($K388="","",INDEX(Raw_data!$D$2:$D$636,MATCH($K388,Model!$R$2:$R$636,0)))</f>
        <v/>
      </c>
      <c r="B388" s="11">
        <f>IF($K388="","",INDEX(Raw_data!$F$2:$F$636,MATCH($K388,Model!$R$2:$R$636,0)))</f>
        <v/>
      </c>
      <c r="C388">
        <f>IF($K388="","",HYPERLINK(INDEX(Raw_data!$C$2:$C$636,MATCH($K388,Model!$R$2:$R$636,0)),INDEX(Raw_data!$C$2:$C$636,MATCH($K388,Model!$R$2:$R$636,0))))</f>
        <v/>
      </c>
      <c r="D388">
        <f>IF($K388="","",INDEX(Raw_data!$AL$2:$AL$636,MATCH($K388,Model!$R$2:$R$636,0)))</f>
        <v/>
      </c>
      <c r="E388">
        <f>IF($K388="","",INDEX(Raw_data!$AM$2:$AM$636,MATCH($K388,Model!$R$2:$R$636,0)))</f>
        <v/>
      </c>
      <c r="F388">
        <f>IF($K388="","",INDEX(Raw_data!$AQ$2:$AQ$636,MATCH($K388,Model!$R$2:$R$636,0)))</f>
        <v/>
      </c>
      <c r="G388">
        <f>IF($K388="","",INDEX(Raw_data!$H$2:$H$636,MATCH($K388,Model!$R$2:$R$636,0)))</f>
        <v/>
      </c>
      <c r="H388" s="8">
        <f>IF($K388="","",INDEX(Model!$B$2:$B$636,MATCH($K388,Model!$R$2:$R$636,0)))</f>
        <v/>
      </c>
      <c r="I388" s="8">
        <f>IF($K388="","",INDEX(Model!$C$2:$C$636,MATCH($K388,Model!$R$2:$R$636,0)))</f>
        <v/>
      </c>
      <c r="J388">
        <f>IF($K388="","",INDEX(Model!$D$2:$D$636,MATCH($K388,Model!$R$2:$R$636,0)))</f>
        <v/>
      </c>
      <c r="K388">
        <f>IF(352&lt;=$E$5,LARGE(Model!$R$2:$R$636,352),"")</f>
        <v/>
      </c>
    </row>
    <row r="389">
      <c r="A389">
        <f>IF($K389="","",INDEX(Raw_data!$D$2:$D$636,MATCH($K389,Model!$R$2:$R$636,0)))</f>
        <v/>
      </c>
      <c r="B389" s="11">
        <f>IF($K389="","",INDEX(Raw_data!$F$2:$F$636,MATCH($K389,Model!$R$2:$R$636,0)))</f>
        <v/>
      </c>
      <c r="C389">
        <f>IF($K389="","",HYPERLINK(INDEX(Raw_data!$C$2:$C$636,MATCH($K389,Model!$R$2:$R$636,0)),INDEX(Raw_data!$C$2:$C$636,MATCH($K389,Model!$R$2:$R$636,0))))</f>
        <v/>
      </c>
      <c r="D389">
        <f>IF($K389="","",INDEX(Raw_data!$AL$2:$AL$636,MATCH($K389,Model!$R$2:$R$636,0)))</f>
        <v/>
      </c>
      <c r="E389">
        <f>IF($K389="","",INDEX(Raw_data!$AM$2:$AM$636,MATCH($K389,Model!$R$2:$R$636,0)))</f>
        <v/>
      </c>
      <c r="F389">
        <f>IF($K389="","",INDEX(Raw_data!$AQ$2:$AQ$636,MATCH($K389,Model!$R$2:$R$636,0)))</f>
        <v/>
      </c>
      <c r="G389">
        <f>IF($K389="","",INDEX(Raw_data!$H$2:$H$636,MATCH($K389,Model!$R$2:$R$636,0)))</f>
        <v/>
      </c>
      <c r="H389" s="8">
        <f>IF($K389="","",INDEX(Model!$B$2:$B$636,MATCH($K389,Model!$R$2:$R$636,0)))</f>
        <v/>
      </c>
      <c r="I389" s="8">
        <f>IF($K389="","",INDEX(Model!$C$2:$C$636,MATCH($K389,Model!$R$2:$R$636,0)))</f>
        <v/>
      </c>
      <c r="J389">
        <f>IF($K389="","",INDEX(Model!$D$2:$D$636,MATCH($K389,Model!$R$2:$R$636,0)))</f>
        <v/>
      </c>
      <c r="K389">
        <f>IF(353&lt;=$E$5,LARGE(Model!$R$2:$R$636,353),"")</f>
        <v/>
      </c>
    </row>
    <row r="390">
      <c r="A390">
        <f>IF($K390="","",INDEX(Raw_data!$D$2:$D$636,MATCH($K390,Model!$R$2:$R$636,0)))</f>
        <v/>
      </c>
      <c r="B390" s="11">
        <f>IF($K390="","",INDEX(Raw_data!$F$2:$F$636,MATCH($K390,Model!$R$2:$R$636,0)))</f>
        <v/>
      </c>
      <c r="C390">
        <f>IF($K390="","",HYPERLINK(INDEX(Raw_data!$C$2:$C$636,MATCH($K390,Model!$R$2:$R$636,0)),INDEX(Raw_data!$C$2:$C$636,MATCH($K390,Model!$R$2:$R$636,0))))</f>
        <v/>
      </c>
      <c r="D390">
        <f>IF($K390="","",INDEX(Raw_data!$AL$2:$AL$636,MATCH($K390,Model!$R$2:$R$636,0)))</f>
        <v/>
      </c>
      <c r="E390">
        <f>IF($K390="","",INDEX(Raw_data!$AM$2:$AM$636,MATCH($K390,Model!$R$2:$R$636,0)))</f>
        <v/>
      </c>
      <c r="F390">
        <f>IF($K390="","",INDEX(Raw_data!$AQ$2:$AQ$636,MATCH($K390,Model!$R$2:$R$636,0)))</f>
        <v/>
      </c>
      <c r="G390">
        <f>IF($K390="","",INDEX(Raw_data!$H$2:$H$636,MATCH($K390,Model!$R$2:$R$636,0)))</f>
        <v/>
      </c>
      <c r="H390" s="8">
        <f>IF($K390="","",INDEX(Model!$B$2:$B$636,MATCH($K390,Model!$R$2:$R$636,0)))</f>
        <v/>
      </c>
      <c r="I390" s="8">
        <f>IF($K390="","",INDEX(Model!$C$2:$C$636,MATCH($K390,Model!$R$2:$R$636,0)))</f>
        <v/>
      </c>
      <c r="J390">
        <f>IF($K390="","",INDEX(Model!$D$2:$D$636,MATCH($K390,Model!$R$2:$R$636,0)))</f>
        <v/>
      </c>
      <c r="K390">
        <f>IF(354&lt;=$E$5,LARGE(Model!$R$2:$R$636,354),"")</f>
        <v/>
      </c>
    </row>
    <row r="391">
      <c r="A391">
        <f>IF($K391="","",INDEX(Raw_data!$D$2:$D$636,MATCH($K391,Model!$R$2:$R$636,0)))</f>
        <v/>
      </c>
      <c r="B391" s="11">
        <f>IF($K391="","",INDEX(Raw_data!$F$2:$F$636,MATCH($K391,Model!$R$2:$R$636,0)))</f>
        <v/>
      </c>
      <c r="C391">
        <f>IF($K391="","",HYPERLINK(INDEX(Raw_data!$C$2:$C$636,MATCH($K391,Model!$R$2:$R$636,0)),INDEX(Raw_data!$C$2:$C$636,MATCH($K391,Model!$R$2:$R$636,0))))</f>
        <v/>
      </c>
      <c r="D391">
        <f>IF($K391="","",INDEX(Raw_data!$AL$2:$AL$636,MATCH($K391,Model!$R$2:$R$636,0)))</f>
        <v/>
      </c>
      <c r="E391">
        <f>IF($K391="","",INDEX(Raw_data!$AM$2:$AM$636,MATCH($K391,Model!$R$2:$R$636,0)))</f>
        <v/>
      </c>
      <c r="F391">
        <f>IF($K391="","",INDEX(Raw_data!$AQ$2:$AQ$636,MATCH($K391,Model!$R$2:$R$636,0)))</f>
        <v/>
      </c>
      <c r="G391">
        <f>IF($K391="","",INDEX(Raw_data!$H$2:$H$636,MATCH($K391,Model!$R$2:$R$636,0)))</f>
        <v/>
      </c>
      <c r="H391" s="8">
        <f>IF($K391="","",INDEX(Model!$B$2:$B$636,MATCH($K391,Model!$R$2:$R$636,0)))</f>
        <v/>
      </c>
      <c r="I391" s="8">
        <f>IF($K391="","",INDEX(Model!$C$2:$C$636,MATCH($K391,Model!$R$2:$R$636,0)))</f>
        <v/>
      </c>
      <c r="J391">
        <f>IF($K391="","",INDEX(Model!$D$2:$D$636,MATCH($K391,Model!$R$2:$R$636,0)))</f>
        <v/>
      </c>
      <c r="K391">
        <f>IF(355&lt;=$E$5,LARGE(Model!$R$2:$R$636,355),"")</f>
        <v/>
      </c>
    </row>
    <row r="392">
      <c r="A392">
        <f>IF($K392="","",INDEX(Raw_data!$D$2:$D$636,MATCH($K392,Model!$R$2:$R$636,0)))</f>
        <v/>
      </c>
      <c r="B392" s="11">
        <f>IF($K392="","",INDEX(Raw_data!$F$2:$F$636,MATCH($K392,Model!$R$2:$R$636,0)))</f>
        <v/>
      </c>
      <c r="C392">
        <f>IF($K392="","",HYPERLINK(INDEX(Raw_data!$C$2:$C$636,MATCH($K392,Model!$R$2:$R$636,0)),INDEX(Raw_data!$C$2:$C$636,MATCH($K392,Model!$R$2:$R$636,0))))</f>
        <v/>
      </c>
      <c r="D392">
        <f>IF($K392="","",INDEX(Raw_data!$AL$2:$AL$636,MATCH($K392,Model!$R$2:$R$636,0)))</f>
        <v/>
      </c>
      <c r="E392">
        <f>IF($K392="","",INDEX(Raw_data!$AM$2:$AM$636,MATCH($K392,Model!$R$2:$R$636,0)))</f>
        <v/>
      </c>
      <c r="F392">
        <f>IF($K392="","",INDEX(Raw_data!$AQ$2:$AQ$636,MATCH($K392,Model!$R$2:$R$636,0)))</f>
        <v/>
      </c>
      <c r="G392">
        <f>IF($K392="","",INDEX(Raw_data!$H$2:$H$636,MATCH($K392,Model!$R$2:$R$636,0)))</f>
        <v/>
      </c>
      <c r="H392" s="8">
        <f>IF($K392="","",INDEX(Model!$B$2:$B$636,MATCH($K392,Model!$R$2:$R$636,0)))</f>
        <v/>
      </c>
      <c r="I392" s="8">
        <f>IF($K392="","",INDEX(Model!$C$2:$C$636,MATCH($K392,Model!$R$2:$R$636,0)))</f>
        <v/>
      </c>
      <c r="J392">
        <f>IF($K392="","",INDEX(Model!$D$2:$D$636,MATCH($K392,Model!$R$2:$R$636,0)))</f>
        <v/>
      </c>
      <c r="K392">
        <f>IF(356&lt;=$E$5,LARGE(Model!$R$2:$R$636,356),"")</f>
        <v/>
      </c>
    </row>
    <row r="393">
      <c r="A393">
        <f>IF($K393="","",INDEX(Raw_data!$D$2:$D$636,MATCH($K393,Model!$R$2:$R$636,0)))</f>
        <v/>
      </c>
      <c r="B393" s="11">
        <f>IF($K393="","",INDEX(Raw_data!$F$2:$F$636,MATCH($K393,Model!$R$2:$R$636,0)))</f>
        <v/>
      </c>
      <c r="C393">
        <f>IF($K393="","",HYPERLINK(INDEX(Raw_data!$C$2:$C$636,MATCH($K393,Model!$R$2:$R$636,0)),INDEX(Raw_data!$C$2:$C$636,MATCH($K393,Model!$R$2:$R$636,0))))</f>
        <v/>
      </c>
      <c r="D393">
        <f>IF($K393="","",INDEX(Raw_data!$AL$2:$AL$636,MATCH($K393,Model!$R$2:$R$636,0)))</f>
        <v/>
      </c>
      <c r="E393">
        <f>IF($K393="","",INDEX(Raw_data!$AM$2:$AM$636,MATCH($K393,Model!$R$2:$R$636,0)))</f>
        <v/>
      </c>
      <c r="F393">
        <f>IF($K393="","",INDEX(Raw_data!$AQ$2:$AQ$636,MATCH($K393,Model!$R$2:$R$636,0)))</f>
        <v/>
      </c>
      <c r="G393">
        <f>IF($K393="","",INDEX(Raw_data!$H$2:$H$636,MATCH($K393,Model!$R$2:$R$636,0)))</f>
        <v/>
      </c>
      <c r="H393" s="8">
        <f>IF($K393="","",INDEX(Model!$B$2:$B$636,MATCH($K393,Model!$R$2:$R$636,0)))</f>
        <v/>
      </c>
      <c r="I393" s="8">
        <f>IF($K393="","",INDEX(Model!$C$2:$C$636,MATCH($K393,Model!$R$2:$R$636,0)))</f>
        <v/>
      </c>
      <c r="J393">
        <f>IF($K393="","",INDEX(Model!$D$2:$D$636,MATCH($K393,Model!$R$2:$R$636,0)))</f>
        <v/>
      </c>
      <c r="K393">
        <f>IF(357&lt;=$E$5,LARGE(Model!$R$2:$R$636,357),"")</f>
        <v/>
      </c>
    </row>
    <row r="394">
      <c r="A394">
        <f>IF($K394="","",INDEX(Raw_data!$D$2:$D$636,MATCH($K394,Model!$R$2:$R$636,0)))</f>
        <v/>
      </c>
      <c r="B394" s="11">
        <f>IF($K394="","",INDEX(Raw_data!$F$2:$F$636,MATCH($K394,Model!$R$2:$R$636,0)))</f>
        <v/>
      </c>
      <c r="C394">
        <f>IF($K394="","",HYPERLINK(INDEX(Raw_data!$C$2:$C$636,MATCH($K394,Model!$R$2:$R$636,0)),INDEX(Raw_data!$C$2:$C$636,MATCH($K394,Model!$R$2:$R$636,0))))</f>
        <v/>
      </c>
      <c r="D394">
        <f>IF($K394="","",INDEX(Raw_data!$AL$2:$AL$636,MATCH($K394,Model!$R$2:$R$636,0)))</f>
        <v/>
      </c>
      <c r="E394">
        <f>IF($K394="","",INDEX(Raw_data!$AM$2:$AM$636,MATCH($K394,Model!$R$2:$R$636,0)))</f>
        <v/>
      </c>
      <c r="F394">
        <f>IF($K394="","",INDEX(Raw_data!$AQ$2:$AQ$636,MATCH($K394,Model!$R$2:$R$636,0)))</f>
        <v/>
      </c>
      <c r="G394">
        <f>IF($K394="","",INDEX(Raw_data!$H$2:$H$636,MATCH($K394,Model!$R$2:$R$636,0)))</f>
        <v/>
      </c>
      <c r="H394" s="8">
        <f>IF($K394="","",INDEX(Model!$B$2:$B$636,MATCH($K394,Model!$R$2:$R$636,0)))</f>
        <v/>
      </c>
      <c r="I394" s="8">
        <f>IF($K394="","",INDEX(Model!$C$2:$C$636,MATCH($K394,Model!$R$2:$R$636,0)))</f>
        <v/>
      </c>
      <c r="J394">
        <f>IF($K394="","",INDEX(Model!$D$2:$D$636,MATCH($K394,Model!$R$2:$R$636,0)))</f>
        <v/>
      </c>
      <c r="K394">
        <f>IF(358&lt;=$E$5,LARGE(Model!$R$2:$R$636,358),"")</f>
        <v/>
      </c>
    </row>
    <row r="395">
      <c r="A395">
        <f>IF($K395="","",INDEX(Raw_data!$D$2:$D$636,MATCH($K395,Model!$R$2:$R$636,0)))</f>
        <v/>
      </c>
      <c r="B395" s="11">
        <f>IF($K395="","",INDEX(Raw_data!$F$2:$F$636,MATCH($K395,Model!$R$2:$R$636,0)))</f>
        <v/>
      </c>
      <c r="C395">
        <f>IF($K395="","",HYPERLINK(INDEX(Raw_data!$C$2:$C$636,MATCH($K395,Model!$R$2:$R$636,0)),INDEX(Raw_data!$C$2:$C$636,MATCH($K395,Model!$R$2:$R$636,0))))</f>
        <v/>
      </c>
      <c r="D395">
        <f>IF($K395="","",INDEX(Raw_data!$AL$2:$AL$636,MATCH($K395,Model!$R$2:$R$636,0)))</f>
        <v/>
      </c>
      <c r="E395">
        <f>IF($K395="","",INDEX(Raw_data!$AM$2:$AM$636,MATCH($K395,Model!$R$2:$R$636,0)))</f>
        <v/>
      </c>
      <c r="F395">
        <f>IF($K395="","",INDEX(Raw_data!$AQ$2:$AQ$636,MATCH($K395,Model!$R$2:$R$636,0)))</f>
        <v/>
      </c>
      <c r="G395">
        <f>IF($K395="","",INDEX(Raw_data!$H$2:$H$636,MATCH($K395,Model!$R$2:$R$636,0)))</f>
        <v/>
      </c>
      <c r="H395" s="8">
        <f>IF($K395="","",INDEX(Model!$B$2:$B$636,MATCH($K395,Model!$R$2:$R$636,0)))</f>
        <v/>
      </c>
      <c r="I395" s="8">
        <f>IF($K395="","",INDEX(Model!$C$2:$C$636,MATCH($K395,Model!$R$2:$R$636,0)))</f>
        <v/>
      </c>
      <c r="J395">
        <f>IF($K395="","",INDEX(Model!$D$2:$D$636,MATCH($K395,Model!$R$2:$R$636,0)))</f>
        <v/>
      </c>
      <c r="K395">
        <f>IF(359&lt;=$E$5,LARGE(Model!$R$2:$R$636,359),"")</f>
        <v/>
      </c>
    </row>
    <row r="396">
      <c r="A396">
        <f>IF($K396="","",INDEX(Raw_data!$D$2:$D$636,MATCH($K396,Model!$R$2:$R$636,0)))</f>
        <v/>
      </c>
      <c r="B396" s="11">
        <f>IF($K396="","",INDEX(Raw_data!$F$2:$F$636,MATCH($K396,Model!$R$2:$R$636,0)))</f>
        <v/>
      </c>
      <c r="C396">
        <f>IF($K396="","",HYPERLINK(INDEX(Raw_data!$C$2:$C$636,MATCH($K396,Model!$R$2:$R$636,0)),INDEX(Raw_data!$C$2:$C$636,MATCH($K396,Model!$R$2:$R$636,0))))</f>
        <v/>
      </c>
      <c r="D396">
        <f>IF($K396="","",INDEX(Raw_data!$AL$2:$AL$636,MATCH($K396,Model!$R$2:$R$636,0)))</f>
        <v/>
      </c>
      <c r="E396">
        <f>IF($K396="","",INDEX(Raw_data!$AM$2:$AM$636,MATCH($K396,Model!$R$2:$R$636,0)))</f>
        <v/>
      </c>
      <c r="F396">
        <f>IF($K396="","",INDEX(Raw_data!$AQ$2:$AQ$636,MATCH($K396,Model!$R$2:$R$636,0)))</f>
        <v/>
      </c>
      <c r="G396">
        <f>IF($K396="","",INDEX(Raw_data!$H$2:$H$636,MATCH($K396,Model!$R$2:$R$636,0)))</f>
        <v/>
      </c>
      <c r="H396" s="8">
        <f>IF($K396="","",INDEX(Model!$B$2:$B$636,MATCH($K396,Model!$R$2:$R$636,0)))</f>
        <v/>
      </c>
      <c r="I396" s="8">
        <f>IF($K396="","",INDEX(Model!$C$2:$C$636,MATCH($K396,Model!$R$2:$R$636,0)))</f>
        <v/>
      </c>
      <c r="J396">
        <f>IF($K396="","",INDEX(Model!$D$2:$D$636,MATCH($K396,Model!$R$2:$R$636,0)))</f>
        <v/>
      </c>
      <c r="K396">
        <f>IF(360&lt;=$E$5,LARGE(Model!$R$2:$R$636,360),"")</f>
        <v/>
      </c>
    </row>
    <row r="397">
      <c r="A397">
        <f>IF($K397="","",INDEX(Raw_data!$D$2:$D$636,MATCH($K397,Model!$R$2:$R$636,0)))</f>
        <v/>
      </c>
      <c r="B397" s="11">
        <f>IF($K397="","",INDEX(Raw_data!$F$2:$F$636,MATCH($K397,Model!$R$2:$R$636,0)))</f>
        <v/>
      </c>
      <c r="C397">
        <f>IF($K397="","",HYPERLINK(INDEX(Raw_data!$C$2:$C$636,MATCH($K397,Model!$R$2:$R$636,0)),INDEX(Raw_data!$C$2:$C$636,MATCH($K397,Model!$R$2:$R$636,0))))</f>
        <v/>
      </c>
      <c r="D397">
        <f>IF($K397="","",INDEX(Raw_data!$AL$2:$AL$636,MATCH($K397,Model!$R$2:$R$636,0)))</f>
        <v/>
      </c>
      <c r="E397">
        <f>IF($K397="","",INDEX(Raw_data!$AM$2:$AM$636,MATCH($K397,Model!$R$2:$R$636,0)))</f>
        <v/>
      </c>
      <c r="F397">
        <f>IF($K397="","",INDEX(Raw_data!$AQ$2:$AQ$636,MATCH($K397,Model!$R$2:$R$636,0)))</f>
        <v/>
      </c>
      <c r="G397">
        <f>IF($K397="","",INDEX(Raw_data!$H$2:$H$636,MATCH($K397,Model!$R$2:$R$636,0)))</f>
        <v/>
      </c>
      <c r="H397" s="8">
        <f>IF($K397="","",INDEX(Model!$B$2:$B$636,MATCH($K397,Model!$R$2:$R$636,0)))</f>
        <v/>
      </c>
      <c r="I397" s="8">
        <f>IF($K397="","",INDEX(Model!$C$2:$C$636,MATCH($K397,Model!$R$2:$R$636,0)))</f>
        <v/>
      </c>
      <c r="J397">
        <f>IF($K397="","",INDEX(Model!$D$2:$D$636,MATCH($K397,Model!$R$2:$R$636,0)))</f>
        <v/>
      </c>
      <c r="K397">
        <f>IF(361&lt;=$E$5,LARGE(Model!$R$2:$R$636,361),"")</f>
        <v/>
      </c>
    </row>
    <row r="398">
      <c r="A398">
        <f>IF($K398="","",INDEX(Raw_data!$D$2:$D$636,MATCH($K398,Model!$R$2:$R$636,0)))</f>
        <v/>
      </c>
      <c r="B398" s="11">
        <f>IF($K398="","",INDEX(Raw_data!$F$2:$F$636,MATCH($K398,Model!$R$2:$R$636,0)))</f>
        <v/>
      </c>
      <c r="C398">
        <f>IF($K398="","",HYPERLINK(INDEX(Raw_data!$C$2:$C$636,MATCH($K398,Model!$R$2:$R$636,0)),INDEX(Raw_data!$C$2:$C$636,MATCH($K398,Model!$R$2:$R$636,0))))</f>
        <v/>
      </c>
      <c r="D398">
        <f>IF($K398="","",INDEX(Raw_data!$AL$2:$AL$636,MATCH($K398,Model!$R$2:$R$636,0)))</f>
        <v/>
      </c>
      <c r="E398">
        <f>IF($K398="","",INDEX(Raw_data!$AM$2:$AM$636,MATCH($K398,Model!$R$2:$R$636,0)))</f>
        <v/>
      </c>
      <c r="F398">
        <f>IF($K398="","",INDEX(Raw_data!$AQ$2:$AQ$636,MATCH($K398,Model!$R$2:$R$636,0)))</f>
        <v/>
      </c>
      <c r="G398">
        <f>IF($K398="","",INDEX(Raw_data!$H$2:$H$636,MATCH($K398,Model!$R$2:$R$636,0)))</f>
        <v/>
      </c>
      <c r="H398" s="8">
        <f>IF($K398="","",INDEX(Model!$B$2:$B$636,MATCH($K398,Model!$R$2:$R$636,0)))</f>
        <v/>
      </c>
      <c r="I398" s="8">
        <f>IF($K398="","",INDEX(Model!$C$2:$C$636,MATCH($K398,Model!$R$2:$R$636,0)))</f>
        <v/>
      </c>
      <c r="J398">
        <f>IF($K398="","",INDEX(Model!$D$2:$D$636,MATCH($K398,Model!$R$2:$R$636,0)))</f>
        <v/>
      </c>
      <c r="K398">
        <f>IF(362&lt;=$E$5,LARGE(Model!$R$2:$R$636,362),"")</f>
        <v/>
      </c>
    </row>
    <row r="399">
      <c r="A399">
        <f>IF($K399="","",INDEX(Raw_data!$D$2:$D$636,MATCH($K399,Model!$R$2:$R$636,0)))</f>
        <v/>
      </c>
      <c r="B399" s="11">
        <f>IF($K399="","",INDEX(Raw_data!$F$2:$F$636,MATCH($K399,Model!$R$2:$R$636,0)))</f>
        <v/>
      </c>
      <c r="C399">
        <f>IF($K399="","",HYPERLINK(INDEX(Raw_data!$C$2:$C$636,MATCH($K399,Model!$R$2:$R$636,0)),INDEX(Raw_data!$C$2:$C$636,MATCH($K399,Model!$R$2:$R$636,0))))</f>
        <v/>
      </c>
      <c r="D399">
        <f>IF($K399="","",INDEX(Raw_data!$AL$2:$AL$636,MATCH($K399,Model!$R$2:$R$636,0)))</f>
        <v/>
      </c>
      <c r="E399">
        <f>IF($K399="","",INDEX(Raw_data!$AM$2:$AM$636,MATCH($K399,Model!$R$2:$R$636,0)))</f>
        <v/>
      </c>
      <c r="F399">
        <f>IF($K399="","",INDEX(Raw_data!$AQ$2:$AQ$636,MATCH($K399,Model!$R$2:$R$636,0)))</f>
        <v/>
      </c>
      <c r="G399">
        <f>IF($K399="","",INDEX(Raw_data!$H$2:$H$636,MATCH($K399,Model!$R$2:$R$636,0)))</f>
        <v/>
      </c>
      <c r="H399" s="8">
        <f>IF($K399="","",INDEX(Model!$B$2:$B$636,MATCH($K399,Model!$R$2:$R$636,0)))</f>
        <v/>
      </c>
      <c r="I399" s="8">
        <f>IF($K399="","",INDEX(Model!$C$2:$C$636,MATCH($K399,Model!$R$2:$R$636,0)))</f>
        <v/>
      </c>
      <c r="J399">
        <f>IF($K399="","",INDEX(Model!$D$2:$D$636,MATCH($K399,Model!$R$2:$R$636,0)))</f>
        <v/>
      </c>
      <c r="K399">
        <f>IF(363&lt;=$E$5,LARGE(Model!$R$2:$R$636,363),"")</f>
        <v/>
      </c>
    </row>
    <row r="400">
      <c r="A400">
        <f>IF($K400="","",INDEX(Raw_data!$D$2:$D$636,MATCH($K400,Model!$R$2:$R$636,0)))</f>
        <v/>
      </c>
      <c r="B400" s="11">
        <f>IF($K400="","",INDEX(Raw_data!$F$2:$F$636,MATCH($K400,Model!$R$2:$R$636,0)))</f>
        <v/>
      </c>
      <c r="C400">
        <f>IF($K400="","",HYPERLINK(INDEX(Raw_data!$C$2:$C$636,MATCH($K400,Model!$R$2:$R$636,0)),INDEX(Raw_data!$C$2:$C$636,MATCH($K400,Model!$R$2:$R$636,0))))</f>
        <v/>
      </c>
      <c r="D400">
        <f>IF($K400="","",INDEX(Raw_data!$AL$2:$AL$636,MATCH($K400,Model!$R$2:$R$636,0)))</f>
        <v/>
      </c>
      <c r="E400">
        <f>IF($K400="","",INDEX(Raw_data!$AM$2:$AM$636,MATCH($K400,Model!$R$2:$R$636,0)))</f>
        <v/>
      </c>
      <c r="F400">
        <f>IF($K400="","",INDEX(Raw_data!$AQ$2:$AQ$636,MATCH($K400,Model!$R$2:$R$636,0)))</f>
        <v/>
      </c>
      <c r="G400">
        <f>IF($K400="","",INDEX(Raw_data!$H$2:$H$636,MATCH($K400,Model!$R$2:$R$636,0)))</f>
        <v/>
      </c>
      <c r="H400" s="8">
        <f>IF($K400="","",INDEX(Model!$B$2:$B$636,MATCH($K400,Model!$R$2:$R$636,0)))</f>
        <v/>
      </c>
      <c r="I400" s="8">
        <f>IF($K400="","",INDEX(Model!$C$2:$C$636,MATCH($K400,Model!$R$2:$R$636,0)))</f>
        <v/>
      </c>
      <c r="J400">
        <f>IF($K400="","",INDEX(Model!$D$2:$D$636,MATCH($K400,Model!$R$2:$R$636,0)))</f>
        <v/>
      </c>
      <c r="K400">
        <f>IF(364&lt;=$E$5,LARGE(Model!$R$2:$R$636,364),"")</f>
        <v/>
      </c>
    </row>
    <row r="401">
      <c r="A401">
        <f>IF($K401="","",INDEX(Raw_data!$D$2:$D$636,MATCH($K401,Model!$R$2:$R$636,0)))</f>
        <v/>
      </c>
      <c r="B401" s="11">
        <f>IF($K401="","",INDEX(Raw_data!$F$2:$F$636,MATCH($K401,Model!$R$2:$R$636,0)))</f>
        <v/>
      </c>
      <c r="C401">
        <f>IF($K401="","",HYPERLINK(INDEX(Raw_data!$C$2:$C$636,MATCH($K401,Model!$R$2:$R$636,0)),INDEX(Raw_data!$C$2:$C$636,MATCH($K401,Model!$R$2:$R$636,0))))</f>
        <v/>
      </c>
      <c r="D401">
        <f>IF($K401="","",INDEX(Raw_data!$AL$2:$AL$636,MATCH($K401,Model!$R$2:$R$636,0)))</f>
        <v/>
      </c>
      <c r="E401">
        <f>IF($K401="","",INDEX(Raw_data!$AM$2:$AM$636,MATCH($K401,Model!$R$2:$R$636,0)))</f>
        <v/>
      </c>
      <c r="F401">
        <f>IF($K401="","",INDEX(Raw_data!$AQ$2:$AQ$636,MATCH($K401,Model!$R$2:$R$636,0)))</f>
        <v/>
      </c>
      <c r="G401">
        <f>IF($K401="","",INDEX(Raw_data!$H$2:$H$636,MATCH($K401,Model!$R$2:$R$636,0)))</f>
        <v/>
      </c>
      <c r="H401" s="8">
        <f>IF($K401="","",INDEX(Model!$B$2:$B$636,MATCH($K401,Model!$R$2:$R$636,0)))</f>
        <v/>
      </c>
      <c r="I401" s="8">
        <f>IF($K401="","",INDEX(Model!$C$2:$C$636,MATCH($K401,Model!$R$2:$R$636,0)))</f>
        <v/>
      </c>
      <c r="J401">
        <f>IF($K401="","",INDEX(Model!$D$2:$D$636,MATCH($K401,Model!$R$2:$R$636,0)))</f>
        <v/>
      </c>
      <c r="K401">
        <f>IF(365&lt;=$E$5,LARGE(Model!$R$2:$R$636,365),"")</f>
        <v/>
      </c>
    </row>
    <row r="402">
      <c r="A402">
        <f>IF($K402="","",INDEX(Raw_data!$D$2:$D$636,MATCH($K402,Model!$R$2:$R$636,0)))</f>
        <v/>
      </c>
      <c r="B402" s="11">
        <f>IF($K402="","",INDEX(Raw_data!$F$2:$F$636,MATCH($K402,Model!$R$2:$R$636,0)))</f>
        <v/>
      </c>
      <c r="C402">
        <f>IF($K402="","",HYPERLINK(INDEX(Raw_data!$C$2:$C$636,MATCH($K402,Model!$R$2:$R$636,0)),INDEX(Raw_data!$C$2:$C$636,MATCH($K402,Model!$R$2:$R$636,0))))</f>
        <v/>
      </c>
      <c r="D402">
        <f>IF($K402="","",INDEX(Raw_data!$AL$2:$AL$636,MATCH($K402,Model!$R$2:$R$636,0)))</f>
        <v/>
      </c>
      <c r="E402">
        <f>IF($K402="","",INDEX(Raw_data!$AM$2:$AM$636,MATCH($K402,Model!$R$2:$R$636,0)))</f>
        <v/>
      </c>
      <c r="F402">
        <f>IF($K402="","",INDEX(Raw_data!$AQ$2:$AQ$636,MATCH($K402,Model!$R$2:$R$636,0)))</f>
        <v/>
      </c>
      <c r="G402">
        <f>IF($K402="","",INDEX(Raw_data!$H$2:$H$636,MATCH($K402,Model!$R$2:$R$636,0)))</f>
        <v/>
      </c>
      <c r="H402" s="8">
        <f>IF($K402="","",INDEX(Model!$B$2:$B$636,MATCH($K402,Model!$R$2:$R$636,0)))</f>
        <v/>
      </c>
      <c r="I402" s="8">
        <f>IF($K402="","",INDEX(Model!$C$2:$C$636,MATCH($K402,Model!$R$2:$R$636,0)))</f>
        <v/>
      </c>
      <c r="J402">
        <f>IF($K402="","",INDEX(Model!$D$2:$D$636,MATCH($K402,Model!$R$2:$R$636,0)))</f>
        <v/>
      </c>
      <c r="K402">
        <f>IF(366&lt;=$E$5,LARGE(Model!$R$2:$R$636,366),"")</f>
        <v/>
      </c>
    </row>
    <row r="403">
      <c r="A403">
        <f>IF($K403="","",INDEX(Raw_data!$D$2:$D$636,MATCH($K403,Model!$R$2:$R$636,0)))</f>
        <v/>
      </c>
      <c r="B403" s="11">
        <f>IF($K403="","",INDEX(Raw_data!$F$2:$F$636,MATCH($K403,Model!$R$2:$R$636,0)))</f>
        <v/>
      </c>
      <c r="C403">
        <f>IF($K403="","",HYPERLINK(INDEX(Raw_data!$C$2:$C$636,MATCH($K403,Model!$R$2:$R$636,0)),INDEX(Raw_data!$C$2:$C$636,MATCH($K403,Model!$R$2:$R$636,0))))</f>
        <v/>
      </c>
      <c r="D403">
        <f>IF($K403="","",INDEX(Raw_data!$AL$2:$AL$636,MATCH($K403,Model!$R$2:$R$636,0)))</f>
        <v/>
      </c>
      <c r="E403">
        <f>IF($K403="","",INDEX(Raw_data!$AM$2:$AM$636,MATCH($K403,Model!$R$2:$R$636,0)))</f>
        <v/>
      </c>
      <c r="F403">
        <f>IF($K403="","",INDEX(Raw_data!$AQ$2:$AQ$636,MATCH($K403,Model!$R$2:$R$636,0)))</f>
        <v/>
      </c>
      <c r="G403">
        <f>IF($K403="","",INDEX(Raw_data!$H$2:$H$636,MATCH($K403,Model!$R$2:$R$636,0)))</f>
        <v/>
      </c>
      <c r="H403" s="8">
        <f>IF($K403="","",INDEX(Model!$B$2:$B$636,MATCH($K403,Model!$R$2:$R$636,0)))</f>
        <v/>
      </c>
      <c r="I403" s="8">
        <f>IF($K403="","",INDEX(Model!$C$2:$C$636,MATCH($K403,Model!$R$2:$R$636,0)))</f>
        <v/>
      </c>
      <c r="J403">
        <f>IF($K403="","",INDEX(Model!$D$2:$D$636,MATCH($K403,Model!$R$2:$R$636,0)))</f>
        <v/>
      </c>
      <c r="K403">
        <f>IF(367&lt;=$E$5,LARGE(Model!$R$2:$R$636,367),"")</f>
        <v/>
      </c>
    </row>
    <row r="404">
      <c r="A404">
        <f>IF($K404="","",INDEX(Raw_data!$D$2:$D$636,MATCH($K404,Model!$R$2:$R$636,0)))</f>
        <v/>
      </c>
      <c r="B404" s="11">
        <f>IF($K404="","",INDEX(Raw_data!$F$2:$F$636,MATCH($K404,Model!$R$2:$R$636,0)))</f>
        <v/>
      </c>
      <c r="C404">
        <f>IF($K404="","",HYPERLINK(INDEX(Raw_data!$C$2:$C$636,MATCH($K404,Model!$R$2:$R$636,0)),INDEX(Raw_data!$C$2:$C$636,MATCH($K404,Model!$R$2:$R$636,0))))</f>
        <v/>
      </c>
      <c r="D404">
        <f>IF($K404="","",INDEX(Raw_data!$AL$2:$AL$636,MATCH($K404,Model!$R$2:$R$636,0)))</f>
        <v/>
      </c>
      <c r="E404">
        <f>IF($K404="","",INDEX(Raw_data!$AM$2:$AM$636,MATCH($K404,Model!$R$2:$R$636,0)))</f>
        <v/>
      </c>
      <c r="F404">
        <f>IF($K404="","",INDEX(Raw_data!$AQ$2:$AQ$636,MATCH($K404,Model!$R$2:$R$636,0)))</f>
        <v/>
      </c>
      <c r="G404">
        <f>IF($K404="","",INDEX(Raw_data!$H$2:$H$636,MATCH($K404,Model!$R$2:$R$636,0)))</f>
        <v/>
      </c>
      <c r="H404" s="8">
        <f>IF($K404="","",INDEX(Model!$B$2:$B$636,MATCH($K404,Model!$R$2:$R$636,0)))</f>
        <v/>
      </c>
      <c r="I404" s="8">
        <f>IF($K404="","",INDEX(Model!$C$2:$C$636,MATCH($K404,Model!$R$2:$R$636,0)))</f>
        <v/>
      </c>
      <c r="J404">
        <f>IF($K404="","",INDEX(Model!$D$2:$D$636,MATCH($K404,Model!$R$2:$R$636,0)))</f>
        <v/>
      </c>
      <c r="K404">
        <f>IF(368&lt;=$E$5,LARGE(Model!$R$2:$R$636,368),"")</f>
        <v/>
      </c>
    </row>
    <row r="405">
      <c r="A405">
        <f>IF($K405="","",INDEX(Raw_data!$D$2:$D$636,MATCH($K405,Model!$R$2:$R$636,0)))</f>
        <v/>
      </c>
      <c r="B405" s="11">
        <f>IF($K405="","",INDEX(Raw_data!$F$2:$F$636,MATCH($K405,Model!$R$2:$R$636,0)))</f>
        <v/>
      </c>
      <c r="C405">
        <f>IF($K405="","",HYPERLINK(INDEX(Raw_data!$C$2:$C$636,MATCH($K405,Model!$R$2:$R$636,0)),INDEX(Raw_data!$C$2:$C$636,MATCH($K405,Model!$R$2:$R$636,0))))</f>
        <v/>
      </c>
      <c r="D405">
        <f>IF($K405="","",INDEX(Raw_data!$AL$2:$AL$636,MATCH($K405,Model!$R$2:$R$636,0)))</f>
        <v/>
      </c>
      <c r="E405">
        <f>IF($K405="","",INDEX(Raw_data!$AM$2:$AM$636,MATCH($K405,Model!$R$2:$R$636,0)))</f>
        <v/>
      </c>
      <c r="F405">
        <f>IF($K405="","",INDEX(Raw_data!$AQ$2:$AQ$636,MATCH($K405,Model!$R$2:$R$636,0)))</f>
        <v/>
      </c>
      <c r="G405">
        <f>IF($K405="","",INDEX(Raw_data!$H$2:$H$636,MATCH($K405,Model!$R$2:$R$636,0)))</f>
        <v/>
      </c>
      <c r="H405" s="8">
        <f>IF($K405="","",INDEX(Model!$B$2:$B$636,MATCH($K405,Model!$R$2:$R$636,0)))</f>
        <v/>
      </c>
      <c r="I405" s="8">
        <f>IF($K405="","",INDEX(Model!$C$2:$C$636,MATCH($K405,Model!$R$2:$R$636,0)))</f>
        <v/>
      </c>
      <c r="J405">
        <f>IF($K405="","",INDEX(Model!$D$2:$D$636,MATCH($K405,Model!$R$2:$R$636,0)))</f>
        <v/>
      </c>
      <c r="K405">
        <f>IF(369&lt;=$E$5,LARGE(Model!$R$2:$R$636,369),"")</f>
        <v/>
      </c>
    </row>
    <row r="406">
      <c r="A406">
        <f>IF($K406="","",INDEX(Raw_data!$D$2:$D$636,MATCH($K406,Model!$R$2:$R$636,0)))</f>
        <v/>
      </c>
      <c r="B406" s="11">
        <f>IF($K406="","",INDEX(Raw_data!$F$2:$F$636,MATCH($K406,Model!$R$2:$R$636,0)))</f>
        <v/>
      </c>
      <c r="C406">
        <f>IF($K406="","",HYPERLINK(INDEX(Raw_data!$C$2:$C$636,MATCH($K406,Model!$R$2:$R$636,0)),INDEX(Raw_data!$C$2:$C$636,MATCH($K406,Model!$R$2:$R$636,0))))</f>
        <v/>
      </c>
      <c r="D406">
        <f>IF($K406="","",INDEX(Raw_data!$AL$2:$AL$636,MATCH($K406,Model!$R$2:$R$636,0)))</f>
        <v/>
      </c>
      <c r="E406">
        <f>IF($K406="","",INDEX(Raw_data!$AM$2:$AM$636,MATCH($K406,Model!$R$2:$R$636,0)))</f>
        <v/>
      </c>
      <c r="F406">
        <f>IF($K406="","",INDEX(Raw_data!$AQ$2:$AQ$636,MATCH($K406,Model!$R$2:$R$636,0)))</f>
        <v/>
      </c>
      <c r="G406">
        <f>IF($K406="","",INDEX(Raw_data!$H$2:$H$636,MATCH($K406,Model!$R$2:$R$636,0)))</f>
        <v/>
      </c>
      <c r="H406" s="8">
        <f>IF($K406="","",INDEX(Model!$B$2:$B$636,MATCH($K406,Model!$R$2:$R$636,0)))</f>
        <v/>
      </c>
      <c r="I406" s="8">
        <f>IF($K406="","",INDEX(Model!$C$2:$C$636,MATCH($K406,Model!$R$2:$R$636,0)))</f>
        <v/>
      </c>
      <c r="J406">
        <f>IF($K406="","",INDEX(Model!$D$2:$D$636,MATCH($K406,Model!$R$2:$R$636,0)))</f>
        <v/>
      </c>
      <c r="K406">
        <f>IF(370&lt;=$E$5,LARGE(Model!$R$2:$R$636,370),"")</f>
        <v/>
      </c>
    </row>
    <row r="407">
      <c r="A407">
        <f>IF($K407="","",INDEX(Raw_data!$D$2:$D$636,MATCH($K407,Model!$R$2:$R$636,0)))</f>
        <v/>
      </c>
      <c r="B407" s="11">
        <f>IF($K407="","",INDEX(Raw_data!$F$2:$F$636,MATCH($K407,Model!$R$2:$R$636,0)))</f>
        <v/>
      </c>
      <c r="C407">
        <f>IF($K407="","",HYPERLINK(INDEX(Raw_data!$C$2:$C$636,MATCH($K407,Model!$R$2:$R$636,0)),INDEX(Raw_data!$C$2:$C$636,MATCH($K407,Model!$R$2:$R$636,0))))</f>
        <v/>
      </c>
      <c r="D407">
        <f>IF($K407="","",INDEX(Raw_data!$AL$2:$AL$636,MATCH($K407,Model!$R$2:$R$636,0)))</f>
        <v/>
      </c>
      <c r="E407">
        <f>IF($K407="","",INDEX(Raw_data!$AM$2:$AM$636,MATCH($K407,Model!$R$2:$R$636,0)))</f>
        <v/>
      </c>
      <c r="F407">
        <f>IF($K407="","",INDEX(Raw_data!$AQ$2:$AQ$636,MATCH($K407,Model!$R$2:$R$636,0)))</f>
        <v/>
      </c>
      <c r="G407">
        <f>IF($K407="","",INDEX(Raw_data!$H$2:$H$636,MATCH($K407,Model!$R$2:$R$636,0)))</f>
        <v/>
      </c>
      <c r="H407" s="8">
        <f>IF($K407="","",INDEX(Model!$B$2:$B$636,MATCH($K407,Model!$R$2:$R$636,0)))</f>
        <v/>
      </c>
      <c r="I407" s="8">
        <f>IF($K407="","",INDEX(Model!$C$2:$C$636,MATCH($K407,Model!$R$2:$R$636,0)))</f>
        <v/>
      </c>
      <c r="J407">
        <f>IF($K407="","",INDEX(Model!$D$2:$D$636,MATCH($K407,Model!$R$2:$R$636,0)))</f>
        <v/>
      </c>
      <c r="K407">
        <f>IF(371&lt;=$E$5,LARGE(Model!$R$2:$R$636,371),"")</f>
        <v/>
      </c>
    </row>
    <row r="408">
      <c r="A408">
        <f>IF($K408="","",INDEX(Raw_data!$D$2:$D$636,MATCH($K408,Model!$R$2:$R$636,0)))</f>
        <v/>
      </c>
      <c r="B408" s="11">
        <f>IF($K408="","",INDEX(Raw_data!$F$2:$F$636,MATCH($K408,Model!$R$2:$R$636,0)))</f>
        <v/>
      </c>
      <c r="C408">
        <f>IF($K408="","",HYPERLINK(INDEX(Raw_data!$C$2:$C$636,MATCH($K408,Model!$R$2:$R$636,0)),INDEX(Raw_data!$C$2:$C$636,MATCH($K408,Model!$R$2:$R$636,0))))</f>
        <v/>
      </c>
      <c r="D408">
        <f>IF($K408="","",INDEX(Raw_data!$AL$2:$AL$636,MATCH($K408,Model!$R$2:$R$636,0)))</f>
        <v/>
      </c>
      <c r="E408">
        <f>IF($K408="","",INDEX(Raw_data!$AM$2:$AM$636,MATCH($K408,Model!$R$2:$R$636,0)))</f>
        <v/>
      </c>
      <c r="F408">
        <f>IF($K408="","",INDEX(Raw_data!$AQ$2:$AQ$636,MATCH($K408,Model!$R$2:$R$636,0)))</f>
        <v/>
      </c>
      <c r="G408">
        <f>IF($K408="","",INDEX(Raw_data!$H$2:$H$636,MATCH($K408,Model!$R$2:$R$636,0)))</f>
        <v/>
      </c>
      <c r="H408" s="8">
        <f>IF($K408="","",INDEX(Model!$B$2:$B$636,MATCH($K408,Model!$R$2:$R$636,0)))</f>
        <v/>
      </c>
      <c r="I408" s="8">
        <f>IF($K408="","",INDEX(Model!$C$2:$C$636,MATCH($K408,Model!$R$2:$R$636,0)))</f>
        <v/>
      </c>
      <c r="J408">
        <f>IF($K408="","",INDEX(Model!$D$2:$D$636,MATCH($K408,Model!$R$2:$R$636,0)))</f>
        <v/>
      </c>
      <c r="K408">
        <f>IF(372&lt;=$E$5,LARGE(Model!$R$2:$R$636,372),"")</f>
        <v/>
      </c>
    </row>
    <row r="409">
      <c r="A409">
        <f>IF($K409="","",INDEX(Raw_data!$D$2:$D$636,MATCH($K409,Model!$R$2:$R$636,0)))</f>
        <v/>
      </c>
      <c r="B409" s="11">
        <f>IF($K409="","",INDEX(Raw_data!$F$2:$F$636,MATCH($K409,Model!$R$2:$R$636,0)))</f>
        <v/>
      </c>
      <c r="C409">
        <f>IF($K409="","",HYPERLINK(INDEX(Raw_data!$C$2:$C$636,MATCH($K409,Model!$R$2:$R$636,0)),INDEX(Raw_data!$C$2:$C$636,MATCH($K409,Model!$R$2:$R$636,0))))</f>
        <v/>
      </c>
      <c r="D409">
        <f>IF($K409="","",INDEX(Raw_data!$AL$2:$AL$636,MATCH($K409,Model!$R$2:$R$636,0)))</f>
        <v/>
      </c>
      <c r="E409">
        <f>IF($K409="","",INDEX(Raw_data!$AM$2:$AM$636,MATCH($K409,Model!$R$2:$R$636,0)))</f>
        <v/>
      </c>
      <c r="F409">
        <f>IF($K409="","",INDEX(Raw_data!$AQ$2:$AQ$636,MATCH($K409,Model!$R$2:$R$636,0)))</f>
        <v/>
      </c>
      <c r="G409">
        <f>IF($K409="","",INDEX(Raw_data!$H$2:$H$636,MATCH($K409,Model!$R$2:$R$636,0)))</f>
        <v/>
      </c>
      <c r="H409" s="8">
        <f>IF($K409="","",INDEX(Model!$B$2:$B$636,MATCH($K409,Model!$R$2:$R$636,0)))</f>
        <v/>
      </c>
      <c r="I409" s="8">
        <f>IF($K409="","",INDEX(Model!$C$2:$C$636,MATCH($K409,Model!$R$2:$R$636,0)))</f>
        <v/>
      </c>
      <c r="J409">
        <f>IF($K409="","",INDEX(Model!$D$2:$D$636,MATCH($K409,Model!$R$2:$R$636,0)))</f>
        <v/>
      </c>
      <c r="K409">
        <f>IF(373&lt;=$E$5,LARGE(Model!$R$2:$R$636,373),"")</f>
        <v/>
      </c>
    </row>
    <row r="410">
      <c r="A410">
        <f>IF($K410="","",INDEX(Raw_data!$D$2:$D$636,MATCH($K410,Model!$R$2:$R$636,0)))</f>
        <v/>
      </c>
      <c r="B410" s="11">
        <f>IF($K410="","",INDEX(Raw_data!$F$2:$F$636,MATCH($K410,Model!$R$2:$R$636,0)))</f>
        <v/>
      </c>
      <c r="C410">
        <f>IF($K410="","",HYPERLINK(INDEX(Raw_data!$C$2:$C$636,MATCH($K410,Model!$R$2:$R$636,0)),INDEX(Raw_data!$C$2:$C$636,MATCH($K410,Model!$R$2:$R$636,0))))</f>
        <v/>
      </c>
      <c r="D410">
        <f>IF($K410="","",INDEX(Raw_data!$AL$2:$AL$636,MATCH($K410,Model!$R$2:$R$636,0)))</f>
        <v/>
      </c>
      <c r="E410">
        <f>IF($K410="","",INDEX(Raw_data!$AM$2:$AM$636,MATCH($K410,Model!$R$2:$R$636,0)))</f>
        <v/>
      </c>
      <c r="F410">
        <f>IF($K410="","",INDEX(Raw_data!$AQ$2:$AQ$636,MATCH($K410,Model!$R$2:$R$636,0)))</f>
        <v/>
      </c>
      <c r="G410">
        <f>IF($K410="","",INDEX(Raw_data!$H$2:$H$636,MATCH($K410,Model!$R$2:$R$636,0)))</f>
        <v/>
      </c>
      <c r="H410" s="8">
        <f>IF($K410="","",INDEX(Model!$B$2:$B$636,MATCH($K410,Model!$R$2:$R$636,0)))</f>
        <v/>
      </c>
      <c r="I410" s="8">
        <f>IF($K410="","",INDEX(Model!$C$2:$C$636,MATCH($K410,Model!$R$2:$R$636,0)))</f>
        <v/>
      </c>
      <c r="J410">
        <f>IF($K410="","",INDEX(Model!$D$2:$D$636,MATCH($K410,Model!$R$2:$R$636,0)))</f>
        <v/>
      </c>
      <c r="K410">
        <f>IF(374&lt;=$E$5,LARGE(Model!$R$2:$R$636,374),"")</f>
        <v/>
      </c>
    </row>
    <row r="411">
      <c r="A411">
        <f>IF($K411="","",INDEX(Raw_data!$D$2:$D$636,MATCH($K411,Model!$R$2:$R$636,0)))</f>
        <v/>
      </c>
      <c r="B411" s="11">
        <f>IF($K411="","",INDEX(Raw_data!$F$2:$F$636,MATCH($K411,Model!$R$2:$R$636,0)))</f>
        <v/>
      </c>
      <c r="C411">
        <f>IF($K411="","",HYPERLINK(INDEX(Raw_data!$C$2:$C$636,MATCH($K411,Model!$R$2:$R$636,0)),INDEX(Raw_data!$C$2:$C$636,MATCH($K411,Model!$R$2:$R$636,0))))</f>
        <v/>
      </c>
      <c r="D411">
        <f>IF($K411="","",INDEX(Raw_data!$AL$2:$AL$636,MATCH($K411,Model!$R$2:$R$636,0)))</f>
        <v/>
      </c>
      <c r="E411">
        <f>IF($K411="","",INDEX(Raw_data!$AM$2:$AM$636,MATCH($K411,Model!$R$2:$R$636,0)))</f>
        <v/>
      </c>
      <c r="F411">
        <f>IF($K411="","",INDEX(Raw_data!$AQ$2:$AQ$636,MATCH($K411,Model!$R$2:$R$636,0)))</f>
        <v/>
      </c>
      <c r="G411">
        <f>IF($K411="","",INDEX(Raw_data!$H$2:$H$636,MATCH($K411,Model!$R$2:$R$636,0)))</f>
        <v/>
      </c>
      <c r="H411" s="8">
        <f>IF($K411="","",INDEX(Model!$B$2:$B$636,MATCH($K411,Model!$R$2:$R$636,0)))</f>
        <v/>
      </c>
      <c r="I411" s="8">
        <f>IF($K411="","",INDEX(Model!$C$2:$C$636,MATCH($K411,Model!$R$2:$R$636,0)))</f>
        <v/>
      </c>
      <c r="J411">
        <f>IF($K411="","",INDEX(Model!$D$2:$D$636,MATCH($K411,Model!$R$2:$R$636,0)))</f>
        <v/>
      </c>
      <c r="K411">
        <f>IF(375&lt;=$E$5,LARGE(Model!$R$2:$R$636,375),"")</f>
        <v/>
      </c>
    </row>
    <row r="412">
      <c r="A412">
        <f>IF($K412="","",INDEX(Raw_data!$D$2:$D$636,MATCH($K412,Model!$R$2:$R$636,0)))</f>
        <v/>
      </c>
      <c r="B412" s="11">
        <f>IF($K412="","",INDEX(Raw_data!$F$2:$F$636,MATCH($K412,Model!$R$2:$R$636,0)))</f>
        <v/>
      </c>
      <c r="C412">
        <f>IF($K412="","",HYPERLINK(INDEX(Raw_data!$C$2:$C$636,MATCH($K412,Model!$R$2:$R$636,0)),INDEX(Raw_data!$C$2:$C$636,MATCH($K412,Model!$R$2:$R$636,0))))</f>
        <v/>
      </c>
      <c r="D412">
        <f>IF($K412="","",INDEX(Raw_data!$AL$2:$AL$636,MATCH($K412,Model!$R$2:$R$636,0)))</f>
        <v/>
      </c>
      <c r="E412">
        <f>IF($K412="","",INDEX(Raw_data!$AM$2:$AM$636,MATCH($K412,Model!$R$2:$R$636,0)))</f>
        <v/>
      </c>
      <c r="F412">
        <f>IF($K412="","",INDEX(Raw_data!$AQ$2:$AQ$636,MATCH($K412,Model!$R$2:$R$636,0)))</f>
        <v/>
      </c>
      <c r="G412">
        <f>IF($K412="","",INDEX(Raw_data!$H$2:$H$636,MATCH($K412,Model!$R$2:$R$636,0)))</f>
        <v/>
      </c>
      <c r="H412" s="8">
        <f>IF($K412="","",INDEX(Model!$B$2:$B$636,MATCH($K412,Model!$R$2:$R$636,0)))</f>
        <v/>
      </c>
      <c r="I412" s="8">
        <f>IF($K412="","",INDEX(Model!$C$2:$C$636,MATCH($K412,Model!$R$2:$R$636,0)))</f>
        <v/>
      </c>
      <c r="J412">
        <f>IF($K412="","",INDEX(Model!$D$2:$D$636,MATCH($K412,Model!$R$2:$R$636,0)))</f>
        <v/>
      </c>
      <c r="K412">
        <f>IF(376&lt;=$E$5,LARGE(Model!$R$2:$R$636,376),"")</f>
        <v/>
      </c>
    </row>
    <row r="413">
      <c r="A413">
        <f>IF($K413="","",INDEX(Raw_data!$D$2:$D$636,MATCH($K413,Model!$R$2:$R$636,0)))</f>
        <v/>
      </c>
      <c r="B413" s="11">
        <f>IF($K413="","",INDEX(Raw_data!$F$2:$F$636,MATCH($K413,Model!$R$2:$R$636,0)))</f>
        <v/>
      </c>
      <c r="C413">
        <f>IF($K413="","",HYPERLINK(INDEX(Raw_data!$C$2:$C$636,MATCH($K413,Model!$R$2:$R$636,0)),INDEX(Raw_data!$C$2:$C$636,MATCH($K413,Model!$R$2:$R$636,0))))</f>
        <v/>
      </c>
      <c r="D413">
        <f>IF($K413="","",INDEX(Raw_data!$AL$2:$AL$636,MATCH($K413,Model!$R$2:$R$636,0)))</f>
        <v/>
      </c>
      <c r="E413">
        <f>IF($K413="","",INDEX(Raw_data!$AM$2:$AM$636,MATCH($K413,Model!$R$2:$R$636,0)))</f>
        <v/>
      </c>
      <c r="F413">
        <f>IF($K413="","",INDEX(Raw_data!$AQ$2:$AQ$636,MATCH($K413,Model!$R$2:$R$636,0)))</f>
        <v/>
      </c>
      <c r="G413">
        <f>IF($K413="","",INDEX(Raw_data!$H$2:$H$636,MATCH($K413,Model!$R$2:$R$636,0)))</f>
        <v/>
      </c>
      <c r="H413" s="8">
        <f>IF($K413="","",INDEX(Model!$B$2:$B$636,MATCH($K413,Model!$R$2:$R$636,0)))</f>
        <v/>
      </c>
      <c r="I413" s="8">
        <f>IF($K413="","",INDEX(Model!$C$2:$C$636,MATCH($K413,Model!$R$2:$R$636,0)))</f>
        <v/>
      </c>
      <c r="J413">
        <f>IF($K413="","",INDEX(Model!$D$2:$D$636,MATCH($K413,Model!$R$2:$R$636,0)))</f>
        <v/>
      </c>
      <c r="K413">
        <f>IF(377&lt;=$E$5,LARGE(Model!$R$2:$R$636,377),"")</f>
        <v/>
      </c>
    </row>
    <row r="414">
      <c r="A414">
        <f>IF($K414="","",INDEX(Raw_data!$D$2:$D$636,MATCH($K414,Model!$R$2:$R$636,0)))</f>
        <v/>
      </c>
      <c r="B414" s="11">
        <f>IF($K414="","",INDEX(Raw_data!$F$2:$F$636,MATCH($K414,Model!$R$2:$R$636,0)))</f>
        <v/>
      </c>
      <c r="C414">
        <f>IF($K414="","",HYPERLINK(INDEX(Raw_data!$C$2:$C$636,MATCH($K414,Model!$R$2:$R$636,0)),INDEX(Raw_data!$C$2:$C$636,MATCH($K414,Model!$R$2:$R$636,0))))</f>
        <v/>
      </c>
      <c r="D414">
        <f>IF($K414="","",INDEX(Raw_data!$AL$2:$AL$636,MATCH($K414,Model!$R$2:$R$636,0)))</f>
        <v/>
      </c>
      <c r="E414">
        <f>IF($K414="","",INDEX(Raw_data!$AM$2:$AM$636,MATCH($K414,Model!$R$2:$R$636,0)))</f>
        <v/>
      </c>
      <c r="F414">
        <f>IF($K414="","",INDEX(Raw_data!$AQ$2:$AQ$636,MATCH($K414,Model!$R$2:$R$636,0)))</f>
        <v/>
      </c>
      <c r="G414">
        <f>IF($K414="","",INDEX(Raw_data!$H$2:$H$636,MATCH($K414,Model!$R$2:$R$636,0)))</f>
        <v/>
      </c>
      <c r="H414" s="8">
        <f>IF($K414="","",INDEX(Model!$B$2:$B$636,MATCH($K414,Model!$R$2:$R$636,0)))</f>
        <v/>
      </c>
      <c r="I414" s="8">
        <f>IF($K414="","",INDEX(Model!$C$2:$C$636,MATCH($K414,Model!$R$2:$R$636,0)))</f>
        <v/>
      </c>
      <c r="J414">
        <f>IF($K414="","",INDEX(Model!$D$2:$D$636,MATCH($K414,Model!$R$2:$R$636,0)))</f>
        <v/>
      </c>
      <c r="K414">
        <f>IF(378&lt;=$E$5,LARGE(Model!$R$2:$R$636,378),"")</f>
        <v/>
      </c>
    </row>
    <row r="415">
      <c r="A415">
        <f>IF($K415="","",INDEX(Raw_data!$D$2:$D$636,MATCH($K415,Model!$R$2:$R$636,0)))</f>
        <v/>
      </c>
      <c r="B415" s="11">
        <f>IF($K415="","",INDEX(Raw_data!$F$2:$F$636,MATCH($K415,Model!$R$2:$R$636,0)))</f>
        <v/>
      </c>
      <c r="C415">
        <f>IF($K415="","",HYPERLINK(INDEX(Raw_data!$C$2:$C$636,MATCH($K415,Model!$R$2:$R$636,0)),INDEX(Raw_data!$C$2:$C$636,MATCH($K415,Model!$R$2:$R$636,0))))</f>
        <v/>
      </c>
      <c r="D415">
        <f>IF($K415="","",INDEX(Raw_data!$AL$2:$AL$636,MATCH($K415,Model!$R$2:$R$636,0)))</f>
        <v/>
      </c>
      <c r="E415">
        <f>IF($K415="","",INDEX(Raw_data!$AM$2:$AM$636,MATCH($K415,Model!$R$2:$R$636,0)))</f>
        <v/>
      </c>
      <c r="F415">
        <f>IF($K415="","",INDEX(Raw_data!$AQ$2:$AQ$636,MATCH($K415,Model!$R$2:$R$636,0)))</f>
        <v/>
      </c>
      <c r="G415">
        <f>IF($K415="","",INDEX(Raw_data!$H$2:$H$636,MATCH($K415,Model!$R$2:$R$636,0)))</f>
        <v/>
      </c>
      <c r="H415" s="8">
        <f>IF($K415="","",INDEX(Model!$B$2:$B$636,MATCH($K415,Model!$R$2:$R$636,0)))</f>
        <v/>
      </c>
      <c r="I415" s="8">
        <f>IF($K415="","",INDEX(Model!$C$2:$C$636,MATCH($K415,Model!$R$2:$R$636,0)))</f>
        <v/>
      </c>
      <c r="J415">
        <f>IF($K415="","",INDEX(Model!$D$2:$D$636,MATCH($K415,Model!$R$2:$R$636,0)))</f>
        <v/>
      </c>
      <c r="K415">
        <f>IF(379&lt;=$E$5,LARGE(Model!$R$2:$R$636,379),"")</f>
        <v/>
      </c>
    </row>
    <row r="416">
      <c r="A416">
        <f>IF($K416="","",INDEX(Raw_data!$D$2:$D$636,MATCH($K416,Model!$R$2:$R$636,0)))</f>
        <v/>
      </c>
      <c r="B416" s="11">
        <f>IF($K416="","",INDEX(Raw_data!$F$2:$F$636,MATCH($K416,Model!$R$2:$R$636,0)))</f>
        <v/>
      </c>
      <c r="C416">
        <f>IF($K416="","",HYPERLINK(INDEX(Raw_data!$C$2:$C$636,MATCH($K416,Model!$R$2:$R$636,0)),INDEX(Raw_data!$C$2:$C$636,MATCH($K416,Model!$R$2:$R$636,0))))</f>
        <v/>
      </c>
      <c r="D416">
        <f>IF($K416="","",INDEX(Raw_data!$AL$2:$AL$636,MATCH($K416,Model!$R$2:$R$636,0)))</f>
        <v/>
      </c>
      <c r="E416">
        <f>IF($K416="","",INDEX(Raw_data!$AM$2:$AM$636,MATCH($K416,Model!$R$2:$R$636,0)))</f>
        <v/>
      </c>
      <c r="F416">
        <f>IF($K416="","",INDEX(Raw_data!$AQ$2:$AQ$636,MATCH($K416,Model!$R$2:$R$636,0)))</f>
        <v/>
      </c>
      <c r="G416">
        <f>IF($K416="","",INDEX(Raw_data!$H$2:$H$636,MATCH($K416,Model!$R$2:$R$636,0)))</f>
        <v/>
      </c>
      <c r="H416" s="8">
        <f>IF($K416="","",INDEX(Model!$B$2:$B$636,MATCH($K416,Model!$R$2:$R$636,0)))</f>
        <v/>
      </c>
      <c r="I416" s="8">
        <f>IF($K416="","",INDEX(Model!$C$2:$C$636,MATCH($K416,Model!$R$2:$R$636,0)))</f>
        <v/>
      </c>
      <c r="J416">
        <f>IF($K416="","",INDEX(Model!$D$2:$D$636,MATCH($K416,Model!$R$2:$R$636,0)))</f>
        <v/>
      </c>
      <c r="K416">
        <f>IF(380&lt;=$E$5,LARGE(Model!$R$2:$R$636,380),"")</f>
        <v/>
      </c>
    </row>
    <row r="417">
      <c r="A417">
        <f>IF($K417="","",INDEX(Raw_data!$D$2:$D$636,MATCH($K417,Model!$R$2:$R$636,0)))</f>
        <v/>
      </c>
      <c r="B417" s="11">
        <f>IF($K417="","",INDEX(Raw_data!$F$2:$F$636,MATCH($K417,Model!$R$2:$R$636,0)))</f>
        <v/>
      </c>
      <c r="C417">
        <f>IF($K417="","",HYPERLINK(INDEX(Raw_data!$C$2:$C$636,MATCH($K417,Model!$R$2:$R$636,0)),INDEX(Raw_data!$C$2:$C$636,MATCH($K417,Model!$R$2:$R$636,0))))</f>
        <v/>
      </c>
      <c r="D417">
        <f>IF($K417="","",INDEX(Raw_data!$AL$2:$AL$636,MATCH($K417,Model!$R$2:$R$636,0)))</f>
        <v/>
      </c>
      <c r="E417">
        <f>IF($K417="","",INDEX(Raw_data!$AM$2:$AM$636,MATCH($K417,Model!$R$2:$R$636,0)))</f>
        <v/>
      </c>
      <c r="F417">
        <f>IF($K417="","",INDEX(Raw_data!$AQ$2:$AQ$636,MATCH($K417,Model!$R$2:$R$636,0)))</f>
        <v/>
      </c>
      <c r="G417">
        <f>IF($K417="","",INDEX(Raw_data!$H$2:$H$636,MATCH($K417,Model!$R$2:$R$636,0)))</f>
        <v/>
      </c>
      <c r="H417" s="8">
        <f>IF($K417="","",INDEX(Model!$B$2:$B$636,MATCH($K417,Model!$R$2:$R$636,0)))</f>
        <v/>
      </c>
      <c r="I417" s="8">
        <f>IF($K417="","",INDEX(Model!$C$2:$C$636,MATCH($K417,Model!$R$2:$R$636,0)))</f>
        <v/>
      </c>
      <c r="J417">
        <f>IF($K417="","",INDEX(Model!$D$2:$D$636,MATCH($K417,Model!$R$2:$R$636,0)))</f>
        <v/>
      </c>
      <c r="K417">
        <f>IF(381&lt;=$E$5,LARGE(Model!$R$2:$R$636,381),"")</f>
        <v/>
      </c>
    </row>
    <row r="418">
      <c r="A418">
        <f>IF($K418="","",INDEX(Raw_data!$D$2:$D$636,MATCH($K418,Model!$R$2:$R$636,0)))</f>
        <v/>
      </c>
      <c r="B418" s="11">
        <f>IF($K418="","",INDEX(Raw_data!$F$2:$F$636,MATCH($K418,Model!$R$2:$R$636,0)))</f>
        <v/>
      </c>
      <c r="C418">
        <f>IF($K418="","",HYPERLINK(INDEX(Raw_data!$C$2:$C$636,MATCH($K418,Model!$R$2:$R$636,0)),INDEX(Raw_data!$C$2:$C$636,MATCH($K418,Model!$R$2:$R$636,0))))</f>
        <v/>
      </c>
      <c r="D418">
        <f>IF($K418="","",INDEX(Raw_data!$AL$2:$AL$636,MATCH($K418,Model!$R$2:$R$636,0)))</f>
        <v/>
      </c>
      <c r="E418">
        <f>IF($K418="","",INDEX(Raw_data!$AM$2:$AM$636,MATCH($K418,Model!$R$2:$R$636,0)))</f>
        <v/>
      </c>
      <c r="F418">
        <f>IF($K418="","",INDEX(Raw_data!$AQ$2:$AQ$636,MATCH($K418,Model!$R$2:$R$636,0)))</f>
        <v/>
      </c>
      <c r="G418">
        <f>IF($K418="","",INDEX(Raw_data!$H$2:$H$636,MATCH($K418,Model!$R$2:$R$636,0)))</f>
        <v/>
      </c>
      <c r="H418" s="8">
        <f>IF($K418="","",INDEX(Model!$B$2:$B$636,MATCH($K418,Model!$R$2:$R$636,0)))</f>
        <v/>
      </c>
      <c r="I418" s="8">
        <f>IF($K418="","",INDEX(Model!$C$2:$C$636,MATCH($K418,Model!$R$2:$R$636,0)))</f>
        <v/>
      </c>
      <c r="J418">
        <f>IF($K418="","",INDEX(Model!$D$2:$D$636,MATCH($K418,Model!$R$2:$R$636,0)))</f>
        <v/>
      </c>
      <c r="K418">
        <f>IF(382&lt;=$E$5,LARGE(Model!$R$2:$R$636,382),"")</f>
        <v/>
      </c>
    </row>
    <row r="419">
      <c r="A419">
        <f>IF($K419="","",INDEX(Raw_data!$D$2:$D$636,MATCH($K419,Model!$R$2:$R$636,0)))</f>
        <v/>
      </c>
      <c r="B419" s="11">
        <f>IF($K419="","",INDEX(Raw_data!$F$2:$F$636,MATCH($K419,Model!$R$2:$R$636,0)))</f>
        <v/>
      </c>
      <c r="C419">
        <f>IF($K419="","",HYPERLINK(INDEX(Raw_data!$C$2:$C$636,MATCH($K419,Model!$R$2:$R$636,0)),INDEX(Raw_data!$C$2:$C$636,MATCH($K419,Model!$R$2:$R$636,0))))</f>
        <v/>
      </c>
      <c r="D419">
        <f>IF($K419="","",INDEX(Raw_data!$AL$2:$AL$636,MATCH($K419,Model!$R$2:$R$636,0)))</f>
        <v/>
      </c>
      <c r="E419">
        <f>IF($K419="","",INDEX(Raw_data!$AM$2:$AM$636,MATCH($K419,Model!$R$2:$R$636,0)))</f>
        <v/>
      </c>
      <c r="F419">
        <f>IF($K419="","",INDEX(Raw_data!$AQ$2:$AQ$636,MATCH($K419,Model!$R$2:$R$636,0)))</f>
        <v/>
      </c>
      <c r="G419">
        <f>IF($K419="","",INDEX(Raw_data!$H$2:$H$636,MATCH($K419,Model!$R$2:$R$636,0)))</f>
        <v/>
      </c>
      <c r="H419" s="8">
        <f>IF($K419="","",INDEX(Model!$B$2:$B$636,MATCH($K419,Model!$R$2:$R$636,0)))</f>
        <v/>
      </c>
      <c r="I419" s="8">
        <f>IF($K419="","",INDEX(Model!$C$2:$C$636,MATCH($K419,Model!$R$2:$R$636,0)))</f>
        <v/>
      </c>
      <c r="J419">
        <f>IF($K419="","",INDEX(Model!$D$2:$D$636,MATCH($K419,Model!$R$2:$R$636,0)))</f>
        <v/>
      </c>
      <c r="K419">
        <f>IF(383&lt;=$E$5,LARGE(Model!$R$2:$R$636,383),"")</f>
        <v/>
      </c>
    </row>
    <row r="420">
      <c r="A420">
        <f>IF($K420="","",INDEX(Raw_data!$D$2:$D$636,MATCH($K420,Model!$R$2:$R$636,0)))</f>
        <v/>
      </c>
      <c r="B420" s="11">
        <f>IF($K420="","",INDEX(Raw_data!$F$2:$F$636,MATCH($K420,Model!$R$2:$R$636,0)))</f>
        <v/>
      </c>
      <c r="C420">
        <f>IF($K420="","",HYPERLINK(INDEX(Raw_data!$C$2:$C$636,MATCH($K420,Model!$R$2:$R$636,0)),INDEX(Raw_data!$C$2:$C$636,MATCH($K420,Model!$R$2:$R$636,0))))</f>
        <v/>
      </c>
      <c r="D420">
        <f>IF($K420="","",INDEX(Raw_data!$AL$2:$AL$636,MATCH($K420,Model!$R$2:$R$636,0)))</f>
        <v/>
      </c>
      <c r="E420">
        <f>IF($K420="","",INDEX(Raw_data!$AM$2:$AM$636,MATCH($K420,Model!$R$2:$R$636,0)))</f>
        <v/>
      </c>
      <c r="F420">
        <f>IF($K420="","",INDEX(Raw_data!$AQ$2:$AQ$636,MATCH($K420,Model!$R$2:$R$636,0)))</f>
        <v/>
      </c>
      <c r="G420">
        <f>IF($K420="","",INDEX(Raw_data!$H$2:$H$636,MATCH($K420,Model!$R$2:$R$636,0)))</f>
        <v/>
      </c>
      <c r="H420" s="8">
        <f>IF($K420="","",INDEX(Model!$B$2:$B$636,MATCH($K420,Model!$R$2:$R$636,0)))</f>
        <v/>
      </c>
      <c r="I420" s="8">
        <f>IF($K420="","",INDEX(Model!$C$2:$C$636,MATCH($K420,Model!$R$2:$R$636,0)))</f>
        <v/>
      </c>
      <c r="J420">
        <f>IF($K420="","",INDEX(Model!$D$2:$D$636,MATCH($K420,Model!$R$2:$R$636,0)))</f>
        <v/>
      </c>
      <c r="K420">
        <f>IF(384&lt;=$E$5,LARGE(Model!$R$2:$R$636,384),"")</f>
        <v/>
      </c>
    </row>
    <row r="421">
      <c r="A421">
        <f>IF($K421="","",INDEX(Raw_data!$D$2:$D$636,MATCH($K421,Model!$R$2:$R$636,0)))</f>
        <v/>
      </c>
      <c r="B421" s="11">
        <f>IF($K421="","",INDEX(Raw_data!$F$2:$F$636,MATCH($K421,Model!$R$2:$R$636,0)))</f>
        <v/>
      </c>
      <c r="C421">
        <f>IF($K421="","",HYPERLINK(INDEX(Raw_data!$C$2:$C$636,MATCH($K421,Model!$R$2:$R$636,0)),INDEX(Raw_data!$C$2:$C$636,MATCH($K421,Model!$R$2:$R$636,0))))</f>
        <v/>
      </c>
      <c r="D421">
        <f>IF($K421="","",INDEX(Raw_data!$AL$2:$AL$636,MATCH($K421,Model!$R$2:$R$636,0)))</f>
        <v/>
      </c>
      <c r="E421">
        <f>IF($K421="","",INDEX(Raw_data!$AM$2:$AM$636,MATCH($K421,Model!$R$2:$R$636,0)))</f>
        <v/>
      </c>
      <c r="F421">
        <f>IF($K421="","",INDEX(Raw_data!$AQ$2:$AQ$636,MATCH($K421,Model!$R$2:$R$636,0)))</f>
        <v/>
      </c>
      <c r="G421">
        <f>IF($K421="","",INDEX(Raw_data!$H$2:$H$636,MATCH($K421,Model!$R$2:$R$636,0)))</f>
        <v/>
      </c>
      <c r="H421" s="8">
        <f>IF($K421="","",INDEX(Model!$B$2:$B$636,MATCH($K421,Model!$R$2:$R$636,0)))</f>
        <v/>
      </c>
      <c r="I421" s="8">
        <f>IF($K421="","",INDEX(Model!$C$2:$C$636,MATCH($K421,Model!$R$2:$R$636,0)))</f>
        <v/>
      </c>
      <c r="J421">
        <f>IF($K421="","",INDEX(Model!$D$2:$D$636,MATCH($K421,Model!$R$2:$R$636,0)))</f>
        <v/>
      </c>
      <c r="K421">
        <f>IF(385&lt;=$E$5,LARGE(Model!$R$2:$R$636,385),"")</f>
        <v/>
      </c>
    </row>
    <row r="422">
      <c r="A422">
        <f>IF($K422="","",INDEX(Raw_data!$D$2:$D$636,MATCH($K422,Model!$R$2:$R$636,0)))</f>
        <v/>
      </c>
      <c r="B422" s="11">
        <f>IF($K422="","",INDEX(Raw_data!$F$2:$F$636,MATCH($K422,Model!$R$2:$R$636,0)))</f>
        <v/>
      </c>
      <c r="C422">
        <f>IF($K422="","",HYPERLINK(INDEX(Raw_data!$C$2:$C$636,MATCH($K422,Model!$R$2:$R$636,0)),INDEX(Raw_data!$C$2:$C$636,MATCH($K422,Model!$R$2:$R$636,0))))</f>
        <v/>
      </c>
      <c r="D422">
        <f>IF($K422="","",INDEX(Raw_data!$AL$2:$AL$636,MATCH($K422,Model!$R$2:$R$636,0)))</f>
        <v/>
      </c>
      <c r="E422">
        <f>IF($K422="","",INDEX(Raw_data!$AM$2:$AM$636,MATCH($K422,Model!$R$2:$R$636,0)))</f>
        <v/>
      </c>
      <c r="F422">
        <f>IF($K422="","",INDEX(Raw_data!$AQ$2:$AQ$636,MATCH($K422,Model!$R$2:$R$636,0)))</f>
        <v/>
      </c>
      <c r="G422">
        <f>IF($K422="","",INDEX(Raw_data!$H$2:$H$636,MATCH($K422,Model!$R$2:$R$636,0)))</f>
        <v/>
      </c>
      <c r="H422" s="8">
        <f>IF($K422="","",INDEX(Model!$B$2:$B$636,MATCH($K422,Model!$R$2:$R$636,0)))</f>
        <v/>
      </c>
      <c r="I422" s="8">
        <f>IF($K422="","",INDEX(Model!$C$2:$C$636,MATCH($K422,Model!$R$2:$R$636,0)))</f>
        <v/>
      </c>
      <c r="J422">
        <f>IF($K422="","",INDEX(Model!$D$2:$D$636,MATCH($K422,Model!$R$2:$R$636,0)))</f>
        <v/>
      </c>
      <c r="K422">
        <f>IF(386&lt;=$E$5,LARGE(Model!$R$2:$R$636,386),"")</f>
        <v/>
      </c>
    </row>
    <row r="423">
      <c r="A423">
        <f>IF($K423="","",INDEX(Raw_data!$D$2:$D$636,MATCH($K423,Model!$R$2:$R$636,0)))</f>
        <v/>
      </c>
      <c r="B423" s="11">
        <f>IF($K423="","",INDEX(Raw_data!$F$2:$F$636,MATCH($K423,Model!$R$2:$R$636,0)))</f>
        <v/>
      </c>
      <c r="C423">
        <f>IF($K423="","",HYPERLINK(INDEX(Raw_data!$C$2:$C$636,MATCH($K423,Model!$R$2:$R$636,0)),INDEX(Raw_data!$C$2:$C$636,MATCH($K423,Model!$R$2:$R$636,0))))</f>
        <v/>
      </c>
      <c r="D423">
        <f>IF($K423="","",INDEX(Raw_data!$AL$2:$AL$636,MATCH($K423,Model!$R$2:$R$636,0)))</f>
        <v/>
      </c>
      <c r="E423">
        <f>IF($K423="","",INDEX(Raw_data!$AM$2:$AM$636,MATCH($K423,Model!$R$2:$R$636,0)))</f>
        <v/>
      </c>
      <c r="F423">
        <f>IF($K423="","",INDEX(Raw_data!$AQ$2:$AQ$636,MATCH($K423,Model!$R$2:$R$636,0)))</f>
        <v/>
      </c>
      <c r="G423">
        <f>IF($K423="","",INDEX(Raw_data!$H$2:$H$636,MATCH($K423,Model!$R$2:$R$636,0)))</f>
        <v/>
      </c>
      <c r="H423" s="8">
        <f>IF($K423="","",INDEX(Model!$B$2:$B$636,MATCH($K423,Model!$R$2:$R$636,0)))</f>
        <v/>
      </c>
      <c r="I423" s="8">
        <f>IF($K423="","",INDEX(Model!$C$2:$C$636,MATCH($K423,Model!$R$2:$R$636,0)))</f>
        <v/>
      </c>
      <c r="J423">
        <f>IF($K423="","",INDEX(Model!$D$2:$D$636,MATCH($K423,Model!$R$2:$R$636,0)))</f>
        <v/>
      </c>
      <c r="K423">
        <f>IF(387&lt;=$E$5,LARGE(Model!$R$2:$R$636,387),"")</f>
        <v/>
      </c>
    </row>
    <row r="424">
      <c r="A424">
        <f>IF($K424="","",INDEX(Raw_data!$D$2:$D$636,MATCH($K424,Model!$R$2:$R$636,0)))</f>
        <v/>
      </c>
      <c r="B424" s="11">
        <f>IF($K424="","",INDEX(Raw_data!$F$2:$F$636,MATCH($K424,Model!$R$2:$R$636,0)))</f>
        <v/>
      </c>
      <c r="C424">
        <f>IF($K424="","",HYPERLINK(INDEX(Raw_data!$C$2:$C$636,MATCH($K424,Model!$R$2:$R$636,0)),INDEX(Raw_data!$C$2:$C$636,MATCH($K424,Model!$R$2:$R$636,0))))</f>
        <v/>
      </c>
      <c r="D424">
        <f>IF($K424="","",INDEX(Raw_data!$AL$2:$AL$636,MATCH($K424,Model!$R$2:$R$636,0)))</f>
        <v/>
      </c>
      <c r="E424">
        <f>IF($K424="","",INDEX(Raw_data!$AM$2:$AM$636,MATCH($K424,Model!$R$2:$R$636,0)))</f>
        <v/>
      </c>
      <c r="F424">
        <f>IF($K424="","",INDEX(Raw_data!$AQ$2:$AQ$636,MATCH($K424,Model!$R$2:$R$636,0)))</f>
        <v/>
      </c>
      <c r="G424">
        <f>IF($K424="","",INDEX(Raw_data!$H$2:$H$636,MATCH($K424,Model!$R$2:$R$636,0)))</f>
        <v/>
      </c>
      <c r="H424" s="8">
        <f>IF($K424="","",INDEX(Model!$B$2:$B$636,MATCH($K424,Model!$R$2:$R$636,0)))</f>
        <v/>
      </c>
      <c r="I424" s="8">
        <f>IF($K424="","",INDEX(Model!$C$2:$C$636,MATCH($K424,Model!$R$2:$R$636,0)))</f>
        <v/>
      </c>
      <c r="J424">
        <f>IF($K424="","",INDEX(Model!$D$2:$D$636,MATCH($K424,Model!$R$2:$R$636,0)))</f>
        <v/>
      </c>
      <c r="K424">
        <f>IF(388&lt;=$E$5,LARGE(Model!$R$2:$R$636,388),"")</f>
        <v/>
      </c>
    </row>
    <row r="425">
      <c r="A425">
        <f>IF($K425="","",INDEX(Raw_data!$D$2:$D$636,MATCH($K425,Model!$R$2:$R$636,0)))</f>
        <v/>
      </c>
      <c r="B425" s="11">
        <f>IF($K425="","",INDEX(Raw_data!$F$2:$F$636,MATCH($K425,Model!$R$2:$R$636,0)))</f>
        <v/>
      </c>
      <c r="C425">
        <f>IF($K425="","",HYPERLINK(INDEX(Raw_data!$C$2:$C$636,MATCH($K425,Model!$R$2:$R$636,0)),INDEX(Raw_data!$C$2:$C$636,MATCH($K425,Model!$R$2:$R$636,0))))</f>
        <v/>
      </c>
      <c r="D425">
        <f>IF($K425="","",INDEX(Raw_data!$AL$2:$AL$636,MATCH($K425,Model!$R$2:$R$636,0)))</f>
        <v/>
      </c>
      <c r="E425">
        <f>IF($K425="","",INDEX(Raw_data!$AM$2:$AM$636,MATCH($K425,Model!$R$2:$R$636,0)))</f>
        <v/>
      </c>
      <c r="F425">
        <f>IF($K425="","",INDEX(Raw_data!$AQ$2:$AQ$636,MATCH($K425,Model!$R$2:$R$636,0)))</f>
        <v/>
      </c>
      <c r="G425">
        <f>IF($K425="","",INDEX(Raw_data!$H$2:$H$636,MATCH($K425,Model!$R$2:$R$636,0)))</f>
        <v/>
      </c>
      <c r="H425" s="8">
        <f>IF($K425="","",INDEX(Model!$B$2:$B$636,MATCH($K425,Model!$R$2:$R$636,0)))</f>
        <v/>
      </c>
      <c r="I425" s="8">
        <f>IF($K425="","",INDEX(Model!$C$2:$C$636,MATCH($K425,Model!$R$2:$R$636,0)))</f>
        <v/>
      </c>
      <c r="J425">
        <f>IF($K425="","",INDEX(Model!$D$2:$D$636,MATCH($K425,Model!$R$2:$R$636,0)))</f>
        <v/>
      </c>
      <c r="K425">
        <f>IF(389&lt;=$E$5,LARGE(Model!$R$2:$R$636,389),"")</f>
        <v/>
      </c>
    </row>
    <row r="426">
      <c r="A426">
        <f>IF($K426="","",INDEX(Raw_data!$D$2:$D$636,MATCH($K426,Model!$R$2:$R$636,0)))</f>
        <v/>
      </c>
      <c r="B426" s="11">
        <f>IF($K426="","",INDEX(Raw_data!$F$2:$F$636,MATCH($K426,Model!$R$2:$R$636,0)))</f>
        <v/>
      </c>
      <c r="C426">
        <f>IF($K426="","",HYPERLINK(INDEX(Raw_data!$C$2:$C$636,MATCH($K426,Model!$R$2:$R$636,0)),INDEX(Raw_data!$C$2:$C$636,MATCH($K426,Model!$R$2:$R$636,0))))</f>
        <v/>
      </c>
      <c r="D426">
        <f>IF($K426="","",INDEX(Raw_data!$AL$2:$AL$636,MATCH($K426,Model!$R$2:$R$636,0)))</f>
        <v/>
      </c>
      <c r="E426">
        <f>IF($K426="","",INDEX(Raw_data!$AM$2:$AM$636,MATCH($K426,Model!$R$2:$R$636,0)))</f>
        <v/>
      </c>
      <c r="F426">
        <f>IF($K426="","",INDEX(Raw_data!$AQ$2:$AQ$636,MATCH($K426,Model!$R$2:$R$636,0)))</f>
        <v/>
      </c>
      <c r="G426">
        <f>IF($K426="","",INDEX(Raw_data!$H$2:$H$636,MATCH($K426,Model!$R$2:$R$636,0)))</f>
        <v/>
      </c>
      <c r="H426" s="8">
        <f>IF($K426="","",INDEX(Model!$B$2:$B$636,MATCH($K426,Model!$R$2:$R$636,0)))</f>
        <v/>
      </c>
      <c r="I426" s="8">
        <f>IF($K426="","",INDEX(Model!$C$2:$C$636,MATCH($K426,Model!$R$2:$R$636,0)))</f>
        <v/>
      </c>
      <c r="J426">
        <f>IF($K426="","",INDEX(Model!$D$2:$D$636,MATCH($K426,Model!$R$2:$R$636,0)))</f>
        <v/>
      </c>
      <c r="K426">
        <f>IF(390&lt;=$E$5,LARGE(Model!$R$2:$R$636,390),"")</f>
        <v/>
      </c>
    </row>
    <row r="427">
      <c r="A427">
        <f>IF($K427="","",INDEX(Raw_data!$D$2:$D$636,MATCH($K427,Model!$R$2:$R$636,0)))</f>
        <v/>
      </c>
      <c r="B427" s="11">
        <f>IF($K427="","",INDEX(Raw_data!$F$2:$F$636,MATCH($K427,Model!$R$2:$R$636,0)))</f>
        <v/>
      </c>
      <c r="C427">
        <f>IF($K427="","",HYPERLINK(INDEX(Raw_data!$C$2:$C$636,MATCH($K427,Model!$R$2:$R$636,0)),INDEX(Raw_data!$C$2:$C$636,MATCH($K427,Model!$R$2:$R$636,0))))</f>
        <v/>
      </c>
      <c r="D427">
        <f>IF($K427="","",INDEX(Raw_data!$AL$2:$AL$636,MATCH($K427,Model!$R$2:$R$636,0)))</f>
        <v/>
      </c>
      <c r="E427">
        <f>IF($K427="","",INDEX(Raw_data!$AM$2:$AM$636,MATCH($K427,Model!$R$2:$R$636,0)))</f>
        <v/>
      </c>
      <c r="F427">
        <f>IF($K427="","",INDEX(Raw_data!$AQ$2:$AQ$636,MATCH($K427,Model!$R$2:$R$636,0)))</f>
        <v/>
      </c>
      <c r="G427">
        <f>IF($K427="","",INDEX(Raw_data!$H$2:$H$636,MATCH($K427,Model!$R$2:$R$636,0)))</f>
        <v/>
      </c>
      <c r="H427" s="8">
        <f>IF($K427="","",INDEX(Model!$B$2:$B$636,MATCH($K427,Model!$R$2:$R$636,0)))</f>
        <v/>
      </c>
      <c r="I427" s="8">
        <f>IF($K427="","",INDEX(Model!$C$2:$C$636,MATCH($K427,Model!$R$2:$R$636,0)))</f>
        <v/>
      </c>
      <c r="J427">
        <f>IF($K427="","",INDEX(Model!$D$2:$D$636,MATCH($K427,Model!$R$2:$R$636,0)))</f>
        <v/>
      </c>
      <c r="K427">
        <f>IF(391&lt;=$E$5,LARGE(Model!$R$2:$R$636,391),"")</f>
        <v/>
      </c>
    </row>
    <row r="428">
      <c r="A428">
        <f>IF($K428="","",INDEX(Raw_data!$D$2:$D$636,MATCH($K428,Model!$R$2:$R$636,0)))</f>
        <v/>
      </c>
      <c r="B428" s="11">
        <f>IF($K428="","",INDEX(Raw_data!$F$2:$F$636,MATCH($K428,Model!$R$2:$R$636,0)))</f>
        <v/>
      </c>
      <c r="C428">
        <f>IF($K428="","",HYPERLINK(INDEX(Raw_data!$C$2:$C$636,MATCH($K428,Model!$R$2:$R$636,0)),INDEX(Raw_data!$C$2:$C$636,MATCH($K428,Model!$R$2:$R$636,0))))</f>
        <v/>
      </c>
      <c r="D428">
        <f>IF($K428="","",INDEX(Raw_data!$AL$2:$AL$636,MATCH($K428,Model!$R$2:$R$636,0)))</f>
        <v/>
      </c>
      <c r="E428">
        <f>IF($K428="","",INDEX(Raw_data!$AM$2:$AM$636,MATCH($K428,Model!$R$2:$R$636,0)))</f>
        <v/>
      </c>
      <c r="F428">
        <f>IF($K428="","",INDEX(Raw_data!$AQ$2:$AQ$636,MATCH($K428,Model!$R$2:$R$636,0)))</f>
        <v/>
      </c>
      <c r="G428">
        <f>IF($K428="","",INDEX(Raw_data!$H$2:$H$636,MATCH($K428,Model!$R$2:$R$636,0)))</f>
        <v/>
      </c>
      <c r="H428" s="8">
        <f>IF($K428="","",INDEX(Model!$B$2:$B$636,MATCH($K428,Model!$R$2:$R$636,0)))</f>
        <v/>
      </c>
      <c r="I428" s="8">
        <f>IF($K428="","",INDEX(Model!$C$2:$C$636,MATCH($K428,Model!$R$2:$R$636,0)))</f>
        <v/>
      </c>
      <c r="J428">
        <f>IF($K428="","",INDEX(Model!$D$2:$D$636,MATCH($K428,Model!$R$2:$R$636,0)))</f>
        <v/>
      </c>
      <c r="K428">
        <f>IF(392&lt;=$E$5,LARGE(Model!$R$2:$R$636,392),"")</f>
        <v/>
      </c>
    </row>
    <row r="429">
      <c r="A429">
        <f>IF($K429="","",INDEX(Raw_data!$D$2:$D$636,MATCH($K429,Model!$R$2:$R$636,0)))</f>
        <v/>
      </c>
      <c r="B429" s="11">
        <f>IF($K429="","",INDEX(Raw_data!$F$2:$F$636,MATCH($K429,Model!$R$2:$R$636,0)))</f>
        <v/>
      </c>
      <c r="C429">
        <f>IF($K429="","",HYPERLINK(INDEX(Raw_data!$C$2:$C$636,MATCH($K429,Model!$R$2:$R$636,0)),INDEX(Raw_data!$C$2:$C$636,MATCH($K429,Model!$R$2:$R$636,0))))</f>
        <v/>
      </c>
      <c r="D429">
        <f>IF($K429="","",INDEX(Raw_data!$AL$2:$AL$636,MATCH($K429,Model!$R$2:$R$636,0)))</f>
        <v/>
      </c>
      <c r="E429">
        <f>IF($K429="","",INDEX(Raw_data!$AM$2:$AM$636,MATCH($K429,Model!$R$2:$R$636,0)))</f>
        <v/>
      </c>
      <c r="F429">
        <f>IF($K429="","",INDEX(Raw_data!$AQ$2:$AQ$636,MATCH($K429,Model!$R$2:$R$636,0)))</f>
        <v/>
      </c>
      <c r="G429">
        <f>IF($K429="","",INDEX(Raw_data!$H$2:$H$636,MATCH($K429,Model!$R$2:$R$636,0)))</f>
        <v/>
      </c>
      <c r="H429" s="8">
        <f>IF($K429="","",INDEX(Model!$B$2:$B$636,MATCH($K429,Model!$R$2:$R$636,0)))</f>
        <v/>
      </c>
      <c r="I429" s="8">
        <f>IF($K429="","",INDEX(Model!$C$2:$C$636,MATCH($K429,Model!$R$2:$R$636,0)))</f>
        <v/>
      </c>
      <c r="J429">
        <f>IF($K429="","",INDEX(Model!$D$2:$D$636,MATCH($K429,Model!$R$2:$R$636,0)))</f>
        <v/>
      </c>
      <c r="K429">
        <f>IF(393&lt;=$E$5,LARGE(Model!$R$2:$R$636,393),"")</f>
        <v/>
      </c>
    </row>
    <row r="430">
      <c r="A430">
        <f>IF($K430="","",INDEX(Raw_data!$D$2:$D$636,MATCH($K430,Model!$R$2:$R$636,0)))</f>
        <v/>
      </c>
      <c r="B430" s="11">
        <f>IF($K430="","",INDEX(Raw_data!$F$2:$F$636,MATCH($K430,Model!$R$2:$R$636,0)))</f>
        <v/>
      </c>
      <c r="C430">
        <f>IF($K430="","",HYPERLINK(INDEX(Raw_data!$C$2:$C$636,MATCH($K430,Model!$R$2:$R$636,0)),INDEX(Raw_data!$C$2:$C$636,MATCH($K430,Model!$R$2:$R$636,0))))</f>
        <v/>
      </c>
      <c r="D430">
        <f>IF($K430="","",INDEX(Raw_data!$AL$2:$AL$636,MATCH($K430,Model!$R$2:$R$636,0)))</f>
        <v/>
      </c>
      <c r="E430">
        <f>IF($K430="","",INDEX(Raw_data!$AM$2:$AM$636,MATCH($K430,Model!$R$2:$R$636,0)))</f>
        <v/>
      </c>
      <c r="F430">
        <f>IF($K430="","",INDEX(Raw_data!$AQ$2:$AQ$636,MATCH($K430,Model!$R$2:$R$636,0)))</f>
        <v/>
      </c>
      <c r="G430">
        <f>IF($K430="","",INDEX(Raw_data!$H$2:$H$636,MATCH($K430,Model!$R$2:$R$636,0)))</f>
        <v/>
      </c>
      <c r="H430" s="8">
        <f>IF($K430="","",INDEX(Model!$B$2:$B$636,MATCH($K430,Model!$R$2:$R$636,0)))</f>
        <v/>
      </c>
      <c r="I430" s="8">
        <f>IF($K430="","",INDEX(Model!$C$2:$C$636,MATCH($K430,Model!$R$2:$R$636,0)))</f>
        <v/>
      </c>
      <c r="J430">
        <f>IF($K430="","",INDEX(Model!$D$2:$D$636,MATCH($K430,Model!$R$2:$R$636,0)))</f>
        <v/>
      </c>
      <c r="K430">
        <f>IF(394&lt;=$E$5,LARGE(Model!$R$2:$R$636,394),"")</f>
        <v/>
      </c>
    </row>
    <row r="431">
      <c r="A431">
        <f>IF($K431="","",INDEX(Raw_data!$D$2:$D$636,MATCH($K431,Model!$R$2:$R$636,0)))</f>
        <v/>
      </c>
      <c r="B431" s="11">
        <f>IF($K431="","",INDEX(Raw_data!$F$2:$F$636,MATCH($K431,Model!$R$2:$R$636,0)))</f>
        <v/>
      </c>
      <c r="C431">
        <f>IF($K431="","",HYPERLINK(INDEX(Raw_data!$C$2:$C$636,MATCH($K431,Model!$R$2:$R$636,0)),INDEX(Raw_data!$C$2:$C$636,MATCH($K431,Model!$R$2:$R$636,0))))</f>
        <v/>
      </c>
      <c r="D431">
        <f>IF($K431="","",INDEX(Raw_data!$AL$2:$AL$636,MATCH($K431,Model!$R$2:$R$636,0)))</f>
        <v/>
      </c>
      <c r="E431">
        <f>IF($K431="","",INDEX(Raw_data!$AM$2:$AM$636,MATCH($K431,Model!$R$2:$R$636,0)))</f>
        <v/>
      </c>
      <c r="F431">
        <f>IF($K431="","",INDEX(Raw_data!$AQ$2:$AQ$636,MATCH($K431,Model!$R$2:$R$636,0)))</f>
        <v/>
      </c>
      <c r="G431">
        <f>IF($K431="","",INDEX(Raw_data!$H$2:$H$636,MATCH($K431,Model!$R$2:$R$636,0)))</f>
        <v/>
      </c>
      <c r="H431" s="8">
        <f>IF($K431="","",INDEX(Model!$B$2:$B$636,MATCH($K431,Model!$R$2:$R$636,0)))</f>
        <v/>
      </c>
      <c r="I431" s="8">
        <f>IF($K431="","",INDEX(Model!$C$2:$C$636,MATCH($K431,Model!$R$2:$R$636,0)))</f>
        <v/>
      </c>
      <c r="J431">
        <f>IF($K431="","",INDEX(Model!$D$2:$D$636,MATCH($K431,Model!$R$2:$R$636,0)))</f>
        <v/>
      </c>
      <c r="K431">
        <f>IF(395&lt;=$E$5,LARGE(Model!$R$2:$R$636,395),"")</f>
        <v/>
      </c>
    </row>
    <row r="432">
      <c r="A432">
        <f>IF($K432="","",INDEX(Raw_data!$D$2:$D$636,MATCH($K432,Model!$R$2:$R$636,0)))</f>
        <v/>
      </c>
      <c r="B432" s="11">
        <f>IF($K432="","",INDEX(Raw_data!$F$2:$F$636,MATCH($K432,Model!$R$2:$R$636,0)))</f>
        <v/>
      </c>
      <c r="C432">
        <f>IF($K432="","",HYPERLINK(INDEX(Raw_data!$C$2:$C$636,MATCH($K432,Model!$R$2:$R$636,0)),INDEX(Raw_data!$C$2:$C$636,MATCH($K432,Model!$R$2:$R$636,0))))</f>
        <v/>
      </c>
      <c r="D432">
        <f>IF($K432="","",INDEX(Raw_data!$AL$2:$AL$636,MATCH($K432,Model!$R$2:$R$636,0)))</f>
        <v/>
      </c>
      <c r="E432">
        <f>IF($K432="","",INDEX(Raw_data!$AM$2:$AM$636,MATCH($K432,Model!$R$2:$R$636,0)))</f>
        <v/>
      </c>
      <c r="F432">
        <f>IF($K432="","",INDEX(Raw_data!$AQ$2:$AQ$636,MATCH($K432,Model!$R$2:$R$636,0)))</f>
        <v/>
      </c>
      <c r="G432">
        <f>IF($K432="","",INDEX(Raw_data!$H$2:$H$636,MATCH($K432,Model!$R$2:$R$636,0)))</f>
        <v/>
      </c>
      <c r="H432" s="8">
        <f>IF($K432="","",INDEX(Model!$B$2:$B$636,MATCH($K432,Model!$R$2:$R$636,0)))</f>
        <v/>
      </c>
      <c r="I432" s="8">
        <f>IF($K432="","",INDEX(Model!$C$2:$C$636,MATCH($K432,Model!$R$2:$R$636,0)))</f>
        <v/>
      </c>
      <c r="J432">
        <f>IF($K432="","",INDEX(Model!$D$2:$D$636,MATCH($K432,Model!$R$2:$R$636,0)))</f>
        <v/>
      </c>
      <c r="K432">
        <f>IF(396&lt;=$E$5,LARGE(Model!$R$2:$R$636,396),"")</f>
        <v/>
      </c>
    </row>
    <row r="433">
      <c r="A433">
        <f>IF($K433="","",INDEX(Raw_data!$D$2:$D$636,MATCH($K433,Model!$R$2:$R$636,0)))</f>
        <v/>
      </c>
      <c r="B433" s="11">
        <f>IF($K433="","",INDEX(Raw_data!$F$2:$F$636,MATCH($K433,Model!$R$2:$R$636,0)))</f>
        <v/>
      </c>
      <c r="C433">
        <f>IF($K433="","",HYPERLINK(INDEX(Raw_data!$C$2:$C$636,MATCH($K433,Model!$R$2:$R$636,0)),INDEX(Raw_data!$C$2:$C$636,MATCH($K433,Model!$R$2:$R$636,0))))</f>
        <v/>
      </c>
      <c r="D433">
        <f>IF($K433="","",INDEX(Raw_data!$AL$2:$AL$636,MATCH($K433,Model!$R$2:$R$636,0)))</f>
        <v/>
      </c>
      <c r="E433">
        <f>IF($K433="","",INDEX(Raw_data!$AM$2:$AM$636,MATCH($K433,Model!$R$2:$R$636,0)))</f>
        <v/>
      </c>
      <c r="F433">
        <f>IF($K433="","",INDEX(Raw_data!$AQ$2:$AQ$636,MATCH($K433,Model!$R$2:$R$636,0)))</f>
        <v/>
      </c>
      <c r="G433">
        <f>IF($K433="","",INDEX(Raw_data!$H$2:$H$636,MATCH($K433,Model!$R$2:$R$636,0)))</f>
        <v/>
      </c>
      <c r="H433" s="8">
        <f>IF($K433="","",INDEX(Model!$B$2:$B$636,MATCH($K433,Model!$R$2:$R$636,0)))</f>
        <v/>
      </c>
      <c r="I433" s="8">
        <f>IF($K433="","",INDEX(Model!$C$2:$C$636,MATCH($K433,Model!$R$2:$R$636,0)))</f>
        <v/>
      </c>
      <c r="J433">
        <f>IF($K433="","",INDEX(Model!$D$2:$D$636,MATCH($K433,Model!$R$2:$R$636,0)))</f>
        <v/>
      </c>
      <c r="K433">
        <f>IF(397&lt;=$E$5,LARGE(Model!$R$2:$R$636,397),"")</f>
        <v/>
      </c>
    </row>
    <row r="434">
      <c r="A434">
        <f>IF($K434="","",INDEX(Raw_data!$D$2:$D$636,MATCH($K434,Model!$R$2:$R$636,0)))</f>
        <v/>
      </c>
      <c r="B434" s="11">
        <f>IF($K434="","",INDEX(Raw_data!$F$2:$F$636,MATCH($K434,Model!$R$2:$R$636,0)))</f>
        <v/>
      </c>
      <c r="C434">
        <f>IF($K434="","",HYPERLINK(INDEX(Raw_data!$C$2:$C$636,MATCH($K434,Model!$R$2:$R$636,0)),INDEX(Raw_data!$C$2:$C$636,MATCH($K434,Model!$R$2:$R$636,0))))</f>
        <v/>
      </c>
      <c r="D434">
        <f>IF($K434="","",INDEX(Raw_data!$AL$2:$AL$636,MATCH($K434,Model!$R$2:$R$636,0)))</f>
        <v/>
      </c>
      <c r="E434">
        <f>IF($K434="","",INDEX(Raw_data!$AM$2:$AM$636,MATCH($K434,Model!$R$2:$R$636,0)))</f>
        <v/>
      </c>
      <c r="F434">
        <f>IF($K434="","",INDEX(Raw_data!$AQ$2:$AQ$636,MATCH($K434,Model!$R$2:$R$636,0)))</f>
        <v/>
      </c>
      <c r="G434">
        <f>IF($K434="","",INDEX(Raw_data!$H$2:$H$636,MATCH($K434,Model!$R$2:$R$636,0)))</f>
        <v/>
      </c>
      <c r="H434" s="8">
        <f>IF($K434="","",INDEX(Model!$B$2:$B$636,MATCH($K434,Model!$R$2:$R$636,0)))</f>
        <v/>
      </c>
      <c r="I434" s="8">
        <f>IF($K434="","",INDEX(Model!$C$2:$C$636,MATCH($K434,Model!$R$2:$R$636,0)))</f>
        <v/>
      </c>
      <c r="J434">
        <f>IF($K434="","",INDEX(Model!$D$2:$D$636,MATCH($K434,Model!$R$2:$R$636,0)))</f>
        <v/>
      </c>
      <c r="K434">
        <f>IF(398&lt;=$E$5,LARGE(Model!$R$2:$R$636,398),"")</f>
        <v/>
      </c>
    </row>
    <row r="435">
      <c r="A435">
        <f>IF($K435="","",INDEX(Raw_data!$D$2:$D$636,MATCH($K435,Model!$R$2:$R$636,0)))</f>
        <v/>
      </c>
      <c r="B435" s="11">
        <f>IF($K435="","",INDEX(Raw_data!$F$2:$F$636,MATCH($K435,Model!$R$2:$R$636,0)))</f>
        <v/>
      </c>
      <c r="C435">
        <f>IF($K435="","",HYPERLINK(INDEX(Raw_data!$C$2:$C$636,MATCH($K435,Model!$R$2:$R$636,0)),INDEX(Raw_data!$C$2:$C$636,MATCH($K435,Model!$R$2:$R$636,0))))</f>
        <v/>
      </c>
      <c r="D435">
        <f>IF($K435="","",INDEX(Raw_data!$AL$2:$AL$636,MATCH($K435,Model!$R$2:$R$636,0)))</f>
        <v/>
      </c>
      <c r="E435">
        <f>IF($K435="","",INDEX(Raw_data!$AM$2:$AM$636,MATCH($K435,Model!$R$2:$R$636,0)))</f>
        <v/>
      </c>
      <c r="F435">
        <f>IF($K435="","",INDEX(Raw_data!$AQ$2:$AQ$636,MATCH($K435,Model!$R$2:$R$636,0)))</f>
        <v/>
      </c>
      <c r="G435">
        <f>IF($K435="","",INDEX(Raw_data!$H$2:$H$636,MATCH($K435,Model!$R$2:$R$636,0)))</f>
        <v/>
      </c>
      <c r="H435" s="8">
        <f>IF($K435="","",INDEX(Model!$B$2:$B$636,MATCH($K435,Model!$R$2:$R$636,0)))</f>
        <v/>
      </c>
      <c r="I435" s="8">
        <f>IF($K435="","",INDEX(Model!$C$2:$C$636,MATCH($K435,Model!$R$2:$R$636,0)))</f>
        <v/>
      </c>
      <c r="J435">
        <f>IF($K435="","",INDEX(Model!$D$2:$D$636,MATCH($K435,Model!$R$2:$R$636,0)))</f>
        <v/>
      </c>
      <c r="K435">
        <f>IF(399&lt;=$E$5,LARGE(Model!$R$2:$R$636,399),"")</f>
        <v/>
      </c>
    </row>
    <row r="436">
      <c r="A436">
        <f>IF($K436="","",INDEX(Raw_data!$D$2:$D$636,MATCH($K436,Model!$R$2:$R$636,0)))</f>
        <v/>
      </c>
      <c r="B436" s="11">
        <f>IF($K436="","",INDEX(Raw_data!$F$2:$F$636,MATCH($K436,Model!$R$2:$R$636,0)))</f>
        <v/>
      </c>
      <c r="C436">
        <f>IF($K436="","",HYPERLINK(INDEX(Raw_data!$C$2:$C$636,MATCH($K436,Model!$R$2:$R$636,0)),INDEX(Raw_data!$C$2:$C$636,MATCH($K436,Model!$R$2:$R$636,0))))</f>
        <v/>
      </c>
      <c r="D436">
        <f>IF($K436="","",INDEX(Raw_data!$AL$2:$AL$636,MATCH($K436,Model!$R$2:$R$636,0)))</f>
        <v/>
      </c>
      <c r="E436">
        <f>IF($K436="","",INDEX(Raw_data!$AM$2:$AM$636,MATCH($K436,Model!$R$2:$R$636,0)))</f>
        <v/>
      </c>
      <c r="F436">
        <f>IF($K436="","",INDEX(Raw_data!$AQ$2:$AQ$636,MATCH($K436,Model!$R$2:$R$636,0)))</f>
        <v/>
      </c>
      <c r="G436">
        <f>IF($K436="","",INDEX(Raw_data!$H$2:$H$636,MATCH($K436,Model!$R$2:$R$636,0)))</f>
        <v/>
      </c>
      <c r="H436" s="8">
        <f>IF($K436="","",INDEX(Model!$B$2:$B$636,MATCH($K436,Model!$R$2:$R$636,0)))</f>
        <v/>
      </c>
      <c r="I436" s="8">
        <f>IF($K436="","",INDEX(Model!$C$2:$C$636,MATCH($K436,Model!$R$2:$R$636,0)))</f>
        <v/>
      </c>
      <c r="J436">
        <f>IF($K436="","",INDEX(Model!$D$2:$D$636,MATCH($K436,Model!$R$2:$R$636,0)))</f>
        <v/>
      </c>
      <c r="K436">
        <f>IF(400&lt;=$E$5,LARGE(Model!$R$2:$R$636,400),"")</f>
        <v/>
      </c>
    </row>
    <row r="437">
      <c r="A437">
        <f>IF($K437="","",INDEX(Raw_data!$D$2:$D$636,MATCH($K437,Model!$R$2:$R$636,0)))</f>
        <v/>
      </c>
      <c r="B437" s="11">
        <f>IF($K437="","",INDEX(Raw_data!$F$2:$F$636,MATCH($K437,Model!$R$2:$R$636,0)))</f>
        <v/>
      </c>
      <c r="C437">
        <f>IF($K437="","",HYPERLINK(INDEX(Raw_data!$C$2:$C$636,MATCH($K437,Model!$R$2:$R$636,0)),INDEX(Raw_data!$C$2:$C$636,MATCH($K437,Model!$R$2:$R$636,0))))</f>
        <v/>
      </c>
      <c r="D437">
        <f>IF($K437="","",INDEX(Raw_data!$AL$2:$AL$636,MATCH($K437,Model!$R$2:$R$636,0)))</f>
        <v/>
      </c>
      <c r="E437">
        <f>IF($K437="","",INDEX(Raw_data!$AM$2:$AM$636,MATCH($K437,Model!$R$2:$R$636,0)))</f>
        <v/>
      </c>
      <c r="F437">
        <f>IF($K437="","",INDEX(Raw_data!$AQ$2:$AQ$636,MATCH($K437,Model!$R$2:$R$636,0)))</f>
        <v/>
      </c>
      <c r="G437">
        <f>IF($K437="","",INDEX(Raw_data!$H$2:$H$636,MATCH($K437,Model!$R$2:$R$636,0)))</f>
        <v/>
      </c>
      <c r="H437" s="8">
        <f>IF($K437="","",INDEX(Model!$B$2:$B$636,MATCH($K437,Model!$R$2:$R$636,0)))</f>
        <v/>
      </c>
      <c r="I437" s="8">
        <f>IF($K437="","",INDEX(Model!$C$2:$C$636,MATCH($K437,Model!$R$2:$R$636,0)))</f>
        <v/>
      </c>
      <c r="J437">
        <f>IF($K437="","",INDEX(Model!$D$2:$D$636,MATCH($K437,Model!$R$2:$R$636,0)))</f>
        <v/>
      </c>
      <c r="K437">
        <f>IF(401&lt;=$E$5,LARGE(Model!$R$2:$R$636,401),"")</f>
        <v/>
      </c>
    </row>
    <row r="438">
      <c r="A438">
        <f>IF($K438="","",INDEX(Raw_data!$D$2:$D$636,MATCH($K438,Model!$R$2:$R$636,0)))</f>
        <v/>
      </c>
      <c r="B438" s="11">
        <f>IF($K438="","",INDEX(Raw_data!$F$2:$F$636,MATCH($K438,Model!$R$2:$R$636,0)))</f>
        <v/>
      </c>
      <c r="C438">
        <f>IF($K438="","",HYPERLINK(INDEX(Raw_data!$C$2:$C$636,MATCH($K438,Model!$R$2:$R$636,0)),INDEX(Raw_data!$C$2:$C$636,MATCH($K438,Model!$R$2:$R$636,0))))</f>
        <v/>
      </c>
      <c r="D438">
        <f>IF($K438="","",INDEX(Raw_data!$AL$2:$AL$636,MATCH($K438,Model!$R$2:$R$636,0)))</f>
        <v/>
      </c>
      <c r="E438">
        <f>IF($K438="","",INDEX(Raw_data!$AM$2:$AM$636,MATCH($K438,Model!$R$2:$R$636,0)))</f>
        <v/>
      </c>
      <c r="F438">
        <f>IF($K438="","",INDEX(Raw_data!$AQ$2:$AQ$636,MATCH($K438,Model!$R$2:$R$636,0)))</f>
        <v/>
      </c>
      <c r="G438">
        <f>IF($K438="","",INDEX(Raw_data!$H$2:$H$636,MATCH($K438,Model!$R$2:$R$636,0)))</f>
        <v/>
      </c>
      <c r="H438" s="8">
        <f>IF($K438="","",INDEX(Model!$B$2:$B$636,MATCH($K438,Model!$R$2:$R$636,0)))</f>
        <v/>
      </c>
      <c r="I438" s="8">
        <f>IF($K438="","",INDEX(Model!$C$2:$C$636,MATCH($K438,Model!$R$2:$R$636,0)))</f>
        <v/>
      </c>
      <c r="J438">
        <f>IF($K438="","",INDEX(Model!$D$2:$D$636,MATCH($K438,Model!$R$2:$R$636,0)))</f>
        <v/>
      </c>
      <c r="K438">
        <f>IF(402&lt;=$E$5,LARGE(Model!$R$2:$R$636,402),"")</f>
        <v/>
      </c>
    </row>
    <row r="439">
      <c r="A439">
        <f>IF($K439="","",INDEX(Raw_data!$D$2:$D$636,MATCH($K439,Model!$R$2:$R$636,0)))</f>
        <v/>
      </c>
      <c r="B439" s="11">
        <f>IF($K439="","",INDEX(Raw_data!$F$2:$F$636,MATCH($K439,Model!$R$2:$R$636,0)))</f>
        <v/>
      </c>
      <c r="C439">
        <f>IF($K439="","",HYPERLINK(INDEX(Raw_data!$C$2:$C$636,MATCH($K439,Model!$R$2:$R$636,0)),INDEX(Raw_data!$C$2:$C$636,MATCH($K439,Model!$R$2:$R$636,0))))</f>
        <v/>
      </c>
      <c r="D439">
        <f>IF($K439="","",INDEX(Raw_data!$AL$2:$AL$636,MATCH($K439,Model!$R$2:$R$636,0)))</f>
        <v/>
      </c>
      <c r="E439">
        <f>IF($K439="","",INDEX(Raw_data!$AM$2:$AM$636,MATCH($K439,Model!$R$2:$R$636,0)))</f>
        <v/>
      </c>
      <c r="F439">
        <f>IF($K439="","",INDEX(Raw_data!$AQ$2:$AQ$636,MATCH($K439,Model!$R$2:$R$636,0)))</f>
        <v/>
      </c>
      <c r="G439">
        <f>IF($K439="","",INDEX(Raw_data!$H$2:$H$636,MATCH($K439,Model!$R$2:$R$636,0)))</f>
        <v/>
      </c>
      <c r="H439" s="8">
        <f>IF($K439="","",INDEX(Model!$B$2:$B$636,MATCH($K439,Model!$R$2:$R$636,0)))</f>
        <v/>
      </c>
      <c r="I439" s="8">
        <f>IF($K439="","",INDEX(Model!$C$2:$C$636,MATCH($K439,Model!$R$2:$R$636,0)))</f>
        <v/>
      </c>
      <c r="J439">
        <f>IF($K439="","",INDEX(Model!$D$2:$D$636,MATCH($K439,Model!$R$2:$R$636,0)))</f>
        <v/>
      </c>
      <c r="K439">
        <f>IF(403&lt;=$E$5,LARGE(Model!$R$2:$R$636,403),"")</f>
        <v/>
      </c>
    </row>
    <row r="440">
      <c r="A440">
        <f>IF($K440="","",INDEX(Raw_data!$D$2:$D$636,MATCH($K440,Model!$R$2:$R$636,0)))</f>
        <v/>
      </c>
      <c r="B440" s="11">
        <f>IF($K440="","",INDEX(Raw_data!$F$2:$F$636,MATCH($K440,Model!$R$2:$R$636,0)))</f>
        <v/>
      </c>
      <c r="C440">
        <f>IF($K440="","",HYPERLINK(INDEX(Raw_data!$C$2:$C$636,MATCH($K440,Model!$R$2:$R$636,0)),INDEX(Raw_data!$C$2:$C$636,MATCH($K440,Model!$R$2:$R$636,0))))</f>
        <v/>
      </c>
      <c r="D440">
        <f>IF($K440="","",INDEX(Raw_data!$AL$2:$AL$636,MATCH($K440,Model!$R$2:$R$636,0)))</f>
        <v/>
      </c>
      <c r="E440">
        <f>IF($K440="","",INDEX(Raw_data!$AM$2:$AM$636,MATCH($K440,Model!$R$2:$R$636,0)))</f>
        <v/>
      </c>
      <c r="F440">
        <f>IF($K440="","",INDEX(Raw_data!$AQ$2:$AQ$636,MATCH($K440,Model!$R$2:$R$636,0)))</f>
        <v/>
      </c>
      <c r="G440">
        <f>IF($K440="","",INDEX(Raw_data!$H$2:$H$636,MATCH($K440,Model!$R$2:$R$636,0)))</f>
        <v/>
      </c>
      <c r="H440" s="8">
        <f>IF($K440="","",INDEX(Model!$B$2:$B$636,MATCH($K440,Model!$R$2:$R$636,0)))</f>
        <v/>
      </c>
      <c r="I440" s="8">
        <f>IF($K440="","",INDEX(Model!$C$2:$C$636,MATCH($K440,Model!$R$2:$R$636,0)))</f>
        <v/>
      </c>
      <c r="J440">
        <f>IF($K440="","",INDEX(Model!$D$2:$D$636,MATCH($K440,Model!$R$2:$R$636,0)))</f>
        <v/>
      </c>
      <c r="K440">
        <f>IF(404&lt;=$E$5,LARGE(Model!$R$2:$R$636,404),"")</f>
        <v/>
      </c>
    </row>
    <row r="441">
      <c r="A441">
        <f>IF($K441="","",INDEX(Raw_data!$D$2:$D$636,MATCH($K441,Model!$R$2:$R$636,0)))</f>
        <v/>
      </c>
      <c r="B441" s="11">
        <f>IF($K441="","",INDEX(Raw_data!$F$2:$F$636,MATCH($K441,Model!$R$2:$R$636,0)))</f>
        <v/>
      </c>
      <c r="C441">
        <f>IF($K441="","",HYPERLINK(INDEX(Raw_data!$C$2:$C$636,MATCH($K441,Model!$R$2:$R$636,0)),INDEX(Raw_data!$C$2:$C$636,MATCH($K441,Model!$R$2:$R$636,0))))</f>
        <v/>
      </c>
      <c r="D441">
        <f>IF($K441="","",INDEX(Raw_data!$AL$2:$AL$636,MATCH($K441,Model!$R$2:$R$636,0)))</f>
        <v/>
      </c>
      <c r="E441">
        <f>IF($K441="","",INDEX(Raw_data!$AM$2:$AM$636,MATCH($K441,Model!$R$2:$R$636,0)))</f>
        <v/>
      </c>
      <c r="F441">
        <f>IF($K441="","",INDEX(Raw_data!$AQ$2:$AQ$636,MATCH($K441,Model!$R$2:$R$636,0)))</f>
        <v/>
      </c>
      <c r="G441">
        <f>IF($K441="","",INDEX(Raw_data!$H$2:$H$636,MATCH($K441,Model!$R$2:$R$636,0)))</f>
        <v/>
      </c>
      <c r="H441" s="8">
        <f>IF($K441="","",INDEX(Model!$B$2:$B$636,MATCH($K441,Model!$R$2:$R$636,0)))</f>
        <v/>
      </c>
      <c r="I441" s="8">
        <f>IF($K441="","",INDEX(Model!$C$2:$C$636,MATCH($K441,Model!$R$2:$R$636,0)))</f>
        <v/>
      </c>
      <c r="J441">
        <f>IF($K441="","",INDEX(Model!$D$2:$D$636,MATCH($K441,Model!$R$2:$R$636,0)))</f>
        <v/>
      </c>
      <c r="K441">
        <f>IF(405&lt;=$E$5,LARGE(Model!$R$2:$R$636,405),"")</f>
        <v/>
      </c>
    </row>
    <row r="442">
      <c r="A442">
        <f>IF($K442="","",INDEX(Raw_data!$D$2:$D$636,MATCH($K442,Model!$R$2:$R$636,0)))</f>
        <v/>
      </c>
      <c r="B442" s="11">
        <f>IF($K442="","",INDEX(Raw_data!$F$2:$F$636,MATCH($K442,Model!$R$2:$R$636,0)))</f>
        <v/>
      </c>
      <c r="C442">
        <f>IF($K442="","",HYPERLINK(INDEX(Raw_data!$C$2:$C$636,MATCH($K442,Model!$R$2:$R$636,0)),INDEX(Raw_data!$C$2:$C$636,MATCH($K442,Model!$R$2:$R$636,0))))</f>
        <v/>
      </c>
      <c r="D442">
        <f>IF($K442="","",INDEX(Raw_data!$AL$2:$AL$636,MATCH($K442,Model!$R$2:$R$636,0)))</f>
        <v/>
      </c>
      <c r="E442">
        <f>IF($K442="","",INDEX(Raw_data!$AM$2:$AM$636,MATCH($K442,Model!$R$2:$R$636,0)))</f>
        <v/>
      </c>
      <c r="F442">
        <f>IF($K442="","",INDEX(Raw_data!$AQ$2:$AQ$636,MATCH($K442,Model!$R$2:$R$636,0)))</f>
        <v/>
      </c>
      <c r="G442">
        <f>IF($K442="","",INDEX(Raw_data!$H$2:$H$636,MATCH($K442,Model!$R$2:$R$636,0)))</f>
        <v/>
      </c>
      <c r="H442" s="8">
        <f>IF($K442="","",INDEX(Model!$B$2:$B$636,MATCH($K442,Model!$R$2:$R$636,0)))</f>
        <v/>
      </c>
      <c r="I442" s="8">
        <f>IF($K442="","",INDEX(Model!$C$2:$C$636,MATCH($K442,Model!$R$2:$R$636,0)))</f>
        <v/>
      </c>
      <c r="J442">
        <f>IF($K442="","",INDEX(Model!$D$2:$D$636,MATCH($K442,Model!$R$2:$R$636,0)))</f>
        <v/>
      </c>
      <c r="K442">
        <f>IF(406&lt;=$E$5,LARGE(Model!$R$2:$R$636,406),"")</f>
        <v/>
      </c>
    </row>
    <row r="443">
      <c r="A443">
        <f>IF($K443="","",INDEX(Raw_data!$D$2:$D$636,MATCH($K443,Model!$R$2:$R$636,0)))</f>
        <v/>
      </c>
      <c r="B443" s="11">
        <f>IF($K443="","",INDEX(Raw_data!$F$2:$F$636,MATCH($K443,Model!$R$2:$R$636,0)))</f>
        <v/>
      </c>
      <c r="C443">
        <f>IF($K443="","",HYPERLINK(INDEX(Raw_data!$C$2:$C$636,MATCH($K443,Model!$R$2:$R$636,0)),INDEX(Raw_data!$C$2:$C$636,MATCH($K443,Model!$R$2:$R$636,0))))</f>
        <v/>
      </c>
      <c r="D443">
        <f>IF($K443="","",INDEX(Raw_data!$AL$2:$AL$636,MATCH($K443,Model!$R$2:$R$636,0)))</f>
        <v/>
      </c>
      <c r="E443">
        <f>IF($K443="","",INDEX(Raw_data!$AM$2:$AM$636,MATCH($K443,Model!$R$2:$R$636,0)))</f>
        <v/>
      </c>
      <c r="F443">
        <f>IF($K443="","",INDEX(Raw_data!$AQ$2:$AQ$636,MATCH($K443,Model!$R$2:$R$636,0)))</f>
        <v/>
      </c>
      <c r="G443">
        <f>IF($K443="","",INDEX(Raw_data!$H$2:$H$636,MATCH($K443,Model!$R$2:$R$636,0)))</f>
        <v/>
      </c>
      <c r="H443" s="8">
        <f>IF($K443="","",INDEX(Model!$B$2:$B$636,MATCH($K443,Model!$R$2:$R$636,0)))</f>
        <v/>
      </c>
      <c r="I443" s="8">
        <f>IF($K443="","",INDEX(Model!$C$2:$C$636,MATCH($K443,Model!$R$2:$R$636,0)))</f>
        <v/>
      </c>
      <c r="J443">
        <f>IF($K443="","",INDEX(Model!$D$2:$D$636,MATCH($K443,Model!$R$2:$R$636,0)))</f>
        <v/>
      </c>
      <c r="K443">
        <f>IF(407&lt;=$E$5,LARGE(Model!$R$2:$R$636,407),"")</f>
        <v/>
      </c>
    </row>
    <row r="444">
      <c r="A444">
        <f>IF($K444="","",INDEX(Raw_data!$D$2:$D$636,MATCH($K444,Model!$R$2:$R$636,0)))</f>
        <v/>
      </c>
      <c r="B444" s="11">
        <f>IF($K444="","",INDEX(Raw_data!$F$2:$F$636,MATCH($K444,Model!$R$2:$R$636,0)))</f>
        <v/>
      </c>
      <c r="C444">
        <f>IF($K444="","",HYPERLINK(INDEX(Raw_data!$C$2:$C$636,MATCH($K444,Model!$R$2:$R$636,0)),INDEX(Raw_data!$C$2:$C$636,MATCH($K444,Model!$R$2:$R$636,0))))</f>
        <v/>
      </c>
      <c r="D444">
        <f>IF($K444="","",INDEX(Raw_data!$AL$2:$AL$636,MATCH($K444,Model!$R$2:$R$636,0)))</f>
        <v/>
      </c>
      <c r="E444">
        <f>IF($K444="","",INDEX(Raw_data!$AM$2:$AM$636,MATCH($K444,Model!$R$2:$R$636,0)))</f>
        <v/>
      </c>
      <c r="F444">
        <f>IF($K444="","",INDEX(Raw_data!$AQ$2:$AQ$636,MATCH($K444,Model!$R$2:$R$636,0)))</f>
        <v/>
      </c>
      <c r="G444">
        <f>IF($K444="","",INDEX(Raw_data!$H$2:$H$636,MATCH($K444,Model!$R$2:$R$636,0)))</f>
        <v/>
      </c>
      <c r="H444" s="8">
        <f>IF($K444="","",INDEX(Model!$B$2:$B$636,MATCH($K444,Model!$R$2:$R$636,0)))</f>
        <v/>
      </c>
      <c r="I444" s="8">
        <f>IF($K444="","",INDEX(Model!$C$2:$C$636,MATCH($K444,Model!$R$2:$R$636,0)))</f>
        <v/>
      </c>
      <c r="J444">
        <f>IF($K444="","",INDEX(Model!$D$2:$D$636,MATCH($K444,Model!$R$2:$R$636,0)))</f>
        <v/>
      </c>
      <c r="K444">
        <f>IF(408&lt;=$E$5,LARGE(Model!$R$2:$R$636,408),"")</f>
        <v/>
      </c>
    </row>
    <row r="445">
      <c r="A445">
        <f>IF($K445="","",INDEX(Raw_data!$D$2:$D$636,MATCH($K445,Model!$R$2:$R$636,0)))</f>
        <v/>
      </c>
      <c r="B445" s="11">
        <f>IF($K445="","",INDEX(Raw_data!$F$2:$F$636,MATCH($K445,Model!$R$2:$R$636,0)))</f>
        <v/>
      </c>
      <c r="C445">
        <f>IF($K445="","",HYPERLINK(INDEX(Raw_data!$C$2:$C$636,MATCH($K445,Model!$R$2:$R$636,0)),INDEX(Raw_data!$C$2:$C$636,MATCH($K445,Model!$R$2:$R$636,0))))</f>
        <v/>
      </c>
      <c r="D445">
        <f>IF($K445="","",INDEX(Raw_data!$AL$2:$AL$636,MATCH($K445,Model!$R$2:$R$636,0)))</f>
        <v/>
      </c>
      <c r="E445">
        <f>IF($K445="","",INDEX(Raw_data!$AM$2:$AM$636,MATCH($K445,Model!$R$2:$R$636,0)))</f>
        <v/>
      </c>
      <c r="F445">
        <f>IF($K445="","",INDEX(Raw_data!$AQ$2:$AQ$636,MATCH($K445,Model!$R$2:$R$636,0)))</f>
        <v/>
      </c>
      <c r="G445">
        <f>IF($K445="","",INDEX(Raw_data!$H$2:$H$636,MATCH($K445,Model!$R$2:$R$636,0)))</f>
        <v/>
      </c>
      <c r="H445" s="8">
        <f>IF($K445="","",INDEX(Model!$B$2:$B$636,MATCH($K445,Model!$R$2:$R$636,0)))</f>
        <v/>
      </c>
      <c r="I445" s="8">
        <f>IF($K445="","",INDEX(Model!$C$2:$C$636,MATCH($K445,Model!$R$2:$R$636,0)))</f>
        <v/>
      </c>
      <c r="J445">
        <f>IF($K445="","",INDEX(Model!$D$2:$D$636,MATCH($K445,Model!$R$2:$R$636,0)))</f>
        <v/>
      </c>
      <c r="K445">
        <f>IF(409&lt;=$E$5,LARGE(Model!$R$2:$R$636,409),"")</f>
        <v/>
      </c>
    </row>
    <row r="446">
      <c r="A446">
        <f>IF($K446="","",INDEX(Raw_data!$D$2:$D$636,MATCH($K446,Model!$R$2:$R$636,0)))</f>
        <v/>
      </c>
      <c r="B446" s="11">
        <f>IF($K446="","",INDEX(Raw_data!$F$2:$F$636,MATCH($K446,Model!$R$2:$R$636,0)))</f>
        <v/>
      </c>
      <c r="C446">
        <f>IF($K446="","",HYPERLINK(INDEX(Raw_data!$C$2:$C$636,MATCH($K446,Model!$R$2:$R$636,0)),INDEX(Raw_data!$C$2:$C$636,MATCH($K446,Model!$R$2:$R$636,0))))</f>
        <v/>
      </c>
      <c r="D446">
        <f>IF($K446="","",INDEX(Raw_data!$AL$2:$AL$636,MATCH($K446,Model!$R$2:$R$636,0)))</f>
        <v/>
      </c>
      <c r="E446">
        <f>IF($K446="","",INDEX(Raw_data!$AM$2:$AM$636,MATCH($K446,Model!$R$2:$R$636,0)))</f>
        <v/>
      </c>
      <c r="F446">
        <f>IF($K446="","",INDEX(Raw_data!$AQ$2:$AQ$636,MATCH($K446,Model!$R$2:$R$636,0)))</f>
        <v/>
      </c>
      <c r="G446">
        <f>IF($K446="","",INDEX(Raw_data!$H$2:$H$636,MATCH($K446,Model!$R$2:$R$636,0)))</f>
        <v/>
      </c>
      <c r="H446" s="8">
        <f>IF($K446="","",INDEX(Model!$B$2:$B$636,MATCH($K446,Model!$R$2:$R$636,0)))</f>
        <v/>
      </c>
      <c r="I446" s="8">
        <f>IF($K446="","",INDEX(Model!$C$2:$C$636,MATCH($K446,Model!$R$2:$R$636,0)))</f>
        <v/>
      </c>
      <c r="J446">
        <f>IF($K446="","",INDEX(Model!$D$2:$D$636,MATCH($K446,Model!$R$2:$R$636,0)))</f>
        <v/>
      </c>
      <c r="K446">
        <f>IF(410&lt;=$E$5,LARGE(Model!$R$2:$R$636,410),"")</f>
        <v/>
      </c>
    </row>
    <row r="447">
      <c r="A447">
        <f>IF($K447="","",INDEX(Raw_data!$D$2:$D$636,MATCH($K447,Model!$R$2:$R$636,0)))</f>
        <v/>
      </c>
      <c r="B447" s="11">
        <f>IF($K447="","",INDEX(Raw_data!$F$2:$F$636,MATCH($K447,Model!$R$2:$R$636,0)))</f>
        <v/>
      </c>
      <c r="C447">
        <f>IF($K447="","",HYPERLINK(INDEX(Raw_data!$C$2:$C$636,MATCH($K447,Model!$R$2:$R$636,0)),INDEX(Raw_data!$C$2:$C$636,MATCH($K447,Model!$R$2:$R$636,0))))</f>
        <v/>
      </c>
      <c r="D447">
        <f>IF($K447="","",INDEX(Raw_data!$AL$2:$AL$636,MATCH($K447,Model!$R$2:$R$636,0)))</f>
        <v/>
      </c>
      <c r="E447">
        <f>IF($K447="","",INDEX(Raw_data!$AM$2:$AM$636,MATCH($K447,Model!$R$2:$R$636,0)))</f>
        <v/>
      </c>
      <c r="F447">
        <f>IF($K447="","",INDEX(Raw_data!$AQ$2:$AQ$636,MATCH($K447,Model!$R$2:$R$636,0)))</f>
        <v/>
      </c>
      <c r="G447">
        <f>IF($K447="","",INDEX(Raw_data!$H$2:$H$636,MATCH($K447,Model!$R$2:$R$636,0)))</f>
        <v/>
      </c>
      <c r="H447" s="8">
        <f>IF($K447="","",INDEX(Model!$B$2:$B$636,MATCH($K447,Model!$R$2:$R$636,0)))</f>
        <v/>
      </c>
      <c r="I447" s="8">
        <f>IF($K447="","",INDEX(Model!$C$2:$C$636,MATCH($K447,Model!$R$2:$R$636,0)))</f>
        <v/>
      </c>
      <c r="J447">
        <f>IF($K447="","",INDEX(Model!$D$2:$D$636,MATCH($K447,Model!$R$2:$R$636,0)))</f>
        <v/>
      </c>
      <c r="K447">
        <f>IF(411&lt;=$E$5,LARGE(Model!$R$2:$R$636,411),"")</f>
        <v/>
      </c>
    </row>
    <row r="448">
      <c r="A448">
        <f>IF($K448="","",INDEX(Raw_data!$D$2:$D$636,MATCH($K448,Model!$R$2:$R$636,0)))</f>
        <v/>
      </c>
      <c r="B448" s="11">
        <f>IF($K448="","",INDEX(Raw_data!$F$2:$F$636,MATCH($K448,Model!$R$2:$R$636,0)))</f>
        <v/>
      </c>
      <c r="C448">
        <f>IF($K448="","",HYPERLINK(INDEX(Raw_data!$C$2:$C$636,MATCH($K448,Model!$R$2:$R$636,0)),INDEX(Raw_data!$C$2:$C$636,MATCH($K448,Model!$R$2:$R$636,0))))</f>
        <v/>
      </c>
      <c r="D448">
        <f>IF($K448="","",INDEX(Raw_data!$AL$2:$AL$636,MATCH($K448,Model!$R$2:$R$636,0)))</f>
        <v/>
      </c>
      <c r="E448">
        <f>IF($K448="","",INDEX(Raw_data!$AM$2:$AM$636,MATCH($K448,Model!$R$2:$R$636,0)))</f>
        <v/>
      </c>
      <c r="F448">
        <f>IF($K448="","",INDEX(Raw_data!$AQ$2:$AQ$636,MATCH($K448,Model!$R$2:$R$636,0)))</f>
        <v/>
      </c>
      <c r="G448">
        <f>IF($K448="","",INDEX(Raw_data!$H$2:$H$636,MATCH($K448,Model!$R$2:$R$636,0)))</f>
        <v/>
      </c>
      <c r="H448" s="8">
        <f>IF($K448="","",INDEX(Model!$B$2:$B$636,MATCH($K448,Model!$R$2:$R$636,0)))</f>
        <v/>
      </c>
      <c r="I448" s="8">
        <f>IF($K448="","",INDEX(Model!$C$2:$C$636,MATCH($K448,Model!$R$2:$R$636,0)))</f>
        <v/>
      </c>
      <c r="J448">
        <f>IF($K448="","",INDEX(Model!$D$2:$D$636,MATCH($K448,Model!$R$2:$R$636,0)))</f>
        <v/>
      </c>
      <c r="K448">
        <f>IF(412&lt;=$E$5,LARGE(Model!$R$2:$R$636,412),"")</f>
        <v/>
      </c>
    </row>
    <row r="449">
      <c r="A449">
        <f>IF($K449="","",INDEX(Raw_data!$D$2:$D$636,MATCH($K449,Model!$R$2:$R$636,0)))</f>
        <v/>
      </c>
      <c r="B449" s="11">
        <f>IF($K449="","",INDEX(Raw_data!$F$2:$F$636,MATCH($K449,Model!$R$2:$R$636,0)))</f>
        <v/>
      </c>
      <c r="C449">
        <f>IF($K449="","",HYPERLINK(INDEX(Raw_data!$C$2:$C$636,MATCH($K449,Model!$R$2:$R$636,0)),INDEX(Raw_data!$C$2:$C$636,MATCH($K449,Model!$R$2:$R$636,0))))</f>
        <v/>
      </c>
      <c r="D449">
        <f>IF($K449="","",INDEX(Raw_data!$AL$2:$AL$636,MATCH($K449,Model!$R$2:$R$636,0)))</f>
        <v/>
      </c>
      <c r="E449">
        <f>IF($K449="","",INDEX(Raw_data!$AM$2:$AM$636,MATCH($K449,Model!$R$2:$R$636,0)))</f>
        <v/>
      </c>
      <c r="F449">
        <f>IF($K449="","",INDEX(Raw_data!$AQ$2:$AQ$636,MATCH($K449,Model!$R$2:$R$636,0)))</f>
        <v/>
      </c>
      <c r="G449">
        <f>IF($K449="","",INDEX(Raw_data!$H$2:$H$636,MATCH($K449,Model!$R$2:$R$636,0)))</f>
        <v/>
      </c>
      <c r="H449" s="8">
        <f>IF($K449="","",INDEX(Model!$B$2:$B$636,MATCH($K449,Model!$R$2:$R$636,0)))</f>
        <v/>
      </c>
      <c r="I449" s="8">
        <f>IF($K449="","",INDEX(Model!$C$2:$C$636,MATCH($K449,Model!$R$2:$R$636,0)))</f>
        <v/>
      </c>
      <c r="J449">
        <f>IF($K449="","",INDEX(Model!$D$2:$D$636,MATCH($K449,Model!$R$2:$R$636,0)))</f>
        <v/>
      </c>
      <c r="K449">
        <f>IF(413&lt;=$E$5,LARGE(Model!$R$2:$R$636,413),"")</f>
        <v/>
      </c>
    </row>
    <row r="450">
      <c r="A450">
        <f>IF($K450="","",INDEX(Raw_data!$D$2:$D$636,MATCH($K450,Model!$R$2:$R$636,0)))</f>
        <v/>
      </c>
      <c r="B450" s="11">
        <f>IF($K450="","",INDEX(Raw_data!$F$2:$F$636,MATCH($K450,Model!$R$2:$R$636,0)))</f>
        <v/>
      </c>
      <c r="C450">
        <f>IF($K450="","",HYPERLINK(INDEX(Raw_data!$C$2:$C$636,MATCH($K450,Model!$R$2:$R$636,0)),INDEX(Raw_data!$C$2:$C$636,MATCH($K450,Model!$R$2:$R$636,0))))</f>
        <v/>
      </c>
      <c r="D450">
        <f>IF($K450="","",INDEX(Raw_data!$AL$2:$AL$636,MATCH($K450,Model!$R$2:$R$636,0)))</f>
        <v/>
      </c>
      <c r="E450">
        <f>IF($K450="","",INDEX(Raw_data!$AM$2:$AM$636,MATCH($K450,Model!$R$2:$R$636,0)))</f>
        <v/>
      </c>
      <c r="F450">
        <f>IF($K450="","",INDEX(Raw_data!$AQ$2:$AQ$636,MATCH($K450,Model!$R$2:$R$636,0)))</f>
        <v/>
      </c>
      <c r="G450">
        <f>IF($K450="","",INDEX(Raw_data!$H$2:$H$636,MATCH($K450,Model!$R$2:$R$636,0)))</f>
        <v/>
      </c>
      <c r="H450" s="8">
        <f>IF($K450="","",INDEX(Model!$B$2:$B$636,MATCH($K450,Model!$R$2:$R$636,0)))</f>
        <v/>
      </c>
      <c r="I450" s="8">
        <f>IF($K450="","",INDEX(Model!$C$2:$C$636,MATCH($K450,Model!$R$2:$R$636,0)))</f>
        <v/>
      </c>
      <c r="J450">
        <f>IF($K450="","",INDEX(Model!$D$2:$D$636,MATCH($K450,Model!$R$2:$R$636,0)))</f>
        <v/>
      </c>
      <c r="K450">
        <f>IF(414&lt;=$E$5,LARGE(Model!$R$2:$R$636,414),"")</f>
        <v/>
      </c>
    </row>
    <row r="451">
      <c r="A451">
        <f>IF($K451="","",INDEX(Raw_data!$D$2:$D$636,MATCH($K451,Model!$R$2:$R$636,0)))</f>
        <v/>
      </c>
      <c r="B451" s="11">
        <f>IF($K451="","",INDEX(Raw_data!$F$2:$F$636,MATCH($K451,Model!$R$2:$R$636,0)))</f>
        <v/>
      </c>
      <c r="C451">
        <f>IF($K451="","",HYPERLINK(INDEX(Raw_data!$C$2:$C$636,MATCH($K451,Model!$R$2:$R$636,0)),INDEX(Raw_data!$C$2:$C$636,MATCH($K451,Model!$R$2:$R$636,0))))</f>
        <v/>
      </c>
      <c r="D451">
        <f>IF($K451="","",INDEX(Raw_data!$AL$2:$AL$636,MATCH($K451,Model!$R$2:$R$636,0)))</f>
        <v/>
      </c>
      <c r="E451">
        <f>IF($K451="","",INDEX(Raw_data!$AM$2:$AM$636,MATCH($K451,Model!$R$2:$R$636,0)))</f>
        <v/>
      </c>
      <c r="F451">
        <f>IF($K451="","",INDEX(Raw_data!$AQ$2:$AQ$636,MATCH($K451,Model!$R$2:$R$636,0)))</f>
        <v/>
      </c>
      <c r="G451">
        <f>IF($K451="","",INDEX(Raw_data!$H$2:$H$636,MATCH($K451,Model!$R$2:$R$636,0)))</f>
        <v/>
      </c>
      <c r="H451" s="8">
        <f>IF($K451="","",INDEX(Model!$B$2:$B$636,MATCH($K451,Model!$R$2:$R$636,0)))</f>
        <v/>
      </c>
      <c r="I451" s="8">
        <f>IF($K451="","",INDEX(Model!$C$2:$C$636,MATCH($K451,Model!$R$2:$R$636,0)))</f>
        <v/>
      </c>
      <c r="J451">
        <f>IF($K451="","",INDEX(Model!$D$2:$D$636,MATCH($K451,Model!$R$2:$R$636,0)))</f>
        <v/>
      </c>
      <c r="K451">
        <f>IF(415&lt;=$E$5,LARGE(Model!$R$2:$R$636,415),"")</f>
        <v/>
      </c>
    </row>
    <row r="452">
      <c r="A452">
        <f>IF($K452="","",INDEX(Raw_data!$D$2:$D$636,MATCH($K452,Model!$R$2:$R$636,0)))</f>
        <v/>
      </c>
      <c r="B452" s="11">
        <f>IF($K452="","",INDEX(Raw_data!$F$2:$F$636,MATCH($K452,Model!$R$2:$R$636,0)))</f>
        <v/>
      </c>
      <c r="C452">
        <f>IF($K452="","",HYPERLINK(INDEX(Raw_data!$C$2:$C$636,MATCH($K452,Model!$R$2:$R$636,0)),INDEX(Raw_data!$C$2:$C$636,MATCH($K452,Model!$R$2:$R$636,0))))</f>
        <v/>
      </c>
      <c r="D452">
        <f>IF($K452="","",INDEX(Raw_data!$AL$2:$AL$636,MATCH($K452,Model!$R$2:$R$636,0)))</f>
        <v/>
      </c>
      <c r="E452">
        <f>IF($K452="","",INDEX(Raw_data!$AM$2:$AM$636,MATCH($K452,Model!$R$2:$R$636,0)))</f>
        <v/>
      </c>
      <c r="F452">
        <f>IF($K452="","",INDEX(Raw_data!$AQ$2:$AQ$636,MATCH($K452,Model!$R$2:$R$636,0)))</f>
        <v/>
      </c>
      <c r="G452">
        <f>IF($K452="","",INDEX(Raw_data!$H$2:$H$636,MATCH($K452,Model!$R$2:$R$636,0)))</f>
        <v/>
      </c>
      <c r="H452" s="8">
        <f>IF($K452="","",INDEX(Model!$B$2:$B$636,MATCH($K452,Model!$R$2:$R$636,0)))</f>
        <v/>
      </c>
      <c r="I452" s="8">
        <f>IF($K452="","",INDEX(Model!$C$2:$C$636,MATCH($K452,Model!$R$2:$R$636,0)))</f>
        <v/>
      </c>
      <c r="J452">
        <f>IF($K452="","",INDEX(Model!$D$2:$D$636,MATCH($K452,Model!$R$2:$R$636,0)))</f>
        <v/>
      </c>
      <c r="K452">
        <f>IF(416&lt;=$E$5,LARGE(Model!$R$2:$R$636,416),"")</f>
        <v/>
      </c>
    </row>
    <row r="453">
      <c r="A453">
        <f>IF($K453="","",INDEX(Raw_data!$D$2:$D$636,MATCH($K453,Model!$R$2:$R$636,0)))</f>
        <v/>
      </c>
      <c r="B453" s="11">
        <f>IF($K453="","",INDEX(Raw_data!$F$2:$F$636,MATCH($K453,Model!$R$2:$R$636,0)))</f>
        <v/>
      </c>
      <c r="C453">
        <f>IF($K453="","",HYPERLINK(INDEX(Raw_data!$C$2:$C$636,MATCH($K453,Model!$R$2:$R$636,0)),INDEX(Raw_data!$C$2:$C$636,MATCH($K453,Model!$R$2:$R$636,0))))</f>
        <v/>
      </c>
      <c r="D453">
        <f>IF($K453="","",INDEX(Raw_data!$AL$2:$AL$636,MATCH($K453,Model!$R$2:$R$636,0)))</f>
        <v/>
      </c>
      <c r="E453">
        <f>IF($K453="","",INDEX(Raw_data!$AM$2:$AM$636,MATCH($K453,Model!$R$2:$R$636,0)))</f>
        <v/>
      </c>
      <c r="F453">
        <f>IF($K453="","",INDEX(Raw_data!$AQ$2:$AQ$636,MATCH($K453,Model!$R$2:$R$636,0)))</f>
        <v/>
      </c>
      <c r="G453">
        <f>IF($K453="","",INDEX(Raw_data!$H$2:$H$636,MATCH($K453,Model!$R$2:$R$636,0)))</f>
        <v/>
      </c>
      <c r="H453" s="8">
        <f>IF($K453="","",INDEX(Model!$B$2:$B$636,MATCH($K453,Model!$R$2:$R$636,0)))</f>
        <v/>
      </c>
      <c r="I453" s="8">
        <f>IF($K453="","",INDEX(Model!$C$2:$C$636,MATCH($K453,Model!$R$2:$R$636,0)))</f>
        <v/>
      </c>
      <c r="J453">
        <f>IF($K453="","",INDEX(Model!$D$2:$D$636,MATCH($K453,Model!$R$2:$R$636,0)))</f>
        <v/>
      </c>
      <c r="K453">
        <f>IF(417&lt;=$E$5,LARGE(Model!$R$2:$R$636,417),"")</f>
        <v/>
      </c>
    </row>
    <row r="454">
      <c r="A454">
        <f>IF($K454="","",INDEX(Raw_data!$D$2:$D$636,MATCH($K454,Model!$R$2:$R$636,0)))</f>
        <v/>
      </c>
      <c r="B454" s="11">
        <f>IF($K454="","",INDEX(Raw_data!$F$2:$F$636,MATCH($K454,Model!$R$2:$R$636,0)))</f>
        <v/>
      </c>
      <c r="C454">
        <f>IF($K454="","",HYPERLINK(INDEX(Raw_data!$C$2:$C$636,MATCH($K454,Model!$R$2:$R$636,0)),INDEX(Raw_data!$C$2:$C$636,MATCH($K454,Model!$R$2:$R$636,0))))</f>
        <v/>
      </c>
      <c r="D454">
        <f>IF($K454="","",INDEX(Raw_data!$AL$2:$AL$636,MATCH($K454,Model!$R$2:$R$636,0)))</f>
        <v/>
      </c>
      <c r="E454">
        <f>IF($K454="","",INDEX(Raw_data!$AM$2:$AM$636,MATCH($K454,Model!$R$2:$R$636,0)))</f>
        <v/>
      </c>
      <c r="F454">
        <f>IF($K454="","",INDEX(Raw_data!$AQ$2:$AQ$636,MATCH($K454,Model!$R$2:$R$636,0)))</f>
        <v/>
      </c>
      <c r="G454">
        <f>IF($K454="","",INDEX(Raw_data!$H$2:$H$636,MATCH($K454,Model!$R$2:$R$636,0)))</f>
        <v/>
      </c>
      <c r="H454" s="8">
        <f>IF($K454="","",INDEX(Model!$B$2:$B$636,MATCH($K454,Model!$R$2:$R$636,0)))</f>
        <v/>
      </c>
      <c r="I454" s="8">
        <f>IF($K454="","",INDEX(Model!$C$2:$C$636,MATCH($K454,Model!$R$2:$R$636,0)))</f>
        <v/>
      </c>
      <c r="J454">
        <f>IF($K454="","",INDEX(Model!$D$2:$D$636,MATCH($K454,Model!$R$2:$R$636,0)))</f>
        <v/>
      </c>
      <c r="K454">
        <f>IF(418&lt;=$E$5,LARGE(Model!$R$2:$R$636,418),"")</f>
        <v/>
      </c>
    </row>
    <row r="455">
      <c r="A455">
        <f>IF($K455="","",INDEX(Raw_data!$D$2:$D$636,MATCH($K455,Model!$R$2:$R$636,0)))</f>
        <v/>
      </c>
      <c r="B455" s="11">
        <f>IF($K455="","",INDEX(Raw_data!$F$2:$F$636,MATCH($K455,Model!$R$2:$R$636,0)))</f>
        <v/>
      </c>
      <c r="C455">
        <f>IF($K455="","",HYPERLINK(INDEX(Raw_data!$C$2:$C$636,MATCH($K455,Model!$R$2:$R$636,0)),INDEX(Raw_data!$C$2:$C$636,MATCH($K455,Model!$R$2:$R$636,0))))</f>
        <v/>
      </c>
      <c r="D455">
        <f>IF($K455="","",INDEX(Raw_data!$AL$2:$AL$636,MATCH($K455,Model!$R$2:$R$636,0)))</f>
        <v/>
      </c>
      <c r="E455">
        <f>IF($K455="","",INDEX(Raw_data!$AM$2:$AM$636,MATCH($K455,Model!$R$2:$R$636,0)))</f>
        <v/>
      </c>
      <c r="F455">
        <f>IF($K455="","",INDEX(Raw_data!$AQ$2:$AQ$636,MATCH($K455,Model!$R$2:$R$636,0)))</f>
        <v/>
      </c>
      <c r="G455">
        <f>IF($K455="","",INDEX(Raw_data!$H$2:$H$636,MATCH($K455,Model!$R$2:$R$636,0)))</f>
        <v/>
      </c>
      <c r="H455" s="8">
        <f>IF($K455="","",INDEX(Model!$B$2:$B$636,MATCH($K455,Model!$R$2:$R$636,0)))</f>
        <v/>
      </c>
      <c r="I455" s="8">
        <f>IF($K455="","",INDEX(Model!$C$2:$C$636,MATCH($K455,Model!$R$2:$R$636,0)))</f>
        <v/>
      </c>
      <c r="J455">
        <f>IF($K455="","",INDEX(Model!$D$2:$D$636,MATCH($K455,Model!$R$2:$R$636,0)))</f>
        <v/>
      </c>
      <c r="K455">
        <f>IF(419&lt;=$E$5,LARGE(Model!$R$2:$R$636,419),"")</f>
        <v/>
      </c>
    </row>
    <row r="456">
      <c r="A456">
        <f>IF($K456="","",INDEX(Raw_data!$D$2:$D$636,MATCH($K456,Model!$R$2:$R$636,0)))</f>
        <v/>
      </c>
      <c r="B456" s="11">
        <f>IF($K456="","",INDEX(Raw_data!$F$2:$F$636,MATCH($K456,Model!$R$2:$R$636,0)))</f>
        <v/>
      </c>
      <c r="C456">
        <f>IF($K456="","",HYPERLINK(INDEX(Raw_data!$C$2:$C$636,MATCH($K456,Model!$R$2:$R$636,0)),INDEX(Raw_data!$C$2:$C$636,MATCH($K456,Model!$R$2:$R$636,0))))</f>
        <v/>
      </c>
      <c r="D456">
        <f>IF($K456="","",INDEX(Raw_data!$AL$2:$AL$636,MATCH($K456,Model!$R$2:$R$636,0)))</f>
        <v/>
      </c>
      <c r="E456">
        <f>IF($K456="","",INDEX(Raw_data!$AM$2:$AM$636,MATCH($K456,Model!$R$2:$R$636,0)))</f>
        <v/>
      </c>
      <c r="F456">
        <f>IF($K456="","",INDEX(Raw_data!$AQ$2:$AQ$636,MATCH($K456,Model!$R$2:$R$636,0)))</f>
        <v/>
      </c>
      <c r="G456">
        <f>IF($K456="","",INDEX(Raw_data!$H$2:$H$636,MATCH($K456,Model!$R$2:$R$636,0)))</f>
        <v/>
      </c>
      <c r="H456" s="8">
        <f>IF($K456="","",INDEX(Model!$B$2:$B$636,MATCH($K456,Model!$R$2:$R$636,0)))</f>
        <v/>
      </c>
      <c r="I456" s="8">
        <f>IF($K456="","",INDEX(Model!$C$2:$C$636,MATCH($K456,Model!$R$2:$R$636,0)))</f>
        <v/>
      </c>
      <c r="J456">
        <f>IF($K456="","",INDEX(Model!$D$2:$D$636,MATCH($K456,Model!$R$2:$R$636,0)))</f>
        <v/>
      </c>
      <c r="K456">
        <f>IF(420&lt;=$E$5,LARGE(Model!$R$2:$R$636,420),"")</f>
        <v/>
      </c>
    </row>
    <row r="457">
      <c r="A457">
        <f>IF($K457="","",INDEX(Raw_data!$D$2:$D$636,MATCH($K457,Model!$R$2:$R$636,0)))</f>
        <v/>
      </c>
      <c r="B457" s="11">
        <f>IF($K457="","",INDEX(Raw_data!$F$2:$F$636,MATCH($K457,Model!$R$2:$R$636,0)))</f>
        <v/>
      </c>
      <c r="C457">
        <f>IF($K457="","",HYPERLINK(INDEX(Raw_data!$C$2:$C$636,MATCH($K457,Model!$R$2:$R$636,0)),INDEX(Raw_data!$C$2:$C$636,MATCH($K457,Model!$R$2:$R$636,0))))</f>
        <v/>
      </c>
      <c r="D457">
        <f>IF($K457="","",INDEX(Raw_data!$AL$2:$AL$636,MATCH($K457,Model!$R$2:$R$636,0)))</f>
        <v/>
      </c>
      <c r="E457">
        <f>IF($K457="","",INDEX(Raw_data!$AM$2:$AM$636,MATCH($K457,Model!$R$2:$R$636,0)))</f>
        <v/>
      </c>
      <c r="F457">
        <f>IF($K457="","",INDEX(Raw_data!$AQ$2:$AQ$636,MATCH($K457,Model!$R$2:$R$636,0)))</f>
        <v/>
      </c>
      <c r="G457">
        <f>IF($K457="","",INDEX(Raw_data!$H$2:$H$636,MATCH($K457,Model!$R$2:$R$636,0)))</f>
        <v/>
      </c>
      <c r="H457" s="8">
        <f>IF($K457="","",INDEX(Model!$B$2:$B$636,MATCH($K457,Model!$R$2:$R$636,0)))</f>
        <v/>
      </c>
      <c r="I457" s="8">
        <f>IF($K457="","",INDEX(Model!$C$2:$C$636,MATCH($K457,Model!$R$2:$R$636,0)))</f>
        <v/>
      </c>
      <c r="J457">
        <f>IF($K457="","",INDEX(Model!$D$2:$D$636,MATCH($K457,Model!$R$2:$R$636,0)))</f>
        <v/>
      </c>
      <c r="K457">
        <f>IF(421&lt;=$E$5,LARGE(Model!$R$2:$R$636,421),"")</f>
        <v/>
      </c>
    </row>
    <row r="458">
      <c r="A458">
        <f>IF($K458="","",INDEX(Raw_data!$D$2:$D$636,MATCH($K458,Model!$R$2:$R$636,0)))</f>
        <v/>
      </c>
      <c r="B458" s="11">
        <f>IF($K458="","",INDEX(Raw_data!$F$2:$F$636,MATCH($K458,Model!$R$2:$R$636,0)))</f>
        <v/>
      </c>
      <c r="C458">
        <f>IF($K458="","",HYPERLINK(INDEX(Raw_data!$C$2:$C$636,MATCH($K458,Model!$R$2:$R$636,0)),INDEX(Raw_data!$C$2:$C$636,MATCH($K458,Model!$R$2:$R$636,0))))</f>
        <v/>
      </c>
      <c r="D458">
        <f>IF($K458="","",INDEX(Raw_data!$AL$2:$AL$636,MATCH($K458,Model!$R$2:$R$636,0)))</f>
        <v/>
      </c>
      <c r="E458">
        <f>IF($K458="","",INDEX(Raw_data!$AM$2:$AM$636,MATCH($K458,Model!$R$2:$R$636,0)))</f>
        <v/>
      </c>
      <c r="F458">
        <f>IF($K458="","",INDEX(Raw_data!$AQ$2:$AQ$636,MATCH($K458,Model!$R$2:$R$636,0)))</f>
        <v/>
      </c>
      <c r="G458">
        <f>IF($K458="","",INDEX(Raw_data!$H$2:$H$636,MATCH($K458,Model!$R$2:$R$636,0)))</f>
        <v/>
      </c>
      <c r="H458" s="8">
        <f>IF($K458="","",INDEX(Model!$B$2:$B$636,MATCH($K458,Model!$R$2:$R$636,0)))</f>
        <v/>
      </c>
      <c r="I458" s="8">
        <f>IF($K458="","",INDEX(Model!$C$2:$C$636,MATCH($K458,Model!$R$2:$R$636,0)))</f>
        <v/>
      </c>
      <c r="J458">
        <f>IF($K458="","",INDEX(Model!$D$2:$D$636,MATCH($K458,Model!$R$2:$R$636,0)))</f>
        <v/>
      </c>
      <c r="K458">
        <f>IF(422&lt;=$E$5,LARGE(Model!$R$2:$R$636,422),"")</f>
        <v/>
      </c>
    </row>
    <row r="459">
      <c r="A459">
        <f>IF($K459="","",INDEX(Raw_data!$D$2:$D$636,MATCH($K459,Model!$R$2:$R$636,0)))</f>
        <v/>
      </c>
      <c r="B459" s="11">
        <f>IF($K459="","",INDEX(Raw_data!$F$2:$F$636,MATCH($K459,Model!$R$2:$R$636,0)))</f>
        <v/>
      </c>
      <c r="C459">
        <f>IF($K459="","",HYPERLINK(INDEX(Raw_data!$C$2:$C$636,MATCH($K459,Model!$R$2:$R$636,0)),INDEX(Raw_data!$C$2:$C$636,MATCH($K459,Model!$R$2:$R$636,0))))</f>
        <v/>
      </c>
      <c r="D459">
        <f>IF($K459="","",INDEX(Raw_data!$AL$2:$AL$636,MATCH($K459,Model!$R$2:$R$636,0)))</f>
        <v/>
      </c>
      <c r="E459">
        <f>IF($K459="","",INDEX(Raw_data!$AM$2:$AM$636,MATCH($K459,Model!$R$2:$R$636,0)))</f>
        <v/>
      </c>
      <c r="F459">
        <f>IF($K459="","",INDEX(Raw_data!$AQ$2:$AQ$636,MATCH($K459,Model!$R$2:$R$636,0)))</f>
        <v/>
      </c>
      <c r="G459">
        <f>IF($K459="","",INDEX(Raw_data!$H$2:$H$636,MATCH($K459,Model!$R$2:$R$636,0)))</f>
        <v/>
      </c>
      <c r="H459" s="8">
        <f>IF($K459="","",INDEX(Model!$B$2:$B$636,MATCH($K459,Model!$R$2:$R$636,0)))</f>
        <v/>
      </c>
      <c r="I459" s="8">
        <f>IF($K459="","",INDEX(Model!$C$2:$C$636,MATCH($K459,Model!$R$2:$R$636,0)))</f>
        <v/>
      </c>
      <c r="J459">
        <f>IF($K459="","",INDEX(Model!$D$2:$D$636,MATCH($K459,Model!$R$2:$R$636,0)))</f>
        <v/>
      </c>
      <c r="K459">
        <f>IF(423&lt;=$E$5,LARGE(Model!$R$2:$R$636,423),"")</f>
        <v/>
      </c>
    </row>
    <row r="460">
      <c r="A460">
        <f>IF($K460="","",INDEX(Raw_data!$D$2:$D$636,MATCH($K460,Model!$R$2:$R$636,0)))</f>
        <v/>
      </c>
      <c r="B460" s="11">
        <f>IF($K460="","",INDEX(Raw_data!$F$2:$F$636,MATCH($K460,Model!$R$2:$R$636,0)))</f>
        <v/>
      </c>
      <c r="C460">
        <f>IF($K460="","",HYPERLINK(INDEX(Raw_data!$C$2:$C$636,MATCH($K460,Model!$R$2:$R$636,0)),INDEX(Raw_data!$C$2:$C$636,MATCH($K460,Model!$R$2:$R$636,0))))</f>
        <v/>
      </c>
      <c r="D460">
        <f>IF($K460="","",INDEX(Raw_data!$AL$2:$AL$636,MATCH($K460,Model!$R$2:$R$636,0)))</f>
        <v/>
      </c>
      <c r="E460">
        <f>IF($K460="","",INDEX(Raw_data!$AM$2:$AM$636,MATCH($K460,Model!$R$2:$R$636,0)))</f>
        <v/>
      </c>
      <c r="F460">
        <f>IF($K460="","",INDEX(Raw_data!$AQ$2:$AQ$636,MATCH($K460,Model!$R$2:$R$636,0)))</f>
        <v/>
      </c>
      <c r="G460">
        <f>IF($K460="","",INDEX(Raw_data!$H$2:$H$636,MATCH($K460,Model!$R$2:$R$636,0)))</f>
        <v/>
      </c>
      <c r="H460" s="8">
        <f>IF($K460="","",INDEX(Model!$B$2:$B$636,MATCH($K460,Model!$R$2:$R$636,0)))</f>
        <v/>
      </c>
      <c r="I460" s="8">
        <f>IF($K460="","",INDEX(Model!$C$2:$C$636,MATCH($K460,Model!$R$2:$R$636,0)))</f>
        <v/>
      </c>
      <c r="J460">
        <f>IF($K460="","",INDEX(Model!$D$2:$D$636,MATCH($K460,Model!$R$2:$R$636,0)))</f>
        <v/>
      </c>
      <c r="K460">
        <f>IF(424&lt;=$E$5,LARGE(Model!$R$2:$R$636,424),"")</f>
        <v/>
      </c>
    </row>
    <row r="461">
      <c r="A461">
        <f>IF($K461="","",INDEX(Raw_data!$D$2:$D$636,MATCH($K461,Model!$R$2:$R$636,0)))</f>
        <v/>
      </c>
      <c r="B461" s="11">
        <f>IF($K461="","",INDEX(Raw_data!$F$2:$F$636,MATCH($K461,Model!$R$2:$R$636,0)))</f>
        <v/>
      </c>
      <c r="C461">
        <f>IF($K461="","",HYPERLINK(INDEX(Raw_data!$C$2:$C$636,MATCH($K461,Model!$R$2:$R$636,0)),INDEX(Raw_data!$C$2:$C$636,MATCH($K461,Model!$R$2:$R$636,0))))</f>
        <v/>
      </c>
      <c r="D461">
        <f>IF($K461="","",INDEX(Raw_data!$AL$2:$AL$636,MATCH($K461,Model!$R$2:$R$636,0)))</f>
        <v/>
      </c>
      <c r="E461">
        <f>IF($K461="","",INDEX(Raw_data!$AM$2:$AM$636,MATCH($K461,Model!$R$2:$R$636,0)))</f>
        <v/>
      </c>
      <c r="F461">
        <f>IF($K461="","",INDEX(Raw_data!$AQ$2:$AQ$636,MATCH($K461,Model!$R$2:$R$636,0)))</f>
        <v/>
      </c>
      <c r="G461">
        <f>IF($K461="","",INDEX(Raw_data!$H$2:$H$636,MATCH($K461,Model!$R$2:$R$636,0)))</f>
        <v/>
      </c>
      <c r="H461" s="8">
        <f>IF($K461="","",INDEX(Model!$B$2:$B$636,MATCH($K461,Model!$R$2:$R$636,0)))</f>
        <v/>
      </c>
      <c r="I461" s="8">
        <f>IF($K461="","",INDEX(Model!$C$2:$C$636,MATCH($K461,Model!$R$2:$R$636,0)))</f>
        <v/>
      </c>
      <c r="J461">
        <f>IF($K461="","",INDEX(Model!$D$2:$D$636,MATCH($K461,Model!$R$2:$R$636,0)))</f>
        <v/>
      </c>
      <c r="K461">
        <f>IF(425&lt;=$E$5,LARGE(Model!$R$2:$R$636,425),"")</f>
        <v/>
      </c>
    </row>
    <row r="462">
      <c r="A462">
        <f>IF($K462="","",INDEX(Raw_data!$D$2:$D$636,MATCH($K462,Model!$R$2:$R$636,0)))</f>
        <v/>
      </c>
      <c r="B462" s="11">
        <f>IF($K462="","",INDEX(Raw_data!$F$2:$F$636,MATCH($K462,Model!$R$2:$R$636,0)))</f>
        <v/>
      </c>
      <c r="C462">
        <f>IF($K462="","",HYPERLINK(INDEX(Raw_data!$C$2:$C$636,MATCH($K462,Model!$R$2:$R$636,0)),INDEX(Raw_data!$C$2:$C$636,MATCH($K462,Model!$R$2:$R$636,0))))</f>
        <v/>
      </c>
      <c r="D462">
        <f>IF($K462="","",INDEX(Raw_data!$AL$2:$AL$636,MATCH($K462,Model!$R$2:$R$636,0)))</f>
        <v/>
      </c>
      <c r="E462">
        <f>IF($K462="","",INDEX(Raw_data!$AM$2:$AM$636,MATCH($K462,Model!$R$2:$R$636,0)))</f>
        <v/>
      </c>
      <c r="F462">
        <f>IF($K462="","",INDEX(Raw_data!$AQ$2:$AQ$636,MATCH($K462,Model!$R$2:$R$636,0)))</f>
        <v/>
      </c>
      <c r="G462">
        <f>IF($K462="","",INDEX(Raw_data!$H$2:$H$636,MATCH($K462,Model!$R$2:$R$636,0)))</f>
        <v/>
      </c>
      <c r="H462" s="8">
        <f>IF($K462="","",INDEX(Model!$B$2:$B$636,MATCH($K462,Model!$R$2:$R$636,0)))</f>
        <v/>
      </c>
      <c r="I462" s="8">
        <f>IF($K462="","",INDEX(Model!$C$2:$C$636,MATCH($K462,Model!$R$2:$R$636,0)))</f>
        <v/>
      </c>
      <c r="J462">
        <f>IF($K462="","",INDEX(Model!$D$2:$D$636,MATCH($K462,Model!$R$2:$R$636,0)))</f>
        <v/>
      </c>
      <c r="K462">
        <f>IF(426&lt;=$E$5,LARGE(Model!$R$2:$R$636,426),"")</f>
        <v/>
      </c>
    </row>
    <row r="463">
      <c r="A463">
        <f>IF($K463="","",INDEX(Raw_data!$D$2:$D$636,MATCH($K463,Model!$R$2:$R$636,0)))</f>
        <v/>
      </c>
      <c r="B463" s="11">
        <f>IF($K463="","",INDEX(Raw_data!$F$2:$F$636,MATCH($K463,Model!$R$2:$R$636,0)))</f>
        <v/>
      </c>
      <c r="C463">
        <f>IF($K463="","",HYPERLINK(INDEX(Raw_data!$C$2:$C$636,MATCH($K463,Model!$R$2:$R$636,0)),INDEX(Raw_data!$C$2:$C$636,MATCH($K463,Model!$R$2:$R$636,0))))</f>
        <v/>
      </c>
      <c r="D463">
        <f>IF($K463="","",INDEX(Raw_data!$AL$2:$AL$636,MATCH($K463,Model!$R$2:$R$636,0)))</f>
        <v/>
      </c>
      <c r="E463">
        <f>IF($K463="","",INDEX(Raw_data!$AM$2:$AM$636,MATCH($K463,Model!$R$2:$R$636,0)))</f>
        <v/>
      </c>
      <c r="F463">
        <f>IF($K463="","",INDEX(Raw_data!$AQ$2:$AQ$636,MATCH($K463,Model!$R$2:$R$636,0)))</f>
        <v/>
      </c>
      <c r="G463">
        <f>IF($K463="","",INDEX(Raw_data!$H$2:$H$636,MATCH($K463,Model!$R$2:$R$636,0)))</f>
        <v/>
      </c>
      <c r="H463" s="8">
        <f>IF($K463="","",INDEX(Model!$B$2:$B$636,MATCH($K463,Model!$R$2:$R$636,0)))</f>
        <v/>
      </c>
      <c r="I463" s="8">
        <f>IF($K463="","",INDEX(Model!$C$2:$C$636,MATCH($K463,Model!$R$2:$R$636,0)))</f>
        <v/>
      </c>
      <c r="J463">
        <f>IF($K463="","",INDEX(Model!$D$2:$D$636,MATCH($K463,Model!$R$2:$R$636,0)))</f>
        <v/>
      </c>
      <c r="K463">
        <f>IF(427&lt;=$E$5,LARGE(Model!$R$2:$R$636,427),"")</f>
        <v/>
      </c>
    </row>
    <row r="464">
      <c r="A464">
        <f>IF($K464="","",INDEX(Raw_data!$D$2:$D$636,MATCH($K464,Model!$R$2:$R$636,0)))</f>
        <v/>
      </c>
      <c r="B464" s="11">
        <f>IF($K464="","",INDEX(Raw_data!$F$2:$F$636,MATCH($K464,Model!$R$2:$R$636,0)))</f>
        <v/>
      </c>
      <c r="C464">
        <f>IF($K464="","",HYPERLINK(INDEX(Raw_data!$C$2:$C$636,MATCH($K464,Model!$R$2:$R$636,0)),INDEX(Raw_data!$C$2:$C$636,MATCH($K464,Model!$R$2:$R$636,0))))</f>
        <v/>
      </c>
      <c r="D464">
        <f>IF($K464="","",INDEX(Raw_data!$AL$2:$AL$636,MATCH($K464,Model!$R$2:$R$636,0)))</f>
        <v/>
      </c>
      <c r="E464">
        <f>IF($K464="","",INDEX(Raw_data!$AM$2:$AM$636,MATCH($K464,Model!$R$2:$R$636,0)))</f>
        <v/>
      </c>
      <c r="F464">
        <f>IF($K464="","",INDEX(Raw_data!$AQ$2:$AQ$636,MATCH($K464,Model!$R$2:$R$636,0)))</f>
        <v/>
      </c>
      <c r="G464">
        <f>IF($K464="","",INDEX(Raw_data!$H$2:$H$636,MATCH($K464,Model!$R$2:$R$636,0)))</f>
        <v/>
      </c>
      <c r="H464" s="8">
        <f>IF($K464="","",INDEX(Model!$B$2:$B$636,MATCH($K464,Model!$R$2:$R$636,0)))</f>
        <v/>
      </c>
      <c r="I464" s="8">
        <f>IF($K464="","",INDEX(Model!$C$2:$C$636,MATCH($K464,Model!$R$2:$R$636,0)))</f>
        <v/>
      </c>
      <c r="J464">
        <f>IF($K464="","",INDEX(Model!$D$2:$D$636,MATCH($K464,Model!$R$2:$R$636,0)))</f>
        <v/>
      </c>
      <c r="K464">
        <f>IF(428&lt;=$E$5,LARGE(Model!$R$2:$R$636,428),"")</f>
        <v/>
      </c>
    </row>
    <row r="465">
      <c r="A465">
        <f>IF($K465="","",INDEX(Raw_data!$D$2:$D$636,MATCH($K465,Model!$R$2:$R$636,0)))</f>
        <v/>
      </c>
      <c r="B465" s="11">
        <f>IF($K465="","",INDEX(Raw_data!$F$2:$F$636,MATCH($K465,Model!$R$2:$R$636,0)))</f>
        <v/>
      </c>
      <c r="C465">
        <f>IF($K465="","",HYPERLINK(INDEX(Raw_data!$C$2:$C$636,MATCH($K465,Model!$R$2:$R$636,0)),INDEX(Raw_data!$C$2:$C$636,MATCH($K465,Model!$R$2:$R$636,0))))</f>
        <v/>
      </c>
      <c r="D465">
        <f>IF($K465="","",INDEX(Raw_data!$AL$2:$AL$636,MATCH($K465,Model!$R$2:$R$636,0)))</f>
        <v/>
      </c>
      <c r="E465">
        <f>IF($K465="","",INDEX(Raw_data!$AM$2:$AM$636,MATCH($K465,Model!$R$2:$R$636,0)))</f>
        <v/>
      </c>
      <c r="F465">
        <f>IF($K465="","",INDEX(Raw_data!$AQ$2:$AQ$636,MATCH($K465,Model!$R$2:$R$636,0)))</f>
        <v/>
      </c>
      <c r="G465">
        <f>IF($K465="","",INDEX(Raw_data!$H$2:$H$636,MATCH($K465,Model!$R$2:$R$636,0)))</f>
        <v/>
      </c>
      <c r="H465" s="8">
        <f>IF($K465="","",INDEX(Model!$B$2:$B$636,MATCH($K465,Model!$R$2:$R$636,0)))</f>
        <v/>
      </c>
      <c r="I465" s="8">
        <f>IF($K465="","",INDEX(Model!$C$2:$C$636,MATCH($K465,Model!$R$2:$R$636,0)))</f>
        <v/>
      </c>
      <c r="J465">
        <f>IF($K465="","",INDEX(Model!$D$2:$D$636,MATCH($K465,Model!$R$2:$R$636,0)))</f>
        <v/>
      </c>
      <c r="K465">
        <f>IF(429&lt;=$E$5,LARGE(Model!$R$2:$R$636,429),"")</f>
        <v/>
      </c>
    </row>
    <row r="466">
      <c r="A466">
        <f>IF($K466="","",INDEX(Raw_data!$D$2:$D$636,MATCH($K466,Model!$R$2:$R$636,0)))</f>
        <v/>
      </c>
      <c r="B466" s="11">
        <f>IF($K466="","",INDEX(Raw_data!$F$2:$F$636,MATCH($K466,Model!$R$2:$R$636,0)))</f>
        <v/>
      </c>
      <c r="C466">
        <f>IF($K466="","",HYPERLINK(INDEX(Raw_data!$C$2:$C$636,MATCH($K466,Model!$R$2:$R$636,0)),INDEX(Raw_data!$C$2:$C$636,MATCH($K466,Model!$R$2:$R$636,0))))</f>
        <v/>
      </c>
      <c r="D466">
        <f>IF($K466="","",INDEX(Raw_data!$AL$2:$AL$636,MATCH($K466,Model!$R$2:$R$636,0)))</f>
        <v/>
      </c>
      <c r="E466">
        <f>IF($K466="","",INDEX(Raw_data!$AM$2:$AM$636,MATCH($K466,Model!$R$2:$R$636,0)))</f>
        <v/>
      </c>
      <c r="F466">
        <f>IF($K466="","",INDEX(Raw_data!$AQ$2:$AQ$636,MATCH($K466,Model!$R$2:$R$636,0)))</f>
        <v/>
      </c>
      <c r="G466">
        <f>IF($K466="","",INDEX(Raw_data!$H$2:$H$636,MATCH($K466,Model!$R$2:$R$636,0)))</f>
        <v/>
      </c>
      <c r="H466" s="8">
        <f>IF($K466="","",INDEX(Model!$B$2:$B$636,MATCH($K466,Model!$R$2:$R$636,0)))</f>
        <v/>
      </c>
      <c r="I466" s="8">
        <f>IF($K466="","",INDEX(Model!$C$2:$C$636,MATCH($K466,Model!$R$2:$R$636,0)))</f>
        <v/>
      </c>
      <c r="J466">
        <f>IF($K466="","",INDEX(Model!$D$2:$D$636,MATCH($K466,Model!$R$2:$R$636,0)))</f>
        <v/>
      </c>
      <c r="K466">
        <f>IF(430&lt;=$E$5,LARGE(Model!$R$2:$R$636,430),"")</f>
        <v/>
      </c>
    </row>
    <row r="467">
      <c r="A467">
        <f>IF($K467="","",INDEX(Raw_data!$D$2:$D$636,MATCH($K467,Model!$R$2:$R$636,0)))</f>
        <v/>
      </c>
      <c r="B467" s="11">
        <f>IF($K467="","",INDEX(Raw_data!$F$2:$F$636,MATCH($K467,Model!$R$2:$R$636,0)))</f>
        <v/>
      </c>
      <c r="C467">
        <f>IF($K467="","",HYPERLINK(INDEX(Raw_data!$C$2:$C$636,MATCH($K467,Model!$R$2:$R$636,0)),INDEX(Raw_data!$C$2:$C$636,MATCH($K467,Model!$R$2:$R$636,0))))</f>
        <v/>
      </c>
      <c r="D467">
        <f>IF($K467="","",INDEX(Raw_data!$AL$2:$AL$636,MATCH($K467,Model!$R$2:$R$636,0)))</f>
        <v/>
      </c>
      <c r="E467">
        <f>IF($K467="","",INDEX(Raw_data!$AM$2:$AM$636,MATCH($K467,Model!$R$2:$R$636,0)))</f>
        <v/>
      </c>
      <c r="F467">
        <f>IF($K467="","",INDEX(Raw_data!$AQ$2:$AQ$636,MATCH($K467,Model!$R$2:$R$636,0)))</f>
        <v/>
      </c>
      <c r="G467">
        <f>IF($K467="","",INDEX(Raw_data!$H$2:$H$636,MATCH($K467,Model!$R$2:$R$636,0)))</f>
        <v/>
      </c>
      <c r="H467" s="8">
        <f>IF($K467="","",INDEX(Model!$B$2:$B$636,MATCH($K467,Model!$R$2:$R$636,0)))</f>
        <v/>
      </c>
      <c r="I467" s="8">
        <f>IF($K467="","",INDEX(Model!$C$2:$C$636,MATCH($K467,Model!$R$2:$R$636,0)))</f>
        <v/>
      </c>
      <c r="J467">
        <f>IF($K467="","",INDEX(Model!$D$2:$D$636,MATCH($K467,Model!$R$2:$R$636,0)))</f>
        <v/>
      </c>
      <c r="K467">
        <f>IF(431&lt;=$E$5,LARGE(Model!$R$2:$R$636,431),"")</f>
        <v/>
      </c>
    </row>
    <row r="468">
      <c r="A468">
        <f>IF($K468="","",INDEX(Raw_data!$D$2:$D$636,MATCH($K468,Model!$R$2:$R$636,0)))</f>
        <v/>
      </c>
      <c r="B468" s="11">
        <f>IF($K468="","",INDEX(Raw_data!$F$2:$F$636,MATCH($K468,Model!$R$2:$R$636,0)))</f>
        <v/>
      </c>
      <c r="C468">
        <f>IF($K468="","",HYPERLINK(INDEX(Raw_data!$C$2:$C$636,MATCH($K468,Model!$R$2:$R$636,0)),INDEX(Raw_data!$C$2:$C$636,MATCH($K468,Model!$R$2:$R$636,0))))</f>
        <v/>
      </c>
      <c r="D468">
        <f>IF($K468="","",INDEX(Raw_data!$AL$2:$AL$636,MATCH($K468,Model!$R$2:$R$636,0)))</f>
        <v/>
      </c>
      <c r="E468">
        <f>IF($K468="","",INDEX(Raw_data!$AM$2:$AM$636,MATCH($K468,Model!$R$2:$R$636,0)))</f>
        <v/>
      </c>
      <c r="F468">
        <f>IF($K468="","",INDEX(Raw_data!$AQ$2:$AQ$636,MATCH($K468,Model!$R$2:$R$636,0)))</f>
        <v/>
      </c>
      <c r="G468">
        <f>IF($K468="","",INDEX(Raw_data!$H$2:$H$636,MATCH($K468,Model!$R$2:$R$636,0)))</f>
        <v/>
      </c>
      <c r="H468" s="8">
        <f>IF($K468="","",INDEX(Model!$B$2:$B$636,MATCH($K468,Model!$R$2:$R$636,0)))</f>
        <v/>
      </c>
      <c r="I468" s="8">
        <f>IF($K468="","",INDEX(Model!$C$2:$C$636,MATCH($K468,Model!$R$2:$R$636,0)))</f>
        <v/>
      </c>
      <c r="J468">
        <f>IF($K468="","",INDEX(Model!$D$2:$D$636,MATCH($K468,Model!$R$2:$R$636,0)))</f>
        <v/>
      </c>
      <c r="K468">
        <f>IF(432&lt;=$E$5,LARGE(Model!$R$2:$R$636,432),"")</f>
        <v/>
      </c>
    </row>
    <row r="469">
      <c r="A469">
        <f>IF($K469="","",INDEX(Raw_data!$D$2:$D$636,MATCH($K469,Model!$R$2:$R$636,0)))</f>
        <v/>
      </c>
      <c r="B469" s="11">
        <f>IF($K469="","",INDEX(Raw_data!$F$2:$F$636,MATCH($K469,Model!$R$2:$R$636,0)))</f>
        <v/>
      </c>
      <c r="C469">
        <f>IF($K469="","",HYPERLINK(INDEX(Raw_data!$C$2:$C$636,MATCH($K469,Model!$R$2:$R$636,0)),INDEX(Raw_data!$C$2:$C$636,MATCH($K469,Model!$R$2:$R$636,0))))</f>
        <v/>
      </c>
      <c r="D469">
        <f>IF($K469="","",INDEX(Raw_data!$AL$2:$AL$636,MATCH($K469,Model!$R$2:$R$636,0)))</f>
        <v/>
      </c>
      <c r="E469">
        <f>IF($K469="","",INDEX(Raw_data!$AM$2:$AM$636,MATCH($K469,Model!$R$2:$R$636,0)))</f>
        <v/>
      </c>
      <c r="F469">
        <f>IF($K469="","",INDEX(Raw_data!$AQ$2:$AQ$636,MATCH($K469,Model!$R$2:$R$636,0)))</f>
        <v/>
      </c>
      <c r="G469">
        <f>IF($K469="","",INDEX(Raw_data!$H$2:$H$636,MATCH($K469,Model!$R$2:$R$636,0)))</f>
        <v/>
      </c>
      <c r="H469" s="8">
        <f>IF($K469="","",INDEX(Model!$B$2:$B$636,MATCH($K469,Model!$R$2:$R$636,0)))</f>
        <v/>
      </c>
      <c r="I469" s="8">
        <f>IF($K469="","",INDEX(Model!$C$2:$C$636,MATCH($K469,Model!$R$2:$R$636,0)))</f>
        <v/>
      </c>
      <c r="J469">
        <f>IF($K469="","",INDEX(Model!$D$2:$D$636,MATCH($K469,Model!$R$2:$R$636,0)))</f>
        <v/>
      </c>
      <c r="K469">
        <f>IF(433&lt;=$E$5,LARGE(Model!$R$2:$R$636,433),"")</f>
        <v/>
      </c>
    </row>
    <row r="470">
      <c r="A470">
        <f>IF($K470="","",INDEX(Raw_data!$D$2:$D$636,MATCH($K470,Model!$R$2:$R$636,0)))</f>
        <v/>
      </c>
      <c r="B470" s="11">
        <f>IF($K470="","",INDEX(Raw_data!$F$2:$F$636,MATCH($K470,Model!$R$2:$R$636,0)))</f>
        <v/>
      </c>
      <c r="C470">
        <f>IF($K470="","",HYPERLINK(INDEX(Raw_data!$C$2:$C$636,MATCH($K470,Model!$R$2:$R$636,0)),INDEX(Raw_data!$C$2:$C$636,MATCH($K470,Model!$R$2:$R$636,0))))</f>
        <v/>
      </c>
      <c r="D470">
        <f>IF($K470="","",INDEX(Raw_data!$AL$2:$AL$636,MATCH($K470,Model!$R$2:$R$636,0)))</f>
        <v/>
      </c>
      <c r="E470">
        <f>IF($K470="","",INDEX(Raw_data!$AM$2:$AM$636,MATCH($K470,Model!$R$2:$R$636,0)))</f>
        <v/>
      </c>
      <c r="F470">
        <f>IF($K470="","",INDEX(Raw_data!$AQ$2:$AQ$636,MATCH($K470,Model!$R$2:$R$636,0)))</f>
        <v/>
      </c>
      <c r="G470">
        <f>IF($K470="","",INDEX(Raw_data!$H$2:$H$636,MATCH($K470,Model!$R$2:$R$636,0)))</f>
        <v/>
      </c>
      <c r="H470" s="8">
        <f>IF($K470="","",INDEX(Model!$B$2:$B$636,MATCH($K470,Model!$R$2:$R$636,0)))</f>
        <v/>
      </c>
      <c r="I470" s="8">
        <f>IF($K470="","",INDEX(Model!$C$2:$C$636,MATCH($K470,Model!$R$2:$R$636,0)))</f>
        <v/>
      </c>
      <c r="J470">
        <f>IF($K470="","",INDEX(Model!$D$2:$D$636,MATCH($K470,Model!$R$2:$R$636,0)))</f>
        <v/>
      </c>
      <c r="K470">
        <f>IF(434&lt;=$E$5,LARGE(Model!$R$2:$R$636,434),"")</f>
        <v/>
      </c>
    </row>
    <row r="471">
      <c r="A471">
        <f>IF($K471="","",INDEX(Raw_data!$D$2:$D$636,MATCH($K471,Model!$R$2:$R$636,0)))</f>
        <v/>
      </c>
      <c r="B471" s="11">
        <f>IF($K471="","",INDEX(Raw_data!$F$2:$F$636,MATCH($K471,Model!$R$2:$R$636,0)))</f>
        <v/>
      </c>
      <c r="C471">
        <f>IF($K471="","",HYPERLINK(INDEX(Raw_data!$C$2:$C$636,MATCH($K471,Model!$R$2:$R$636,0)),INDEX(Raw_data!$C$2:$C$636,MATCH($K471,Model!$R$2:$R$636,0))))</f>
        <v/>
      </c>
      <c r="D471">
        <f>IF($K471="","",INDEX(Raw_data!$AL$2:$AL$636,MATCH($K471,Model!$R$2:$R$636,0)))</f>
        <v/>
      </c>
      <c r="E471">
        <f>IF($K471="","",INDEX(Raw_data!$AM$2:$AM$636,MATCH($K471,Model!$R$2:$R$636,0)))</f>
        <v/>
      </c>
      <c r="F471">
        <f>IF($K471="","",INDEX(Raw_data!$AQ$2:$AQ$636,MATCH($K471,Model!$R$2:$R$636,0)))</f>
        <v/>
      </c>
      <c r="G471">
        <f>IF($K471="","",INDEX(Raw_data!$H$2:$H$636,MATCH($K471,Model!$R$2:$R$636,0)))</f>
        <v/>
      </c>
      <c r="H471" s="8">
        <f>IF($K471="","",INDEX(Model!$B$2:$B$636,MATCH($K471,Model!$R$2:$R$636,0)))</f>
        <v/>
      </c>
      <c r="I471" s="8">
        <f>IF($K471="","",INDEX(Model!$C$2:$C$636,MATCH($K471,Model!$R$2:$R$636,0)))</f>
        <v/>
      </c>
      <c r="J471">
        <f>IF($K471="","",INDEX(Model!$D$2:$D$636,MATCH($K471,Model!$R$2:$R$636,0)))</f>
        <v/>
      </c>
      <c r="K471">
        <f>IF(435&lt;=$E$5,LARGE(Model!$R$2:$R$636,435),"")</f>
        <v/>
      </c>
    </row>
    <row r="472">
      <c r="A472">
        <f>IF($K472="","",INDEX(Raw_data!$D$2:$D$636,MATCH($K472,Model!$R$2:$R$636,0)))</f>
        <v/>
      </c>
      <c r="B472" s="11">
        <f>IF($K472="","",INDEX(Raw_data!$F$2:$F$636,MATCH($K472,Model!$R$2:$R$636,0)))</f>
        <v/>
      </c>
      <c r="C472">
        <f>IF($K472="","",HYPERLINK(INDEX(Raw_data!$C$2:$C$636,MATCH($K472,Model!$R$2:$R$636,0)),INDEX(Raw_data!$C$2:$C$636,MATCH($K472,Model!$R$2:$R$636,0))))</f>
        <v/>
      </c>
      <c r="D472">
        <f>IF($K472="","",INDEX(Raw_data!$AL$2:$AL$636,MATCH($K472,Model!$R$2:$R$636,0)))</f>
        <v/>
      </c>
      <c r="E472">
        <f>IF($K472="","",INDEX(Raw_data!$AM$2:$AM$636,MATCH($K472,Model!$R$2:$R$636,0)))</f>
        <v/>
      </c>
      <c r="F472">
        <f>IF($K472="","",INDEX(Raw_data!$AQ$2:$AQ$636,MATCH($K472,Model!$R$2:$R$636,0)))</f>
        <v/>
      </c>
      <c r="G472">
        <f>IF($K472="","",INDEX(Raw_data!$H$2:$H$636,MATCH($K472,Model!$R$2:$R$636,0)))</f>
        <v/>
      </c>
      <c r="H472" s="8">
        <f>IF($K472="","",INDEX(Model!$B$2:$B$636,MATCH($K472,Model!$R$2:$R$636,0)))</f>
        <v/>
      </c>
      <c r="I472" s="8">
        <f>IF($K472="","",INDEX(Model!$C$2:$C$636,MATCH($K472,Model!$R$2:$R$636,0)))</f>
        <v/>
      </c>
      <c r="J472">
        <f>IF($K472="","",INDEX(Model!$D$2:$D$636,MATCH($K472,Model!$R$2:$R$636,0)))</f>
        <v/>
      </c>
      <c r="K472">
        <f>IF(436&lt;=$E$5,LARGE(Model!$R$2:$R$636,436),"")</f>
        <v/>
      </c>
    </row>
    <row r="473">
      <c r="A473">
        <f>IF($K473="","",INDEX(Raw_data!$D$2:$D$636,MATCH($K473,Model!$R$2:$R$636,0)))</f>
        <v/>
      </c>
      <c r="B473" s="11">
        <f>IF($K473="","",INDEX(Raw_data!$F$2:$F$636,MATCH($K473,Model!$R$2:$R$636,0)))</f>
        <v/>
      </c>
      <c r="C473">
        <f>IF($K473="","",HYPERLINK(INDEX(Raw_data!$C$2:$C$636,MATCH($K473,Model!$R$2:$R$636,0)),INDEX(Raw_data!$C$2:$C$636,MATCH($K473,Model!$R$2:$R$636,0))))</f>
        <v/>
      </c>
      <c r="D473">
        <f>IF($K473="","",INDEX(Raw_data!$AL$2:$AL$636,MATCH($K473,Model!$R$2:$R$636,0)))</f>
        <v/>
      </c>
      <c r="E473">
        <f>IF($K473="","",INDEX(Raw_data!$AM$2:$AM$636,MATCH($K473,Model!$R$2:$R$636,0)))</f>
        <v/>
      </c>
      <c r="F473">
        <f>IF($K473="","",INDEX(Raw_data!$AQ$2:$AQ$636,MATCH($K473,Model!$R$2:$R$636,0)))</f>
        <v/>
      </c>
      <c r="G473">
        <f>IF($K473="","",INDEX(Raw_data!$H$2:$H$636,MATCH($K473,Model!$R$2:$R$636,0)))</f>
        <v/>
      </c>
      <c r="H473" s="8">
        <f>IF($K473="","",INDEX(Model!$B$2:$B$636,MATCH($K473,Model!$R$2:$R$636,0)))</f>
        <v/>
      </c>
      <c r="I473" s="8">
        <f>IF($K473="","",INDEX(Model!$C$2:$C$636,MATCH($K473,Model!$R$2:$R$636,0)))</f>
        <v/>
      </c>
      <c r="J473">
        <f>IF($K473="","",INDEX(Model!$D$2:$D$636,MATCH($K473,Model!$R$2:$R$636,0)))</f>
        <v/>
      </c>
      <c r="K473">
        <f>IF(437&lt;=$E$5,LARGE(Model!$R$2:$R$636,437),"")</f>
        <v/>
      </c>
    </row>
    <row r="474">
      <c r="A474">
        <f>IF($K474="","",INDEX(Raw_data!$D$2:$D$636,MATCH($K474,Model!$R$2:$R$636,0)))</f>
        <v/>
      </c>
      <c r="B474" s="11">
        <f>IF($K474="","",INDEX(Raw_data!$F$2:$F$636,MATCH($K474,Model!$R$2:$R$636,0)))</f>
        <v/>
      </c>
      <c r="C474">
        <f>IF($K474="","",HYPERLINK(INDEX(Raw_data!$C$2:$C$636,MATCH($K474,Model!$R$2:$R$636,0)),INDEX(Raw_data!$C$2:$C$636,MATCH($K474,Model!$R$2:$R$636,0))))</f>
        <v/>
      </c>
      <c r="D474">
        <f>IF($K474="","",INDEX(Raw_data!$AL$2:$AL$636,MATCH($K474,Model!$R$2:$R$636,0)))</f>
        <v/>
      </c>
      <c r="E474">
        <f>IF($K474="","",INDEX(Raw_data!$AM$2:$AM$636,MATCH($K474,Model!$R$2:$R$636,0)))</f>
        <v/>
      </c>
      <c r="F474">
        <f>IF($K474="","",INDEX(Raw_data!$AQ$2:$AQ$636,MATCH($K474,Model!$R$2:$R$636,0)))</f>
        <v/>
      </c>
      <c r="G474">
        <f>IF($K474="","",INDEX(Raw_data!$H$2:$H$636,MATCH($K474,Model!$R$2:$R$636,0)))</f>
        <v/>
      </c>
      <c r="H474" s="8">
        <f>IF($K474="","",INDEX(Model!$B$2:$B$636,MATCH($K474,Model!$R$2:$R$636,0)))</f>
        <v/>
      </c>
      <c r="I474" s="8">
        <f>IF($K474="","",INDEX(Model!$C$2:$C$636,MATCH($K474,Model!$R$2:$R$636,0)))</f>
        <v/>
      </c>
      <c r="J474">
        <f>IF($K474="","",INDEX(Model!$D$2:$D$636,MATCH($K474,Model!$R$2:$R$636,0)))</f>
        <v/>
      </c>
      <c r="K474">
        <f>IF(438&lt;=$E$5,LARGE(Model!$R$2:$R$636,438),"")</f>
        <v/>
      </c>
    </row>
    <row r="475">
      <c r="A475">
        <f>IF($K475="","",INDEX(Raw_data!$D$2:$D$636,MATCH($K475,Model!$R$2:$R$636,0)))</f>
        <v/>
      </c>
      <c r="B475" s="11">
        <f>IF($K475="","",INDEX(Raw_data!$F$2:$F$636,MATCH($K475,Model!$R$2:$R$636,0)))</f>
        <v/>
      </c>
      <c r="C475">
        <f>IF($K475="","",HYPERLINK(INDEX(Raw_data!$C$2:$C$636,MATCH($K475,Model!$R$2:$R$636,0)),INDEX(Raw_data!$C$2:$C$636,MATCH($K475,Model!$R$2:$R$636,0))))</f>
        <v/>
      </c>
      <c r="D475">
        <f>IF($K475="","",INDEX(Raw_data!$AL$2:$AL$636,MATCH($K475,Model!$R$2:$R$636,0)))</f>
        <v/>
      </c>
      <c r="E475">
        <f>IF($K475="","",INDEX(Raw_data!$AM$2:$AM$636,MATCH($K475,Model!$R$2:$R$636,0)))</f>
        <v/>
      </c>
      <c r="F475">
        <f>IF($K475="","",INDEX(Raw_data!$AQ$2:$AQ$636,MATCH($K475,Model!$R$2:$R$636,0)))</f>
        <v/>
      </c>
      <c r="G475">
        <f>IF($K475="","",INDEX(Raw_data!$H$2:$H$636,MATCH($K475,Model!$R$2:$R$636,0)))</f>
        <v/>
      </c>
      <c r="H475" s="8">
        <f>IF($K475="","",INDEX(Model!$B$2:$B$636,MATCH($K475,Model!$R$2:$R$636,0)))</f>
        <v/>
      </c>
      <c r="I475" s="8">
        <f>IF($K475="","",INDEX(Model!$C$2:$C$636,MATCH($K475,Model!$R$2:$R$636,0)))</f>
        <v/>
      </c>
      <c r="J475">
        <f>IF($K475="","",INDEX(Model!$D$2:$D$636,MATCH($K475,Model!$R$2:$R$636,0)))</f>
        <v/>
      </c>
      <c r="K475">
        <f>IF(439&lt;=$E$5,LARGE(Model!$R$2:$R$636,439),"")</f>
        <v/>
      </c>
    </row>
    <row r="476">
      <c r="A476">
        <f>IF($K476="","",INDEX(Raw_data!$D$2:$D$636,MATCH($K476,Model!$R$2:$R$636,0)))</f>
        <v/>
      </c>
      <c r="B476" s="11">
        <f>IF($K476="","",INDEX(Raw_data!$F$2:$F$636,MATCH($K476,Model!$R$2:$R$636,0)))</f>
        <v/>
      </c>
      <c r="C476">
        <f>IF($K476="","",HYPERLINK(INDEX(Raw_data!$C$2:$C$636,MATCH($K476,Model!$R$2:$R$636,0)),INDEX(Raw_data!$C$2:$C$636,MATCH($K476,Model!$R$2:$R$636,0))))</f>
        <v/>
      </c>
      <c r="D476">
        <f>IF($K476="","",INDEX(Raw_data!$AL$2:$AL$636,MATCH($K476,Model!$R$2:$R$636,0)))</f>
        <v/>
      </c>
      <c r="E476">
        <f>IF($K476="","",INDEX(Raw_data!$AM$2:$AM$636,MATCH($K476,Model!$R$2:$R$636,0)))</f>
        <v/>
      </c>
      <c r="F476">
        <f>IF($K476="","",INDEX(Raw_data!$AQ$2:$AQ$636,MATCH($K476,Model!$R$2:$R$636,0)))</f>
        <v/>
      </c>
      <c r="G476">
        <f>IF($K476="","",INDEX(Raw_data!$H$2:$H$636,MATCH($K476,Model!$R$2:$R$636,0)))</f>
        <v/>
      </c>
      <c r="H476" s="8">
        <f>IF($K476="","",INDEX(Model!$B$2:$B$636,MATCH($K476,Model!$R$2:$R$636,0)))</f>
        <v/>
      </c>
      <c r="I476" s="8">
        <f>IF($K476="","",INDEX(Model!$C$2:$C$636,MATCH($K476,Model!$R$2:$R$636,0)))</f>
        <v/>
      </c>
      <c r="J476">
        <f>IF($K476="","",INDEX(Model!$D$2:$D$636,MATCH($K476,Model!$R$2:$R$636,0)))</f>
        <v/>
      </c>
      <c r="K476">
        <f>IF(440&lt;=$E$5,LARGE(Model!$R$2:$R$636,440),"")</f>
        <v/>
      </c>
    </row>
    <row r="477">
      <c r="A477">
        <f>IF($K477="","",INDEX(Raw_data!$D$2:$D$636,MATCH($K477,Model!$R$2:$R$636,0)))</f>
        <v/>
      </c>
      <c r="B477" s="11">
        <f>IF($K477="","",INDEX(Raw_data!$F$2:$F$636,MATCH($K477,Model!$R$2:$R$636,0)))</f>
        <v/>
      </c>
      <c r="C477">
        <f>IF($K477="","",HYPERLINK(INDEX(Raw_data!$C$2:$C$636,MATCH($K477,Model!$R$2:$R$636,0)),INDEX(Raw_data!$C$2:$C$636,MATCH($K477,Model!$R$2:$R$636,0))))</f>
        <v/>
      </c>
      <c r="D477">
        <f>IF($K477="","",INDEX(Raw_data!$AL$2:$AL$636,MATCH($K477,Model!$R$2:$R$636,0)))</f>
        <v/>
      </c>
      <c r="E477">
        <f>IF($K477="","",INDEX(Raw_data!$AM$2:$AM$636,MATCH($K477,Model!$R$2:$R$636,0)))</f>
        <v/>
      </c>
      <c r="F477">
        <f>IF($K477="","",INDEX(Raw_data!$AQ$2:$AQ$636,MATCH($K477,Model!$R$2:$R$636,0)))</f>
        <v/>
      </c>
      <c r="G477">
        <f>IF($K477="","",INDEX(Raw_data!$H$2:$H$636,MATCH($K477,Model!$R$2:$R$636,0)))</f>
        <v/>
      </c>
      <c r="H477" s="8">
        <f>IF($K477="","",INDEX(Model!$B$2:$B$636,MATCH($K477,Model!$R$2:$R$636,0)))</f>
        <v/>
      </c>
      <c r="I477" s="8">
        <f>IF($K477="","",INDEX(Model!$C$2:$C$636,MATCH($K477,Model!$R$2:$R$636,0)))</f>
        <v/>
      </c>
      <c r="J477">
        <f>IF($K477="","",INDEX(Model!$D$2:$D$636,MATCH($K477,Model!$R$2:$R$636,0)))</f>
        <v/>
      </c>
      <c r="K477">
        <f>IF(441&lt;=$E$5,LARGE(Model!$R$2:$R$636,441),"")</f>
        <v/>
      </c>
    </row>
    <row r="478">
      <c r="A478">
        <f>IF($K478="","",INDEX(Raw_data!$D$2:$D$636,MATCH($K478,Model!$R$2:$R$636,0)))</f>
        <v/>
      </c>
      <c r="B478" s="11">
        <f>IF($K478="","",INDEX(Raw_data!$F$2:$F$636,MATCH($K478,Model!$R$2:$R$636,0)))</f>
        <v/>
      </c>
      <c r="C478">
        <f>IF($K478="","",HYPERLINK(INDEX(Raw_data!$C$2:$C$636,MATCH($K478,Model!$R$2:$R$636,0)),INDEX(Raw_data!$C$2:$C$636,MATCH($K478,Model!$R$2:$R$636,0))))</f>
        <v/>
      </c>
      <c r="D478">
        <f>IF($K478="","",INDEX(Raw_data!$AL$2:$AL$636,MATCH($K478,Model!$R$2:$R$636,0)))</f>
        <v/>
      </c>
      <c r="E478">
        <f>IF($K478="","",INDEX(Raw_data!$AM$2:$AM$636,MATCH($K478,Model!$R$2:$R$636,0)))</f>
        <v/>
      </c>
      <c r="F478">
        <f>IF($K478="","",INDEX(Raw_data!$AQ$2:$AQ$636,MATCH($K478,Model!$R$2:$R$636,0)))</f>
        <v/>
      </c>
      <c r="G478">
        <f>IF($K478="","",INDEX(Raw_data!$H$2:$H$636,MATCH($K478,Model!$R$2:$R$636,0)))</f>
        <v/>
      </c>
      <c r="H478" s="8">
        <f>IF($K478="","",INDEX(Model!$B$2:$B$636,MATCH($K478,Model!$R$2:$R$636,0)))</f>
        <v/>
      </c>
      <c r="I478" s="8">
        <f>IF($K478="","",INDEX(Model!$C$2:$C$636,MATCH($K478,Model!$R$2:$R$636,0)))</f>
        <v/>
      </c>
      <c r="J478">
        <f>IF($K478="","",INDEX(Model!$D$2:$D$636,MATCH($K478,Model!$R$2:$R$636,0)))</f>
        <v/>
      </c>
      <c r="K478">
        <f>IF(442&lt;=$E$5,LARGE(Model!$R$2:$R$636,442),"")</f>
        <v/>
      </c>
    </row>
    <row r="479">
      <c r="A479">
        <f>IF($K479="","",INDEX(Raw_data!$D$2:$D$636,MATCH($K479,Model!$R$2:$R$636,0)))</f>
        <v/>
      </c>
      <c r="B479" s="11">
        <f>IF($K479="","",INDEX(Raw_data!$F$2:$F$636,MATCH($K479,Model!$R$2:$R$636,0)))</f>
        <v/>
      </c>
      <c r="C479">
        <f>IF($K479="","",HYPERLINK(INDEX(Raw_data!$C$2:$C$636,MATCH($K479,Model!$R$2:$R$636,0)),INDEX(Raw_data!$C$2:$C$636,MATCH($K479,Model!$R$2:$R$636,0))))</f>
        <v/>
      </c>
      <c r="D479">
        <f>IF($K479="","",INDEX(Raw_data!$AL$2:$AL$636,MATCH($K479,Model!$R$2:$R$636,0)))</f>
        <v/>
      </c>
      <c r="E479">
        <f>IF($K479="","",INDEX(Raw_data!$AM$2:$AM$636,MATCH($K479,Model!$R$2:$R$636,0)))</f>
        <v/>
      </c>
      <c r="F479">
        <f>IF($K479="","",INDEX(Raw_data!$AQ$2:$AQ$636,MATCH($K479,Model!$R$2:$R$636,0)))</f>
        <v/>
      </c>
      <c r="G479">
        <f>IF($K479="","",INDEX(Raw_data!$H$2:$H$636,MATCH($K479,Model!$R$2:$R$636,0)))</f>
        <v/>
      </c>
      <c r="H479" s="8">
        <f>IF($K479="","",INDEX(Model!$B$2:$B$636,MATCH($K479,Model!$R$2:$R$636,0)))</f>
        <v/>
      </c>
      <c r="I479" s="8">
        <f>IF($K479="","",INDEX(Model!$C$2:$C$636,MATCH($K479,Model!$R$2:$R$636,0)))</f>
        <v/>
      </c>
      <c r="J479">
        <f>IF($K479="","",INDEX(Model!$D$2:$D$636,MATCH($K479,Model!$R$2:$R$636,0)))</f>
        <v/>
      </c>
      <c r="K479">
        <f>IF(443&lt;=$E$5,LARGE(Model!$R$2:$R$636,443),"")</f>
        <v/>
      </c>
    </row>
    <row r="480">
      <c r="A480">
        <f>IF($K480="","",INDEX(Raw_data!$D$2:$D$636,MATCH($K480,Model!$R$2:$R$636,0)))</f>
        <v/>
      </c>
      <c r="B480" s="11">
        <f>IF($K480="","",INDEX(Raw_data!$F$2:$F$636,MATCH($K480,Model!$R$2:$R$636,0)))</f>
        <v/>
      </c>
      <c r="C480">
        <f>IF($K480="","",HYPERLINK(INDEX(Raw_data!$C$2:$C$636,MATCH($K480,Model!$R$2:$R$636,0)),INDEX(Raw_data!$C$2:$C$636,MATCH($K480,Model!$R$2:$R$636,0))))</f>
        <v/>
      </c>
      <c r="D480">
        <f>IF($K480="","",INDEX(Raw_data!$AL$2:$AL$636,MATCH($K480,Model!$R$2:$R$636,0)))</f>
        <v/>
      </c>
      <c r="E480">
        <f>IF($K480="","",INDEX(Raw_data!$AM$2:$AM$636,MATCH($K480,Model!$R$2:$R$636,0)))</f>
        <v/>
      </c>
      <c r="F480">
        <f>IF($K480="","",INDEX(Raw_data!$AQ$2:$AQ$636,MATCH($K480,Model!$R$2:$R$636,0)))</f>
        <v/>
      </c>
      <c r="G480">
        <f>IF($K480="","",INDEX(Raw_data!$H$2:$H$636,MATCH($K480,Model!$R$2:$R$636,0)))</f>
        <v/>
      </c>
      <c r="H480" s="8">
        <f>IF($K480="","",INDEX(Model!$B$2:$B$636,MATCH($K480,Model!$R$2:$R$636,0)))</f>
        <v/>
      </c>
      <c r="I480" s="8">
        <f>IF($K480="","",INDEX(Model!$C$2:$C$636,MATCH($K480,Model!$R$2:$R$636,0)))</f>
        <v/>
      </c>
      <c r="J480">
        <f>IF($K480="","",INDEX(Model!$D$2:$D$636,MATCH($K480,Model!$R$2:$R$636,0)))</f>
        <v/>
      </c>
      <c r="K480">
        <f>IF(444&lt;=$E$5,LARGE(Model!$R$2:$R$636,444),"")</f>
        <v/>
      </c>
    </row>
    <row r="481">
      <c r="A481">
        <f>IF($K481="","",INDEX(Raw_data!$D$2:$D$636,MATCH($K481,Model!$R$2:$R$636,0)))</f>
        <v/>
      </c>
      <c r="B481" s="11">
        <f>IF($K481="","",INDEX(Raw_data!$F$2:$F$636,MATCH($K481,Model!$R$2:$R$636,0)))</f>
        <v/>
      </c>
      <c r="C481">
        <f>IF($K481="","",HYPERLINK(INDEX(Raw_data!$C$2:$C$636,MATCH($K481,Model!$R$2:$R$636,0)),INDEX(Raw_data!$C$2:$C$636,MATCH($K481,Model!$R$2:$R$636,0))))</f>
        <v/>
      </c>
      <c r="D481">
        <f>IF($K481="","",INDEX(Raw_data!$AL$2:$AL$636,MATCH($K481,Model!$R$2:$R$636,0)))</f>
        <v/>
      </c>
      <c r="E481">
        <f>IF($K481="","",INDEX(Raw_data!$AM$2:$AM$636,MATCH($K481,Model!$R$2:$R$636,0)))</f>
        <v/>
      </c>
      <c r="F481">
        <f>IF($K481="","",INDEX(Raw_data!$AQ$2:$AQ$636,MATCH($K481,Model!$R$2:$R$636,0)))</f>
        <v/>
      </c>
      <c r="G481">
        <f>IF($K481="","",INDEX(Raw_data!$H$2:$H$636,MATCH($K481,Model!$R$2:$R$636,0)))</f>
        <v/>
      </c>
      <c r="H481" s="8">
        <f>IF($K481="","",INDEX(Model!$B$2:$B$636,MATCH($K481,Model!$R$2:$R$636,0)))</f>
        <v/>
      </c>
      <c r="I481" s="8">
        <f>IF($K481="","",INDEX(Model!$C$2:$C$636,MATCH($K481,Model!$R$2:$R$636,0)))</f>
        <v/>
      </c>
      <c r="J481">
        <f>IF($K481="","",INDEX(Model!$D$2:$D$636,MATCH($K481,Model!$R$2:$R$636,0)))</f>
        <v/>
      </c>
      <c r="K481">
        <f>IF(445&lt;=$E$5,LARGE(Model!$R$2:$R$636,445),"")</f>
        <v/>
      </c>
    </row>
    <row r="482">
      <c r="A482">
        <f>IF($K482="","",INDEX(Raw_data!$D$2:$D$636,MATCH($K482,Model!$R$2:$R$636,0)))</f>
        <v/>
      </c>
      <c r="B482" s="11">
        <f>IF($K482="","",INDEX(Raw_data!$F$2:$F$636,MATCH($K482,Model!$R$2:$R$636,0)))</f>
        <v/>
      </c>
      <c r="C482">
        <f>IF($K482="","",HYPERLINK(INDEX(Raw_data!$C$2:$C$636,MATCH($K482,Model!$R$2:$R$636,0)),INDEX(Raw_data!$C$2:$C$636,MATCH($K482,Model!$R$2:$R$636,0))))</f>
        <v/>
      </c>
      <c r="D482">
        <f>IF($K482="","",INDEX(Raw_data!$AL$2:$AL$636,MATCH($K482,Model!$R$2:$R$636,0)))</f>
        <v/>
      </c>
      <c r="E482">
        <f>IF($K482="","",INDEX(Raw_data!$AM$2:$AM$636,MATCH($K482,Model!$R$2:$R$636,0)))</f>
        <v/>
      </c>
      <c r="F482">
        <f>IF($K482="","",INDEX(Raw_data!$AQ$2:$AQ$636,MATCH($K482,Model!$R$2:$R$636,0)))</f>
        <v/>
      </c>
      <c r="G482">
        <f>IF($K482="","",INDEX(Raw_data!$H$2:$H$636,MATCH($K482,Model!$R$2:$R$636,0)))</f>
        <v/>
      </c>
      <c r="H482" s="8">
        <f>IF($K482="","",INDEX(Model!$B$2:$B$636,MATCH($K482,Model!$R$2:$R$636,0)))</f>
        <v/>
      </c>
      <c r="I482" s="8">
        <f>IF($K482="","",INDEX(Model!$C$2:$C$636,MATCH($K482,Model!$R$2:$R$636,0)))</f>
        <v/>
      </c>
      <c r="J482">
        <f>IF($K482="","",INDEX(Model!$D$2:$D$636,MATCH($K482,Model!$R$2:$R$636,0)))</f>
        <v/>
      </c>
      <c r="K482">
        <f>IF(446&lt;=$E$5,LARGE(Model!$R$2:$R$636,446),"")</f>
        <v/>
      </c>
    </row>
    <row r="483">
      <c r="A483">
        <f>IF($K483="","",INDEX(Raw_data!$D$2:$D$636,MATCH($K483,Model!$R$2:$R$636,0)))</f>
        <v/>
      </c>
      <c r="B483" s="11">
        <f>IF($K483="","",INDEX(Raw_data!$F$2:$F$636,MATCH($K483,Model!$R$2:$R$636,0)))</f>
        <v/>
      </c>
      <c r="C483">
        <f>IF($K483="","",HYPERLINK(INDEX(Raw_data!$C$2:$C$636,MATCH($K483,Model!$R$2:$R$636,0)),INDEX(Raw_data!$C$2:$C$636,MATCH($K483,Model!$R$2:$R$636,0))))</f>
        <v/>
      </c>
      <c r="D483">
        <f>IF($K483="","",INDEX(Raw_data!$AL$2:$AL$636,MATCH($K483,Model!$R$2:$R$636,0)))</f>
        <v/>
      </c>
      <c r="E483">
        <f>IF($K483="","",INDEX(Raw_data!$AM$2:$AM$636,MATCH($K483,Model!$R$2:$R$636,0)))</f>
        <v/>
      </c>
      <c r="F483">
        <f>IF($K483="","",INDEX(Raw_data!$AQ$2:$AQ$636,MATCH($K483,Model!$R$2:$R$636,0)))</f>
        <v/>
      </c>
      <c r="G483">
        <f>IF($K483="","",INDEX(Raw_data!$H$2:$H$636,MATCH($K483,Model!$R$2:$R$636,0)))</f>
        <v/>
      </c>
      <c r="H483" s="8">
        <f>IF($K483="","",INDEX(Model!$B$2:$B$636,MATCH($K483,Model!$R$2:$R$636,0)))</f>
        <v/>
      </c>
      <c r="I483" s="8">
        <f>IF($K483="","",INDEX(Model!$C$2:$C$636,MATCH($K483,Model!$R$2:$R$636,0)))</f>
        <v/>
      </c>
      <c r="J483">
        <f>IF($K483="","",INDEX(Model!$D$2:$D$636,MATCH($K483,Model!$R$2:$R$636,0)))</f>
        <v/>
      </c>
      <c r="K483">
        <f>IF(447&lt;=$E$5,LARGE(Model!$R$2:$R$636,447),"")</f>
        <v/>
      </c>
    </row>
    <row r="484">
      <c r="A484">
        <f>IF($K484="","",INDEX(Raw_data!$D$2:$D$636,MATCH($K484,Model!$R$2:$R$636,0)))</f>
        <v/>
      </c>
      <c r="B484" s="11">
        <f>IF($K484="","",INDEX(Raw_data!$F$2:$F$636,MATCH($K484,Model!$R$2:$R$636,0)))</f>
        <v/>
      </c>
      <c r="C484">
        <f>IF($K484="","",HYPERLINK(INDEX(Raw_data!$C$2:$C$636,MATCH($K484,Model!$R$2:$R$636,0)),INDEX(Raw_data!$C$2:$C$636,MATCH($K484,Model!$R$2:$R$636,0))))</f>
        <v/>
      </c>
      <c r="D484">
        <f>IF($K484="","",INDEX(Raw_data!$AL$2:$AL$636,MATCH($K484,Model!$R$2:$R$636,0)))</f>
        <v/>
      </c>
      <c r="E484">
        <f>IF($K484="","",INDEX(Raw_data!$AM$2:$AM$636,MATCH($K484,Model!$R$2:$R$636,0)))</f>
        <v/>
      </c>
      <c r="F484">
        <f>IF($K484="","",INDEX(Raw_data!$AQ$2:$AQ$636,MATCH($K484,Model!$R$2:$R$636,0)))</f>
        <v/>
      </c>
      <c r="G484">
        <f>IF($K484="","",INDEX(Raw_data!$H$2:$H$636,MATCH($K484,Model!$R$2:$R$636,0)))</f>
        <v/>
      </c>
      <c r="H484" s="8">
        <f>IF($K484="","",INDEX(Model!$B$2:$B$636,MATCH($K484,Model!$R$2:$R$636,0)))</f>
        <v/>
      </c>
      <c r="I484" s="8">
        <f>IF($K484="","",INDEX(Model!$C$2:$C$636,MATCH($K484,Model!$R$2:$R$636,0)))</f>
        <v/>
      </c>
      <c r="J484">
        <f>IF($K484="","",INDEX(Model!$D$2:$D$636,MATCH($K484,Model!$R$2:$R$636,0)))</f>
        <v/>
      </c>
      <c r="K484">
        <f>IF(448&lt;=$E$5,LARGE(Model!$R$2:$R$636,448),"")</f>
        <v/>
      </c>
    </row>
    <row r="485">
      <c r="A485">
        <f>IF($K485="","",INDEX(Raw_data!$D$2:$D$636,MATCH($K485,Model!$R$2:$R$636,0)))</f>
        <v/>
      </c>
      <c r="B485" s="11">
        <f>IF($K485="","",INDEX(Raw_data!$F$2:$F$636,MATCH($K485,Model!$R$2:$R$636,0)))</f>
        <v/>
      </c>
      <c r="C485">
        <f>IF($K485="","",HYPERLINK(INDEX(Raw_data!$C$2:$C$636,MATCH($K485,Model!$R$2:$R$636,0)),INDEX(Raw_data!$C$2:$C$636,MATCH($K485,Model!$R$2:$R$636,0))))</f>
        <v/>
      </c>
      <c r="D485">
        <f>IF($K485="","",INDEX(Raw_data!$AL$2:$AL$636,MATCH($K485,Model!$R$2:$R$636,0)))</f>
        <v/>
      </c>
      <c r="E485">
        <f>IF($K485="","",INDEX(Raw_data!$AM$2:$AM$636,MATCH($K485,Model!$R$2:$R$636,0)))</f>
        <v/>
      </c>
      <c r="F485">
        <f>IF($K485="","",INDEX(Raw_data!$AQ$2:$AQ$636,MATCH($K485,Model!$R$2:$R$636,0)))</f>
        <v/>
      </c>
      <c r="G485">
        <f>IF($K485="","",INDEX(Raw_data!$H$2:$H$636,MATCH($K485,Model!$R$2:$R$636,0)))</f>
        <v/>
      </c>
      <c r="H485" s="8">
        <f>IF($K485="","",INDEX(Model!$B$2:$B$636,MATCH($K485,Model!$R$2:$R$636,0)))</f>
        <v/>
      </c>
      <c r="I485" s="8">
        <f>IF($K485="","",INDEX(Model!$C$2:$C$636,MATCH($K485,Model!$R$2:$R$636,0)))</f>
        <v/>
      </c>
      <c r="J485">
        <f>IF($K485="","",INDEX(Model!$D$2:$D$636,MATCH($K485,Model!$R$2:$R$636,0)))</f>
        <v/>
      </c>
      <c r="K485">
        <f>IF(449&lt;=$E$5,LARGE(Model!$R$2:$R$636,449),"")</f>
        <v/>
      </c>
    </row>
    <row r="486">
      <c r="A486">
        <f>IF($K486="","",INDEX(Raw_data!$D$2:$D$636,MATCH($K486,Model!$R$2:$R$636,0)))</f>
        <v/>
      </c>
      <c r="B486" s="11">
        <f>IF($K486="","",INDEX(Raw_data!$F$2:$F$636,MATCH($K486,Model!$R$2:$R$636,0)))</f>
        <v/>
      </c>
      <c r="C486">
        <f>IF($K486="","",HYPERLINK(INDEX(Raw_data!$C$2:$C$636,MATCH($K486,Model!$R$2:$R$636,0)),INDEX(Raw_data!$C$2:$C$636,MATCH($K486,Model!$R$2:$R$636,0))))</f>
        <v/>
      </c>
      <c r="D486">
        <f>IF($K486="","",INDEX(Raw_data!$AL$2:$AL$636,MATCH($K486,Model!$R$2:$R$636,0)))</f>
        <v/>
      </c>
      <c r="E486">
        <f>IF($K486="","",INDEX(Raw_data!$AM$2:$AM$636,MATCH($K486,Model!$R$2:$R$636,0)))</f>
        <v/>
      </c>
      <c r="F486">
        <f>IF($K486="","",INDEX(Raw_data!$AQ$2:$AQ$636,MATCH($K486,Model!$R$2:$R$636,0)))</f>
        <v/>
      </c>
      <c r="G486">
        <f>IF($K486="","",INDEX(Raw_data!$H$2:$H$636,MATCH($K486,Model!$R$2:$R$636,0)))</f>
        <v/>
      </c>
      <c r="H486" s="8">
        <f>IF($K486="","",INDEX(Model!$B$2:$B$636,MATCH($K486,Model!$R$2:$R$636,0)))</f>
        <v/>
      </c>
      <c r="I486" s="8">
        <f>IF($K486="","",INDEX(Model!$C$2:$C$636,MATCH($K486,Model!$R$2:$R$636,0)))</f>
        <v/>
      </c>
      <c r="J486">
        <f>IF($K486="","",INDEX(Model!$D$2:$D$636,MATCH($K486,Model!$R$2:$R$636,0)))</f>
        <v/>
      </c>
      <c r="K486">
        <f>IF(450&lt;=$E$5,LARGE(Model!$R$2:$R$636,450),"")</f>
        <v/>
      </c>
    </row>
    <row r="487">
      <c r="A487">
        <f>IF($K487="","",INDEX(Raw_data!$D$2:$D$636,MATCH($K487,Model!$R$2:$R$636,0)))</f>
        <v/>
      </c>
      <c r="B487" s="11">
        <f>IF($K487="","",INDEX(Raw_data!$F$2:$F$636,MATCH($K487,Model!$R$2:$R$636,0)))</f>
        <v/>
      </c>
      <c r="C487">
        <f>IF($K487="","",HYPERLINK(INDEX(Raw_data!$C$2:$C$636,MATCH($K487,Model!$R$2:$R$636,0)),INDEX(Raw_data!$C$2:$C$636,MATCH($K487,Model!$R$2:$R$636,0))))</f>
        <v/>
      </c>
      <c r="D487">
        <f>IF($K487="","",INDEX(Raw_data!$AL$2:$AL$636,MATCH($K487,Model!$R$2:$R$636,0)))</f>
        <v/>
      </c>
      <c r="E487">
        <f>IF($K487="","",INDEX(Raw_data!$AM$2:$AM$636,MATCH($K487,Model!$R$2:$R$636,0)))</f>
        <v/>
      </c>
      <c r="F487">
        <f>IF($K487="","",INDEX(Raw_data!$AQ$2:$AQ$636,MATCH($K487,Model!$R$2:$R$636,0)))</f>
        <v/>
      </c>
      <c r="G487">
        <f>IF($K487="","",INDEX(Raw_data!$H$2:$H$636,MATCH($K487,Model!$R$2:$R$636,0)))</f>
        <v/>
      </c>
      <c r="H487" s="8">
        <f>IF($K487="","",INDEX(Model!$B$2:$B$636,MATCH($K487,Model!$R$2:$R$636,0)))</f>
        <v/>
      </c>
      <c r="I487" s="8">
        <f>IF($K487="","",INDEX(Model!$C$2:$C$636,MATCH($K487,Model!$R$2:$R$636,0)))</f>
        <v/>
      </c>
      <c r="J487">
        <f>IF($K487="","",INDEX(Model!$D$2:$D$636,MATCH($K487,Model!$R$2:$R$636,0)))</f>
        <v/>
      </c>
      <c r="K487">
        <f>IF(451&lt;=$E$5,LARGE(Model!$R$2:$R$636,451),"")</f>
        <v/>
      </c>
    </row>
    <row r="488">
      <c r="A488">
        <f>IF($K488="","",INDEX(Raw_data!$D$2:$D$636,MATCH($K488,Model!$R$2:$R$636,0)))</f>
        <v/>
      </c>
      <c r="B488" s="11">
        <f>IF($K488="","",INDEX(Raw_data!$F$2:$F$636,MATCH($K488,Model!$R$2:$R$636,0)))</f>
        <v/>
      </c>
      <c r="C488">
        <f>IF($K488="","",HYPERLINK(INDEX(Raw_data!$C$2:$C$636,MATCH($K488,Model!$R$2:$R$636,0)),INDEX(Raw_data!$C$2:$C$636,MATCH($K488,Model!$R$2:$R$636,0))))</f>
        <v/>
      </c>
      <c r="D488">
        <f>IF($K488="","",INDEX(Raw_data!$AL$2:$AL$636,MATCH($K488,Model!$R$2:$R$636,0)))</f>
        <v/>
      </c>
      <c r="E488">
        <f>IF($K488="","",INDEX(Raw_data!$AM$2:$AM$636,MATCH($K488,Model!$R$2:$R$636,0)))</f>
        <v/>
      </c>
      <c r="F488">
        <f>IF($K488="","",INDEX(Raw_data!$AQ$2:$AQ$636,MATCH($K488,Model!$R$2:$R$636,0)))</f>
        <v/>
      </c>
      <c r="G488">
        <f>IF($K488="","",INDEX(Raw_data!$H$2:$H$636,MATCH($K488,Model!$R$2:$R$636,0)))</f>
        <v/>
      </c>
      <c r="H488" s="8">
        <f>IF($K488="","",INDEX(Model!$B$2:$B$636,MATCH($K488,Model!$R$2:$R$636,0)))</f>
        <v/>
      </c>
      <c r="I488" s="8">
        <f>IF($K488="","",INDEX(Model!$C$2:$C$636,MATCH($K488,Model!$R$2:$R$636,0)))</f>
        <v/>
      </c>
      <c r="J488">
        <f>IF($K488="","",INDEX(Model!$D$2:$D$636,MATCH($K488,Model!$R$2:$R$636,0)))</f>
        <v/>
      </c>
      <c r="K488">
        <f>IF(452&lt;=$E$5,LARGE(Model!$R$2:$R$636,452),"")</f>
        <v/>
      </c>
    </row>
    <row r="489">
      <c r="A489">
        <f>IF($K489="","",INDEX(Raw_data!$D$2:$D$636,MATCH($K489,Model!$R$2:$R$636,0)))</f>
        <v/>
      </c>
      <c r="B489" s="11">
        <f>IF($K489="","",INDEX(Raw_data!$F$2:$F$636,MATCH($K489,Model!$R$2:$R$636,0)))</f>
        <v/>
      </c>
      <c r="C489">
        <f>IF($K489="","",HYPERLINK(INDEX(Raw_data!$C$2:$C$636,MATCH($K489,Model!$R$2:$R$636,0)),INDEX(Raw_data!$C$2:$C$636,MATCH($K489,Model!$R$2:$R$636,0))))</f>
        <v/>
      </c>
      <c r="D489">
        <f>IF($K489="","",INDEX(Raw_data!$AL$2:$AL$636,MATCH($K489,Model!$R$2:$R$636,0)))</f>
        <v/>
      </c>
      <c r="E489">
        <f>IF($K489="","",INDEX(Raw_data!$AM$2:$AM$636,MATCH($K489,Model!$R$2:$R$636,0)))</f>
        <v/>
      </c>
      <c r="F489">
        <f>IF($K489="","",INDEX(Raw_data!$AQ$2:$AQ$636,MATCH($K489,Model!$R$2:$R$636,0)))</f>
        <v/>
      </c>
      <c r="G489">
        <f>IF($K489="","",INDEX(Raw_data!$H$2:$H$636,MATCH($K489,Model!$R$2:$R$636,0)))</f>
        <v/>
      </c>
      <c r="H489" s="8">
        <f>IF($K489="","",INDEX(Model!$B$2:$B$636,MATCH($K489,Model!$R$2:$R$636,0)))</f>
        <v/>
      </c>
      <c r="I489" s="8">
        <f>IF($K489="","",INDEX(Model!$C$2:$C$636,MATCH($K489,Model!$R$2:$R$636,0)))</f>
        <v/>
      </c>
      <c r="J489">
        <f>IF($K489="","",INDEX(Model!$D$2:$D$636,MATCH($K489,Model!$R$2:$R$636,0)))</f>
        <v/>
      </c>
      <c r="K489">
        <f>IF(453&lt;=$E$5,LARGE(Model!$R$2:$R$636,453),"")</f>
        <v/>
      </c>
    </row>
    <row r="490">
      <c r="A490">
        <f>IF($K490="","",INDEX(Raw_data!$D$2:$D$636,MATCH($K490,Model!$R$2:$R$636,0)))</f>
        <v/>
      </c>
      <c r="B490" s="11">
        <f>IF($K490="","",INDEX(Raw_data!$F$2:$F$636,MATCH($K490,Model!$R$2:$R$636,0)))</f>
        <v/>
      </c>
      <c r="C490">
        <f>IF($K490="","",HYPERLINK(INDEX(Raw_data!$C$2:$C$636,MATCH($K490,Model!$R$2:$R$636,0)),INDEX(Raw_data!$C$2:$C$636,MATCH($K490,Model!$R$2:$R$636,0))))</f>
        <v/>
      </c>
      <c r="D490">
        <f>IF($K490="","",INDEX(Raw_data!$AL$2:$AL$636,MATCH($K490,Model!$R$2:$R$636,0)))</f>
        <v/>
      </c>
      <c r="E490">
        <f>IF($K490="","",INDEX(Raw_data!$AM$2:$AM$636,MATCH($K490,Model!$R$2:$R$636,0)))</f>
        <v/>
      </c>
      <c r="F490">
        <f>IF($K490="","",INDEX(Raw_data!$AQ$2:$AQ$636,MATCH($K490,Model!$R$2:$R$636,0)))</f>
        <v/>
      </c>
      <c r="G490">
        <f>IF($K490="","",INDEX(Raw_data!$H$2:$H$636,MATCH($K490,Model!$R$2:$R$636,0)))</f>
        <v/>
      </c>
      <c r="H490" s="8">
        <f>IF($K490="","",INDEX(Model!$B$2:$B$636,MATCH($K490,Model!$R$2:$R$636,0)))</f>
        <v/>
      </c>
      <c r="I490" s="8">
        <f>IF($K490="","",INDEX(Model!$C$2:$C$636,MATCH($K490,Model!$R$2:$R$636,0)))</f>
        <v/>
      </c>
      <c r="J490">
        <f>IF($K490="","",INDEX(Model!$D$2:$D$636,MATCH($K490,Model!$R$2:$R$636,0)))</f>
        <v/>
      </c>
      <c r="K490">
        <f>IF(454&lt;=$E$5,LARGE(Model!$R$2:$R$636,454),"")</f>
        <v/>
      </c>
    </row>
    <row r="491">
      <c r="A491">
        <f>IF($K491="","",INDEX(Raw_data!$D$2:$D$636,MATCH($K491,Model!$R$2:$R$636,0)))</f>
        <v/>
      </c>
      <c r="B491" s="11">
        <f>IF($K491="","",INDEX(Raw_data!$F$2:$F$636,MATCH($K491,Model!$R$2:$R$636,0)))</f>
        <v/>
      </c>
      <c r="C491">
        <f>IF($K491="","",HYPERLINK(INDEX(Raw_data!$C$2:$C$636,MATCH($K491,Model!$R$2:$R$636,0)),INDEX(Raw_data!$C$2:$C$636,MATCH($K491,Model!$R$2:$R$636,0))))</f>
        <v/>
      </c>
      <c r="D491">
        <f>IF($K491="","",INDEX(Raw_data!$AL$2:$AL$636,MATCH($K491,Model!$R$2:$R$636,0)))</f>
        <v/>
      </c>
      <c r="E491">
        <f>IF($K491="","",INDEX(Raw_data!$AM$2:$AM$636,MATCH($K491,Model!$R$2:$R$636,0)))</f>
        <v/>
      </c>
      <c r="F491">
        <f>IF($K491="","",INDEX(Raw_data!$AQ$2:$AQ$636,MATCH($K491,Model!$R$2:$R$636,0)))</f>
        <v/>
      </c>
      <c r="G491">
        <f>IF($K491="","",INDEX(Raw_data!$H$2:$H$636,MATCH($K491,Model!$R$2:$R$636,0)))</f>
        <v/>
      </c>
      <c r="H491" s="8">
        <f>IF($K491="","",INDEX(Model!$B$2:$B$636,MATCH($K491,Model!$R$2:$R$636,0)))</f>
        <v/>
      </c>
      <c r="I491" s="8">
        <f>IF($K491="","",INDEX(Model!$C$2:$C$636,MATCH($K491,Model!$R$2:$R$636,0)))</f>
        <v/>
      </c>
      <c r="J491">
        <f>IF($K491="","",INDEX(Model!$D$2:$D$636,MATCH($K491,Model!$R$2:$R$636,0)))</f>
        <v/>
      </c>
      <c r="K491">
        <f>IF(455&lt;=$E$5,LARGE(Model!$R$2:$R$636,455),"")</f>
        <v/>
      </c>
    </row>
    <row r="492">
      <c r="A492">
        <f>IF($K492="","",INDEX(Raw_data!$D$2:$D$636,MATCH($K492,Model!$R$2:$R$636,0)))</f>
        <v/>
      </c>
      <c r="B492" s="11">
        <f>IF($K492="","",INDEX(Raw_data!$F$2:$F$636,MATCH($K492,Model!$R$2:$R$636,0)))</f>
        <v/>
      </c>
      <c r="C492">
        <f>IF($K492="","",HYPERLINK(INDEX(Raw_data!$C$2:$C$636,MATCH($K492,Model!$R$2:$R$636,0)),INDEX(Raw_data!$C$2:$C$636,MATCH($K492,Model!$R$2:$R$636,0))))</f>
        <v/>
      </c>
      <c r="D492">
        <f>IF($K492="","",INDEX(Raw_data!$AL$2:$AL$636,MATCH($K492,Model!$R$2:$R$636,0)))</f>
        <v/>
      </c>
      <c r="E492">
        <f>IF($K492="","",INDEX(Raw_data!$AM$2:$AM$636,MATCH($K492,Model!$R$2:$R$636,0)))</f>
        <v/>
      </c>
      <c r="F492">
        <f>IF($K492="","",INDEX(Raw_data!$AQ$2:$AQ$636,MATCH($K492,Model!$R$2:$R$636,0)))</f>
        <v/>
      </c>
      <c r="G492">
        <f>IF($K492="","",INDEX(Raw_data!$H$2:$H$636,MATCH($K492,Model!$R$2:$R$636,0)))</f>
        <v/>
      </c>
      <c r="H492" s="8">
        <f>IF($K492="","",INDEX(Model!$B$2:$B$636,MATCH($K492,Model!$R$2:$R$636,0)))</f>
        <v/>
      </c>
      <c r="I492" s="8">
        <f>IF($K492="","",INDEX(Model!$C$2:$C$636,MATCH($K492,Model!$R$2:$R$636,0)))</f>
        <v/>
      </c>
      <c r="J492">
        <f>IF($K492="","",INDEX(Model!$D$2:$D$636,MATCH($K492,Model!$R$2:$R$636,0)))</f>
        <v/>
      </c>
      <c r="K492">
        <f>IF(456&lt;=$E$5,LARGE(Model!$R$2:$R$636,456),"")</f>
        <v/>
      </c>
    </row>
    <row r="493">
      <c r="A493">
        <f>IF($K493="","",INDEX(Raw_data!$D$2:$D$636,MATCH($K493,Model!$R$2:$R$636,0)))</f>
        <v/>
      </c>
      <c r="B493" s="11">
        <f>IF($K493="","",INDEX(Raw_data!$F$2:$F$636,MATCH($K493,Model!$R$2:$R$636,0)))</f>
        <v/>
      </c>
      <c r="C493">
        <f>IF($K493="","",HYPERLINK(INDEX(Raw_data!$C$2:$C$636,MATCH($K493,Model!$R$2:$R$636,0)),INDEX(Raw_data!$C$2:$C$636,MATCH($K493,Model!$R$2:$R$636,0))))</f>
        <v/>
      </c>
      <c r="D493">
        <f>IF($K493="","",INDEX(Raw_data!$AL$2:$AL$636,MATCH($K493,Model!$R$2:$R$636,0)))</f>
        <v/>
      </c>
      <c r="E493">
        <f>IF($K493="","",INDEX(Raw_data!$AM$2:$AM$636,MATCH($K493,Model!$R$2:$R$636,0)))</f>
        <v/>
      </c>
      <c r="F493">
        <f>IF($K493="","",INDEX(Raw_data!$AQ$2:$AQ$636,MATCH($K493,Model!$R$2:$R$636,0)))</f>
        <v/>
      </c>
      <c r="G493">
        <f>IF($K493="","",INDEX(Raw_data!$H$2:$H$636,MATCH($K493,Model!$R$2:$R$636,0)))</f>
        <v/>
      </c>
      <c r="H493" s="8">
        <f>IF($K493="","",INDEX(Model!$B$2:$B$636,MATCH($K493,Model!$R$2:$R$636,0)))</f>
        <v/>
      </c>
      <c r="I493" s="8">
        <f>IF($K493="","",INDEX(Model!$C$2:$C$636,MATCH($K493,Model!$R$2:$R$636,0)))</f>
        <v/>
      </c>
      <c r="J493">
        <f>IF($K493="","",INDEX(Model!$D$2:$D$636,MATCH($K493,Model!$R$2:$R$636,0)))</f>
        <v/>
      </c>
      <c r="K493">
        <f>IF(457&lt;=$E$5,LARGE(Model!$R$2:$R$636,457),"")</f>
        <v/>
      </c>
    </row>
    <row r="494">
      <c r="A494">
        <f>IF($K494="","",INDEX(Raw_data!$D$2:$D$636,MATCH($K494,Model!$R$2:$R$636,0)))</f>
        <v/>
      </c>
      <c r="B494" s="11">
        <f>IF($K494="","",INDEX(Raw_data!$F$2:$F$636,MATCH($K494,Model!$R$2:$R$636,0)))</f>
        <v/>
      </c>
      <c r="C494">
        <f>IF($K494="","",HYPERLINK(INDEX(Raw_data!$C$2:$C$636,MATCH($K494,Model!$R$2:$R$636,0)),INDEX(Raw_data!$C$2:$C$636,MATCH($K494,Model!$R$2:$R$636,0))))</f>
        <v/>
      </c>
      <c r="D494">
        <f>IF($K494="","",INDEX(Raw_data!$AL$2:$AL$636,MATCH($K494,Model!$R$2:$R$636,0)))</f>
        <v/>
      </c>
      <c r="E494">
        <f>IF($K494="","",INDEX(Raw_data!$AM$2:$AM$636,MATCH($K494,Model!$R$2:$R$636,0)))</f>
        <v/>
      </c>
      <c r="F494">
        <f>IF($K494="","",INDEX(Raw_data!$AQ$2:$AQ$636,MATCH($K494,Model!$R$2:$R$636,0)))</f>
        <v/>
      </c>
      <c r="G494">
        <f>IF($K494="","",INDEX(Raw_data!$H$2:$H$636,MATCH($K494,Model!$R$2:$R$636,0)))</f>
        <v/>
      </c>
      <c r="H494" s="8">
        <f>IF($K494="","",INDEX(Model!$B$2:$B$636,MATCH($K494,Model!$R$2:$R$636,0)))</f>
        <v/>
      </c>
      <c r="I494" s="8">
        <f>IF($K494="","",INDEX(Model!$C$2:$C$636,MATCH($K494,Model!$R$2:$R$636,0)))</f>
        <v/>
      </c>
      <c r="J494">
        <f>IF($K494="","",INDEX(Model!$D$2:$D$636,MATCH($K494,Model!$R$2:$R$636,0)))</f>
        <v/>
      </c>
      <c r="K494">
        <f>IF(458&lt;=$E$5,LARGE(Model!$R$2:$R$636,458),"")</f>
        <v/>
      </c>
    </row>
    <row r="495">
      <c r="A495">
        <f>IF($K495="","",INDEX(Raw_data!$D$2:$D$636,MATCH($K495,Model!$R$2:$R$636,0)))</f>
        <v/>
      </c>
      <c r="B495" s="11">
        <f>IF($K495="","",INDEX(Raw_data!$F$2:$F$636,MATCH($K495,Model!$R$2:$R$636,0)))</f>
        <v/>
      </c>
      <c r="C495">
        <f>IF($K495="","",HYPERLINK(INDEX(Raw_data!$C$2:$C$636,MATCH($K495,Model!$R$2:$R$636,0)),INDEX(Raw_data!$C$2:$C$636,MATCH($K495,Model!$R$2:$R$636,0))))</f>
        <v/>
      </c>
      <c r="D495">
        <f>IF($K495="","",INDEX(Raw_data!$AL$2:$AL$636,MATCH($K495,Model!$R$2:$R$636,0)))</f>
        <v/>
      </c>
      <c r="E495">
        <f>IF($K495="","",INDEX(Raw_data!$AM$2:$AM$636,MATCH($K495,Model!$R$2:$R$636,0)))</f>
        <v/>
      </c>
      <c r="F495">
        <f>IF($K495="","",INDEX(Raw_data!$AQ$2:$AQ$636,MATCH($K495,Model!$R$2:$R$636,0)))</f>
        <v/>
      </c>
      <c r="G495">
        <f>IF($K495="","",INDEX(Raw_data!$H$2:$H$636,MATCH($K495,Model!$R$2:$R$636,0)))</f>
        <v/>
      </c>
      <c r="H495" s="8">
        <f>IF($K495="","",INDEX(Model!$B$2:$B$636,MATCH($K495,Model!$R$2:$R$636,0)))</f>
        <v/>
      </c>
      <c r="I495" s="8">
        <f>IF($K495="","",INDEX(Model!$C$2:$C$636,MATCH($K495,Model!$R$2:$R$636,0)))</f>
        <v/>
      </c>
      <c r="J495">
        <f>IF($K495="","",INDEX(Model!$D$2:$D$636,MATCH($K495,Model!$R$2:$R$636,0)))</f>
        <v/>
      </c>
      <c r="K495">
        <f>IF(459&lt;=$E$5,LARGE(Model!$R$2:$R$636,459),"")</f>
        <v/>
      </c>
    </row>
    <row r="496">
      <c r="A496">
        <f>IF($K496="","",INDEX(Raw_data!$D$2:$D$636,MATCH($K496,Model!$R$2:$R$636,0)))</f>
        <v/>
      </c>
      <c r="B496" s="11">
        <f>IF($K496="","",INDEX(Raw_data!$F$2:$F$636,MATCH($K496,Model!$R$2:$R$636,0)))</f>
        <v/>
      </c>
      <c r="C496">
        <f>IF($K496="","",HYPERLINK(INDEX(Raw_data!$C$2:$C$636,MATCH($K496,Model!$R$2:$R$636,0)),INDEX(Raw_data!$C$2:$C$636,MATCH($K496,Model!$R$2:$R$636,0))))</f>
        <v/>
      </c>
      <c r="D496">
        <f>IF($K496="","",INDEX(Raw_data!$AL$2:$AL$636,MATCH($K496,Model!$R$2:$R$636,0)))</f>
        <v/>
      </c>
      <c r="E496">
        <f>IF($K496="","",INDEX(Raw_data!$AM$2:$AM$636,MATCH($K496,Model!$R$2:$R$636,0)))</f>
        <v/>
      </c>
      <c r="F496">
        <f>IF($K496="","",INDEX(Raw_data!$AQ$2:$AQ$636,MATCH($K496,Model!$R$2:$R$636,0)))</f>
        <v/>
      </c>
      <c r="G496">
        <f>IF($K496="","",INDEX(Raw_data!$H$2:$H$636,MATCH($K496,Model!$R$2:$R$636,0)))</f>
        <v/>
      </c>
      <c r="H496" s="8">
        <f>IF($K496="","",INDEX(Model!$B$2:$B$636,MATCH($K496,Model!$R$2:$R$636,0)))</f>
        <v/>
      </c>
      <c r="I496" s="8">
        <f>IF($K496="","",INDEX(Model!$C$2:$C$636,MATCH($K496,Model!$R$2:$R$636,0)))</f>
        <v/>
      </c>
      <c r="J496">
        <f>IF($K496="","",INDEX(Model!$D$2:$D$636,MATCH($K496,Model!$R$2:$R$636,0)))</f>
        <v/>
      </c>
      <c r="K496">
        <f>IF(460&lt;=$E$5,LARGE(Model!$R$2:$R$636,460),"")</f>
        <v/>
      </c>
    </row>
    <row r="497">
      <c r="A497">
        <f>IF($K497="","",INDEX(Raw_data!$D$2:$D$636,MATCH($K497,Model!$R$2:$R$636,0)))</f>
        <v/>
      </c>
      <c r="B497" s="11">
        <f>IF($K497="","",INDEX(Raw_data!$F$2:$F$636,MATCH($K497,Model!$R$2:$R$636,0)))</f>
        <v/>
      </c>
      <c r="C497">
        <f>IF($K497="","",HYPERLINK(INDEX(Raw_data!$C$2:$C$636,MATCH($K497,Model!$R$2:$R$636,0)),INDEX(Raw_data!$C$2:$C$636,MATCH($K497,Model!$R$2:$R$636,0))))</f>
        <v/>
      </c>
      <c r="D497">
        <f>IF($K497="","",INDEX(Raw_data!$AL$2:$AL$636,MATCH($K497,Model!$R$2:$R$636,0)))</f>
        <v/>
      </c>
      <c r="E497">
        <f>IF($K497="","",INDEX(Raw_data!$AM$2:$AM$636,MATCH($K497,Model!$R$2:$R$636,0)))</f>
        <v/>
      </c>
      <c r="F497">
        <f>IF($K497="","",INDEX(Raw_data!$AQ$2:$AQ$636,MATCH($K497,Model!$R$2:$R$636,0)))</f>
        <v/>
      </c>
      <c r="G497">
        <f>IF($K497="","",INDEX(Raw_data!$H$2:$H$636,MATCH($K497,Model!$R$2:$R$636,0)))</f>
        <v/>
      </c>
      <c r="H497" s="8">
        <f>IF($K497="","",INDEX(Model!$B$2:$B$636,MATCH($K497,Model!$R$2:$R$636,0)))</f>
        <v/>
      </c>
      <c r="I497" s="8">
        <f>IF($K497="","",INDEX(Model!$C$2:$C$636,MATCH($K497,Model!$R$2:$R$636,0)))</f>
        <v/>
      </c>
      <c r="J497">
        <f>IF($K497="","",INDEX(Model!$D$2:$D$636,MATCH($K497,Model!$R$2:$R$636,0)))</f>
        <v/>
      </c>
      <c r="K497">
        <f>IF(461&lt;=$E$5,LARGE(Model!$R$2:$R$636,461),"")</f>
        <v/>
      </c>
    </row>
    <row r="498">
      <c r="A498">
        <f>IF($K498="","",INDEX(Raw_data!$D$2:$D$636,MATCH($K498,Model!$R$2:$R$636,0)))</f>
        <v/>
      </c>
      <c r="B498" s="11">
        <f>IF($K498="","",INDEX(Raw_data!$F$2:$F$636,MATCH($K498,Model!$R$2:$R$636,0)))</f>
        <v/>
      </c>
      <c r="C498">
        <f>IF($K498="","",HYPERLINK(INDEX(Raw_data!$C$2:$C$636,MATCH($K498,Model!$R$2:$R$636,0)),INDEX(Raw_data!$C$2:$C$636,MATCH($K498,Model!$R$2:$R$636,0))))</f>
        <v/>
      </c>
      <c r="D498">
        <f>IF($K498="","",INDEX(Raw_data!$AL$2:$AL$636,MATCH($K498,Model!$R$2:$R$636,0)))</f>
        <v/>
      </c>
      <c r="E498">
        <f>IF($K498="","",INDEX(Raw_data!$AM$2:$AM$636,MATCH($K498,Model!$R$2:$R$636,0)))</f>
        <v/>
      </c>
      <c r="F498">
        <f>IF($K498="","",INDEX(Raw_data!$AQ$2:$AQ$636,MATCH($K498,Model!$R$2:$R$636,0)))</f>
        <v/>
      </c>
      <c r="G498">
        <f>IF($K498="","",INDEX(Raw_data!$H$2:$H$636,MATCH($K498,Model!$R$2:$R$636,0)))</f>
        <v/>
      </c>
      <c r="H498" s="8">
        <f>IF($K498="","",INDEX(Model!$B$2:$B$636,MATCH($K498,Model!$R$2:$R$636,0)))</f>
        <v/>
      </c>
      <c r="I498" s="8">
        <f>IF($K498="","",INDEX(Model!$C$2:$C$636,MATCH($K498,Model!$R$2:$R$636,0)))</f>
        <v/>
      </c>
      <c r="J498">
        <f>IF($K498="","",INDEX(Model!$D$2:$D$636,MATCH($K498,Model!$R$2:$R$636,0)))</f>
        <v/>
      </c>
      <c r="K498">
        <f>IF(462&lt;=$E$5,LARGE(Model!$R$2:$R$636,462),"")</f>
        <v/>
      </c>
    </row>
    <row r="499">
      <c r="A499">
        <f>IF($K499="","",INDEX(Raw_data!$D$2:$D$636,MATCH($K499,Model!$R$2:$R$636,0)))</f>
        <v/>
      </c>
      <c r="B499" s="11">
        <f>IF($K499="","",INDEX(Raw_data!$F$2:$F$636,MATCH($K499,Model!$R$2:$R$636,0)))</f>
        <v/>
      </c>
      <c r="C499">
        <f>IF($K499="","",HYPERLINK(INDEX(Raw_data!$C$2:$C$636,MATCH($K499,Model!$R$2:$R$636,0)),INDEX(Raw_data!$C$2:$C$636,MATCH($K499,Model!$R$2:$R$636,0))))</f>
        <v/>
      </c>
      <c r="D499">
        <f>IF($K499="","",INDEX(Raw_data!$AL$2:$AL$636,MATCH($K499,Model!$R$2:$R$636,0)))</f>
        <v/>
      </c>
      <c r="E499">
        <f>IF($K499="","",INDEX(Raw_data!$AM$2:$AM$636,MATCH($K499,Model!$R$2:$R$636,0)))</f>
        <v/>
      </c>
      <c r="F499">
        <f>IF($K499="","",INDEX(Raw_data!$AQ$2:$AQ$636,MATCH($K499,Model!$R$2:$R$636,0)))</f>
        <v/>
      </c>
      <c r="G499">
        <f>IF($K499="","",INDEX(Raw_data!$H$2:$H$636,MATCH($K499,Model!$R$2:$R$636,0)))</f>
        <v/>
      </c>
      <c r="H499" s="8">
        <f>IF($K499="","",INDEX(Model!$B$2:$B$636,MATCH($K499,Model!$R$2:$R$636,0)))</f>
        <v/>
      </c>
      <c r="I499" s="8">
        <f>IF($K499="","",INDEX(Model!$C$2:$C$636,MATCH($K499,Model!$R$2:$R$636,0)))</f>
        <v/>
      </c>
      <c r="J499">
        <f>IF($K499="","",INDEX(Model!$D$2:$D$636,MATCH($K499,Model!$R$2:$R$636,0)))</f>
        <v/>
      </c>
      <c r="K499">
        <f>IF(463&lt;=$E$5,LARGE(Model!$R$2:$R$636,463),"")</f>
        <v/>
      </c>
    </row>
    <row r="500">
      <c r="A500">
        <f>IF($K500="","",INDEX(Raw_data!$D$2:$D$636,MATCH($K500,Model!$R$2:$R$636,0)))</f>
        <v/>
      </c>
      <c r="B500" s="11">
        <f>IF($K500="","",INDEX(Raw_data!$F$2:$F$636,MATCH($K500,Model!$R$2:$R$636,0)))</f>
        <v/>
      </c>
      <c r="C500">
        <f>IF($K500="","",HYPERLINK(INDEX(Raw_data!$C$2:$C$636,MATCH($K500,Model!$R$2:$R$636,0)),INDEX(Raw_data!$C$2:$C$636,MATCH($K500,Model!$R$2:$R$636,0))))</f>
        <v/>
      </c>
      <c r="D500">
        <f>IF($K500="","",INDEX(Raw_data!$AL$2:$AL$636,MATCH($K500,Model!$R$2:$R$636,0)))</f>
        <v/>
      </c>
      <c r="E500">
        <f>IF($K500="","",INDEX(Raw_data!$AM$2:$AM$636,MATCH($K500,Model!$R$2:$R$636,0)))</f>
        <v/>
      </c>
      <c r="F500">
        <f>IF($K500="","",INDEX(Raw_data!$AQ$2:$AQ$636,MATCH($K500,Model!$R$2:$R$636,0)))</f>
        <v/>
      </c>
      <c r="G500">
        <f>IF($K500="","",INDEX(Raw_data!$H$2:$H$636,MATCH($K500,Model!$R$2:$R$636,0)))</f>
        <v/>
      </c>
      <c r="H500" s="8">
        <f>IF($K500="","",INDEX(Model!$B$2:$B$636,MATCH($K500,Model!$R$2:$R$636,0)))</f>
        <v/>
      </c>
      <c r="I500" s="8">
        <f>IF($K500="","",INDEX(Model!$C$2:$C$636,MATCH($K500,Model!$R$2:$R$636,0)))</f>
        <v/>
      </c>
      <c r="J500">
        <f>IF($K500="","",INDEX(Model!$D$2:$D$636,MATCH($K500,Model!$R$2:$R$636,0)))</f>
        <v/>
      </c>
      <c r="K500">
        <f>IF(464&lt;=$E$5,LARGE(Model!$R$2:$R$636,464),"")</f>
        <v/>
      </c>
    </row>
    <row r="501">
      <c r="A501">
        <f>IF($K501="","",INDEX(Raw_data!$D$2:$D$636,MATCH($K501,Model!$R$2:$R$636,0)))</f>
        <v/>
      </c>
      <c r="B501" s="11">
        <f>IF($K501="","",INDEX(Raw_data!$F$2:$F$636,MATCH($K501,Model!$R$2:$R$636,0)))</f>
        <v/>
      </c>
      <c r="C501">
        <f>IF($K501="","",HYPERLINK(INDEX(Raw_data!$C$2:$C$636,MATCH($K501,Model!$R$2:$R$636,0)),INDEX(Raw_data!$C$2:$C$636,MATCH($K501,Model!$R$2:$R$636,0))))</f>
        <v/>
      </c>
      <c r="D501">
        <f>IF($K501="","",INDEX(Raw_data!$AL$2:$AL$636,MATCH($K501,Model!$R$2:$R$636,0)))</f>
        <v/>
      </c>
      <c r="E501">
        <f>IF($K501="","",INDEX(Raw_data!$AM$2:$AM$636,MATCH($K501,Model!$R$2:$R$636,0)))</f>
        <v/>
      </c>
      <c r="F501">
        <f>IF($K501="","",INDEX(Raw_data!$AQ$2:$AQ$636,MATCH($K501,Model!$R$2:$R$636,0)))</f>
        <v/>
      </c>
      <c r="G501">
        <f>IF($K501="","",INDEX(Raw_data!$H$2:$H$636,MATCH($K501,Model!$R$2:$R$636,0)))</f>
        <v/>
      </c>
      <c r="H501" s="8">
        <f>IF($K501="","",INDEX(Model!$B$2:$B$636,MATCH($K501,Model!$R$2:$R$636,0)))</f>
        <v/>
      </c>
      <c r="I501" s="8">
        <f>IF($K501="","",INDEX(Model!$C$2:$C$636,MATCH($K501,Model!$R$2:$R$636,0)))</f>
        <v/>
      </c>
      <c r="J501">
        <f>IF($K501="","",INDEX(Model!$D$2:$D$636,MATCH($K501,Model!$R$2:$R$636,0)))</f>
        <v/>
      </c>
      <c r="K501">
        <f>IF(465&lt;=$E$5,LARGE(Model!$R$2:$R$636,465),"")</f>
        <v/>
      </c>
    </row>
    <row r="502">
      <c r="A502">
        <f>IF($K502="","",INDEX(Raw_data!$D$2:$D$636,MATCH($K502,Model!$R$2:$R$636,0)))</f>
        <v/>
      </c>
      <c r="B502" s="11">
        <f>IF($K502="","",INDEX(Raw_data!$F$2:$F$636,MATCH($K502,Model!$R$2:$R$636,0)))</f>
        <v/>
      </c>
      <c r="C502">
        <f>IF($K502="","",HYPERLINK(INDEX(Raw_data!$C$2:$C$636,MATCH($K502,Model!$R$2:$R$636,0)),INDEX(Raw_data!$C$2:$C$636,MATCH($K502,Model!$R$2:$R$636,0))))</f>
        <v/>
      </c>
      <c r="D502">
        <f>IF($K502="","",INDEX(Raw_data!$AL$2:$AL$636,MATCH($K502,Model!$R$2:$R$636,0)))</f>
        <v/>
      </c>
      <c r="E502">
        <f>IF($K502="","",INDEX(Raw_data!$AM$2:$AM$636,MATCH($K502,Model!$R$2:$R$636,0)))</f>
        <v/>
      </c>
      <c r="F502">
        <f>IF($K502="","",INDEX(Raw_data!$AQ$2:$AQ$636,MATCH($K502,Model!$R$2:$R$636,0)))</f>
        <v/>
      </c>
      <c r="G502">
        <f>IF($K502="","",INDEX(Raw_data!$H$2:$H$636,MATCH($K502,Model!$R$2:$R$636,0)))</f>
        <v/>
      </c>
      <c r="H502" s="8">
        <f>IF($K502="","",INDEX(Model!$B$2:$B$636,MATCH($K502,Model!$R$2:$R$636,0)))</f>
        <v/>
      </c>
      <c r="I502" s="8">
        <f>IF($K502="","",INDEX(Model!$C$2:$C$636,MATCH($K502,Model!$R$2:$R$636,0)))</f>
        <v/>
      </c>
      <c r="J502">
        <f>IF($K502="","",INDEX(Model!$D$2:$D$636,MATCH($K502,Model!$R$2:$R$636,0)))</f>
        <v/>
      </c>
      <c r="K502">
        <f>IF(466&lt;=$E$5,LARGE(Model!$R$2:$R$636,466),"")</f>
        <v/>
      </c>
    </row>
    <row r="503">
      <c r="A503">
        <f>IF($K503="","",INDEX(Raw_data!$D$2:$D$636,MATCH($K503,Model!$R$2:$R$636,0)))</f>
        <v/>
      </c>
      <c r="B503" s="11">
        <f>IF($K503="","",INDEX(Raw_data!$F$2:$F$636,MATCH($K503,Model!$R$2:$R$636,0)))</f>
        <v/>
      </c>
      <c r="C503">
        <f>IF($K503="","",HYPERLINK(INDEX(Raw_data!$C$2:$C$636,MATCH($K503,Model!$R$2:$R$636,0)),INDEX(Raw_data!$C$2:$C$636,MATCH($K503,Model!$R$2:$R$636,0))))</f>
        <v/>
      </c>
      <c r="D503">
        <f>IF($K503="","",INDEX(Raw_data!$AL$2:$AL$636,MATCH($K503,Model!$R$2:$R$636,0)))</f>
        <v/>
      </c>
      <c r="E503">
        <f>IF($K503="","",INDEX(Raw_data!$AM$2:$AM$636,MATCH($K503,Model!$R$2:$R$636,0)))</f>
        <v/>
      </c>
      <c r="F503">
        <f>IF($K503="","",INDEX(Raw_data!$AQ$2:$AQ$636,MATCH($K503,Model!$R$2:$R$636,0)))</f>
        <v/>
      </c>
      <c r="G503">
        <f>IF($K503="","",INDEX(Raw_data!$H$2:$H$636,MATCH($K503,Model!$R$2:$R$636,0)))</f>
        <v/>
      </c>
      <c r="H503" s="8">
        <f>IF($K503="","",INDEX(Model!$B$2:$B$636,MATCH($K503,Model!$R$2:$R$636,0)))</f>
        <v/>
      </c>
      <c r="I503" s="8">
        <f>IF($K503="","",INDEX(Model!$C$2:$C$636,MATCH($K503,Model!$R$2:$R$636,0)))</f>
        <v/>
      </c>
      <c r="J503">
        <f>IF($K503="","",INDEX(Model!$D$2:$D$636,MATCH($K503,Model!$R$2:$R$636,0)))</f>
        <v/>
      </c>
      <c r="K503">
        <f>IF(467&lt;=$E$5,LARGE(Model!$R$2:$R$636,467),"")</f>
        <v/>
      </c>
    </row>
    <row r="504">
      <c r="A504">
        <f>IF($K504="","",INDEX(Raw_data!$D$2:$D$636,MATCH($K504,Model!$R$2:$R$636,0)))</f>
        <v/>
      </c>
      <c r="B504" s="11">
        <f>IF($K504="","",INDEX(Raw_data!$F$2:$F$636,MATCH($K504,Model!$R$2:$R$636,0)))</f>
        <v/>
      </c>
      <c r="C504">
        <f>IF($K504="","",HYPERLINK(INDEX(Raw_data!$C$2:$C$636,MATCH($K504,Model!$R$2:$R$636,0)),INDEX(Raw_data!$C$2:$C$636,MATCH($K504,Model!$R$2:$R$636,0))))</f>
        <v/>
      </c>
      <c r="D504">
        <f>IF($K504="","",INDEX(Raw_data!$AL$2:$AL$636,MATCH($K504,Model!$R$2:$R$636,0)))</f>
        <v/>
      </c>
      <c r="E504">
        <f>IF($K504="","",INDEX(Raw_data!$AM$2:$AM$636,MATCH($K504,Model!$R$2:$R$636,0)))</f>
        <v/>
      </c>
      <c r="F504">
        <f>IF($K504="","",INDEX(Raw_data!$AQ$2:$AQ$636,MATCH($K504,Model!$R$2:$R$636,0)))</f>
        <v/>
      </c>
      <c r="G504">
        <f>IF($K504="","",INDEX(Raw_data!$H$2:$H$636,MATCH($K504,Model!$R$2:$R$636,0)))</f>
        <v/>
      </c>
      <c r="H504" s="8">
        <f>IF($K504="","",INDEX(Model!$B$2:$B$636,MATCH($K504,Model!$R$2:$R$636,0)))</f>
        <v/>
      </c>
      <c r="I504" s="8">
        <f>IF($K504="","",INDEX(Model!$C$2:$C$636,MATCH($K504,Model!$R$2:$R$636,0)))</f>
        <v/>
      </c>
      <c r="J504">
        <f>IF($K504="","",INDEX(Model!$D$2:$D$636,MATCH($K504,Model!$R$2:$R$636,0)))</f>
        <v/>
      </c>
      <c r="K504">
        <f>IF(468&lt;=$E$5,LARGE(Model!$R$2:$R$636,468),"")</f>
        <v/>
      </c>
    </row>
    <row r="505">
      <c r="A505">
        <f>IF($K505="","",INDEX(Raw_data!$D$2:$D$636,MATCH($K505,Model!$R$2:$R$636,0)))</f>
        <v/>
      </c>
      <c r="B505" s="11">
        <f>IF($K505="","",INDEX(Raw_data!$F$2:$F$636,MATCH($K505,Model!$R$2:$R$636,0)))</f>
        <v/>
      </c>
      <c r="C505">
        <f>IF($K505="","",HYPERLINK(INDEX(Raw_data!$C$2:$C$636,MATCH($K505,Model!$R$2:$R$636,0)),INDEX(Raw_data!$C$2:$C$636,MATCH($K505,Model!$R$2:$R$636,0))))</f>
        <v/>
      </c>
      <c r="D505">
        <f>IF($K505="","",INDEX(Raw_data!$AL$2:$AL$636,MATCH($K505,Model!$R$2:$R$636,0)))</f>
        <v/>
      </c>
      <c r="E505">
        <f>IF($K505="","",INDEX(Raw_data!$AM$2:$AM$636,MATCH($K505,Model!$R$2:$R$636,0)))</f>
        <v/>
      </c>
      <c r="F505">
        <f>IF($K505="","",INDEX(Raw_data!$AQ$2:$AQ$636,MATCH($K505,Model!$R$2:$R$636,0)))</f>
        <v/>
      </c>
      <c r="G505">
        <f>IF($K505="","",INDEX(Raw_data!$H$2:$H$636,MATCH($K505,Model!$R$2:$R$636,0)))</f>
        <v/>
      </c>
      <c r="H505" s="8">
        <f>IF($K505="","",INDEX(Model!$B$2:$B$636,MATCH($K505,Model!$R$2:$R$636,0)))</f>
        <v/>
      </c>
      <c r="I505" s="8">
        <f>IF($K505="","",INDEX(Model!$C$2:$C$636,MATCH($K505,Model!$R$2:$R$636,0)))</f>
        <v/>
      </c>
      <c r="J505">
        <f>IF($K505="","",INDEX(Model!$D$2:$D$636,MATCH($K505,Model!$R$2:$R$636,0)))</f>
        <v/>
      </c>
      <c r="K505">
        <f>IF(469&lt;=$E$5,LARGE(Model!$R$2:$R$636,469),"")</f>
        <v/>
      </c>
    </row>
    <row r="506">
      <c r="A506">
        <f>IF($K506="","",INDEX(Raw_data!$D$2:$D$636,MATCH($K506,Model!$R$2:$R$636,0)))</f>
        <v/>
      </c>
      <c r="B506" s="11">
        <f>IF($K506="","",INDEX(Raw_data!$F$2:$F$636,MATCH($K506,Model!$R$2:$R$636,0)))</f>
        <v/>
      </c>
      <c r="C506">
        <f>IF($K506="","",HYPERLINK(INDEX(Raw_data!$C$2:$C$636,MATCH($K506,Model!$R$2:$R$636,0)),INDEX(Raw_data!$C$2:$C$636,MATCH($K506,Model!$R$2:$R$636,0))))</f>
        <v/>
      </c>
      <c r="D506">
        <f>IF($K506="","",INDEX(Raw_data!$AL$2:$AL$636,MATCH($K506,Model!$R$2:$R$636,0)))</f>
        <v/>
      </c>
      <c r="E506">
        <f>IF($K506="","",INDEX(Raw_data!$AM$2:$AM$636,MATCH($K506,Model!$R$2:$R$636,0)))</f>
        <v/>
      </c>
      <c r="F506">
        <f>IF($K506="","",INDEX(Raw_data!$AQ$2:$AQ$636,MATCH($K506,Model!$R$2:$R$636,0)))</f>
        <v/>
      </c>
      <c r="G506">
        <f>IF($K506="","",INDEX(Raw_data!$H$2:$H$636,MATCH($K506,Model!$R$2:$R$636,0)))</f>
        <v/>
      </c>
      <c r="H506" s="8">
        <f>IF($K506="","",INDEX(Model!$B$2:$B$636,MATCH($K506,Model!$R$2:$R$636,0)))</f>
        <v/>
      </c>
      <c r="I506" s="8">
        <f>IF($K506="","",INDEX(Model!$C$2:$C$636,MATCH($K506,Model!$R$2:$R$636,0)))</f>
        <v/>
      </c>
      <c r="J506">
        <f>IF($K506="","",INDEX(Model!$D$2:$D$636,MATCH($K506,Model!$R$2:$R$636,0)))</f>
        <v/>
      </c>
      <c r="K506">
        <f>IF(470&lt;=$E$5,LARGE(Model!$R$2:$R$636,470),"")</f>
        <v/>
      </c>
    </row>
    <row r="507">
      <c r="A507">
        <f>IF($K507="","",INDEX(Raw_data!$D$2:$D$636,MATCH($K507,Model!$R$2:$R$636,0)))</f>
        <v/>
      </c>
      <c r="B507" s="11">
        <f>IF($K507="","",INDEX(Raw_data!$F$2:$F$636,MATCH($K507,Model!$R$2:$R$636,0)))</f>
        <v/>
      </c>
      <c r="C507">
        <f>IF($K507="","",HYPERLINK(INDEX(Raw_data!$C$2:$C$636,MATCH($K507,Model!$R$2:$R$636,0)),INDEX(Raw_data!$C$2:$C$636,MATCH($K507,Model!$R$2:$R$636,0))))</f>
        <v/>
      </c>
      <c r="D507">
        <f>IF($K507="","",INDEX(Raw_data!$AL$2:$AL$636,MATCH($K507,Model!$R$2:$R$636,0)))</f>
        <v/>
      </c>
      <c r="E507">
        <f>IF($K507="","",INDEX(Raw_data!$AM$2:$AM$636,MATCH($K507,Model!$R$2:$R$636,0)))</f>
        <v/>
      </c>
      <c r="F507">
        <f>IF($K507="","",INDEX(Raw_data!$AQ$2:$AQ$636,MATCH($K507,Model!$R$2:$R$636,0)))</f>
        <v/>
      </c>
      <c r="G507">
        <f>IF($K507="","",INDEX(Raw_data!$H$2:$H$636,MATCH($K507,Model!$R$2:$R$636,0)))</f>
        <v/>
      </c>
      <c r="H507" s="8">
        <f>IF($K507="","",INDEX(Model!$B$2:$B$636,MATCH($K507,Model!$R$2:$R$636,0)))</f>
        <v/>
      </c>
      <c r="I507" s="8">
        <f>IF($K507="","",INDEX(Model!$C$2:$C$636,MATCH($K507,Model!$R$2:$R$636,0)))</f>
        <v/>
      </c>
      <c r="J507">
        <f>IF($K507="","",INDEX(Model!$D$2:$D$636,MATCH($K507,Model!$R$2:$R$636,0)))</f>
        <v/>
      </c>
      <c r="K507">
        <f>IF(471&lt;=$E$5,LARGE(Model!$R$2:$R$636,471),"")</f>
        <v/>
      </c>
    </row>
    <row r="508">
      <c r="A508">
        <f>IF($K508="","",INDEX(Raw_data!$D$2:$D$636,MATCH($K508,Model!$R$2:$R$636,0)))</f>
        <v/>
      </c>
      <c r="B508" s="11">
        <f>IF($K508="","",INDEX(Raw_data!$F$2:$F$636,MATCH($K508,Model!$R$2:$R$636,0)))</f>
        <v/>
      </c>
      <c r="C508">
        <f>IF($K508="","",HYPERLINK(INDEX(Raw_data!$C$2:$C$636,MATCH($K508,Model!$R$2:$R$636,0)),INDEX(Raw_data!$C$2:$C$636,MATCH($K508,Model!$R$2:$R$636,0))))</f>
        <v/>
      </c>
      <c r="D508">
        <f>IF($K508="","",INDEX(Raw_data!$AL$2:$AL$636,MATCH($K508,Model!$R$2:$R$636,0)))</f>
        <v/>
      </c>
      <c r="E508">
        <f>IF($K508="","",INDEX(Raw_data!$AM$2:$AM$636,MATCH($K508,Model!$R$2:$R$636,0)))</f>
        <v/>
      </c>
      <c r="F508">
        <f>IF($K508="","",INDEX(Raw_data!$AQ$2:$AQ$636,MATCH($K508,Model!$R$2:$R$636,0)))</f>
        <v/>
      </c>
      <c r="G508">
        <f>IF($K508="","",INDEX(Raw_data!$H$2:$H$636,MATCH($K508,Model!$R$2:$R$636,0)))</f>
        <v/>
      </c>
      <c r="H508" s="8">
        <f>IF($K508="","",INDEX(Model!$B$2:$B$636,MATCH($K508,Model!$R$2:$R$636,0)))</f>
        <v/>
      </c>
      <c r="I508" s="8">
        <f>IF($K508="","",INDEX(Model!$C$2:$C$636,MATCH($K508,Model!$R$2:$R$636,0)))</f>
        <v/>
      </c>
      <c r="J508">
        <f>IF($K508="","",INDEX(Model!$D$2:$D$636,MATCH($K508,Model!$R$2:$R$636,0)))</f>
        <v/>
      </c>
      <c r="K508">
        <f>IF(472&lt;=$E$5,LARGE(Model!$R$2:$R$636,472),"")</f>
        <v/>
      </c>
    </row>
    <row r="509">
      <c r="A509">
        <f>IF($K509="","",INDEX(Raw_data!$D$2:$D$636,MATCH($K509,Model!$R$2:$R$636,0)))</f>
        <v/>
      </c>
      <c r="B509" s="11">
        <f>IF($K509="","",INDEX(Raw_data!$F$2:$F$636,MATCH($K509,Model!$R$2:$R$636,0)))</f>
        <v/>
      </c>
      <c r="C509">
        <f>IF($K509="","",HYPERLINK(INDEX(Raw_data!$C$2:$C$636,MATCH($K509,Model!$R$2:$R$636,0)),INDEX(Raw_data!$C$2:$C$636,MATCH($K509,Model!$R$2:$R$636,0))))</f>
        <v/>
      </c>
      <c r="D509">
        <f>IF($K509="","",INDEX(Raw_data!$AL$2:$AL$636,MATCH($K509,Model!$R$2:$R$636,0)))</f>
        <v/>
      </c>
      <c r="E509">
        <f>IF($K509="","",INDEX(Raw_data!$AM$2:$AM$636,MATCH($K509,Model!$R$2:$R$636,0)))</f>
        <v/>
      </c>
      <c r="F509">
        <f>IF($K509="","",INDEX(Raw_data!$AQ$2:$AQ$636,MATCH($K509,Model!$R$2:$R$636,0)))</f>
        <v/>
      </c>
      <c r="G509">
        <f>IF($K509="","",INDEX(Raw_data!$H$2:$H$636,MATCH($K509,Model!$R$2:$R$636,0)))</f>
        <v/>
      </c>
      <c r="H509" s="8">
        <f>IF($K509="","",INDEX(Model!$B$2:$B$636,MATCH($K509,Model!$R$2:$R$636,0)))</f>
        <v/>
      </c>
      <c r="I509" s="8">
        <f>IF($K509="","",INDEX(Model!$C$2:$C$636,MATCH($K509,Model!$R$2:$R$636,0)))</f>
        <v/>
      </c>
      <c r="J509">
        <f>IF($K509="","",INDEX(Model!$D$2:$D$636,MATCH($K509,Model!$R$2:$R$636,0)))</f>
        <v/>
      </c>
      <c r="K509">
        <f>IF(473&lt;=$E$5,LARGE(Model!$R$2:$R$636,473),"")</f>
        <v/>
      </c>
    </row>
    <row r="510">
      <c r="A510">
        <f>IF($K510="","",INDEX(Raw_data!$D$2:$D$636,MATCH($K510,Model!$R$2:$R$636,0)))</f>
        <v/>
      </c>
      <c r="B510" s="11">
        <f>IF($K510="","",INDEX(Raw_data!$F$2:$F$636,MATCH($K510,Model!$R$2:$R$636,0)))</f>
        <v/>
      </c>
      <c r="C510">
        <f>IF($K510="","",HYPERLINK(INDEX(Raw_data!$C$2:$C$636,MATCH($K510,Model!$R$2:$R$636,0)),INDEX(Raw_data!$C$2:$C$636,MATCH($K510,Model!$R$2:$R$636,0))))</f>
        <v/>
      </c>
      <c r="D510">
        <f>IF($K510="","",INDEX(Raw_data!$AL$2:$AL$636,MATCH($K510,Model!$R$2:$R$636,0)))</f>
        <v/>
      </c>
      <c r="E510">
        <f>IF($K510="","",INDEX(Raw_data!$AM$2:$AM$636,MATCH($K510,Model!$R$2:$R$636,0)))</f>
        <v/>
      </c>
      <c r="F510">
        <f>IF($K510="","",INDEX(Raw_data!$AQ$2:$AQ$636,MATCH($K510,Model!$R$2:$R$636,0)))</f>
        <v/>
      </c>
      <c r="G510">
        <f>IF($K510="","",INDEX(Raw_data!$H$2:$H$636,MATCH($K510,Model!$R$2:$R$636,0)))</f>
        <v/>
      </c>
      <c r="H510" s="8">
        <f>IF($K510="","",INDEX(Model!$B$2:$B$636,MATCH($K510,Model!$R$2:$R$636,0)))</f>
        <v/>
      </c>
      <c r="I510" s="8">
        <f>IF($K510="","",INDEX(Model!$C$2:$C$636,MATCH($K510,Model!$R$2:$R$636,0)))</f>
        <v/>
      </c>
      <c r="J510">
        <f>IF($K510="","",INDEX(Model!$D$2:$D$636,MATCH($K510,Model!$R$2:$R$636,0)))</f>
        <v/>
      </c>
      <c r="K510">
        <f>IF(474&lt;=$E$5,LARGE(Model!$R$2:$R$636,474),"")</f>
        <v/>
      </c>
    </row>
    <row r="511">
      <c r="A511">
        <f>IF($K511="","",INDEX(Raw_data!$D$2:$D$636,MATCH($K511,Model!$R$2:$R$636,0)))</f>
        <v/>
      </c>
      <c r="B511" s="11">
        <f>IF($K511="","",INDEX(Raw_data!$F$2:$F$636,MATCH($K511,Model!$R$2:$R$636,0)))</f>
        <v/>
      </c>
      <c r="C511">
        <f>IF($K511="","",HYPERLINK(INDEX(Raw_data!$C$2:$C$636,MATCH($K511,Model!$R$2:$R$636,0)),INDEX(Raw_data!$C$2:$C$636,MATCH($K511,Model!$R$2:$R$636,0))))</f>
        <v/>
      </c>
      <c r="D511">
        <f>IF($K511="","",INDEX(Raw_data!$AL$2:$AL$636,MATCH($K511,Model!$R$2:$R$636,0)))</f>
        <v/>
      </c>
      <c r="E511">
        <f>IF($K511="","",INDEX(Raw_data!$AM$2:$AM$636,MATCH($K511,Model!$R$2:$R$636,0)))</f>
        <v/>
      </c>
      <c r="F511">
        <f>IF($K511="","",INDEX(Raw_data!$AQ$2:$AQ$636,MATCH($K511,Model!$R$2:$R$636,0)))</f>
        <v/>
      </c>
      <c r="G511">
        <f>IF($K511="","",INDEX(Raw_data!$H$2:$H$636,MATCH($K511,Model!$R$2:$R$636,0)))</f>
        <v/>
      </c>
      <c r="H511" s="8">
        <f>IF($K511="","",INDEX(Model!$B$2:$B$636,MATCH($K511,Model!$R$2:$R$636,0)))</f>
        <v/>
      </c>
      <c r="I511" s="8">
        <f>IF($K511="","",INDEX(Model!$C$2:$C$636,MATCH($K511,Model!$R$2:$R$636,0)))</f>
        <v/>
      </c>
      <c r="J511">
        <f>IF($K511="","",INDEX(Model!$D$2:$D$636,MATCH($K511,Model!$R$2:$R$636,0)))</f>
        <v/>
      </c>
      <c r="K511">
        <f>IF(475&lt;=$E$5,LARGE(Model!$R$2:$R$636,475),"")</f>
        <v/>
      </c>
    </row>
    <row r="512">
      <c r="A512">
        <f>IF($K512="","",INDEX(Raw_data!$D$2:$D$636,MATCH($K512,Model!$R$2:$R$636,0)))</f>
        <v/>
      </c>
      <c r="B512" s="11">
        <f>IF($K512="","",INDEX(Raw_data!$F$2:$F$636,MATCH($K512,Model!$R$2:$R$636,0)))</f>
        <v/>
      </c>
      <c r="C512">
        <f>IF($K512="","",HYPERLINK(INDEX(Raw_data!$C$2:$C$636,MATCH($K512,Model!$R$2:$R$636,0)),INDEX(Raw_data!$C$2:$C$636,MATCH($K512,Model!$R$2:$R$636,0))))</f>
        <v/>
      </c>
      <c r="D512">
        <f>IF($K512="","",INDEX(Raw_data!$AL$2:$AL$636,MATCH($K512,Model!$R$2:$R$636,0)))</f>
        <v/>
      </c>
      <c r="E512">
        <f>IF($K512="","",INDEX(Raw_data!$AM$2:$AM$636,MATCH($K512,Model!$R$2:$R$636,0)))</f>
        <v/>
      </c>
      <c r="F512">
        <f>IF($K512="","",INDEX(Raw_data!$AQ$2:$AQ$636,MATCH($K512,Model!$R$2:$R$636,0)))</f>
        <v/>
      </c>
      <c r="G512">
        <f>IF($K512="","",INDEX(Raw_data!$H$2:$H$636,MATCH($K512,Model!$R$2:$R$636,0)))</f>
        <v/>
      </c>
      <c r="H512" s="8">
        <f>IF($K512="","",INDEX(Model!$B$2:$B$636,MATCH($K512,Model!$R$2:$R$636,0)))</f>
        <v/>
      </c>
      <c r="I512" s="8">
        <f>IF($K512="","",INDEX(Model!$C$2:$C$636,MATCH($K512,Model!$R$2:$R$636,0)))</f>
        <v/>
      </c>
      <c r="J512">
        <f>IF($K512="","",INDEX(Model!$D$2:$D$636,MATCH($K512,Model!$R$2:$R$636,0)))</f>
        <v/>
      </c>
      <c r="K512">
        <f>IF(476&lt;=$E$5,LARGE(Model!$R$2:$R$636,476),"")</f>
        <v/>
      </c>
    </row>
    <row r="513">
      <c r="A513">
        <f>IF($K513="","",INDEX(Raw_data!$D$2:$D$636,MATCH($K513,Model!$R$2:$R$636,0)))</f>
        <v/>
      </c>
      <c r="B513" s="11">
        <f>IF($K513="","",INDEX(Raw_data!$F$2:$F$636,MATCH($K513,Model!$R$2:$R$636,0)))</f>
        <v/>
      </c>
      <c r="C513">
        <f>IF($K513="","",HYPERLINK(INDEX(Raw_data!$C$2:$C$636,MATCH($K513,Model!$R$2:$R$636,0)),INDEX(Raw_data!$C$2:$C$636,MATCH($K513,Model!$R$2:$R$636,0))))</f>
        <v/>
      </c>
      <c r="D513">
        <f>IF($K513="","",INDEX(Raw_data!$AL$2:$AL$636,MATCH($K513,Model!$R$2:$R$636,0)))</f>
        <v/>
      </c>
      <c r="E513">
        <f>IF($K513="","",INDEX(Raw_data!$AM$2:$AM$636,MATCH($K513,Model!$R$2:$R$636,0)))</f>
        <v/>
      </c>
      <c r="F513">
        <f>IF($K513="","",INDEX(Raw_data!$AQ$2:$AQ$636,MATCH($K513,Model!$R$2:$R$636,0)))</f>
        <v/>
      </c>
      <c r="G513">
        <f>IF($K513="","",INDEX(Raw_data!$H$2:$H$636,MATCH($K513,Model!$R$2:$R$636,0)))</f>
        <v/>
      </c>
      <c r="H513" s="8">
        <f>IF($K513="","",INDEX(Model!$B$2:$B$636,MATCH($K513,Model!$R$2:$R$636,0)))</f>
        <v/>
      </c>
      <c r="I513" s="8">
        <f>IF($K513="","",INDEX(Model!$C$2:$C$636,MATCH($K513,Model!$R$2:$R$636,0)))</f>
        <v/>
      </c>
      <c r="J513">
        <f>IF($K513="","",INDEX(Model!$D$2:$D$636,MATCH($K513,Model!$R$2:$R$636,0)))</f>
        <v/>
      </c>
      <c r="K513">
        <f>IF(477&lt;=$E$5,LARGE(Model!$R$2:$R$636,477),"")</f>
        <v/>
      </c>
    </row>
    <row r="514">
      <c r="A514">
        <f>IF($K514="","",INDEX(Raw_data!$D$2:$D$636,MATCH($K514,Model!$R$2:$R$636,0)))</f>
        <v/>
      </c>
      <c r="B514" s="11">
        <f>IF($K514="","",INDEX(Raw_data!$F$2:$F$636,MATCH($K514,Model!$R$2:$R$636,0)))</f>
        <v/>
      </c>
      <c r="C514">
        <f>IF($K514="","",HYPERLINK(INDEX(Raw_data!$C$2:$C$636,MATCH($K514,Model!$R$2:$R$636,0)),INDEX(Raw_data!$C$2:$C$636,MATCH($K514,Model!$R$2:$R$636,0))))</f>
        <v/>
      </c>
      <c r="D514">
        <f>IF($K514="","",INDEX(Raw_data!$AL$2:$AL$636,MATCH($K514,Model!$R$2:$R$636,0)))</f>
        <v/>
      </c>
      <c r="E514">
        <f>IF($K514="","",INDEX(Raw_data!$AM$2:$AM$636,MATCH($K514,Model!$R$2:$R$636,0)))</f>
        <v/>
      </c>
      <c r="F514">
        <f>IF($K514="","",INDEX(Raw_data!$AQ$2:$AQ$636,MATCH($K514,Model!$R$2:$R$636,0)))</f>
        <v/>
      </c>
      <c r="G514">
        <f>IF($K514="","",INDEX(Raw_data!$H$2:$H$636,MATCH($K514,Model!$R$2:$R$636,0)))</f>
        <v/>
      </c>
      <c r="H514" s="8">
        <f>IF($K514="","",INDEX(Model!$B$2:$B$636,MATCH($K514,Model!$R$2:$R$636,0)))</f>
        <v/>
      </c>
      <c r="I514" s="8">
        <f>IF($K514="","",INDEX(Model!$C$2:$C$636,MATCH($K514,Model!$R$2:$R$636,0)))</f>
        <v/>
      </c>
      <c r="J514">
        <f>IF($K514="","",INDEX(Model!$D$2:$D$636,MATCH($K514,Model!$R$2:$R$636,0)))</f>
        <v/>
      </c>
      <c r="K514">
        <f>IF(478&lt;=$E$5,LARGE(Model!$R$2:$R$636,478),"")</f>
        <v/>
      </c>
    </row>
    <row r="515">
      <c r="A515">
        <f>IF($K515="","",INDEX(Raw_data!$D$2:$D$636,MATCH($K515,Model!$R$2:$R$636,0)))</f>
        <v/>
      </c>
      <c r="B515" s="11">
        <f>IF($K515="","",INDEX(Raw_data!$F$2:$F$636,MATCH($K515,Model!$R$2:$R$636,0)))</f>
        <v/>
      </c>
      <c r="C515">
        <f>IF($K515="","",HYPERLINK(INDEX(Raw_data!$C$2:$C$636,MATCH($K515,Model!$R$2:$R$636,0)),INDEX(Raw_data!$C$2:$C$636,MATCH($K515,Model!$R$2:$R$636,0))))</f>
        <v/>
      </c>
      <c r="D515">
        <f>IF($K515="","",INDEX(Raw_data!$AL$2:$AL$636,MATCH($K515,Model!$R$2:$R$636,0)))</f>
        <v/>
      </c>
      <c r="E515">
        <f>IF($K515="","",INDEX(Raw_data!$AM$2:$AM$636,MATCH($K515,Model!$R$2:$R$636,0)))</f>
        <v/>
      </c>
      <c r="F515">
        <f>IF($K515="","",INDEX(Raw_data!$AQ$2:$AQ$636,MATCH($K515,Model!$R$2:$R$636,0)))</f>
        <v/>
      </c>
      <c r="G515">
        <f>IF($K515="","",INDEX(Raw_data!$H$2:$H$636,MATCH($K515,Model!$R$2:$R$636,0)))</f>
        <v/>
      </c>
      <c r="H515" s="8">
        <f>IF($K515="","",INDEX(Model!$B$2:$B$636,MATCH($K515,Model!$R$2:$R$636,0)))</f>
        <v/>
      </c>
      <c r="I515" s="8">
        <f>IF($K515="","",INDEX(Model!$C$2:$C$636,MATCH($K515,Model!$R$2:$R$636,0)))</f>
        <v/>
      </c>
      <c r="J515">
        <f>IF($K515="","",INDEX(Model!$D$2:$D$636,MATCH($K515,Model!$R$2:$R$636,0)))</f>
        <v/>
      </c>
      <c r="K515">
        <f>IF(479&lt;=$E$5,LARGE(Model!$R$2:$R$636,479),"")</f>
        <v/>
      </c>
    </row>
    <row r="516">
      <c r="A516">
        <f>IF($K516="","",INDEX(Raw_data!$D$2:$D$636,MATCH($K516,Model!$R$2:$R$636,0)))</f>
        <v/>
      </c>
      <c r="B516" s="11">
        <f>IF($K516="","",INDEX(Raw_data!$F$2:$F$636,MATCH($K516,Model!$R$2:$R$636,0)))</f>
        <v/>
      </c>
      <c r="C516">
        <f>IF($K516="","",HYPERLINK(INDEX(Raw_data!$C$2:$C$636,MATCH($K516,Model!$R$2:$R$636,0)),INDEX(Raw_data!$C$2:$C$636,MATCH($K516,Model!$R$2:$R$636,0))))</f>
        <v/>
      </c>
      <c r="D516">
        <f>IF($K516="","",INDEX(Raw_data!$AL$2:$AL$636,MATCH($K516,Model!$R$2:$R$636,0)))</f>
        <v/>
      </c>
      <c r="E516">
        <f>IF($K516="","",INDEX(Raw_data!$AM$2:$AM$636,MATCH($K516,Model!$R$2:$R$636,0)))</f>
        <v/>
      </c>
      <c r="F516">
        <f>IF($K516="","",INDEX(Raw_data!$AQ$2:$AQ$636,MATCH($K516,Model!$R$2:$R$636,0)))</f>
        <v/>
      </c>
      <c r="G516">
        <f>IF($K516="","",INDEX(Raw_data!$H$2:$H$636,MATCH($K516,Model!$R$2:$R$636,0)))</f>
        <v/>
      </c>
      <c r="H516" s="8">
        <f>IF($K516="","",INDEX(Model!$B$2:$B$636,MATCH($K516,Model!$R$2:$R$636,0)))</f>
        <v/>
      </c>
      <c r="I516" s="8">
        <f>IF($K516="","",INDEX(Model!$C$2:$C$636,MATCH($K516,Model!$R$2:$R$636,0)))</f>
        <v/>
      </c>
      <c r="J516">
        <f>IF($K516="","",INDEX(Model!$D$2:$D$636,MATCH($K516,Model!$R$2:$R$636,0)))</f>
        <v/>
      </c>
      <c r="K516">
        <f>IF(480&lt;=$E$5,LARGE(Model!$R$2:$R$636,480),"")</f>
        <v/>
      </c>
    </row>
    <row r="517">
      <c r="A517">
        <f>IF($K517="","",INDEX(Raw_data!$D$2:$D$636,MATCH($K517,Model!$R$2:$R$636,0)))</f>
        <v/>
      </c>
      <c r="B517" s="11">
        <f>IF($K517="","",INDEX(Raw_data!$F$2:$F$636,MATCH($K517,Model!$R$2:$R$636,0)))</f>
        <v/>
      </c>
      <c r="C517">
        <f>IF($K517="","",HYPERLINK(INDEX(Raw_data!$C$2:$C$636,MATCH($K517,Model!$R$2:$R$636,0)),INDEX(Raw_data!$C$2:$C$636,MATCH($K517,Model!$R$2:$R$636,0))))</f>
        <v/>
      </c>
      <c r="D517">
        <f>IF($K517="","",INDEX(Raw_data!$AL$2:$AL$636,MATCH($K517,Model!$R$2:$R$636,0)))</f>
        <v/>
      </c>
      <c r="E517">
        <f>IF($K517="","",INDEX(Raw_data!$AM$2:$AM$636,MATCH($K517,Model!$R$2:$R$636,0)))</f>
        <v/>
      </c>
      <c r="F517">
        <f>IF($K517="","",INDEX(Raw_data!$AQ$2:$AQ$636,MATCH($K517,Model!$R$2:$R$636,0)))</f>
        <v/>
      </c>
      <c r="G517">
        <f>IF($K517="","",INDEX(Raw_data!$H$2:$H$636,MATCH($K517,Model!$R$2:$R$636,0)))</f>
        <v/>
      </c>
      <c r="H517" s="8">
        <f>IF($K517="","",INDEX(Model!$B$2:$B$636,MATCH($K517,Model!$R$2:$R$636,0)))</f>
        <v/>
      </c>
      <c r="I517" s="8">
        <f>IF($K517="","",INDEX(Model!$C$2:$C$636,MATCH($K517,Model!$R$2:$R$636,0)))</f>
        <v/>
      </c>
      <c r="J517">
        <f>IF($K517="","",INDEX(Model!$D$2:$D$636,MATCH($K517,Model!$R$2:$R$636,0)))</f>
        <v/>
      </c>
      <c r="K517">
        <f>IF(481&lt;=$E$5,LARGE(Model!$R$2:$R$636,481),"")</f>
        <v/>
      </c>
    </row>
    <row r="518">
      <c r="A518">
        <f>IF($K518="","",INDEX(Raw_data!$D$2:$D$636,MATCH($K518,Model!$R$2:$R$636,0)))</f>
        <v/>
      </c>
      <c r="B518" s="11">
        <f>IF($K518="","",INDEX(Raw_data!$F$2:$F$636,MATCH($K518,Model!$R$2:$R$636,0)))</f>
        <v/>
      </c>
      <c r="C518">
        <f>IF($K518="","",HYPERLINK(INDEX(Raw_data!$C$2:$C$636,MATCH($K518,Model!$R$2:$R$636,0)),INDEX(Raw_data!$C$2:$C$636,MATCH($K518,Model!$R$2:$R$636,0))))</f>
        <v/>
      </c>
      <c r="D518">
        <f>IF($K518="","",INDEX(Raw_data!$AL$2:$AL$636,MATCH($K518,Model!$R$2:$R$636,0)))</f>
        <v/>
      </c>
      <c r="E518">
        <f>IF($K518="","",INDEX(Raw_data!$AM$2:$AM$636,MATCH($K518,Model!$R$2:$R$636,0)))</f>
        <v/>
      </c>
      <c r="F518">
        <f>IF($K518="","",INDEX(Raw_data!$AQ$2:$AQ$636,MATCH($K518,Model!$R$2:$R$636,0)))</f>
        <v/>
      </c>
      <c r="G518">
        <f>IF($K518="","",INDEX(Raw_data!$H$2:$H$636,MATCH($K518,Model!$R$2:$R$636,0)))</f>
        <v/>
      </c>
      <c r="H518" s="8">
        <f>IF($K518="","",INDEX(Model!$B$2:$B$636,MATCH($K518,Model!$R$2:$R$636,0)))</f>
        <v/>
      </c>
      <c r="I518" s="8">
        <f>IF($K518="","",INDEX(Model!$C$2:$C$636,MATCH($K518,Model!$R$2:$R$636,0)))</f>
        <v/>
      </c>
      <c r="J518">
        <f>IF($K518="","",INDEX(Model!$D$2:$D$636,MATCH($K518,Model!$R$2:$R$636,0)))</f>
        <v/>
      </c>
      <c r="K518">
        <f>IF(482&lt;=$E$5,LARGE(Model!$R$2:$R$636,482),"")</f>
        <v/>
      </c>
    </row>
    <row r="519">
      <c r="A519">
        <f>IF($K519="","",INDEX(Raw_data!$D$2:$D$636,MATCH($K519,Model!$R$2:$R$636,0)))</f>
        <v/>
      </c>
      <c r="B519" s="11">
        <f>IF($K519="","",INDEX(Raw_data!$F$2:$F$636,MATCH($K519,Model!$R$2:$R$636,0)))</f>
        <v/>
      </c>
      <c r="C519">
        <f>IF($K519="","",HYPERLINK(INDEX(Raw_data!$C$2:$C$636,MATCH($K519,Model!$R$2:$R$636,0)),INDEX(Raw_data!$C$2:$C$636,MATCH($K519,Model!$R$2:$R$636,0))))</f>
        <v/>
      </c>
      <c r="D519">
        <f>IF($K519="","",INDEX(Raw_data!$AL$2:$AL$636,MATCH($K519,Model!$R$2:$R$636,0)))</f>
        <v/>
      </c>
      <c r="E519">
        <f>IF($K519="","",INDEX(Raw_data!$AM$2:$AM$636,MATCH($K519,Model!$R$2:$R$636,0)))</f>
        <v/>
      </c>
      <c r="F519">
        <f>IF($K519="","",INDEX(Raw_data!$AQ$2:$AQ$636,MATCH($K519,Model!$R$2:$R$636,0)))</f>
        <v/>
      </c>
      <c r="G519">
        <f>IF($K519="","",INDEX(Raw_data!$H$2:$H$636,MATCH($K519,Model!$R$2:$R$636,0)))</f>
        <v/>
      </c>
      <c r="H519" s="8">
        <f>IF($K519="","",INDEX(Model!$B$2:$B$636,MATCH($K519,Model!$R$2:$R$636,0)))</f>
        <v/>
      </c>
      <c r="I519" s="8">
        <f>IF($K519="","",INDEX(Model!$C$2:$C$636,MATCH($K519,Model!$R$2:$R$636,0)))</f>
        <v/>
      </c>
      <c r="J519">
        <f>IF($K519="","",INDEX(Model!$D$2:$D$636,MATCH($K519,Model!$R$2:$R$636,0)))</f>
        <v/>
      </c>
      <c r="K519">
        <f>IF(483&lt;=$E$5,LARGE(Model!$R$2:$R$636,483),"")</f>
        <v/>
      </c>
    </row>
    <row r="520">
      <c r="A520">
        <f>IF($K520="","",INDEX(Raw_data!$D$2:$D$636,MATCH($K520,Model!$R$2:$R$636,0)))</f>
        <v/>
      </c>
      <c r="B520" s="11">
        <f>IF($K520="","",INDEX(Raw_data!$F$2:$F$636,MATCH($K520,Model!$R$2:$R$636,0)))</f>
        <v/>
      </c>
      <c r="C520">
        <f>IF($K520="","",HYPERLINK(INDEX(Raw_data!$C$2:$C$636,MATCH($K520,Model!$R$2:$R$636,0)),INDEX(Raw_data!$C$2:$C$636,MATCH($K520,Model!$R$2:$R$636,0))))</f>
        <v/>
      </c>
      <c r="D520">
        <f>IF($K520="","",INDEX(Raw_data!$AL$2:$AL$636,MATCH($K520,Model!$R$2:$R$636,0)))</f>
        <v/>
      </c>
      <c r="E520">
        <f>IF($K520="","",INDEX(Raw_data!$AM$2:$AM$636,MATCH($K520,Model!$R$2:$R$636,0)))</f>
        <v/>
      </c>
      <c r="F520">
        <f>IF($K520="","",INDEX(Raw_data!$AQ$2:$AQ$636,MATCH($K520,Model!$R$2:$R$636,0)))</f>
        <v/>
      </c>
      <c r="G520">
        <f>IF($K520="","",INDEX(Raw_data!$H$2:$H$636,MATCH($K520,Model!$R$2:$R$636,0)))</f>
        <v/>
      </c>
      <c r="H520" s="8">
        <f>IF($K520="","",INDEX(Model!$B$2:$B$636,MATCH($K520,Model!$R$2:$R$636,0)))</f>
        <v/>
      </c>
      <c r="I520" s="8">
        <f>IF($K520="","",INDEX(Model!$C$2:$C$636,MATCH($K520,Model!$R$2:$R$636,0)))</f>
        <v/>
      </c>
      <c r="J520">
        <f>IF($K520="","",INDEX(Model!$D$2:$D$636,MATCH($K520,Model!$R$2:$R$636,0)))</f>
        <v/>
      </c>
      <c r="K520">
        <f>IF(484&lt;=$E$5,LARGE(Model!$R$2:$R$636,484),"")</f>
        <v/>
      </c>
    </row>
    <row r="521">
      <c r="A521">
        <f>IF($K521="","",INDEX(Raw_data!$D$2:$D$636,MATCH($K521,Model!$R$2:$R$636,0)))</f>
        <v/>
      </c>
      <c r="B521" s="11">
        <f>IF($K521="","",INDEX(Raw_data!$F$2:$F$636,MATCH($K521,Model!$R$2:$R$636,0)))</f>
        <v/>
      </c>
      <c r="C521">
        <f>IF($K521="","",HYPERLINK(INDEX(Raw_data!$C$2:$C$636,MATCH($K521,Model!$R$2:$R$636,0)),INDEX(Raw_data!$C$2:$C$636,MATCH($K521,Model!$R$2:$R$636,0))))</f>
        <v/>
      </c>
      <c r="D521">
        <f>IF($K521="","",INDEX(Raw_data!$AL$2:$AL$636,MATCH($K521,Model!$R$2:$R$636,0)))</f>
        <v/>
      </c>
      <c r="E521">
        <f>IF($K521="","",INDEX(Raw_data!$AM$2:$AM$636,MATCH($K521,Model!$R$2:$R$636,0)))</f>
        <v/>
      </c>
      <c r="F521">
        <f>IF($K521="","",INDEX(Raw_data!$AQ$2:$AQ$636,MATCH($K521,Model!$R$2:$R$636,0)))</f>
        <v/>
      </c>
      <c r="G521">
        <f>IF($K521="","",INDEX(Raw_data!$H$2:$H$636,MATCH($K521,Model!$R$2:$R$636,0)))</f>
        <v/>
      </c>
      <c r="H521" s="8">
        <f>IF($K521="","",INDEX(Model!$B$2:$B$636,MATCH($K521,Model!$R$2:$R$636,0)))</f>
        <v/>
      </c>
      <c r="I521" s="8">
        <f>IF($K521="","",INDEX(Model!$C$2:$C$636,MATCH($K521,Model!$R$2:$R$636,0)))</f>
        <v/>
      </c>
      <c r="J521">
        <f>IF($K521="","",INDEX(Model!$D$2:$D$636,MATCH($K521,Model!$R$2:$R$636,0)))</f>
        <v/>
      </c>
      <c r="K521">
        <f>IF(485&lt;=$E$5,LARGE(Model!$R$2:$R$636,485),"")</f>
        <v/>
      </c>
    </row>
    <row r="522">
      <c r="A522">
        <f>IF($K522="","",INDEX(Raw_data!$D$2:$D$636,MATCH($K522,Model!$R$2:$R$636,0)))</f>
        <v/>
      </c>
      <c r="B522" s="11">
        <f>IF($K522="","",INDEX(Raw_data!$F$2:$F$636,MATCH($K522,Model!$R$2:$R$636,0)))</f>
        <v/>
      </c>
      <c r="C522">
        <f>IF($K522="","",HYPERLINK(INDEX(Raw_data!$C$2:$C$636,MATCH($K522,Model!$R$2:$R$636,0)),INDEX(Raw_data!$C$2:$C$636,MATCH($K522,Model!$R$2:$R$636,0))))</f>
        <v/>
      </c>
      <c r="D522">
        <f>IF($K522="","",INDEX(Raw_data!$AL$2:$AL$636,MATCH($K522,Model!$R$2:$R$636,0)))</f>
        <v/>
      </c>
      <c r="E522">
        <f>IF($K522="","",INDEX(Raw_data!$AM$2:$AM$636,MATCH($K522,Model!$R$2:$R$636,0)))</f>
        <v/>
      </c>
      <c r="F522">
        <f>IF($K522="","",INDEX(Raw_data!$AQ$2:$AQ$636,MATCH($K522,Model!$R$2:$R$636,0)))</f>
        <v/>
      </c>
      <c r="G522">
        <f>IF($K522="","",INDEX(Raw_data!$H$2:$H$636,MATCH($K522,Model!$R$2:$R$636,0)))</f>
        <v/>
      </c>
      <c r="H522" s="8">
        <f>IF($K522="","",INDEX(Model!$B$2:$B$636,MATCH($K522,Model!$R$2:$R$636,0)))</f>
        <v/>
      </c>
      <c r="I522" s="8">
        <f>IF($K522="","",INDEX(Model!$C$2:$C$636,MATCH($K522,Model!$R$2:$R$636,0)))</f>
        <v/>
      </c>
      <c r="J522">
        <f>IF($K522="","",INDEX(Model!$D$2:$D$636,MATCH($K522,Model!$R$2:$R$636,0)))</f>
        <v/>
      </c>
      <c r="K522">
        <f>IF(486&lt;=$E$5,LARGE(Model!$R$2:$R$636,486),"")</f>
        <v/>
      </c>
    </row>
    <row r="523">
      <c r="A523">
        <f>IF($K523="","",INDEX(Raw_data!$D$2:$D$636,MATCH($K523,Model!$R$2:$R$636,0)))</f>
        <v/>
      </c>
      <c r="B523" s="11">
        <f>IF($K523="","",INDEX(Raw_data!$F$2:$F$636,MATCH($K523,Model!$R$2:$R$636,0)))</f>
        <v/>
      </c>
      <c r="C523">
        <f>IF($K523="","",HYPERLINK(INDEX(Raw_data!$C$2:$C$636,MATCH($K523,Model!$R$2:$R$636,0)),INDEX(Raw_data!$C$2:$C$636,MATCH($K523,Model!$R$2:$R$636,0))))</f>
        <v/>
      </c>
      <c r="D523">
        <f>IF($K523="","",INDEX(Raw_data!$AL$2:$AL$636,MATCH($K523,Model!$R$2:$R$636,0)))</f>
        <v/>
      </c>
      <c r="E523">
        <f>IF($K523="","",INDEX(Raw_data!$AM$2:$AM$636,MATCH($K523,Model!$R$2:$R$636,0)))</f>
        <v/>
      </c>
      <c r="F523">
        <f>IF($K523="","",INDEX(Raw_data!$AQ$2:$AQ$636,MATCH($K523,Model!$R$2:$R$636,0)))</f>
        <v/>
      </c>
      <c r="G523">
        <f>IF($K523="","",INDEX(Raw_data!$H$2:$H$636,MATCH($K523,Model!$R$2:$R$636,0)))</f>
        <v/>
      </c>
      <c r="H523" s="8">
        <f>IF($K523="","",INDEX(Model!$B$2:$B$636,MATCH($K523,Model!$R$2:$R$636,0)))</f>
        <v/>
      </c>
      <c r="I523" s="8">
        <f>IF($K523="","",INDEX(Model!$C$2:$C$636,MATCH($K523,Model!$R$2:$R$636,0)))</f>
        <v/>
      </c>
      <c r="J523">
        <f>IF($K523="","",INDEX(Model!$D$2:$D$636,MATCH($K523,Model!$R$2:$R$636,0)))</f>
        <v/>
      </c>
      <c r="K523">
        <f>IF(487&lt;=$E$5,LARGE(Model!$R$2:$R$636,487),"")</f>
        <v/>
      </c>
    </row>
    <row r="524">
      <c r="A524">
        <f>IF($K524="","",INDEX(Raw_data!$D$2:$D$636,MATCH($K524,Model!$R$2:$R$636,0)))</f>
        <v/>
      </c>
      <c r="B524" s="11">
        <f>IF($K524="","",INDEX(Raw_data!$F$2:$F$636,MATCH($K524,Model!$R$2:$R$636,0)))</f>
        <v/>
      </c>
      <c r="C524">
        <f>IF($K524="","",HYPERLINK(INDEX(Raw_data!$C$2:$C$636,MATCH($K524,Model!$R$2:$R$636,0)),INDEX(Raw_data!$C$2:$C$636,MATCH($K524,Model!$R$2:$R$636,0))))</f>
        <v/>
      </c>
      <c r="D524">
        <f>IF($K524="","",INDEX(Raw_data!$AL$2:$AL$636,MATCH($K524,Model!$R$2:$R$636,0)))</f>
        <v/>
      </c>
      <c r="E524">
        <f>IF($K524="","",INDEX(Raw_data!$AM$2:$AM$636,MATCH($K524,Model!$R$2:$R$636,0)))</f>
        <v/>
      </c>
      <c r="F524">
        <f>IF($K524="","",INDEX(Raw_data!$AQ$2:$AQ$636,MATCH($K524,Model!$R$2:$R$636,0)))</f>
        <v/>
      </c>
      <c r="G524">
        <f>IF($K524="","",INDEX(Raw_data!$H$2:$H$636,MATCH($K524,Model!$R$2:$R$636,0)))</f>
        <v/>
      </c>
      <c r="H524" s="8">
        <f>IF($K524="","",INDEX(Model!$B$2:$B$636,MATCH($K524,Model!$R$2:$R$636,0)))</f>
        <v/>
      </c>
      <c r="I524" s="8">
        <f>IF($K524="","",INDEX(Model!$C$2:$C$636,MATCH($K524,Model!$R$2:$R$636,0)))</f>
        <v/>
      </c>
      <c r="J524">
        <f>IF($K524="","",INDEX(Model!$D$2:$D$636,MATCH($K524,Model!$R$2:$R$636,0)))</f>
        <v/>
      </c>
      <c r="K524">
        <f>IF(488&lt;=$E$5,LARGE(Model!$R$2:$R$636,488),"")</f>
        <v/>
      </c>
    </row>
    <row r="525">
      <c r="A525">
        <f>IF($K525="","",INDEX(Raw_data!$D$2:$D$636,MATCH($K525,Model!$R$2:$R$636,0)))</f>
        <v/>
      </c>
      <c r="B525" s="11">
        <f>IF($K525="","",INDEX(Raw_data!$F$2:$F$636,MATCH($K525,Model!$R$2:$R$636,0)))</f>
        <v/>
      </c>
      <c r="C525">
        <f>IF($K525="","",HYPERLINK(INDEX(Raw_data!$C$2:$C$636,MATCH($K525,Model!$R$2:$R$636,0)),INDEX(Raw_data!$C$2:$C$636,MATCH($K525,Model!$R$2:$R$636,0))))</f>
        <v/>
      </c>
      <c r="D525">
        <f>IF($K525="","",INDEX(Raw_data!$AL$2:$AL$636,MATCH($K525,Model!$R$2:$R$636,0)))</f>
        <v/>
      </c>
      <c r="E525">
        <f>IF($K525="","",INDEX(Raw_data!$AM$2:$AM$636,MATCH($K525,Model!$R$2:$R$636,0)))</f>
        <v/>
      </c>
      <c r="F525">
        <f>IF($K525="","",INDEX(Raw_data!$AQ$2:$AQ$636,MATCH($K525,Model!$R$2:$R$636,0)))</f>
        <v/>
      </c>
      <c r="G525">
        <f>IF($K525="","",INDEX(Raw_data!$H$2:$H$636,MATCH($K525,Model!$R$2:$R$636,0)))</f>
        <v/>
      </c>
      <c r="H525" s="8">
        <f>IF($K525="","",INDEX(Model!$B$2:$B$636,MATCH($K525,Model!$R$2:$R$636,0)))</f>
        <v/>
      </c>
      <c r="I525" s="8">
        <f>IF($K525="","",INDEX(Model!$C$2:$C$636,MATCH($K525,Model!$R$2:$R$636,0)))</f>
        <v/>
      </c>
      <c r="J525">
        <f>IF($K525="","",INDEX(Model!$D$2:$D$636,MATCH($K525,Model!$R$2:$R$636,0)))</f>
        <v/>
      </c>
      <c r="K525">
        <f>IF(489&lt;=$E$5,LARGE(Model!$R$2:$R$636,489),"")</f>
        <v/>
      </c>
    </row>
    <row r="526">
      <c r="A526">
        <f>IF($K526="","",INDEX(Raw_data!$D$2:$D$636,MATCH($K526,Model!$R$2:$R$636,0)))</f>
        <v/>
      </c>
      <c r="B526" s="11">
        <f>IF($K526="","",INDEX(Raw_data!$F$2:$F$636,MATCH($K526,Model!$R$2:$R$636,0)))</f>
        <v/>
      </c>
      <c r="C526">
        <f>IF($K526="","",HYPERLINK(INDEX(Raw_data!$C$2:$C$636,MATCH($K526,Model!$R$2:$R$636,0)),INDEX(Raw_data!$C$2:$C$636,MATCH($K526,Model!$R$2:$R$636,0))))</f>
        <v/>
      </c>
      <c r="D526">
        <f>IF($K526="","",INDEX(Raw_data!$AL$2:$AL$636,MATCH($K526,Model!$R$2:$R$636,0)))</f>
        <v/>
      </c>
      <c r="E526">
        <f>IF($K526="","",INDEX(Raw_data!$AM$2:$AM$636,MATCH($K526,Model!$R$2:$R$636,0)))</f>
        <v/>
      </c>
      <c r="F526">
        <f>IF($K526="","",INDEX(Raw_data!$AQ$2:$AQ$636,MATCH($K526,Model!$R$2:$R$636,0)))</f>
        <v/>
      </c>
      <c r="G526">
        <f>IF($K526="","",INDEX(Raw_data!$H$2:$H$636,MATCH($K526,Model!$R$2:$R$636,0)))</f>
        <v/>
      </c>
      <c r="H526" s="8">
        <f>IF($K526="","",INDEX(Model!$B$2:$B$636,MATCH($K526,Model!$R$2:$R$636,0)))</f>
        <v/>
      </c>
      <c r="I526" s="8">
        <f>IF($K526="","",INDEX(Model!$C$2:$C$636,MATCH($K526,Model!$R$2:$R$636,0)))</f>
        <v/>
      </c>
      <c r="J526">
        <f>IF($K526="","",INDEX(Model!$D$2:$D$636,MATCH($K526,Model!$R$2:$R$636,0)))</f>
        <v/>
      </c>
      <c r="K526">
        <f>IF(490&lt;=$E$5,LARGE(Model!$R$2:$R$636,490),"")</f>
        <v/>
      </c>
    </row>
    <row r="527">
      <c r="A527">
        <f>IF($K527="","",INDEX(Raw_data!$D$2:$D$636,MATCH($K527,Model!$R$2:$R$636,0)))</f>
        <v/>
      </c>
      <c r="B527" s="11">
        <f>IF($K527="","",INDEX(Raw_data!$F$2:$F$636,MATCH($K527,Model!$R$2:$R$636,0)))</f>
        <v/>
      </c>
      <c r="C527">
        <f>IF($K527="","",HYPERLINK(INDEX(Raw_data!$C$2:$C$636,MATCH($K527,Model!$R$2:$R$636,0)),INDEX(Raw_data!$C$2:$C$636,MATCH($K527,Model!$R$2:$R$636,0))))</f>
        <v/>
      </c>
      <c r="D527">
        <f>IF($K527="","",INDEX(Raw_data!$AL$2:$AL$636,MATCH($K527,Model!$R$2:$R$636,0)))</f>
        <v/>
      </c>
      <c r="E527">
        <f>IF($K527="","",INDEX(Raw_data!$AM$2:$AM$636,MATCH($K527,Model!$R$2:$R$636,0)))</f>
        <v/>
      </c>
      <c r="F527">
        <f>IF($K527="","",INDEX(Raw_data!$AQ$2:$AQ$636,MATCH($K527,Model!$R$2:$R$636,0)))</f>
        <v/>
      </c>
      <c r="G527">
        <f>IF($K527="","",INDEX(Raw_data!$H$2:$H$636,MATCH($K527,Model!$R$2:$R$636,0)))</f>
        <v/>
      </c>
      <c r="H527" s="8">
        <f>IF($K527="","",INDEX(Model!$B$2:$B$636,MATCH($K527,Model!$R$2:$R$636,0)))</f>
        <v/>
      </c>
      <c r="I527" s="8">
        <f>IF($K527="","",INDEX(Model!$C$2:$C$636,MATCH($K527,Model!$R$2:$R$636,0)))</f>
        <v/>
      </c>
      <c r="J527">
        <f>IF($K527="","",INDEX(Model!$D$2:$D$636,MATCH($K527,Model!$R$2:$R$636,0)))</f>
        <v/>
      </c>
      <c r="K527">
        <f>IF(491&lt;=$E$5,LARGE(Model!$R$2:$R$636,491),"")</f>
        <v/>
      </c>
    </row>
    <row r="528">
      <c r="A528">
        <f>IF($K528="","",INDEX(Raw_data!$D$2:$D$636,MATCH($K528,Model!$R$2:$R$636,0)))</f>
        <v/>
      </c>
      <c r="B528" s="11">
        <f>IF($K528="","",INDEX(Raw_data!$F$2:$F$636,MATCH($K528,Model!$R$2:$R$636,0)))</f>
        <v/>
      </c>
      <c r="C528">
        <f>IF($K528="","",HYPERLINK(INDEX(Raw_data!$C$2:$C$636,MATCH($K528,Model!$R$2:$R$636,0)),INDEX(Raw_data!$C$2:$C$636,MATCH($K528,Model!$R$2:$R$636,0))))</f>
        <v/>
      </c>
      <c r="D528">
        <f>IF($K528="","",INDEX(Raw_data!$AL$2:$AL$636,MATCH($K528,Model!$R$2:$R$636,0)))</f>
        <v/>
      </c>
      <c r="E528">
        <f>IF($K528="","",INDEX(Raw_data!$AM$2:$AM$636,MATCH($K528,Model!$R$2:$R$636,0)))</f>
        <v/>
      </c>
      <c r="F528">
        <f>IF($K528="","",INDEX(Raw_data!$AQ$2:$AQ$636,MATCH($K528,Model!$R$2:$R$636,0)))</f>
        <v/>
      </c>
      <c r="G528">
        <f>IF($K528="","",INDEX(Raw_data!$H$2:$H$636,MATCH($K528,Model!$R$2:$R$636,0)))</f>
        <v/>
      </c>
      <c r="H528" s="8">
        <f>IF($K528="","",INDEX(Model!$B$2:$B$636,MATCH($K528,Model!$R$2:$R$636,0)))</f>
        <v/>
      </c>
      <c r="I528" s="8">
        <f>IF($K528="","",INDEX(Model!$C$2:$C$636,MATCH($K528,Model!$R$2:$R$636,0)))</f>
        <v/>
      </c>
      <c r="J528">
        <f>IF($K528="","",INDEX(Model!$D$2:$D$636,MATCH($K528,Model!$R$2:$R$636,0)))</f>
        <v/>
      </c>
      <c r="K528">
        <f>IF(492&lt;=$E$5,LARGE(Model!$R$2:$R$636,492),"")</f>
        <v/>
      </c>
    </row>
    <row r="529">
      <c r="A529">
        <f>IF($K529="","",INDEX(Raw_data!$D$2:$D$636,MATCH($K529,Model!$R$2:$R$636,0)))</f>
        <v/>
      </c>
      <c r="B529" s="11">
        <f>IF($K529="","",INDEX(Raw_data!$F$2:$F$636,MATCH($K529,Model!$R$2:$R$636,0)))</f>
        <v/>
      </c>
      <c r="C529">
        <f>IF($K529="","",HYPERLINK(INDEX(Raw_data!$C$2:$C$636,MATCH($K529,Model!$R$2:$R$636,0)),INDEX(Raw_data!$C$2:$C$636,MATCH($K529,Model!$R$2:$R$636,0))))</f>
        <v/>
      </c>
      <c r="D529">
        <f>IF($K529="","",INDEX(Raw_data!$AL$2:$AL$636,MATCH($K529,Model!$R$2:$R$636,0)))</f>
        <v/>
      </c>
      <c r="E529">
        <f>IF($K529="","",INDEX(Raw_data!$AM$2:$AM$636,MATCH($K529,Model!$R$2:$R$636,0)))</f>
        <v/>
      </c>
      <c r="F529">
        <f>IF($K529="","",INDEX(Raw_data!$AQ$2:$AQ$636,MATCH($K529,Model!$R$2:$R$636,0)))</f>
        <v/>
      </c>
      <c r="G529">
        <f>IF($K529="","",INDEX(Raw_data!$H$2:$H$636,MATCH($K529,Model!$R$2:$R$636,0)))</f>
        <v/>
      </c>
      <c r="H529" s="8">
        <f>IF($K529="","",INDEX(Model!$B$2:$B$636,MATCH($K529,Model!$R$2:$R$636,0)))</f>
        <v/>
      </c>
      <c r="I529" s="8">
        <f>IF($K529="","",INDEX(Model!$C$2:$C$636,MATCH($K529,Model!$R$2:$R$636,0)))</f>
        <v/>
      </c>
      <c r="J529">
        <f>IF($K529="","",INDEX(Model!$D$2:$D$636,MATCH($K529,Model!$R$2:$R$636,0)))</f>
        <v/>
      </c>
      <c r="K529">
        <f>IF(493&lt;=$E$5,LARGE(Model!$R$2:$R$636,493),"")</f>
        <v/>
      </c>
    </row>
    <row r="530">
      <c r="A530">
        <f>IF($K530="","",INDEX(Raw_data!$D$2:$D$636,MATCH($K530,Model!$R$2:$R$636,0)))</f>
        <v/>
      </c>
      <c r="B530" s="11">
        <f>IF($K530="","",INDEX(Raw_data!$F$2:$F$636,MATCH($K530,Model!$R$2:$R$636,0)))</f>
        <v/>
      </c>
      <c r="C530">
        <f>IF($K530="","",HYPERLINK(INDEX(Raw_data!$C$2:$C$636,MATCH($K530,Model!$R$2:$R$636,0)),INDEX(Raw_data!$C$2:$C$636,MATCH($K530,Model!$R$2:$R$636,0))))</f>
        <v/>
      </c>
      <c r="D530">
        <f>IF($K530="","",INDEX(Raw_data!$AL$2:$AL$636,MATCH($K530,Model!$R$2:$R$636,0)))</f>
        <v/>
      </c>
      <c r="E530">
        <f>IF($K530="","",INDEX(Raw_data!$AM$2:$AM$636,MATCH($K530,Model!$R$2:$R$636,0)))</f>
        <v/>
      </c>
      <c r="F530">
        <f>IF($K530="","",INDEX(Raw_data!$AQ$2:$AQ$636,MATCH($K530,Model!$R$2:$R$636,0)))</f>
        <v/>
      </c>
      <c r="G530">
        <f>IF($K530="","",INDEX(Raw_data!$H$2:$H$636,MATCH($K530,Model!$R$2:$R$636,0)))</f>
        <v/>
      </c>
      <c r="H530" s="8">
        <f>IF($K530="","",INDEX(Model!$B$2:$B$636,MATCH($K530,Model!$R$2:$R$636,0)))</f>
        <v/>
      </c>
      <c r="I530" s="8">
        <f>IF($K530="","",INDEX(Model!$C$2:$C$636,MATCH($K530,Model!$R$2:$R$636,0)))</f>
        <v/>
      </c>
      <c r="J530">
        <f>IF($K530="","",INDEX(Model!$D$2:$D$636,MATCH($K530,Model!$R$2:$R$636,0)))</f>
        <v/>
      </c>
      <c r="K530">
        <f>IF(494&lt;=$E$5,LARGE(Model!$R$2:$R$636,494),"")</f>
        <v/>
      </c>
    </row>
    <row r="531">
      <c r="A531">
        <f>IF($K531="","",INDEX(Raw_data!$D$2:$D$636,MATCH($K531,Model!$R$2:$R$636,0)))</f>
        <v/>
      </c>
      <c r="B531" s="11">
        <f>IF($K531="","",INDEX(Raw_data!$F$2:$F$636,MATCH($K531,Model!$R$2:$R$636,0)))</f>
        <v/>
      </c>
      <c r="C531">
        <f>IF($K531="","",HYPERLINK(INDEX(Raw_data!$C$2:$C$636,MATCH($K531,Model!$R$2:$R$636,0)),INDEX(Raw_data!$C$2:$C$636,MATCH($K531,Model!$R$2:$R$636,0))))</f>
        <v/>
      </c>
      <c r="D531">
        <f>IF($K531="","",INDEX(Raw_data!$AL$2:$AL$636,MATCH($K531,Model!$R$2:$R$636,0)))</f>
        <v/>
      </c>
      <c r="E531">
        <f>IF($K531="","",INDEX(Raw_data!$AM$2:$AM$636,MATCH($K531,Model!$R$2:$R$636,0)))</f>
        <v/>
      </c>
      <c r="F531">
        <f>IF($K531="","",INDEX(Raw_data!$AQ$2:$AQ$636,MATCH($K531,Model!$R$2:$R$636,0)))</f>
        <v/>
      </c>
      <c r="G531">
        <f>IF($K531="","",INDEX(Raw_data!$H$2:$H$636,MATCH($K531,Model!$R$2:$R$636,0)))</f>
        <v/>
      </c>
      <c r="H531" s="8">
        <f>IF($K531="","",INDEX(Model!$B$2:$B$636,MATCH($K531,Model!$R$2:$R$636,0)))</f>
        <v/>
      </c>
      <c r="I531" s="8">
        <f>IF($K531="","",INDEX(Model!$C$2:$C$636,MATCH($K531,Model!$R$2:$R$636,0)))</f>
        <v/>
      </c>
      <c r="J531">
        <f>IF($K531="","",INDEX(Model!$D$2:$D$636,MATCH($K531,Model!$R$2:$R$636,0)))</f>
        <v/>
      </c>
      <c r="K531">
        <f>IF(495&lt;=$E$5,LARGE(Model!$R$2:$R$636,495),"")</f>
        <v/>
      </c>
    </row>
    <row r="532">
      <c r="A532">
        <f>IF($K532="","",INDEX(Raw_data!$D$2:$D$636,MATCH($K532,Model!$R$2:$R$636,0)))</f>
        <v/>
      </c>
      <c r="B532" s="11">
        <f>IF($K532="","",INDEX(Raw_data!$F$2:$F$636,MATCH($K532,Model!$R$2:$R$636,0)))</f>
        <v/>
      </c>
      <c r="C532">
        <f>IF($K532="","",HYPERLINK(INDEX(Raw_data!$C$2:$C$636,MATCH($K532,Model!$R$2:$R$636,0)),INDEX(Raw_data!$C$2:$C$636,MATCH($K532,Model!$R$2:$R$636,0))))</f>
        <v/>
      </c>
      <c r="D532">
        <f>IF($K532="","",INDEX(Raw_data!$AL$2:$AL$636,MATCH($K532,Model!$R$2:$R$636,0)))</f>
        <v/>
      </c>
      <c r="E532">
        <f>IF($K532="","",INDEX(Raw_data!$AM$2:$AM$636,MATCH($K532,Model!$R$2:$R$636,0)))</f>
        <v/>
      </c>
      <c r="F532">
        <f>IF($K532="","",INDEX(Raw_data!$AQ$2:$AQ$636,MATCH($K532,Model!$R$2:$R$636,0)))</f>
        <v/>
      </c>
      <c r="G532">
        <f>IF($K532="","",INDEX(Raw_data!$H$2:$H$636,MATCH($K532,Model!$R$2:$R$636,0)))</f>
        <v/>
      </c>
      <c r="H532" s="8">
        <f>IF($K532="","",INDEX(Model!$B$2:$B$636,MATCH($K532,Model!$R$2:$R$636,0)))</f>
        <v/>
      </c>
      <c r="I532" s="8">
        <f>IF($K532="","",INDEX(Model!$C$2:$C$636,MATCH($K532,Model!$R$2:$R$636,0)))</f>
        <v/>
      </c>
      <c r="J532">
        <f>IF($K532="","",INDEX(Model!$D$2:$D$636,MATCH($K532,Model!$R$2:$R$636,0)))</f>
        <v/>
      </c>
      <c r="K532">
        <f>IF(496&lt;=$E$5,LARGE(Model!$R$2:$R$636,496),"")</f>
        <v/>
      </c>
    </row>
    <row r="533">
      <c r="A533">
        <f>IF($K533="","",INDEX(Raw_data!$D$2:$D$636,MATCH($K533,Model!$R$2:$R$636,0)))</f>
        <v/>
      </c>
      <c r="B533" s="11">
        <f>IF($K533="","",INDEX(Raw_data!$F$2:$F$636,MATCH($K533,Model!$R$2:$R$636,0)))</f>
        <v/>
      </c>
      <c r="C533">
        <f>IF($K533="","",HYPERLINK(INDEX(Raw_data!$C$2:$C$636,MATCH($K533,Model!$R$2:$R$636,0)),INDEX(Raw_data!$C$2:$C$636,MATCH($K533,Model!$R$2:$R$636,0))))</f>
        <v/>
      </c>
      <c r="D533">
        <f>IF($K533="","",INDEX(Raw_data!$AL$2:$AL$636,MATCH($K533,Model!$R$2:$R$636,0)))</f>
        <v/>
      </c>
      <c r="E533">
        <f>IF($K533="","",INDEX(Raw_data!$AM$2:$AM$636,MATCH($K533,Model!$R$2:$R$636,0)))</f>
        <v/>
      </c>
      <c r="F533">
        <f>IF($K533="","",INDEX(Raw_data!$AQ$2:$AQ$636,MATCH($K533,Model!$R$2:$R$636,0)))</f>
        <v/>
      </c>
      <c r="G533">
        <f>IF($K533="","",INDEX(Raw_data!$H$2:$H$636,MATCH($K533,Model!$R$2:$R$636,0)))</f>
        <v/>
      </c>
      <c r="H533" s="8">
        <f>IF($K533="","",INDEX(Model!$B$2:$B$636,MATCH($K533,Model!$R$2:$R$636,0)))</f>
        <v/>
      </c>
      <c r="I533" s="8">
        <f>IF($K533="","",INDEX(Model!$C$2:$C$636,MATCH($K533,Model!$R$2:$R$636,0)))</f>
        <v/>
      </c>
      <c r="J533">
        <f>IF($K533="","",INDEX(Model!$D$2:$D$636,MATCH($K533,Model!$R$2:$R$636,0)))</f>
        <v/>
      </c>
      <c r="K533">
        <f>IF(497&lt;=$E$5,LARGE(Model!$R$2:$R$636,497),"")</f>
        <v/>
      </c>
    </row>
    <row r="534">
      <c r="A534">
        <f>IF($K534="","",INDEX(Raw_data!$D$2:$D$636,MATCH($K534,Model!$R$2:$R$636,0)))</f>
        <v/>
      </c>
      <c r="B534" s="11">
        <f>IF($K534="","",INDEX(Raw_data!$F$2:$F$636,MATCH($K534,Model!$R$2:$R$636,0)))</f>
        <v/>
      </c>
      <c r="C534">
        <f>IF($K534="","",HYPERLINK(INDEX(Raw_data!$C$2:$C$636,MATCH($K534,Model!$R$2:$R$636,0)),INDEX(Raw_data!$C$2:$C$636,MATCH($K534,Model!$R$2:$R$636,0))))</f>
        <v/>
      </c>
      <c r="D534">
        <f>IF($K534="","",INDEX(Raw_data!$AL$2:$AL$636,MATCH($K534,Model!$R$2:$R$636,0)))</f>
        <v/>
      </c>
      <c r="E534">
        <f>IF($K534="","",INDEX(Raw_data!$AM$2:$AM$636,MATCH($K534,Model!$R$2:$R$636,0)))</f>
        <v/>
      </c>
      <c r="F534">
        <f>IF($K534="","",INDEX(Raw_data!$AQ$2:$AQ$636,MATCH($K534,Model!$R$2:$R$636,0)))</f>
        <v/>
      </c>
      <c r="G534">
        <f>IF($K534="","",INDEX(Raw_data!$H$2:$H$636,MATCH($K534,Model!$R$2:$R$636,0)))</f>
        <v/>
      </c>
      <c r="H534" s="8">
        <f>IF($K534="","",INDEX(Model!$B$2:$B$636,MATCH($K534,Model!$R$2:$R$636,0)))</f>
        <v/>
      </c>
      <c r="I534" s="8">
        <f>IF($K534="","",INDEX(Model!$C$2:$C$636,MATCH($K534,Model!$R$2:$R$636,0)))</f>
        <v/>
      </c>
      <c r="J534">
        <f>IF($K534="","",INDEX(Model!$D$2:$D$636,MATCH($K534,Model!$R$2:$R$636,0)))</f>
        <v/>
      </c>
      <c r="K534">
        <f>IF(498&lt;=$E$5,LARGE(Model!$R$2:$R$636,498),"")</f>
        <v/>
      </c>
    </row>
    <row r="535">
      <c r="A535">
        <f>IF($K535="","",INDEX(Raw_data!$D$2:$D$636,MATCH($K535,Model!$R$2:$R$636,0)))</f>
        <v/>
      </c>
      <c r="B535" s="11">
        <f>IF($K535="","",INDEX(Raw_data!$F$2:$F$636,MATCH($K535,Model!$R$2:$R$636,0)))</f>
        <v/>
      </c>
      <c r="C535">
        <f>IF($K535="","",HYPERLINK(INDEX(Raw_data!$C$2:$C$636,MATCH($K535,Model!$R$2:$R$636,0)),INDEX(Raw_data!$C$2:$C$636,MATCH($K535,Model!$R$2:$R$636,0))))</f>
        <v/>
      </c>
      <c r="D535">
        <f>IF($K535="","",INDEX(Raw_data!$AL$2:$AL$636,MATCH($K535,Model!$R$2:$R$636,0)))</f>
        <v/>
      </c>
      <c r="E535">
        <f>IF($K535="","",INDEX(Raw_data!$AM$2:$AM$636,MATCH($K535,Model!$R$2:$R$636,0)))</f>
        <v/>
      </c>
      <c r="F535">
        <f>IF($K535="","",INDEX(Raw_data!$AQ$2:$AQ$636,MATCH($K535,Model!$R$2:$R$636,0)))</f>
        <v/>
      </c>
      <c r="G535">
        <f>IF($K535="","",INDEX(Raw_data!$H$2:$H$636,MATCH($K535,Model!$R$2:$R$636,0)))</f>
        <v/>
      </c>
      <c r="H535" s="8">
        <f>IF($K535="","",INDEX(Model!$B$2:$B$636,MATCH($K535,Model!$R$2:$R$636,0)))</f>
        <v/>
      </c>
      <c r="I535" s="8">
        <f>IF($K535="","",INDEX(Model!$C$2:$C$636,MATCH($K535,Model!$R$2:$R$636,0)))</f>
        <v/>
      </c>
      <c r="J535">
        <f>IF($K535="","",INDEX(Model!$D$2:$D$636,MATCH($K535,Model!$R$2:$R$636,0)))</f>
        <v/>
      </c>
      <c r="K535">
        <f>IF(499&lt;=$E$5,LARGE(Model!$R$2:$R$636,499),"")</f>
        <v/>
      </c>
    </row>
    <row r="536">
      <c r="A536">
        <f>IF($K536="","",INDEX(Raw_data!$D$2:$D$636,MATCH($K536,Model!$R$2:$R$636,0)))</f>
        <v/>
      </c>
      <c r="B536" s="11">
        <f>IF($K536="","",INDEX(Raw_data!$F$2:$F$636,MATCH($K536,Model!$R$2:$R$636,0)))</f>
        <v/>
      </c>
      <c r="C536">
        <f>IF($K536="","",HYPERLINK(INDEX(Raw_data!$C$2:$C$636,MATCH($K536,Model!$R$2:$R$636,0)),INDEX(Raw_data!$C$2:$C$636,MATCH($K536,Model!$R$2:$R$636,0))))</f>
        <v/>
      </c>
      <c r="D536">
        <f>IF($K536="","",INDEX(Raw_data!$AL$2:$AL$636,MATCH($K536,Model!$R$2:$R$636,0)))</f>
        <v/>
      </c>
      <c r="E536">
        <f>IF($K536="","",INDEX(Raw_data!$AM$2:$AM$636,MATCH($K536,Model!$R$2:$R$636,0)))</f>
        <v/>
      </c>
      <c r="F536">
        <f>IF($K536="","",INDEX(Raw_data!$AQ$2:$AQ$636,MATCH($K536,Model!$R$2:$R$636,0)))</f>
        <v/>
      </c>
      <c r="G536">
        <f>IF($K536="","",INDEX(Raw_data!$H$2:$H$636,MATCH($K536,Model!$R$2:$R$636,0)))</f>
        <v/>
      </c>
      <c r="H536" s="8">
        <f>IF($K536="","",INDEX(Model!$B$2:$B$636,MATCH($K536,Model!$R$2:$R$636,0)))</f>
        <v/>
      </c>
      <c r="I536" s="8">
        <f>IF($K536="","",INDEX(Model!$C$2:$C$636,MATCH($K536,Model!$R$2:$R$636,0)))</f>
        <v/>
      </c>
      <c r="J536">
        <f>IF($K536="","",INDEX(Model!$D$2:$D$636,MATCH($K536,Model!$R$2:$R$636,0)))</f>
        <v/>
      </c>
      <c r="K536">
        <f>IF(500&lt;=$E$5,LARGE(Model!$R$2:$R$636,500),"")</f>
        <v/>
      </c>
    </row>
    <row r="537">
      <c r="A537">
        <f>IF($K537="","",INDEX(Raw_data!$D$2:$D$636,MATCH($K537,Model!$R$2:$R$636,0)))</f>
        <v/>
      </c>
      <c r="B537" s="11">
        <f>IF($K537="","",INDEX(Raw_data!$F$2:$F$636,MATCH($K537,Model!$R$2:$R$636,0)))</f>
        <v/>
      </c>
      <c r="C537">
        <f>IF($K537="","",HYPERLINK(INDEX(Raw_data!$C$2:$C$636,MATCH($K537,Model!$R$2:$R$636,0)),INDEX(Raw_data!$C$2:$C$636,MATCH($K537,Model!$R$2:$R$636,0))))</f>
        <v/>
      </c>
      <c r="D537">
        <f>IF($K537="","",INDEX(Raw_data!$AL$2:$AL$636,MATCH($K537,Model!$R$2:$R$636,0)))</f>
        <v/>
      </c>
      <c r="E537">
        <f>IF($K537="","",INDEX(Raw_data!$AM$2:$AM$636,MATCH($K537,Model!$R$2:$R$636,0)))</f>
        <v/>
      </c>
      <c r="F537">
        <f>IF($K537="","",INDEX(Raw_data!$AQ$2:$AQ$636,MATCH($K537,Model!$R$2:$R$636,0)))</f>
        <v/>
      </c>
      <c r="G537">
        <f>IF($K537="","",INDEX(Raw_data!$H$2:$H$636,MATCH($K537,Model!$R$2:$R$636,0)))</f>
        <v/>
      </c>
      <c r="H537" s="8">
        <f>IF($K537="","",INDEX(Model!$B$2:$B$636,MATCH($K537,Model!$R$2:$R$636,0)))</f>
        <v/>
      </c>
      <c r="I537" s="8">
        <f>IF($K537="","",INDEX(Model!$C$2:$C$636,MATCH($K537,Model!$R$2:$R$636,0)))</f>
        <v/>
      </c>
      <c r="J537">
        <f>IF($K537="","",INDEX(Model!$D$2:$D$636,MATCH($K537,Model!$R$2:$R$636,0)))</f>
        <v/>
      </c>
      <c r="K537">
        <f>IF(501&lt;=$E$5,LARGE(Model!$R$2:$R$636,501),"")</f>
        <v/>
      </c>
    </row>
    <row r="538">
      <c r="A538">
        <f>IF($K538="","",INDEX(Raw_data!$D$2:$D$636,MATCH($K538,Model!$R$2:$R$636,0)))</f>
        <v/>
      </c>
      <c r="B538" s="11">
        <f>IF($K538="","",INDEX(Raw_data!$F$2:$F$636,MATCH($K538,Model!$R$2:$R$636,0)))</f>
        <v/>
      </c>
      <c r="C538">
        <f>IF($K538="","",HYPERLINK(INDEX(Raw_data!$C$2:$C$636,MATCH($K538,Model!$R$2:$R$636,0)),INDEX(Raw_data!$C$2:$C$636,MATCH($K538,Model!$R$2:$R$636,0))))</f>
        <v/>
      </c>
      <c r="D538">
        <f>IF($K538="","",INDEX(Raw_data!$AL$2:$AL$636,MATCH($K538,Model!$R$2:$R$636,0)))</f>
        <v/>
      </c>
      <c r="E538">
        <f>IF($K538="","",INDEX(Raw_data!$AM$2:$AM$636,MATCH($K538,Model!$R$2:$R$636,0)))</f>
        <v/>
      </c>
      <c r="F538">
        <f>IF($K538="","",INDEX(Raw_data!$AQ$2:$AQ$636,MATCH($K538,Model!$R$2:$R$636,0)))</f>
        <v/>
      </c>
      <c r="G538">
        <f>IF($K538="","",INDEX(Raw_data!$H$2:$H$636,MATCH($K538,Model!$R$2:$R$636,0)))</f>
        <v/>
      </c>
      <c r="H538" s="8">
        <f>IF($K538="","",INDEX(Model!$B$2:$B$636,MATCH($K538,Model!$R$2:$R$636,0)))</f>
        <v/>
      </c>
      <c r="I538" s="8">
        <f>IF($K538="","",INDEX(Model!$C$2:$C$636,MATCH($K538,Model!$R$2:$R$636,0)))</f>
        <v/>
      </c>
      <c r="J538">
        <f>IF($K538="","",INDEX(Model!$D$2:$D$636,MATCH($K538,Model!$R$2:$R$636,0)))</f>
        <v/>
      </c>
      <c r="K538">
        <f>IF(502&lt;=$E$5,LARGE(Model!$R$2:$R$636,502),"")</f>
        <v/>
      </c>
    </row>
    <row r="539">
      <c r="A539">
        <f>IF($K539="","",INDEX(Raw_data!$D$2:$D$636,MATCH($K539,Model!$R$2:$R$636,0)))</f>
        <v/>
      </c>
      <c r="B539" s="11">
        <f>IF($K539="","",INDEX(Raw_data!$F$2:$F$636,MATCH($K539,Model!$R$2:$R$636,0)))</f>
        <v/>
      </c>
      <c r="C539">
        <f>IF($K539="","",HYPERLINK(INDEX(Raw_data!$C$2:$C$636,MATCH($K539,Model!$R$2:$R$636,0)),INDEX(Raw_data!$C$2:$C$636,MATCH($K539,Model!$R$2:$R$636,0))))</f>
        <v/>
      </c>
      <c r="D539">
        <f>IF($K539="","",INDEX(Raw_data!$AL$2:$AL$636,MATCH($K539,Model!$R$2:$R$636,0)))</f>
        <v/>
      </c>
      <c r="E539">
        <f>IF($K539="","",INDEX(Raw_data!$AM$2:$AM$636,MATCH($K539,Model!$R$2:$R$636,0)))</f>
        <v/>
      </c>
      <c r="F539">
        <f>IF($K539="","",INDEX(Raw_data!$AQ$2:$AQ$636,MATCH($K539,Model!$R$2:$R$636,0)))</f>
        <v/>
      </c>
      <c r="G539">
        <f>IF($K539="","",INDEX(Raw_data!$H$2:$H$636,MATCH($K539,Model!$R$2:$R$636,0)))</f>
        <v/>
      </c>
      <c r="H539" s="8">
        <f>IF($K539="","",INDEX(Model!$B$2:$B$636,MATCH($K539,Model!$R$2:$R$636,0)))</f>
        <v/>
      </c>
      <c r="I539" s="8">
        <f>IF($K539="","",INDEX(Model!$C$2:$C$636,MATCH($K539,Model!$R$2:$R$636,0)))</f>
        <v/>
      </c>
      <c r="J539">
        <f>IF($K539="","",INDEX(Model!$D$2:$D$636,MATCH($K539,Model!$R$2:$R$636,0)))</f>
        <v/>
      </c>
      <c r="K539">
        <f>IF(503&lt;=$E$5,LARGE(Model!$R$2:$R$636,503),"")</f>
        <v/>
      </c>
    </row>
    <row r="540">
      <c r="A540">
        <f>IF($K540="","",INDEX(Raw_data!$D$2:$D$636,MATCH($K540,Model!$R$2:$R$636,0)))</f>
        <v/>
      </c>
      <c r="B540" s="11">
        <f>IF($K540="","",INDEX(Raw_data!$F$2:$F$636,MATCH($K540,Model!$R$2:$R$636,0)))</f>
        <v/>
      </c>
      <c r="C540">
        <f>IF($K540="","",HYPERLINK(INDEX(Raw_data!$C$2:$C$636,MATCH($K540,Model!$R$2:$R$636,0)),INDEX(Raw_data!$C$2:$C$636,MATCH($K540,Model!$R$2:$R$636,0))))</f>
        <v/>
      </c>
      <c r="D540">
        <f>IF($K540="","",INDEX(Raw_data!$AL$2:$AL$636,MATCH($K540,Model!$R$2:$R$636,0)))</f>
        <v/>
      </c>
      <c r="E540">
        <f>IF($K540="","",INDEX(Raw_data!$AM$2:$AM$636,MATCH($K540,Model!$R$2:$R$636,0)))</f>
        <v/>
      </c>
      <c r="F540">
        <f>IF($K540="","",INDEX(Raw_data!$AQ$2:$AQ$636,MATCH($K540,Model!$R$2:$R$636,0)))</f>
        <v/>
      </c>
      <c r="G540">
        <f>IF($K540="","",INDEX(Raw_data!$H$2:$H$636,MATCH($K540,Model!$R$2:$R$636,0)))</f>
        <v/>
      </c>
      <c r="H540" s="8">
        <f>IF($K540="","",INDEX(Model!$B$2:$B$636,MATCH($K540,Model!$R$2:$R$636,0)))</f>
        <v/>
      </c>
      <c r="I540" s="8">
        <f>IF($K540="","",INDEX(Model!$C$2:$C$636,MATCH($K540,Model!$R$2:$R$636,0)))</f>
        <v/>
      </c>
      <c r="J540">
        <f>IF($K540="","",INDEX(Model!$D$2:$D$636,MATCH($K540,Model!$R$2:$R$636,0)))</f>
        <v/>
      </c>
      <c r="K540">
        <f>IF(504&lt;=$E$5,LARGE(Model!$R$2:$R$636,504),"")</f>
        <v/>
      </c>
    </row>
    <row r="541">
      <c r="A541">
        <f>IF($K541="","",INDEX(Raw_data!$D$2:$D$636,MATCH($K541,Model!$R$2:$R$636,0)))</f>
        <v/>
      </c>
      <c r="B541" s="11">
        <f>IF($K541="","",INDEX(Raw_data!$F$2:$F$636,MATCH($K541,Model!$R$2:$R$636,0)))</f>
        <v/>
      </c>
      <c r="C541">
        <f>IF($K541="","",HYPERLINK(INDEX(Raw_data!$C$2:$C$636,MATCH($K541,Model!$R$2:$R$636,0)),INDEX(Raw_data!$C$2:$C$636,MATCH($K541,Model!$R$2:$R$636,0))))</f>
        <v/>
      </c>
      <c r="D541">
        <f>IF($K541="","",INDEX(Raw_data!$AL$2:$AL$636,MATCH($K541,Model!$R$2:$R$636,0)))</f>
        <v/>
      </c>
      <c r="E541">
        <f>IF($K541="","",INDEX(Raw_data!$AM$2:$AM$636,MATCH($K541,Model!$R$2:$R$636,0)))</f>
        <v/>
      </c>
      <c r="F541">
        <f>IF($K541="","",INDEX(Raw_data!$AQ$2:$AQ$636,MATCH($K541,Model!$R$2:$R$636,0)))</f>
        <v/>
      </c>
      <c r="G541">
        <f>IF($K541="","",INDEX(Raw_data!$H$2:$H$636,MATCH($K541,Model!$R$2:$R$636,0)))</f>
        <v/>
      </c>
      <c r="H541" s="8">
        <f>IF($K541="","",INDEX(Model!$B$2:$B$636,MATCH($K541,Model!$R$2:$R$636,0)))</f>
        <v/>
      </c>
      <c r="I541" s="8">
        <f>IF($K541="","",INDEX(Model!$C$2:$C$636,MATCH($K541,Model!$R$2:$R$636,0)))</f>
        <v/>
      </c>
      <c r="J541">
        <f>IF($K541="","",INDEX(Model!$D$2:$D$636,MATCH($K541,Model!$R$2:$R$636,0)))</f>
        <v/>
      </c>
      <c r="K541">
        <f>IF(505&lt;=$E$5,LARGE(Model!$R$2:$R$636,505),"")</f>
        <v/>
      </c>
    </row>
    <row r="542">
      <c r="A542">
        <f>IF($K542="","",INDEX(Raw_data!$D$2:$D$636,MATCH($K542,Model!$R$2:$R$636,0)))</f>
        <v/>
      </c>
      <c r="B542" s="11">
        <f>IF($K542="","",INDEX(Raw_data!$F$2:$F$636,MATCH($K542,Model!$R$2:$R$636,0)))</f>
        <v/>
      </c>
      <c r="C542">
        <f>IF($K542="","",HYPERLINK(INDEX(Raw_data!$C$2:$C$636,MATCH($K542,Model!$R$2:$R$636,0)),INDEX(Raw_data!$C$2:$C$636,MATCH($K542,Model!$R$2:$R$636,0))))</f>
        <v/>
      </c>
      <c r="D542">
        <f>IF($K542="","",INDEX(Raw_data!$AL$2:$AL$636,MATCH($K542,Model!$R$2:$R$636,0)))</f>
        <v/>
      </c>
      <c r="E542">
        <f>IF($K542="","",INDEX(Raw_data!$AM$2:$AM$636,MATCH($K542,Model!$R$2:$R$636,0)))</f>
        <v/>
      </c>
      <c r="F542">
        <f>IF($K542="","",INDEX(Raw_data!$AQ$2:$AQ$636,MATCH($K542,Model!$R$2:$R$636,0)))</f>
        <v/>
      </c>
      <c r="G542">
        <f>IF($K542="","",INDEX(Raw_data!$H$2:$H$636,MATCH($K542,Model!$R$2:$R$636,0)))</f>
        <v/>
      </c>
      <c r="H542" s="8">
        <f>IF($K542="","",INDEX(Model!$B$2:$B$636,MATCH($K542,Model!$R$2:$R$636,0)))</f>
        <v/>
      </c>
      <c r="I542" s="8">
        <f>IF($K542="","",INDEX(Model!$C$2:$C$636,MATCH($K542,Model!$R$2:$R$636,0)))</f>
        <v/>
      </c>
      <c r="J542">
        <f>IF($K542="","",INDEX(Model!$D$2:$D$636,MATCH($K542,Model!$R$2:$R$636,0)))</f>
        <v/>
      </c>
      <c r="K542">
        <f>IF(506&lt;=$E$5,LARGE(Model!$R$2:$R$636,506),"")</f>
        <v/>
      </c>
    </row>
    <row r="543">
      <c r="A543">
        <f>IF($K543="","",INDEX(Raw_data!$D$2:$D$636,MATCH($K543,Model!$R$2:$R$636,0)))</f>
        <v/>
      </c>
      <c r="B543" s="11">
        <f>IF($K543="","",INDEX(Raw_data!$F$2:$F$636,MATCH($K543,Model!$R$2:$R$636,0)))</f>
        <v/>
      </c>
      <c r="C543">
        <f>IF($K543="","",HYPERLINK(INDEX(Raw_data!$C$2:$C$636,MATCH($K543,Model!$R$2:$R$636,0)),INDEX(Raw_data!$C$2:$C$636,MATCH($K543,Model!$R$2:$R$636,0))))</f>
        <v/>
      </c>
      <c r="D543">
        <f>IF($K543="","",INDEX(Raw_data!$AL$2:$AL$636,MATCH($K543,Model!$R$2:$R$636,0)))</f>
        <v/>
      </c>
      <c r="E543">
        <f>IF($K543="","",INDEX(Raw_data!$AM$2:$AM$636,MATCH($K543,Model!$R$2:$R$636,0)))</f>
        <v/>
      </c>
      <c r="F543">
        <f>IF($K543="","",INDEX(Raw_data!$AQ$2:$AQ$636,MATCH($K543,Model!$R$2:$R$636,0)))</f>
        <v/>
      </c>
      <c r="G543">
        <f>IF($K543="","",INDEX(Raw_data!$H$2:$H$636,MATCH($K543,Model!$R$2:$R$636,0)))</f>
        <v/>
      </c>
      <c r="H543" s="8">
        <f>IF($K543="","",INDEX(Model!$B$2:$B$636,MATCH($K543,Model!$R$2:$R$636,0)))</f>
        <v/>
      </c>
      <c r="I543" s="8">
        <f>IF($K543="","",INDEX(Model!$C$2:$C$636,MATCH($K543,Model!$R$2:$R$636,0)))</f>
        <v/>
      </c>
      <c r="J543">
        <f>IF($K543="","",INDEX(Model!$D$2:$D$636,MATCH($K543,Model!$R$2:$R$636,0)))</f>
        <v/>
      </c>
      <c r="K543">
        <f>IF(507&lt;=$E$5,LARGE(Model!$R$2:$R$636,507),"")</f>
        <v/>
      </c>
    </row>
    <row r="544">
      <c r="A544">
        <f>IF($K544="","",INDEX(Raw_data!$D$2:$D$636,MATCH($K544,Model!$R$2:$R$636,0)))</f>
        <v/>
      </c>
      <c r="B544" s="11">
        <f>IF($K544="","",INDEX(Raw_data!$F$2:$F$636,MATCH($K544,Model!$R$2:$R$636,0)))</f>
        <v/>
      </c>
      <c r="C544">
        <f>IF($K544="","",HYPERLINK(INDEX(Raw_data!$C$2:$C$636,MATCH($K544,Model!$R$2:$R$636,0)),INDEX(Raw_data!$C$2:$C$636,MATCH($K544,Model!$R$2:$R$636,0))))</f>
        <v/>
      </c>
      <c r="D544">
        <f>IF($K544="","",INDEX(Raw_data!$AL$2:$AL$636,MATCH($K544,Model!$R$2:$R$636,0)))</f>
        <v/>
      </c>
      <c r="E544">
        <f>IF($K544="","",INDEX(Raw_data!$AM$2:$AM$636,MATCH($K544,Model!$R$2:$R$636,0)))</f>
        <v/>
      </c>
      <c r="F544">
        <f>IF($K544="","",INDEX(Raw_data!$AQ$2:$AQ$636,MATCH($K544,Model!$R$2:$R$636,0)))</f>
        <v/>
      </c>
      <c r="G544">
        <f>IF($K544="","",INDEX(Raw_data!$H$2:$H$636,MATCH($K544,Model!$R$2:$R$636,0)))</f>
        <v/>
      </c>
      <c r="H544" s="8">
        <f>IF($K544="","",INDEX(Model!$B$2:$B$636,MATCH($K544,Model!$R$2:$R$636,0)))</f>
        <v/>
      </c>
      <c r="I544" s="8">
        <f>IF($K544="","",INDEX(Model!$C$2:$C$636,MATCH($K544,Model!$R$2:$R$636,0)))</f>
        <v/>
      </c>
      <c r="J544">
        <f>IF($K544="","",INDEX(Model!$D$2:$D$636,MATCH($K544,Model!$R$2:$R$636,0)))</f>
        <v/>
      </c>
      <c r="K544">
        <f>IF(508&lt;=$E$5,LARGE(Model!$R$2:$R$636,508),"")</f>
        <v/>
      </c>
    </row>
    <row r="545">
      <c r="A545">
        <f>IF($K545="","",INDEX(Raw_data!$D$2:$D$636,MATCH($K545,Model!$R$2:$R$636,0)))</f>
        <v/>
      </c>
      <c r="B545" s="11">
        <f>IF($K545="","",INDEX(Raw_data!$F$2:$F$636,MATCH($K545,Model!$R$2:$R$636,0)))</f>
        <v/>
      </c>
      <c r="C545">
        <f>IF($K545="","",HYPERLINK(INDEX(Raw_data!$C$2:$C$636,MATCH($K545,Model!$R$2:$R$636,0)),INDEX(Raw_data!$C$2:$C$636,MATCH($K545,Model!$R$2:$R$636,0))))</f>
        <v/>
      </c>
      <c r="D545">
        <f>IF($K545="","",INDEX(Raw_data!$AL$2:$AL$636,MATCH($K545,Model!$R$2:$R$636,0)))</f>
        <v/>
      </c>
      <c r="E545">
        <f>IF($K545="","",INDEX(Raw_data!$AM$2:$AM$636,MATCH($K545,Model!$R$2:$R$636,0)))</f>
        <v/>
      </c>
      <c r="F545">
        <f>IF($K545="","",INDEX(Raw_data!$AQ$2:$AQ$636,MATCH($K545,Model!$R$2:$R$636,0)))</f>
        <v/>
      </c>
      <c r="G545">
        <f>IF($K545="","",INDEX(Raw_data!$H$2:$H$636,MATCH($K545,Model!$R$2:$R$636,0)))</f>
        <v/>
      </c>
      <c r="H545" s="8">
        <f>IF($K545="","",INDEX(Model!$B$2:$B$636,MATCH($K545,Model!$R$2:$R$636,0)))</f>
        <v/>
      </c>
      <c r="I545" s="8">
        <f>IF($K545="","",INDEX(Model!$C$2:$C$636,MATCH($K545,Model!$R$2:$R$636,0)))</f>
        <v/>
      </c>
      <c r="J545">
        <f>IF($K545="","",INDEX(Model!$D$2:$D$636,MATCH($K545,Model!$R$2:$R$636,0)))</f>
        <v/>
      </c>
      <c r="K545">
        <f>IF(509&lt;=$E$5,LARGE(Model!$R$2:$R$636,509),"")</f>
        <v/>
      </c>
    </row>
    <row r="546">
      <c r="A546">
        <f>IF($K546="","",INDEX(Raw_data!$D$2:$D$636,MATCH($K546,Model!$R$2:$R$636,0)))</f>
        <v/>
      </c>
      <c r="B546" s="11">
        <f>IF($K546="","",INDEX(Raw_data!$F$2:$F$636,MATCH($K546,Model!$R$2:$R$636,0)))</f>
        <v/>
      </c>
      <c r="C546">
        <f>IF($K546="","",HYPERLINK(INDEX(Raw_data!$C$2:$C$636,MATCH($K546,Model!$R$2:$R$636,0)),INDEX(Raw_data!$C$2:$C$636,MATCH($K546,Model!$R$2:$R$636,0))))</f>
        <v/>
      </c>
      <c r="D546">
        <f>IF($K546="","",INDEX(Raw_data!$AL$2:$AL$636,MATCH($K546,Model!$R$2:$R$636,0)))</f>
        <v/>
      </c>
      <c r="E546">
        <f>IF($K546="","",INDEX(Raw_data!$AM$2:$AM$636,MATCH($K546,Model!$R$2:$R$636,0)))</f>
        <v/>
      </c>
      <c r="F546">
        <f>IF($K546="","",INDEX(Raw_data!$AQ$2:$AQ$636,MATCH($K546,Model!$R$2:$R$636,0)))</f>
        <v/>
      </c>
      <c r="G546">
        <f>IF($K546="","",INDEX(Raw_data!$H$2:$H$636,MATCH($K546,Model!$R$2:$R$636,0)))</f>
        <v/>
      </c>
      <c r="H546" s="8">
        <f>IF($K546="","",INDEX(Model!$B$2:$B$636,MATCH($K546,Model!$R$2:$R$636,0)))</f>
        <v/>
      </c>
      <c r="I546" s="8">
        <f>IF($K546="","",INDEX(Model!$C$2:$C$636,MATCH($K546,Model!$R$2:$R$636,0)))</f>
        <v/>
      </c>
      <c r="J546">
        <f>IF($K546="","",INDEX(Model!$D$2:$D$636,MATCH($K546,Model!$R$2:$R$636,0)))</f>
        <v/>
      </c>
      <c r="K546">
        <f>IF(510&lt;=$E$5,LARGE(Model!$R$2:$R$636,510),"")</f>
        <v/>
      </c>
    </row>
    <row r="547">
      <c r="A547">
        <f>IF($K547="","",INDEX(Raw_data!$D$2:$D$636,MATCH($K547,Model!$R$2:$R$636,0)))</f>
        <v/>
      </c>
      <c r="B547" s="11">
        <f>IF($K547="","",INDEX(Raw_data!$F$2:$F$636,MATCH($K547,Model!$R$2:$R$636,0)))</f>
        <v/>
      </c>
      <c r="C547">
        <f>IF($K547="","",HYPERLINK(INDEX(Raw_data!$C$2:$C$636,MATCH($K547,Model!$R$2:$R$636,0)),INDEX(Raw_data!$C$2:$C$636,MATCH($K547,Model!$R$2:$R$636,0))))</f>
        <v/>
      </c>
      <c r="D547">
        <f>IF($K547="","",INDEX(Raw_data!$AL$2:$AL$636,MATCH($K547,Model!$R$2:$R$636,0)))</f>
        <v/>
      </c>
      <c r="E547">
        <f>IF($K547="","",INDEX(Raw_data!$AM$2:$AM$636,MATCH($K547,Model!$R$2:$R$636,0)))</f>
        <v/>
      </c>
      <c r="F547">
        <f>IF($K547="","",INDEX(Raw_data!$AQ$2:$AQ$636,MATCH($K547,Model!$R$2:$R$636,0)))</f>
        <v/>
      </c>
      <c r="G547">
        <f>IF($K547="","",INDEX(Raw_data!$H$2:$H$636,MATCH($K547,Model!$R$2:$R$636,0)))</f>
        <v/>
      </c>
      <c r="H547" s="8">
        <f>IF($K547="","",INDEX(Model!$B$2:$B$636,MATCH($K547,Model!$R$2:$R$636,0)))</f>
        <v/>
      </c>
      <c r="I547" s="8">
        <f>IF($K547="","",INDEX(Model!$C$2:$C$636,MATCH($K547,Model!$R$2:$R$636,0)))</f>
        <v/>
      </c>
      <c r="J547">
        <f>IF($K547="","",INDEX(Model!$D$2:$D$636,MATCH($K547,Model!$R$2:$R$636,0)))</f>
        <v/>
      </c>
      <c r="K547">
        <f>IF(511&lt;=$E$5,LARGE(Model!$R$2:$R$636,511),"")</f>
        <v/>
      </c>
    </row>
    <row r="548">
      <c r="A548">
        <f>IF($K548="","",INDEX(Raw_data!$D$2:$D$636,MATCH($K548,Model!$R$2:$R$636,0)))</f>
        <v/>
      </c>
      <c r="B548" s="11">
        <f>IF($K548="","",INDEX(Raw_data!$F$2:$F$636,MATCH($K548,Model!$R$2:$R$636,0)))</f>
        <v/>
      </c>
      <c r="C548">
        <f>IF($K548="","",HYPERLINK(INDEX(Raw_data!$C$2:$C$636,MATCH($K548,Model!$R$2:$R$636,0)),INDEX(Raw_data!$C$2:$C$636,MATCH($K548,Model!$R$2:$R$636,0))))</f>
        <v/>
      </c>
      <c r="D548">
        <f>IF($K548="","",INDEX(Raw_data!$AL$2:$AL$636,MATCH($K548,Model!$R$2:$R$636,0)))</f>
        <v/>
      </c>
      <c r="E548">
        <f>IF($K548="","",INDEX(Raw_data!$AM$2:$AM$636,MATCH($K548,Model!$R$2:$R$636,0)))</f>
        <v/>
      </c>
      <c r="F548">
        <f>IF($K548="","",INDEX(Raw_data!$AQ$2:$AQ$636,MATCH($K548,Model!$R$2:$R$636,0)))</f>
        <v/>
      </c>
      <c r="G548">
        <f>IF($K548="","",INDEX(Raw_data!$H$2:$H$636,MATCH($K548,Model!$R$2:$R$636,0)))</f>
        <v/>
      </c>
      <c r="H548" s="8">
        <f>IF($K548="","",INDEX(Model!$B$2:$B$636,MATCH($K548,Model!$R$2:$R$636,0)))</f>
        <v/>
      </c>
      <c r="I548" s="8">
        <f>IF($K548="","",INDEX(Model!$C$2:$C$636,MATCH($K548,Model!$R$2:$R$636,0)))</f>
        <v/>
      </c>
      <c r="J548">
        <f>IF($K548="","",INDEX(Model!$D$2:$D$636,MATCH($K548,Model!$R$2:$R$636,0)))</f>
        <v/>
      </c>
      <c r="K548">
        <f>IF(512&lt;=$E$5,LARGE(Model!$R$2:$R$636,512),"")</f>
        <v/>
      </c>
    </row>
    <row r="549">
      <c r="A549">
        <f>IF($K549="","",INDEX(Raw_data!$D$2:$D$636,MATCH($K549,Model!$R$2:$R$636,0)))</f>
        <v/>
      </c>
      <c r="B549" s="11">
        <f>IF($K549="","",INDEX(Raw_data!$F$2:$F$636,MATCH($K549,Model!$R$2:$R$636,0)))</f>
        <v/>
      </c>
      <c r="C549">
        <f>IF($K549="","",HYPERLINK(INDEX(Raw_data!$C$2:$C$636,MATCH($K549,Model!$R$2:$R$636,0)),INDEX(Raw_data!$C$2:$C$636,MATCH($K549,Model!$R$2:$R$636,0))))</f>
        <v/>
      </c>
      <c r="D549">
        <f>IF($K549="","",INDEX(Raw_data!$AL$2:$AL$636,MATCH($K549,Model!$R$2:$R$636,0)))</f>
        <v/>
      </c>
      <c r="E549">
        <f>IF($K549="","",INDEX(Raw_data!$AM$2:$AM$636,MATCH($K549,Model!$R$2:$R$636,0)))</f>
        <v/>
      </c>
      <c r="F549">
        <f>IF($K549="","",INDEX(Raw_data!$AQ$2:$AQ$636,MATCH($K549,Model!$R$2:$R$636,0)))</f>
        <v/>
      </c>
      <c r="G549">
        <f>IF($K549="","",INDEX(Raw_data!$H$2:$H$636,MATCH($K549,Model!$R$2:$R$636,0)))</f>
        <v/>
      </c>
      <c r="H549" s="8">
        <f>IF($K549="","",INDEX(Model!$B$2:$B$636,MATCH($K549,Model!$R$2:$R$636,0)))</f>
        <v/>
      </c>
      <c r="I549" s="8">
        <f>IF($K549="","",INDEX(Model!$C$2:$C$636,MATCH($K549,Model!$R$2:$R$636,0)))</f>
        <v/>
      </c>
      <c r="J549">
        <f>IF($K549="","",INDEX(Model!$D$2:$D$636,MATCH($K549,Model!$R$2:$R$636,0)))</f>
        <v/>
      </c>
      <c r="K549">
        <f>IF(513&lt;=$E$5,LARGE(Model!$R$2:$R$636,513),"")</f>
        <v/>
      </c>
    </row>
    <row r="550">
      <c r="A550">
        <f>IF($K550="","",INDEX(Raw_data!$D$2:$D$636,MATCH($K550,Model!$R$2:$R$636,0)))</f>
        <v/>
      </c>
      <c r="B550" s="11">
        <f>IF($K550="","",INDEX(Raw_data!$F$2:$F$636,MATCH($K550,Model!$R$2:$R$636,0)))</f>
        <v/>
      </c>
      <c r="C550">
        <f>IF($K550="","",HYPERLINK(INDEX(Raw_data!$C$2:$C$636,MATCH($K550,Model!$R$2:$R$636,0)),INDEX(Raw_data!$C$2:$C$636,MATCH($K550,Model!$R$2:$R$636,0))))</f>
        <v/>
      </c>
      <c r="D550">
        <f>IF($K550="","",INDEX(Raw_data!$AL$2:$AL$636,MATCH($K550,Model!$R$2:$R$636,0)))</f>
        <v/>
      </c>
      <c r="E550">
        <f>IF($K550="","",INDEX(Raw_data!$AM$2:$AM$636,MATCH($K550,Model!$R$2:$R$636,0)))</f>
        <v/>
      </c>
      <c r="F550">
        <f>IF($K550="","",INDEX(Raw_data!$AQ$2:$AQ$636,MATCH($K550,Model!$R$2:$R$636,0)))</f>
        <v/>
      </c>
      <c r="G550">
        <f>IF($K550="","",INDEX(Raw_data!$H$2:$H$636,MATCH($K550,Model!$R$2:$R$636,0)))</f>
        <v/>
      </c>
      <c r="H550" s="8">
        <f>IF($K550="","",INDEX(Model!$B$2:$B$636,MATCH($K550,Model!$R$2:$R$636,0)))</f>
        <v/>
      </c>
      <c r="I550" s="8">
        <f>IF($K550="","",INDEX(Model!$C$2:$C$636,MATCH($K550,Model!$R$2:$R$636,0)))</f>
        <v/>
      </c>
      <c r="J550">
        <f>IF($K550="","",INDEX(Model!$D$2:$D$636,MATCH($K550,Model!$R$2:$R$636,0)))</f>
        <v/>
      </c>
      <c r="K550">
        <f>IF(514&lt;=$E$5,LARGE(Model!$R$2:$R$636,514),"")</f>
        <v/>
      </c>
    </row>
    <row r="551">
      <c r="A551">
        <f>IF($K551="","",INDEX(Raw_data!$D$2:$D$636,MATCH($K551,Model!$R$2:$R$636,0)))</f>
        <v/>
      </c>
      <c r="B551" s="11">
        <f>IF($K551="","",INDEX(Raw_data!$F$2:$F$636,MATCH($K551,Model!$R$2:$R$636,0)))</f>
        <v/>
      </c>
      <c r="C551">
        <f>IF($K551="","",HYPERLINK(INDEX(Raw_data!$C$2:$C$636,MATCH($K551,Model!$R$2:$R$636,0)),INDEX(Raw_data!$C$2:$C$636,MATCH($K551,Model!$R$2:$R$636,0))))</f>
        <v/>
      </c>
      <c r="D551">
        <f>IF($K551="","",INDEX(Raw_data!$AL$2:$AL$636,MATCH($K551,Model!$R$2:$R$636,0)))</f>
        <v/>
      </c>
      <c r="E551">
        <f>IF($K551="","",INDEX(Raw_data!$AM$2:$AM$636,MATCH($K551,Model!$R$2:$R$636,0)))</f>
        <v/>
      </c>
      <c r="F551">
        <f>IF($K551="","",INDEX(Raw_data!$AQ$2:$AQ$636,MATCH($K551,Model!$R$2:$R$636,0)))</f>
        <v/>
      </c>
      <c r="G551">
        <f>IF($K551="","",INDEX(Raw_data!$H$2:$H$636,MATCH($K551,Model!$R$2:$R$636,0)))</f>
        <v/>
      </c>
      <c r="H551" s="8">
        <f>IF($K551="","",INDEX(Model!$B$2:$B$636,MATCH($K551,Model!$R$2:$R$636,0)))</f>
        <v/>
      </c>
      <c r="I551" s="8">
        <f>IF($K551="","",INDEX(Model!$C$2:$C$636,MATCH($K551,Model!$R$2:$R$636,0)))</f>
        <v/>
      </c>
      <c r="J551">
        <f>IF($K551="","",INDEX(Model!$D$2:$D$636,MATCH($K551,Model!$R$2:$R$636,0)))</f>
        <v/>
      </c>
      <c r="K551">
        <f>IF(515&lt;=$E$5,LARGE(Model!$R$2:$R$636,515),"")</f>
        <v/>
      </c>
    </row>
    <row r="552">
      <c r="A552">
        <f>IF($K552="","",INDEX(Raw_data!$D$2:$D$636,MATCH($K552,Model!$R$2:$R$636,0)))</f>
        <v/>
      </c>
      <c r="B552" s="11">
        <f>IF($K552="","",INDEX(Raw_data!$F$2:$F$636,MATCH($K552,Model!$R$2:$R$636,0)))</f>
        <v/>
      </c>
      <c r="C552">
        <f>IF($K552="","",HYPERLINK(INDEX(Raw_data!$C$2:$C$636,MATCH($K552,Model!$R$2:$R$636,0)),INDEX(Raw_data!$C$2:$C$636,MATCH($K552,Model!$R$2:$R$636,0))))</f>
        <v/>
      </c>
      <c r="D552">
        <f>IF($K552="","",INDEX(Raw_data!$AL$2:$AL$636,MATCH($K552,Model!$R$2:$R$636,0)))</f>
        <v/>
      </c>
      <c r="E552">
        <f>IF($K552="","",INDEX(Raw_data!$AM$2:$AM$636,MATCH($K552,Model!$R$2:$R$636,0)))</f>
        <v/>
      </c>
      <c r="F552">
        <f>IF($K552="","",INDEX(Raw_data!$AQ$2:$AQ$636,MATCH($K552,Model!$R$2:$R$636,0)))</f>
        <v/>
      </c>
      <c r="G552">
        <f>IF($K552="","",INDEX(Raw_data!$H$2:$H$636,MATCH($K552,Model!$R$2:$R$636,0)))</f>
        <v/>
      </c>
      <c r="H552" s="8">
        <f>IF($K552="","",INDEX(Model!$B$2:$B$636,MATCH($K552,Model!$R$2:$R$636,0)))</f>
        <v/>
      </c>
      <c r="I552" s="8">
        <f>IF($K552="","",INDEX(Model!$C$2:$C$636,MATCH($K552,Model!$R$2:$R$636,0)))</f>
        <v/>
      </c>
      <c r="J552">
        <f>IF($K552="","",INDEX(Model!$D$2:$D$636,MATCH($K552,Model!$R$2:$R$636,0)))</f>
        <v/>
      </c>
      <c r="K552">
        <f>IF(516&lt;=$E$5,LARGE(Model!$R$2:$R$636,516),"")</f>
        <v/>
      </c>
    </row>
    <row r="553">
      <c r="A553">
        <f>IF($K553="","",INDEX(Raw_data!$D$2:$D$636,MATCH($K553,Model!$R$2:$R$636,0)))</f>
        <v/>
      </c>
      <c r="B553" s="11">
        <f>IF($K553="","",INDEX(Raw_data!$F$2:$F$636,MATCH($K553,Model!$R$2:$R$636,0)))</f>
        <v/>
      </c>
      <c r="C553">
        <f>IF($K553="","",HYPERLINK(INDEX(Raw_data!$C$2:$C$636,MATCH($K553,Model!$R$2:$R$636,0)),INDEX(Raw_data!$C$2:$C$636,MATCH($K553,Model!$R$2:$R$636,0))))</f>
        <v/>
      </c>
      <c r="D553">
        <f>IF($K553="","",INDEX(Raw_data!$AL$2:$AL$636,MATCH($K553,Model!$R$2:$R$636,0)))</f>
        <v/>
      </c>
      <c r="E553">
        <f>IF($K553="","",INDEX(Raw_data!$AM$2:$AM$636,MATCH($K553,Model!$R$2:$R$636,0)))</f>
        <v/>
      </c>
      <c r="F553">
        <f>IF($K553="","",INDEX(Raw_data!$AQ$2:$AQ$636,MATCH($K553,Model!$R$2:$R$636,0)))</f>
        <v/>
      </c>
      <c r="G553">
        <f>IF($K553="","",INDEX(Raw_data!$H$2:$H$636,MATCH($K553,Model!$R$2:$R$636,0)))</f>
        <v/>
      </c>
      <c r="H553" s="8">
        <f>IF($K553="","",INDEX(Model!$B$2:$B$636,MATCH($K553,Model!$R$2:$R$636,0)))</f>
        <v/>
      </c>
      <c r="I553" s="8">
        <f>IF($K553="","",INDEX(Model!$C$2:$C$636,MATCH($K553,Model!$R$2:$R$636,0)))</f>
        <v/>
      </c>
      <c r="J553">
        <f>IF($K553="","",INDEX(Model!$D$2:$D$636,MATCH($K553,Model!$R$2:$R$636,0)))</f>
        <v/>
      </c>
      <c r="K553">
        <f>IF(517&lt;=$E$5,LARGE(Model!$R$2:$R$636,517),"")</f>
        <v/>
      </c>
    </row>
    <row r="554">
      <c r="A554">
        <f>IF($K554="","",INDEX(Raw_data!$D$2:$D$636,MATCH($K554,Model!$R$2:$R$636,0)))</f>
        <v/>
      </c>
      <c r="B554" s="11">
        <f>IF($K554="","",INDEX(Raw_data!$F$2:$F$636,MATCH($K554,Model!$R$2:$R$636,0)))</f>
        <v/>
      </c>
      <c r="C554">
        <f>IF($K554="","",HYPERLINK(INDEX(Raw_data!$C$2:$C$636,MATCH($K554,Model!$R$2:$R$636,0)),INDEX(Raw_data!$C$2:$C$636,MATCH($K554,Model!$R$2:$R$636,0))))</f>
        <v/>
      </c>
      <c r="D554">
        <f>IF($K554="","",INDEX(Raw_data!$AL$2:$AL$636,MATCH($K554,Model!$R$2:$R$636,0)))</f>
        <v/>
      </c>
      <c r="E554">
        <f>IF($K554="","",INDEX(Raw_data!$AM$2:$AM$636,MATCH($K554,Model!$R$2:$R$636,0)))</f>
        <v/>
      </c>
      <c r="F554">
        <f>IF($K554="","",INDEX(Raw_data!$AQ$2:$AQ$636,MATCH($K554,Model!$R$2:$R$636,0)))</f>
        <v/>
      </c>
      <c r="G554">
        <f>IF($K554="","",INDEX(Raw_data!$H$2:$H$636,MATCH($K554,Model!$R$2:$R$636,0)))</f>
        <v/>
      </c>
      <c r="H554" s="8">
        <f>IF($K554="","",INDEX(Model!$B$2:$B$636,MATCH($K554,Model!$R$2:$R$636,0)))</f>
        <v/>
      </c>
      <c r="I554" s="8">
        <f>IF($K554="","",INDEX(Model!$C$2:$C$636,MATCH($K554,Model!$R$2:$R$636,0)))</f>
        <v/>
      </c>
      <c r="J554">
        <f>IF($K554="","",INDEX(Model!$D$2:$D$636,MATCH($K554,Model!$R$2:$R$636,0)))</f>
        <v/>
      </c>
      <c r="K554">
        <f>IF(518&lt;=$E$5,LARGE(Model!$R$2:$R$636,518),"")</f>
        <v/>
      </c>
    </row>
    <row r="555">
      <c r="A555">
        <f>IF($K555="","",INDEX(Raw_data!$D$2:$D$636,MATCH($K555,Model!$R$2:$R$636,0)))</f>
        <v/>
      </c>
      <c r="B555" s="11">
        <f>IF($K555="","",INDEX(Raw_data!$F$2:$F$636,MATCH($K555,Model!$R$2:$R$636,0)))</f>
        <v/>
      </c>
      <c r="C555">
        <f>IF($K555="","",HYPERLINK(INDEX(Raw_data!$C$2:$C$636,MATCH($K555,Model!$R$2:$R$636,0)),INDEX(Raw_data!$C$2:$C$636,MATCH($K555,Model!$R$2:$R$636,0))))</f>
        <v/>
      </c>
      <c r="D555">
        <f>IF($K555="","",INDEX(Raw_data!$AL$2:$AL$636,MATCH($K555,Model!$R$2:$R$636,0)))</f>
        <v/>
      </c>
      <c r="E555">
        <f>IF($K555="","",INDEX(Raw_data!$AM$2:$AM$636,MATCH($K555,Model!$R$2:$R$636,0)))</f>
        <v/>
      </c>
      <c r="F555">
        <f>IF($K555="","",INDEX(Raw_data!$AQ$2:$AQ$636,MATCH($K555,Model!$R$2:$R$636,0)))</f>
        <v/>
      </c>
      <c r="G555">
        <f>IF($K555="","",INDEX(Raw_data!$H$2:$H$636,MATCH($K555,Model!$R$2:$R$636,0)))</f>
        <v/>
      </c>
      <c r="H555" s="8">
        <f>IF($K555="","",INDEX(Model!$B$2:$B$636,MATCH($K555,Model!$R$2:$R$636,0)))</f>
        <v/>
      </c>
      <c r="I555" s="8">
        <f>IF($K555="","",INDEX(Model!$C$2:$C$636,MATCH($K555,Model!$R$2:$R$636,0)))</f>
        <v/>
      </c>
      <c r="J555">
        <f>IF($K555="","",INDEX(Model!$D$2:$D$636,MATCH($K555,Model!$R$2:$R$636,0)))</f>
        <v/>
      </c>
      <c r="K555">
        <f>IF(519&lt;=$E$5,LARGE(Model!$R$2:$R$636,519),"")</f>
        <v/>
      </c>
    </row>
    <row r="556">
      <c r="A556">
        <f>IF($K556="","",INDEX(Raw_data!$D$2:$D$636,MATCH($K556,Model!$R$2:$R$636,0)))</f>
        <v/>
      </c>
      <c r="B556" s="11">
        <f>IF($K556="","",INDEX(Raw_data!$F$2:$F$636,MATCH($K556,Model!$R$2:$R$636,0)))</f>
        <v/>
      </c>
      <c r="C556">
        <f>IF($K556="","",HYPERLINK(INDEX(Raw_data!$C$2:$C$636,MATCH($K556,Model!$R$2:$R$636,0)),INDEX(Raw_data!$C$2:$C$636,MATCH($K556,Model!$R$2:$R$636,0))))</f>
        <v/>
      </c>
      <c r="D556">
        <f>IF($K556="","",INDEX(Raw_data!$AL$2:$AL$636,MATCH($K556,Model!$R$2:$R$636,0)))</f>
        <v/>
      </c>
      <c r="E556">
        <f>IF($K556="","",INDEX(Raw_data!$AM$2:$AM$636,MATCH($K556,Model!$R$2:$R$636,0)))</f>
        <v/>
      </c>
      <c r="F556">
        <f>IF($K556="","",INDEX(Raw_data!$AQ$2:$AQ$636,MATCH($K556,Model!$R$2:$R$636,0)))</f>
        <v/>
      </c>
      <c r="G556">
        <f>IF($K556="","",INDEX(Raw_data!$H$2:$H$636,MATCH($K556,Model!$R$2:$R$636,0)))</f>
        <v/>
      </c>
      <c r="H556" s="8">
        <f>IF($K556="","",INDEX(Model!$B$2:$B$636,MATCH($K556,Model!$R$2:$R$636,0)))</f>
        <v/>
      </c>
      <c r="I556" s="8">
        <f>IF($K556="","",INDEX(Model!$C$2:$C$636,MATCH($K556,Model!$R$2:$R$636,0)))</f>
        <v/>
      </c>
      <c r="J556">
        <f>IF($K556="","",INDEX(Model!$D$2:$D$636,MATCH($K556,Model!$R$2:$R$636,0)))</f>
        <v/>
      </c>
      <c r="K556">
        <f>IF(520&lt;=$E$5,LARGE(Model!$R$2:$R$636,520),"")</f>
        <v/>
      </c>
    </row>
    <row r="557">
      <c r="A557">
        <f>IF($K557="","",INDEX(Raw_data!$D$2:$D$636,MATCH($K557,Model!$R$2:$R$636,0)))</f>
        <v/>
      </c>
      <c r="B557" s="11">
        <f>IF($K557="","",INDEX(Raw_data!$F$2:$F$636,MATCH($K557,Model!$R$2:$R$636,0)))</f>
        <v/>
      </c>
      <c r="C557">
        <f>IF($K557="","",HYPERLINK(INDEX(Raw_data!$C$2:$C$636,MATCH($K557,Model!$R$2:$R$636,0)),INDEX(Raw_data!$C$2:$C$636,MATCH($K557,Model!$R$2:$R$636,0))))</f>
        <v/>
      </c>
      <c r="D557">
        <f>IF($K557="","",INDEX(Raw_data!$AL$2:$AL$636,MATCH($K557,Model!$R$2:$R$636,0)))</f>
        <v/>
      </c>
      <c r="E557">
        <f>IF($K557="","",INDEX(Raw_data!$AM$2:$AM$636,MATCH($K557,Model!$R$2:$R$636,0)))</f>
        <v/>
      </c>
      <c r="F557">
        <f>IF($K557="","",INDEX(Raw_data!$AQ$2:$AQ$636,MATCH($K557,Model!$R$2:$R$636,0)))</f>
        <v/>
      </c>
      <c r="G557">
        <f>IF($K557="","",INDEX(Raw_data!$H$2:$H$636,MATCH($K557,Model!$R$2:$R$636,0)))</f>
        <v/>
      </c>
      <c r="H557" s="8">
        <f>IF($K557="","",INDEX(Model!$B$2:$B$636,MATCH($K557,Model!$R$2:$R$636,0)))</f>
        <v/>
      </c>
      <c r="I557" s="8">
        <f>IF($K557="","",INDEX(Model!$C$2:$C$636,MATCH($K557,Model!$R$2:$R$636,0)))</f>
        <v/>
      </c>
      <c r="J557">
        <f>IF($K557="","",INDEX(Model!$D$2:$D$636,MATCH($K557,Model!$R$2:$R$636,0)))</f>
        <v/>
      </c>
      <c r="K557">
        <f>IF(521&lt;=$E$5,LARGE(Model!$R$2:$R$636,521),"")</f>
        <v/>
      </c>
    </row>
    <row r="558">
      <c r="A558">
        <f>IF($K558="","",INDEX(Raw_data!$D$2:$D$636,MATCH($K558,Model!$R$2:$R$636,0)))</f>
        <v/>
      </c>
      <c r="B558" s="11">
        <f>IF($K558="","",INDEX(Raw_data!$F$2:$F$636,MATCH($K558,Model!$R$2:$R$636,0)))</f>
        <v/>
      </c>
      <c r="C558">
        <f>IF($K558="","",HYPERLINK(INDEX(Raw_data!$C$2:$C$636,MATCH($K558,Model!$R$2:$R$636,0)),INDEX(Raw_data!$C$2:$C$636,MATCH($K558,Model!$R$2:$R$636,0))))</f>
        <v/>
      </c>
      <c r="D558">
        <f>IF($K558="","",INDEX(Raw_data!$AL$2:$AL$636,MATCH($K558,Model!$R$2:$R$636,0)))</f>
        <v/>
      </c>
      <c r="E558">
        <f>IF($K558="","",INDEX(Raw_data!$AM$2:$AM$636,MATCH($K558,Model!$R$2:$R$636,0)))</f>
        <v/>
      </c>
      <c r="F558">
        <f>IF($K558="","",INDEX(Raw_data!$AQ$2:$AQ$636,MATCH($K558,Model!$R$2:$R$636,0)))</f>
        <v/>
      </c>
      <c r="G558">
        <f>IF($K558="","",INDEX(Raw_data!$H$2:$H$636,MATCH($K558,Model!$R$2:$R$636,0)))</f>
        <v/>
      </c>
      <c r="H558" s="8">
        <f>IF($K558="","",INDEX(Model!$B$2:$B$636,MATCH($K558,Model!$R$2:$R$636,0)))</f>
        <v/>
      </c>
      <c r="I558" s="8">
        <f>IF($K558="","",INDEX(Model!$C$2:$C$636,MATCH($K558,Model!$R$2:$R$636,0)))</f>
        <v/>
      </c>
      <c r="J558">
        <f>IF($K558="","",INDEX(Model!$D$2:$D$636,MATCH($K558,Model!$R$2:$R$636,0)))</f>
        <v/>
      </c>
      <c r="K558">
        <f>IF(522&lt;=$E$5,LARGE(Model!$R$2:$R$636,522),"")</f>
        <v/>
      </c>
    </row>
    <row r="559">
      <c r="A559">
        <f>IF($K559="","",INDEX(Raw_data!$D$2:$D$636,MATCH($K559,Model!$R$2:$R$636,0)))</f>
        <v/>
      </c>
      <c r="B559" s="11">
        <f>IF($K559="","",INDEX(Raw_data!$F$2:$F$636,MATCH($K559,Model!$R$2:$R$636,0)))</f>
        <v/>
      </c>
      <c r="C559">
        <f>IF($K559="","",HYPERLINK(INDEX(Raw_data!$C$2:$C$636,MATCH($K559,Model!$R$2:$R$636,0)),INDEX(Raw_data!$C$2:$C$636,MATCH($K559,Model!$R$2:$R$636,0))))</f>
        <v/>
      </c>
      <c r="D559">
        <f>IF($K559="","",INDEX(Raw_data!$AL$2:$AL$636,MATCH($K559,Model!$R$2:$R$636,0)))</f>
        <v/>
      </c>
      <c r="E559">
        <f>IF($K559="","",INDEX(Raw_data!$AM$2:$AM$636,MATCH($K559,Model!$R$2:$R$636,0)))</f>
        <v/>
      </c>
      <c r="F559">
        <f>IF($K559="","",INDEX(Raw_data!$AQ$2:$AQ$636,MATCH($K559,Model!$R$2:$R$636,0)))</f>
        <v/>
      </c>
      <c r="G559">
        <f>IF($K559="","",INDEX(Raw_data!$H$2:$H$636,MATCH($K559,Model!$R$2:$R$636,0)))</f>
        <v/>
      </c>
      <c r="H559" s="8">
        <f>IF($K559="","",INDEX(Model!$B$2:$B$636,MATCH($K559,Model!$R$2:$R$636,0)))</f>
        <v/>
      </c>
      <c r="I559" s="8">
        <f>IF($K559="","",INDEX(Model!$C$2:$C$636,MATCH($K559,Model!$R$2:$R$636,0)))</f>
        <v/>
      </c>
      <c r="J559">
        <f>IF($K559="","",INDEX(Model!$D$2:$D$636,MATCH($K559,Model!$R$2:$R$636,0)))</f>
        <v/>
      </c>
      <c r="K559">
        <f>IF(523&lt;=$E$5,LARGE(Model!$R$2:$R$636,523),"")</f>
        <v/>
      </c>
    </row>
    <row r="560">
      <c r="A560">
        <f>IF($K560="","",INDEX(Raw_data!$D$2:$D$636,MATCH($K560,Model!$R$2:$R$636,0)))</f>
        <v/>
      </c>
      <c r="B560" s="11">
        <f>IF($K560="","",INDEX(Raw_data!$F$2:$F$636,MATCH($K560,Model!$R$2:$R$636,0)))</f>
        <v/>
      </c>
      <c r="C560">
        <f>IF($K560="","",HYPERLINK(INDEX(Raw_data!$C$2:$C$636,MATCH($K560,Model!$R$2:$R$636,0)),INDEX(Raw_data!$C$2:$C$636,MATCH($K560,Model!$R$2:$R$636,0))))</f>
        <v/>
      </c>
      <c r="D560">
        <f>IF($K560="","",INDEX(Raw_data!$AL$2:$AL$636,MATCH($K560,Model!$R$2:$R$636,0)))</f>
        <v/>
      </c>
      <c r="E560">
        <f>IF($K560="","",INDEX(Raw_data!$AM$2:$AM$636,MATCH($K560,Model!$R$2:$R$636,0)))</f>
        <v/>
      </c>
      <c r="F560">
        <f>IF($K560="","",INDEX(Raw_data!$AQ$2:$AQ$636,MATCH($K560,Model!$R$2:$R$636,0)))</f>
        <v/>
      </c>
      <c r="G560">
        <f>IF($K560="","",INDEX(Raw_data!$H$2:$H$636,MATCH($K560,Model!$R$2:$R$636,0)))</f>
        <v/>
      </c>
      <c r="H560" s="8">
        <f>IF($K560="","",INDEX(Model!$B$2:$B$636,MATCH($K560,Model!$R$2:$R$636,0)))</f>
        <v/>
      </c>
      <c r="I560" s="8">
        <f>IF($K560="","",INDEX(Model!$C$2:$C$636,MATCH($K560,Model!$R$2:$R$636,0)))</f>
        <v/>
      </c>
      <c r="J560">
        <f>IF($K560="","",INDEX(Model!$D$2:$D$636,MATCH($K560,Model!$R$2:$R$636,0)))</f>
        <v/>
      </c>
      <c r="K560">
        <f>IF(524&lt;=$E$5,LARGE(Model!$R$2:$R$636,524),"")</f>
        <v/>
      </c>
    </row>
    <row r="561">
      <c r="A561">
        <f>IF($K561="","",INDEX(Raw_data!$D$2:$D$636,MATCH($K561,Model!$R$2:$R$636,0)))</f>
        <v/>
      </c>
      <c r="B561" s="11">
        <f>IF($K561="","",INDEX(Raw_data!$F$2:$F$636,MATCH($K561,Model!$R$2:$R$636,0)))</f>
        <v/>
      </c>
      <c r="C561">
        <f>IF($K561="","",HYPERLINK(INDEX(Raw_data!$C$2:$C$636,MATCH($K561,Model!$R$2:$R$636,0)),INDEX(Raw_data!$C$2:$C$636,MATCH($K561,Model!$R$2:$R$636,0))))</f>
        <v/>
      </c>
      <c r="D561">
        <f>IF($K561="","",INDEX(Raw_data!$AL$2:$AL$636,MATCH($K561,Model!$R$2:$R$636,0)))</f>
        <v/>
      </c>
      <c r="E561">
        <f>IF($K561="","",INDEX(Raw_data!$AM$2:$AM$636,MATCH($K561,Model!$R$2:$R$636,0)))</f>
        <v/>
      </c>
      <c r="F561">
        <f>IF($K561="","",INDEX(Raw_data!$AQ$2:$AQ$636,MATCH($K561,Model!$R$2:$R$636,0)))</f>
        <v/>
      </c>
      <c r="G561">
        <f>IF($K561="","",INDEX(Raw_data!$H$2:$H$636,MATCH($K561,Model!$R$2:$R$636,0)))</f>
        <v/>
      </c>
      <c r="H561" s="8">
        <f>IF($K561="","",INDEX(Model!$B$2:$B$636,MATCH($K561,Model!$R$2:$R$636,0)))</f>
        <v/>
      </c>
      <c r="I561" s="8">
        <f>IF($K561="","",INDEX(Model!$C$2:$C$636,MATCH($K561,Model!$R$2:$R$636,0)))</f>
        <v/>
      </c>
      <c r="J561">
        <f>IF($K561="","",INDEX(Model!$D$2:$D$636,MATCH($K561,Model!$R$2:$R$636,0)))</f>
        <v/>
      </c>
      <c r="K561">
        <f>IF(525&lt;=$E$5,LARGE(Model!$R$2:$R$636,525),"")</f>
        <v/>
      </c>
    </row>
    <row r="562">
      <c r="A562">
        <f>IF($K562="","",INDEX(Raw_data!$D$2:$D$636,MATCH($K562,Model!$R$2:$R$636,0)))</f>
        <v/>
      </c>
      <c r="B562" s="11">
        <f>IF($K562="","",INDEX(Raw_data!$F$2:$F$636,MATCH($K562,Model!$R$2:$R$636,0)))</f>
        <v/>
      </c>
      <c r="C562">
        <f>IF($K562="","",HYPERLINK(INDEX(Raw_data!$C$2:$C$636,MATCH($K562,Model!$R$2:$R$636,0)),INDEX(Raw_data!$C$2:$C$636,MATCH($K562,Model!$R$2:$R$636,0))))</f>
        <v/>
      </c>
      <c r="D562">
        <f>IF($K562="","",INDEX(Raw_data!$AL$2:$AL$636,MATCH($K562,Model!$R$2:$R$636,0)))</f>
        <v/>
      </c>
      <c r="E562">
        <f>IF($K562="","",INDEX(Raw_data!$AM$2:$AM$636,MATCH($K562,Model!$R$2:$R$636,0)))</f>
        <v/>
      </c>
      <c r="F562">
        <f>IF($K562="","",INDEX(Raw_data!$AQ$2:$AQ$636,MATCH($K562,Model!$R$2:$R$636,0)))</f>
        <v/>
      </c>
      <c r="G562">
        <f>IF($K562="","",INDEX(Raw_data!$H$2:$H$636,MATCH($K562,Model!$R$2:$R$636,0)))</f>
        <v/>
      </c>
      <c r="H562" s="8">
        <f>IF($K562="","",INDEX(Model!$B$2:$B$636,MATCH($K562,Model!$R$2:$R$636,0)))</f>
        <v/>
      </c>
      <c r="I562" s="8">
        <f>IF($K562="","",INDEX(Model!$C$2:$C$636,MATCH($K562,Model!$R$2:$R$636,0)))</f>
        <v/>
      </c>
      <c r="J562">
        <f>IF($K562="","",INDEX(Model!$D$2:$D$636,MATCH($K562,Model!$R$2:$R$636,0)))</f>
        <v/>
      </c>
      <c r="K562">
        <f>IF(526&lt;=$E$5,LARGE(Model!$R$2:$R$636,526),"")</f>
        <v/>
      </c>
    </row>
    <row r="563">
      <c r="A563">
        <f>IF($K563="","",INDEX(Raw_data!$D$2:$D$636,MATCH($K563,Model!$R$2:$R$636,0)))</f>
        <v/>
      </c>
      <c r="B563" s="11">
        <f>IF($K563="","",INDEX(Raw_data!$F$2:$F$636,MATCH($K563,Model!$R$2:$R$636,0)))</f>
        <v/>
      </c>
      <c r="C563">
        <f>IF($K563="","",HYPERLINK(INDEX(Raw_data!$C$2:$C$636,MATCH($K563,Model!$R$2:$R$636,0)),INDEX(Raw_data!$C$2:$C$636,MATCH($K563,Model!$R$2:$R$636,0))))</f>
        <v/>
      </c>
      <c r="D563">
        <f>IF($K563="","",INDEX(Raw_data!$AL$2:$AL$636,MATCH($K563,Model!$R$2:$R$636,0)))</f>
        <v/>
      </c>
      <c r="E563">
        <f>IF($K563="","",INDEX(Raw_data!$AM$2:$AM$636,MATCH($K563,Model!$R$2:$R$636,0)))</f>
        <v/>
      </c>
      <c r="F563">
        <f>IF($K563="","",INDEX(Raw_data!$AQ$2:$AQ$636,MATCH($K563,Model!$R$2:$R$636,0)))</f>
        <v/>
      </c>
      <c r="G563">
        <f>IF($K563="","",INDEX(Raw_data!$H$2:$H$636,MATCH($K563,Model!$R$2:$R$636,0)))</f>
        <v/>
      </c>
      <c r="H563" s="8">
        <f>IF($K563="","",INDEX(Model!$B$2:$B$636,MATCH($K563,Model!$R$2:$R$636,0)))</f>
        <v/>
      </c>
      <c r="I563" s="8">
        <f>IF($K563="","",INDEX(Model!$C$2:$C$636,MATCH($K563,Model!$R$2:$R$636,0)))</f>
        <v/>
      </c>
      <c r="J563">
        <f>IF($K563="","",INDEX(Model!$D$2:$D$636,MATCH($K563,Model!$R$2:$R$636,0)))</f>
        <v/>
      </c>
      <c r="K563">
        <f>IF(527&lt;=$E$5,LARGE(Model!$R$2:$R$636,527),"")</f>
        <v/>
      </c>
    </row>
    <row r="564">
      <c r="A564">
        <f>IF($K564="","",INDEX(Raw_data!$D$2:$D$636,MATCH($K564,Model!$R$2:$R$636,0)))</f>
        <v/>
      </c>
      <c r="B564" s="11">
        <f>IF($K564="","",INDEX(Raw_data!$F$2:$F$636,MATCH($K564,Model!$R$2:$R$636,0)))</f>
        <v/>
      </c>
      <c r="C564">
        <f>IF($K564="","",HYPERLINK(INDEX(Raw_data!$C$2:$C$636,MATCH($K564,Model!$R$2:$R$636,0)),INDEX(Raw_data!$C$2:$C$636,MATCH($K564,Model!$R$2:$R$636,0))))</f>
        <v/>
      </c>
      <c r="D564">
        <f>IF($K564="","",INDEX(Raw_data!$AL$2:$AL$636,MATCH($K564,Model!$R$2:$R$636,0)))</f>
        <v/>
      </c>
      <c r="E564">
        <f>IF($K564="","",INDEX(Raw_data!$AM$2:$AM$636,MATCH($K564,Model!$R$2:$R$636,0)))</f>
        <v/>
      </c>
      <c r="F564">
        <f>IF($K564="","",INDEX(Raw_data!$AQ$2:$AQ$636,MATCH($K564,Model!$R$2:$R$636,0)))</f>
        <v/>
      </c>
      <c r="G564">
        <f>IF($K564="","",INDEX(Raw_data!$H$2:$H$636,MATCH($K564,Model!$R$2:$R$636,0)))</f>
        <v/>
      </c>
      <c r="H564" s="8">
        <f>IF($K564="","",INDEX(Model!$B$2:$B$636,MATCH($K564,Model!$R$2:$R$636,0)))</f>
        <v/>
      </c>
      <c r="I564" s="8">
        <f>IF($K564="","",INDEX(Model!$C$2:$C$636,MATCH($K564,Model!$R$2:$R$636,0)))</f>
        <v/>
      </c>
      <c r="J564">
        <f>IF($K564="","",INDEX(Model!$D$2:$D$636,MATCH($K564,Model!$R$2:$R$636,0)))</f>
        <v/>
      </c>
      <c r="K564">
        <f>IF(528&lt;=$E$5,LARGE(Model!$R$2:$R$636,528),"")</f>
        <v/>
      </c>
    </row>
    <row r="565">
      <c r="A565">
        <f>IF($K565="","",INDEX(Raw_data!$D$2:$D$636,MATCH($K565,Model!$R$2:$R$636,0)))</f>
        <v/>
      </c>
      <c r="B565" s="11">
        <f>IF($K565="","",INDEX(Raw_data!$F$2:$F$636,MATCH($K565,Model!$R$2:$R$636,0)))</f>
        <v/>
      </c>
      <c r="C565">
        <f>IF($K565="","",HYPERLINK(INDEX(Raw_data!$C$2:$C$636,MATCH($K565,Model!$R$2:$R$636,0)),INDEX(Raw_data!$C$2:$C$636,MATCH($K565,Model!$R$2:$R$636,0))))</f>
        <v/>
      </c>
      <c r="D565">
        <f>IF($K565="","",INDEX(Raw_data!$AL$2:$AL$636,MATCH($K565,Model!$R$2:$R$636,0)))</f>
        <v/>
      </c>
      <c r="E565">
        <f>IF($K565="","",INDEX(Raw_data!$AM$2:$AM$636,MATCH($K565,Model!$R$2:$R$636,0)))</f>
        <v/>
      </c>
      <c r="F565">
        <f>IF($K565="","",INDEX(Raw_data!$AQ$2:$AQ$636,MATCH($K565,Model!$R$2:$R$636,0)))</f>
        <v/>
      </c>
      <c r="G565">
        <f>IF($K565="","",INDEX(Raw_data!$H$2:$H$636,MATCH($K565,Model!$R$2:$R$636,0)))</f>
        <v/>
      </c>
      <c r="H565" s="8">
        <f>IF($K565="","",INDEX(Model!$B$2:$B$636,MATCH($K565,Model!$R$2:$R$636,0)))</f>
        <v/>
      </c>
      <c r="I565" s="8">
        <f>IF($K565="","",INDEX(Model!$C$2:$C$636,MATCH($K565,Model!$R$2:$R$636,0)))</f>
        <v/>
      </c>
      <c r="J565">
        <f>IF($K565="","",INDEX(Model!$D$2:$D$636,MATCH($K565,Model!$R$2:$R$636,0)))</f>
        <v/>
      </c>
      <c r="K565">
        <f>IF(529&lt;=$E$5,LARGE(Model!$R$2:$R$636,529),"")</f>
        <v/>
      </c>
    </row>
    <row r="566">
      <c r="A566">
        <f>IF($K566="","",INDEX(Raw_data!$D$2:$D$636,MATCH($K566,Model!$R$2:$R$636,0)))</f>
        <v/>
      </c>
      <c r="B566" s="11">
        <f>IF($K566="","",INDEX(Raw_data!$F$2:$F$636,MATCH($K566,Model!$R$2:$R$636,0)))</f>
        <v/>
      </c>
      <c r="C566">
        <f>IF($K566="","",HYPERLINK(INDEX(Raw_data!$C$2:$C$636,MATCH($K566,Model!$R$2:$R$636,0)),INDEX(Raw_data!$C$2:$C$636,MATCH($K566,Model!$R$2:$R$636,0))))</f>
        <v/>
      </c>
      <c r="D566">
        <f>IF($K566="","",INDEX(Raw_data!$AL$2:$AL$636,MATCH($K566,Model!$R$2:$R$636,0)))</f>
        <v/>
      </c>
      <c r="E566">
        <f>IF($K566="","",INDEX(Raw_data!$AM$2:$AM$636,MATCH($K566,Model!$R$2:$R$636,0)))</f>
        <v/>
      </c>
      <c r="F566">
        <f>IF($K566="","",INDEX(Raw_data!$AQ$2:$AQ$636,MATCH($K566,Model!$R$2:$R$636,0)))</f>
        <v/>
      </c>
      <c r="G566">
        <f>IF($K566="","",INDEX(Raw_data!$H$2:$H$636,MATCH($K566,Model!$R$2:$R$636,0)))</f>
        <v/>
      </c>
      <c r="H566" s="8">
        <f>IF($K566="","",INDEX(Model!$B$2:$B$636,MATCH($K566,Model!$R$2:$R$636,0)))</f>
        <v/>
      </c>
      <c r="I566" s="8">
        <f>IF($K566="","",INDEX(Model!$C$2:$C$636,MATCH($K566,Model!$R$2:$R$636,0)))</f>
        <v/>
      </c>
      <c r="J566">
        <f>IF($K566="","",INDEX(Model!$D$2:$D$636,MATCH($K566,Model!$R$2:$R$636,0)))</f>
        <v/>
      </c>
      <c r="K566">
        <f>IF(530&lt;=$E$5,LARGE(Model!$R$2:$R$636,530),"")</f>
        <v/>
      </c>
    </row>
    <row r="567">
      <c r="A567">
        <f>IF($K567="","",INDEX(Raw_data!$D$2:$D$636,MATCH($K567,Model!$R$2:$R$636,0)))</f>
        <v/>
      </c>
      <c r="B567" s="11">
        <f>IF($K567="","",INDEX(Raw_data!$F$2:$F$636,MATCH($K567,Model!$R$2:$R$636,0)))</f>
        <v/>
      </c>
      <c r="C567">
        <f>IF($K567="","",HYPERLINK(INDEX(Raw_data!$C$2:$C$636,MATCH($K567,Model!$R$2:$R$636,0)),INDEX(Raw_data!$C$2:$C$636,MATCH($K567,Model!$R$2:$R$636,0))))</f>
        <v/>
      </c>
      <c r="D567">
        <f>IF($K567="","",INDEX(Raw_data!$AL$2:$AL$636,MATCH($K567,Model!$R$2:$R$636,0)))</f>
        <v/>
      </c>
      <c r="E567">
        <f>IF($K567="","",INDEX(Raw_data!$AM$2:$AM$636,MATCH($K567,Model!$R$2:$R$636,0)))</f>
        <v/>
      </c>
      <c r="F567">
        <f>IF($K567="","",INDEX(Raw_data!$AQ$2:$AQ$636,MATCH($K567,Model!$R$2:$R$636,0)))</f>
        <v/>
      </c>
      <c r="G567">
        <f>IF($K567="","",INDEX(Raw_data!$H$2:$H$636,MATCH($K567,Model!$R$2:$R$636,0)))</f>
        <v/>
      </c>
      <c r="H567" s="8">
        <f>IF($K567="","",INDEX(Model!$B$2:$B$636,MATCH($K567,Model!$R$2:$R$636,0)))</f>
        <v/>
      </c>
      <c r="I567" s="8">
        <f>IF($K567="","",INDEX(Model!$C$2:$C$636,MATCH($K567,Model!$R$2:$R$636,0)))</f>
        <v/>
      </c>
      <c r="J567">
        <f>IF($K567="","",INDEX(Model!$D$2:$D$636,MATCH($K567,Model!$R$2:$R$636,0)))</f>
        <v/>
      </c>
      <c r="K567">
        <f>IF(531&lt;=$E$5,LARGE(Model!$R$2:$R$636,531),"")</f>
        <v/>
      </c>
    </row>
    <row r="568">
      <c r="A568">
        <f>IF($K568="","",INDEX(Raw_data!$D$2:$D$636,MATCH($K568,Model!$R$2:$R$636,0)))</f>
        <v/>
      </c>
      <c r="B568" s="11">
        <f>IF($K568="","",INDEX(Raw_data!$F$2:$F$636,MATCH($K568,Model!$R$2:$R$636,0)))</f>
        <v/>
      </c>
      <c r="C568">
        <f>IF($K568="","",HYPERLINK(INDEX(Raw_data!$C$2:$C$636,MATCH($K568,Model!$R$2:$R$636,0)),INDEX(Raw_data!$C$2:$C$636,MATCH($K568,Model!$R$2:$R$636,0))))</f>
        <v/>
      </c>
      <c r="D568">
        <f>IF($K568="","",INDEX(Raw_data!$AL$2:$AL$636,MATCH($K568,Model!$R$2:$R$636,0)))</f>
        <v/>
      </c>
      <c r="E568">
        <f>IF($K568="","",INDEX(Raw_data!$AM$2:$AM$636,MATCH($K568,Model!$R$2:$R$636,0)))</f>
        <v/>
      </c>
      <c r="F568">
        <f>IF($K568="","",INDEX(Raw_data!$AQ$2:$AQ$636,MATCH($K568,Model!$R$2:$R$636,0)))</f>
        <v/>
      </c>
      <c r="G568">
        <f>IF($K568="","",INDEX(Raw_data!$H$2:$H$636,MATCH($K568,Model!$R$2:$R$636,0)))</f>
        <v/>
      </c>
      <c r="H568" s="8">
        <f>IF($K568="","",INDEX(Model!$B$2:$B$636,MATCH($K568,Model!$R$2:$R$636,0)))</f>
        <v/>
      </c>
      <c r="I568" s="8">
        <f>IF($K568="","",INDEX(Model!$C$2:$C$636,MATCH($K568,Model!$R$2:$R$636,0)))</f>
        <v/>
      </c>
      <c r="J568">
        <f>IF($K568="","",INDEX(Model!$D$2:$D$636,MATCH($K568,Model!$R$2:$R$636,0)))</f>
        <v/>
      </c>
      <c r="K568">
        <f>IF(532&lt;=$E$5,LARGE(Model!$R$2:$R$636,532),"")</f>
        <v/>
      </c>
    </row>
    <row r="569">
      <c r="A569">
        <f>IF($K569="","",INDEX(Raw_data!$D$2:$D$636,MATCH($K569,Model!$R$2:$R$636,0)))</f>
        <v/>
      </c>
      <c r="B569" s="11">
        <f>IF($K569="","",INDEX(Raw_data!$F$2:$F$636,MATCH($K569,Model!$R$2:$R$636,0)))</f>
        <v/>
      </c>
      <c r="C569">
        <f>IF($K569="","",HYPERLINK(INDEX(Raw_data!$C$2:$C$636,MATCH($K569,Model!$R$2:$R$636,0)),INDEX(Raw_data!$C$2:$C$636,MATCH($K569,Model!$R$2:$R$636,0))))</f>
        <v/>
      </c>
      <c r="D569">
        <f>IF($K569="","",INDEX(Raw_data!$AL$2:$AL$636,MATCH($K569,Model!$R$2:$R$636,0)))</f>
        <v/>
      </c>
      <c r="E569">
        <f>IF($K569="","",INDEX(Raw_data!$AM$2:$AM$636,MATCH($K569,Model!$R$2:$R$636,0)))</f>
        <v/>
      </c>
      <c r="F569">
        <f>IF($K569="","",INDEX(Raw_data!$AQ$2:$AQ$636,MATCH($K569,Model!$R$2:$R$636,0)))</f>
        <v/>
      </c>
      <c r="G569">
        <f>IF($K569="","",INDEX(Raw_data!$H$2:$H$636,MATCH($K569,Model!$R$2:$R$636,0)))</f>
        <v/>
      </c>
      <c r="H569" s="8">
        <f>IF($K569="","",INDEX(Model!$B$2:$B$636,MATCH($K569,Model!$R$2:$R$636,0)))</f>
        <v/>
      </c>
      <c r="I569" s="8">
        <f>IF($K569="","",INDEX(Model!$C$2:$C$636,MATCH($K569,Model!$R$2:$R$636,0)))</f>
        <v/>
      </c>
      <c r="J569">
        <f>IF($K569="","",INDEX(Model!$D$2:$D$636,MATCH($K569,Model!$R$2:$R$636,0)))</f>
        <v/>
      </c>
      <c r="K569">
        <f>IF(533&lt;=$E$5,LARGE(Model!$R$2:$R$636,533),"")</f>
        <v/>
      </c>
    </row>
    <row r="570">
      <c r="A570">
        <f>IF($K570="","",INDEX(Raw_data!$D$2:$D$636,MATCH($K570,Model!$R$2:$R$636,0)))</f>
        <v/>
      </c>
      <c r="B570" s="11">
        <f>IF($K570="","",INDEX(Raw_data!$F$2:$F$636,MATCH($K570,Model!$R$2:$R$636,0)))</f>
        <v/>
      </c>
      <c r="C570">
        <f>IF($K570="","",HYPERLINK(INDEX(Raw_data!$C$2:$C$636,MATCH($K570,Model!$R$2:$R$636,0)),INDEX(Raw_data!$C$2:$C$636,MATCH($K570,Model!$R$2:$R$636,0))))</f>
        <v/>
      </c>
      <c r="D570">
        <f>IF($K570="","",INDEX(Raw_data!$AL$2:$AL$636,MATCH($K570,Model!$R$2:$R$636,0)))</f>
        <v/>
      </c>
      <c r="E570">
        <f>IF($K570="","",INDEX(Raw_data!$AM$2:$AM$636,MATCH($K570,Model!$R$2:$R$636,0)))</f>
        <v/>
      </c>
      <c r="F570">
        <f>IF($K570="","",INDEX(Raw_data!$AQ$2:$AQ$636,MATCH($K570,Model!$R$2:$R$636,0)))</f>
        <v/>
      </c>
      <c r="G570">
        <f>IF($K570="","",INDEX(Raw_data!$H$2:$H$636,MATCH($K570,Model!$R$2:$R$636,0)))</f>
        <v/>
      </c>
      <c r="H570" s="8">
        <f>IF($K570="","",INDEX(Model!$B$2:$B$636,MATCH($K570,Model!$R$2:$R$636,0)))</f>
        <v/>
      </c>
      <c r="I570" s="8">
        <f>IF($K570="","",INDEX(Model!$C$2:$C$636,MATCH($K570,Model!$R$2:$R$636,0)))</f>
        <v/>
      </c>
      <c r="J570">
        <f>IF($K570="","",INDEX(Model!$D$2:$D$636,MATCH($K570,Model!$R$2:$R$636,0)))</f>
        <v/>
      </c>
      <c r="K570">
        <f>IF(534&lt;=$E$5,LARGE(Model!$R$2:$R$636,534),"")</f>
        <v/>
      </c>
    </row>
    <row r="571">
      <c r="A571">
        <f>IF($K571="","",INDEX(Raw_data!$D$2:$D$636,MATCH($K571,Model!$R$2:$R$636,0)))</f>
        <v/>
      </c>
      <c r="B571" s="11">
        <f>IF($K571="","",INDEX(Raw_data!$F$2:$F$636,MATCH($K571,Model!$R$2:$R$636,0)))</f>
        <v/>
      </c>
      <c r="C571">
        <f>IF($K571="","",HYPERLINK(INDEX(Raw_data!$C$2:$C$636,MATCH($K571,Model!$R$2:$R$636,0)),INDEX(Raw_data!$C$2:$C$636,MATCH($K571,Model!$R$2:$R$636,0))))</f>
        <v/>
      </c>
      <c r="D571">
        <f>IF($K571="","",INDEX(Raw_data!$AL$2:$AL$636,MATCH($K571,Model!$R$2:$R$636,0)))</f>
        <v/>
      </c>
      <c r="E571">
        <f>IF($K571="","",INDEX(Raw_data!$AM$2:$AM$636,MATCH($K571,Model!$R$2:$R$636,0)))</f>
        <v/>
      </c>
      <c r="F571">
        <f>IF($K571="","",INDEX(Raw_data!$AQ$2:$AQ$636,MATCH($K571,Model!$R$2:$R$636,0)))</f>
        <v/>
      </c>
      <c r="G571">
        <f>IF($K571="","",INDEX(Raw_data!$H$2:$H$636,MATCH($K571,Model!$R$2:$R$636,0)))</f>
        <v/>
      </c>
      <c r="H571" s="8">
        <f>IF($K571="","",INDEX(Model!$B$2:$B$636,MATCH($K571,Model!$R$2:$R$636,0)))</f>
        <v/>
      </c>
      <c r="I571" s="8">
        <f>IF($K571="","",INDEX(Model!$C$2:$C$636,MATCH($K571,Model!$R$2:$R$636,0)))</f>
        <v/>
      </c>
      <c r="J571">
        <f>IF($K571="","",INDEX(Model!$D$2:$D$636,MATCH($K571,Model!$R$2:$R$636,0)))</f>
        <v/>
      </c>
      <c r="K571">
        <f>IF(535&lt;=$E$5,LARGE(Model!$R$2:$R$636,535),"")</f>
        <v/>
      </c>
    </row>
    <row r="572">
      <c r="A572">
        <f>IF($K572="","",INDEX(Raw_data!$D$2:$D$636,MATCH($K572,Model!$R$2:$R$636,0)))</f>
        <v/>
      </c>
      <c r="B572" s="11">
        <f>IF($K572="","",INDEX(Raw_data!$F$2:$F$636,MATCH($K572,Model!$R$2:$R$636,0)))</f>
        <v/>
      </c>
      <c r="C572">
        <f>IF($K572="","",HYPERLINK(INDEX(Raw_data!$C$2:$C$636,MATCH($K572,Model!$R$2:$R$636,0)),INDEX(Raw_data!$C$2:$C$636,MATCH($K572,Model!$R$2:$R$636,0))))</f>
        <v/>
      </c>
      <c r="D572">
        <f>IF($K572="","",INDEX(Raw_data!$AL$2:$AL$636,MATCH($K572,Model!$R$2:$R$636,0)))</f>
        <v/>
      </c>
      <c r="E572">
        <f>IF($K572="","",INDEX(Raw_data!$AM$2:$AM$636,MATCH($K572,Model!$R$2:$R$636,0)))</f>
        <v/>
      </c>
      <c r="F572">
        <f>IF($K572="","",INDEX(Raw_data!$AQ$2:$AQ$636,MATCH($K572,Model!$R$2:$R$636,0)))</f>
        <v/>
      </c>
      <c r="G572">
        <f>IF($K572="","",INDEX(Raw_data!$H$2:$H$636,MATCH($K572,Model!$R$2:$R$636,0)))</f>
        <v/>
      </c>
      <c r="H572" s="8">
        <f>IF($K572="","",INDEX(Model!$B$2:$B$636,MATCH($K572,Model!$R$2:$R$636,0)))</f>
        <v/>
      </c>
      <c r="I572" s="8">
        <f>IF($K572="","",INDEX(Model!$C$2:$C$636,MATCH($K572,Model!$R$2:$R$636,0)))</f>
        <v/>
      </c>
      <c r="J572">
        <f>IF($K572="","",INDEX(Model!$D$2:$D$636,MATCH($K572,Model!$R$2:$R$636,0)))</f>
        <v/>
      </c>
      <c r="K572">
        <f>IF(536&lt;=$E$5,LARGE(Model!$R$2:$R$636,536),"")</f>
        <v/>
      </c>
    </row>
    <row r="573">
      <c r="A573">
        <f>IF($K573="","",INDEX(Raw_data!$D$2:$D$636,MATCH($K573,Model!$R$2:$R$636,0)))</f>
        <v/>
      </c>
      <c r="B573" s="11">
        <f>IF($K573="","",INDEX(Raw_data!$F$2:$F$636,MATCH($K573,Model!$R$2:$R$636,0)))</f>
        <v/>
      </c>
      <c r="C573">
        <f>IF($K573="","",HYPERLINK(INDEX(Raw_data!$C$2:$C$636,MATCH($K573,Model!$R$2:$R$636,0)),INDEX(Raw_data!$C$2:$C$636,MATCH($K573,Model!$R$2:$R$636,0))))</f>
        <v/>
      </c>
      <c r="D573">
        <f>IF($K573="","",INDEX(Raw_data!$AL$2:$AL$636,MATCH($K573,Model!$R$2:$R$636,0)))</f>
        <v/>
      </c>
      <c r="E573">
        <f>IF($K573="","",INDEX(Raw_data!$AM$2:$AM$636,MATCH($K573,Model!$R$2:$R$636,0)))</f>
        <v/>
      </c>
      <c r="F573">
        <f>IF($K573="","",INDEX(Raw_data!$AQ$2:$AQ$636,MATCH($K573,Model!$R$2:$R$636,0)))</f>
        <v/>
      </c>
      <c r="G573">
        <f>IF($K573="","",INDEX(Raw_data!$H$2:$H$636,MATCH($K573,Model!$R$2:$R$636,0)))</f>
        <v/>
      </c>
      <c r="H573" s="8">
        <f>IF($K573="","",INDEX(Model!$B$2:$B$636,MATCH($K573,Model!$R$2:$R$636,0)))</f>
        <v/>
      </c>
      <c r="I573" s="8">
        <f>IF($K573="","",INDEX(Model!$C$2:$C$636,MATCH($K573,Model!$R$2:$R$636,0)))</f>
        <v/>
      </c>
      <c r="J573">
        <f>IF($K573="","",INDEX(Model!$D$2:$D$636,MATCH($K573,Model!$R$2:$R$636,0)))</f>
        <v/>
      </c>
      <c r="K573">
        <f>IF(537&lt;=$E$5,LARGE(Model!$R$2:$R$636,537),"")</f>
        <v/>
      </c>
    </row>
    <row r="574">
      <c r="A574">
        <f>IF($K574="","",INDEX(Raw_data!$D$2:$D$636,MATCH($K574,Model!$R$2:$R$636,0)))</f>
        <v/>
      </c>
      <c r="B574" s="11">
        <f>IF($K574="","",INDEX(Raw_data!$F$2:$F$636,MATCH($K574,Model!$R$2:$R$636,0)))</f>
        <v/>
      </c>
      <c r="C574">
        <f>IF($K574="","",HYPERLINK(INDEX(Raw_data!$C$2:$C$636,MATCH($K574,Model!$R$2:$R$636,0)),INDEX(Raw_data!$C$2:$C$636,MATCH($K574,Model!$R$2:$R$636,0))))</f>
        <v/>
      </c>
      <c r="D574">
        <f>IF($K574="","",INDEX(Raw_data!$AL$2:$AL$636,MATCH($K574,Model!$R$2:$R$636,0)))</f>
        <v/>
      </c>
      <c r="E574">
        <f>IF($K574="","",INDEX(Raw_data!$AM$2:$AM$636,MATCH($K574,Model!$R$2:$R$636,0)))</f>
        <v/>
      </c>
      <c r="F574">
        <f>IF($K574="","",INDEX(Raw_data!$AQ$2:$AQ$636,MATCH($K574,Model!$R$2:$R$636,0)))</f>
        <v/>
      </c>
      <c r="G574">
        <f>IF($K574="","",INDEX(Raw_data!$H$2:$H$636,MATCH($K574,Model!$R$2:$R$636,0)))</f>
        <v/>
      </c>
      <c r="H574" s="8">
        <f>IF($K574="","",INDEX(Model!$B$2:$B$636,MATCH($K574,Model!$R$2:$R$636,0)))</f>
        <v/>
      </c>
      <c r="I574" s="8">
        <f>IF($K574="","",INDEX(Model!$C$2:$C$636,MATCH($K574,Model!$R$2:$R$636,0)))</f>
        <v/>
      </c>
      <c r="J574">
        <f>IF($K574="","",INDEX(Model!$D$2:$D$636,MATCH($K574,Model!$R$2:$R$636,0)))</f>
        <v/>
      </c>
      <c r="K574">
        <f>IF(538&lt;=$E$5,LARGE(Model!$R$2:$R$636,538),"")</f>
        <v/>
      </c>
    </row>
    <row r="575">
      <c r="A575">
        <f>IF($K575="","",INDEX(Raw_data!$D$2:$D$636,MATCH($K575,Model!$R$2:$R$636,0)))</f>
        <v/>
      </c>
      <c r="B575" s="11">
        <f>IF($K575="","",INDEX(Raw_data!$F$2:$F$636,MATCH($K575,Model!$R$2:$R$636,0)))</f>
        <v/>
      </c>
      <c r="C575">
        <f>IF($K575="","",HYPERLINK(INDEX(Raw_data!$C$2:$C$636,MATCH($K575,Model!$R$2:$R$636,0)),INDEX(Raw_data!$C$2:$C$636,MATCH($K575,Model!$R$2:$R$636,0))))</f>
        <v/>
      </c>
      <c r="D575">
        <f>IF($K575="","",INDEX(Raw_data!$AL$2:$AL$636,MATCH($K575,Model!$R$2:$R$636,0)))</f>
        <v/>
      </c>
      <c r="E575">
        <f>IF($K575="","",INDEX(Raw_data!$AM$2:$AM$636,MATCH($K575,Model!$R$2:$R$636,0)))</f>
        <v/>
      </c>
      <c r="F575">
        <f>IF($K575="","",INDEX(Raw_data!$AQ$2:$AQ$636,MATCH($K575,Model!$R$2:$R$636,0)))</f>
        <v/>
      </c>
      <c r="G575">
        <f>IF($K575="","",INDEX(Raw_data!$H$2:$H$636,MATCH($K575,Model!$R$2:$R$636,0)))</f>
        <v/>
      </c>
      <c r="H575" s="8">
        <f>IF($K575="","",INDEX(Model!$B$2:$B$636,MATCH($K575,Model!$R$2:$R$636,0)))</f>
        <v/>
      </c>
      <c r="I575" s="8">
        <f>IF($K575="","",INDEX(Model!$C$2:$C$636,MATCH($K575,Model!$R$2:$R$636,0)))</f>
        <v/>
      </c>
      <c r="J575">
        <f>IF($K575="","",INDEX(Model!$D$2:$D$636,MATCH($K575,Model!$R$2:$R$636,0)))</f>
        <v/>
      </c>
      <c r="K575">
        <f>IF(539&lt;=$E$5,LARGE(Model!$R$2:$R$636,539),"")</f>
        <v/>
      </c>
    </row>
    <row r="576">
      <c r="A576">
        <f>IF($K576="","",INDEX(Raw_data!$D$2:$D$636,MATCH($K576,Model!$R$2:$R$636,0)))</f>
        <v/>
      </c>
      <c r="B576" s="11">
        <f>IF($K576="","",INDEX(Raw_data!$F$2:$F$636,MATCH($K576,Model!$R$2:$R$636,0)))</f>
        <v/>
      </c>
      <c r="C576">
        <f>IF($K576="","",HYPERLINK(INDEX(Raw_data!$C$2:$C$636,MATCH($K576,Model!$R$2:$R$636,0)),INDEX(Raw_data!$C$2:$C$636,MATCH($K576,Model!$R$2:$R$636,0))))</f>
        <v/>
      </c>
      <c r="D576">
        <f>IF($K576="","",INDEX(Raw_data!$AL$2:$AL$636,MATCH($K576,Model!$R$2:$R$636,0)))</f>
        <v/>
      </c>
      <c r="E576">
        <f>IF($K576="","",INDEX(Raw_data!$AM$2:$AM$636,MATCH($K576,Model!$R$2:$R$636,0)))</f>
        <v/>
      </c>
      <c r="F576">
        <f>IF($K576="","",INDEX(Raw_data!$AQ$2:$AQ$636,MATCH($K576,Model!$R$2:$R$636,0)))</f>
        <v/>
      </c>
      <c r="G576">
        <f>IF($K576="","",INDEX(Raw_data!$H$2:$H$636,MATCH($K576,Model!$R$2:$R$636,0)))</f>
        <v/>
      </c>
      <c r="H576" s="8">
        <f>IF($K576="","",INDEX(Model!$B$2:$B$636,MATCH($K576,Model!$R$2:$R$636,0)))</f>
        <v/>
      </c>
      <c r="I576" s="8">
        <f>IF($K576="","",INDEX(Model!$C$2:$C$636,MATCH($K576,Model!$R$2:$R$636,0)))</f>
        <v/>
      </c>
      <c r="J576">
        <f>IF($K576="","",INDEX(Model!$D$2:$D$636,MATCH($K576,Model!$R$2:$R$636,0)))</f>
        <v/>
      </c>
      <c r="K576">
        <f>IF(540&lt;=$E$5,LARGE(Model!$R$2:$R$636,540),"")</f>
        <v/>
      </c>
    </row>
    <row r="577">
      <c r="A577">
        <f>IF($K577="","",INDEX(Raw_data!$D$2:$D$636,MATCH($K577,Model!$R$2:$R$636,0)))</f>
        <v/>
      </c>
      <c r="B577" s="11">
        <f>IF($K577="","",INDEX(Raw_data!$F$2:$F$636,MATCH($K577,Model!$R$2:$R$636,0)))</f>
        <v/>
      </c>
      <c r="C577">
        <f>IF($K577="","",HYPERLINK(INDEX(Raw_data!$C$2:$C$636,MATCH($K577,Model!$R$2:$R$636,0)),INDEX(Raw_data!$C$2:$C$636,MATCH($K577,Model!$R$2:$R$636,0))))</f>
        <v/>
      </c>
      <c r="D577">
        <f>IF($K577="","",INDEX(Raw_data!$AL$2:$AL$636,MATCH($K577,Model!$R$2:$R$636,0)))</f>
        <v/>
      </c>
      <c r="E577">
        <f>IF($K577="","",INDEX(Raw_data!$AM$2:$AM$636,MATCH($K577,Model!$R$2:$R$636,0)))</f>
        <v/>
      </c>
      <c r="F577">
        <f>IF($K577="","",INDEX(Raw_data!$AQ$2:$AQ$636,MATCH($K577,Model!$R$2:$R$636,0)))</f>
        <v/>
      </c>
      <c r="G577">
        <f>IF($K577="","",INDEX(Raw_data!$H$2:$H$636,MATCH($K577,Model!$R$2:$R$636,0)))</f>
        <v/>
      </c>
      <c r="H577" s="8">
        <f>IF($K577="","",INDEX(Model!$B$2:$B$636,MATCH($K577,Model!$R$2:$R$636,0)))</f>
        <v/>
      </c>
      <c r="I577" s="8">
        <f>IF($K577="","",INDEX(Model!$C$2:$C$636,MATCH($K577,Model!$R$2:$R$636,0)))</f>
        <v/>
      </c>
      <c r="J577">
        <f>IF($K577="","",INDEX(Model!$D$2:$D$636,MATCH($K577,Model!$R$2:$R$636,0)))</f>
        <v/>
      </c>
      <c r="K577">
        <f>IF(541&lt;=$E$5,LARGE(Model!$R$2:$R$636,541),"")</f>
        <v/>
      </c>
    </row>
    <row r="578">
      <c r="A578">
        <f>IF($K578="","",INDEX(Raw_data!$D$2:$D$636,MATCH($K578,Model!$R$2:$R$636,0)))</f>
        <v/>
      </c>
      <c r="B578" s="11">
        <f>IF($K578="","",INDEX(Raw_data!$F$2:$F$636,MATCH($K578,Model!$R$2:$R$636,0)))</f>
        <v/>
      </c>
      <c r="C578">
        <f>IF($K578="","",HYPERLINK(INDEX(Raw_data!$C$2:$C$636,MATCH($K578,Model!$R$2:$R$636,0)),INDEX(Raw_data!$C$2:$C$636,MATCH($K578,Model!$R$2:$R$636,0))))</f>
        <v/>
      </c>
      <c r="D578">
        <f>IF($K578="","",INDEX(Raw_data!$AL$2:$AL$636,MATCH($K578,Model!$R$2:$R$636,0)))</f>
        <v/>
      </c>
      <c r="E578">
        <f>IF($K578="","",INDEX(Raw_data!$AM$2:$AM$636,MATCH($K578,Model!$R$2:$R$636,0)))</f>
        <v/>
      </c>
      <c r="F578">
        <f>IF($K578="","",INDEX(Raw_data!$AQ$2:$AQ$636,MATCH($K578,Model!$R$2:$R$636,0)))</f>
        <v/>
      </c>
      <c r="G578">
        <f>IF($K578="","",INDEX(Raw_data!$H$2:$H$636,MATCH($K578,Model!$R$2:$R$636,0)))</f>
        <v/>
      </c>
      <c r="H578" s="8">
        <f>IF($K578="","",INDEX(Model!$B$2:$B$636,MATCH($K578,Model!$R$2:$R$636,0)))</f>
        <v/>
      </c>
      <c r="I578" s="8">
        <f>IF($K578="","",INDEX(Model!$C$2:$C$636,MATCH($K578,Model!$R$2:$R$636,0)))</f>
        <v/>
      </c>
      <c r="J578">
        <f>IF($K578="","",INDEX(Model!$D$2:$D$636,MATCH($K578,Model!$R$2:$R$636,0)))</f>
        <v/>
      </c>
      <c r="K578">
        <f>IF(542&lt;=$E$5,LARGE(Model!$R$2:$R$636,542),"")</f>
        <v/>
      </c>
    </row>
    <row r="579">
      <c r="A579">
        <f>IF($K579="","",INDEX(Raw_data!$D$2:$D$636,MATCH($K579,Model!$R$2:$R$636,0)))</f>
        <v/>
      </c>
      <c r="B579" s="11">
        <f>IF($K579="","",INDEX(Raw_data!$F$2:$F$636,MATCH($K579,Model!$R$2:$R$636,0)))</f>
        <v/>
      </c>
      <c r="C579">
        <f>IF($K579="","",HYPERLINK(INDEX(Raw_data!$C$2:$C$636,MATCH($K579,Model!$R$2:$R$636,0)),INDEX(Raw_data!$C$2:$C$636,MATCH($K579,Model!$R$2:$R$636,0))))</f>
        <v/>
      </c>
      <c r="D579">
        <f>IF($K579="","",INDEX(Raw_data!$AL$2:$AL$636,MATCH($K579,Model!$R$2:$R$636,0)))</f>
        <v/>
      </c>
      <c r="E579">
        <f>IF($K579="","",INDEX(Raw_data!$AM$2:$AM$636,MATCH($K579,Model!$R$2:$R$636,0)))</f>
        <v/>
      </c>
      <c r="F579">
        <f>IF($K579="","",INDEX(Raw_data!$AQ$2:$AQ$636,MATCH($K579,Model!$R$2:$R$636,0)))</f>
        <v/>
      </c>
      <c r="G579">
        <f>IF($K579="","",INDEX(Raw_data!$H$2:$H$636,MATCH($K579,Model!$R$2:$R$636,0)))</f>
        <v/>
      </c>
      <c r="H579" s="8">
        <f>IF($K579="","",INDEX(Model!$B$2:$B$636,MATCH($K579,Model!$R$2:$R$636,0)))</f>
        <v/>
      </c>
      <c r="I579" s="8">
        <f>IF($K579="","",INDEX(Model!$C$2:$C$636,MATCH($K579,Model!$R$2:$R$636,0)))</f>
        <v/>
      </c>
      <c r="J579">
        <f>IF($K579="","",INDEX(Model!$D$2:$D$636,MATCH($K579,Model!$R$2:$R$636,0)))</f>
        <v/>
      </c>
      <c r="K579">
        <f>IF(543&lt;=$E$5,LARGE(Model!$R$2:$R$636,543),"")</f>
        <v/>
      </c>
    </row>
    <row r="580">
      <c r="A580">
        <f>IF($K580="","",INDEX(Raw_data!$D$2:$D$636,MATCH($K580,Model!$R$2:$R$636,0)))</f>
        <v/>
      </c>
      <c r="B580" s="11">
        <f>IF($K580="","",INDEX(Raw_data!$F$2:$F$636,MATCH($K580,Model!$R$2:$R$636,0)))</f>
        <v/>
      </c>
      <c r="C580">
        <f>IF($K580="","",HYPERLINK(INDEX(Raw_data!$C$2:$C$636,MATCH($K580,Model!$R$2:$R$636,0)),INDEX(Raw_data!$C$2:$C$636,MATCH($K580,Model!$R$2:$R$636,0))))</f>
        <v/>
      </c>
      <c r="D580">
        <f>IF($K580="","",INDEX(Raw_data!$AL$2:$AL$636,MATCH($K580,Model!$R$2:$R$636,0)))</f>
        <v/>
      </c>
      <c r="E580">
        <f>IF($K580="","",INDEX(Raw_data!$AM$2:$AM$636,MATCH($K580,Model!$R$2:$R$636,0)))</f>
        <v/>
      </c>
      <c r="F580">
        <f>IF($K580="","",INDEX(Raw_data!$AQ$2:$AQ$636,MATCH($K580,Model!$R$2:$R$636,0)))</f>
        <v/>
      </c>
      <c r="G580">
        <f>IF($K580="","",INDEX(Raw_data!$H$2:$H$636,MATCH($K580,Model!$R$2:$R$636,0)))</f>
        <v/>
      </c>
      <c r="H580" s="8">
        <f>IF($K580="","",INDEX(Model!$B$2:$B$636,MATCH($K580,Model!$R$2:$R$636,0)))</f>
        <v/>
      </c>
      <c r="I580" s="8">
        <f>IF($K580="","",INDEX(Model!$C$2:$C$636,MATCH($K580,Model!$R$2:$R$636,0)))</f>
        <v/>
      </c>
      <c r="J580">
        <f>IF($K580="","",INDEX(Model!$D$2:$D$636,MATCH($K580,Model!$R$2:$R$636,0)))</f>
        <v/>
      </c>
      <c r="K580">
        <f>IF(544&lt;=$E$5,LARGE(Model!$R$2:$R$636,544),"")</f>
        <v/>
      </c>
    </row>
    <row r="581">
      <c r="A581">
        <f>IF($K581="","",INDEX(Raw_data!$D$2:$D$636,MATCH($K581,Model!$R$2:$R$636,0)))</f>
        <v/>
      </c>
      <c r="B581" s="11">
        <f>IF($K581="","",INDEX(Raw_data!$F$2:$F$636,MATCH($K581,Model!$R$2:$R$636,0)))</f>
        <v/>
      </c>
      <c r="C581">
        <f>IF($K581="","",HYPERLINK(INDEX(Raw_data!$C$2:$C$636,MATCH($K581,Model!$R$2:$R$636,0)),INDEX(Raw_data!$C$2:$C$636,MATCH($K581,Model!$R$2:$R$636,0))))</f>
        <v/>
      </c>
      <c r="D581">
        <f>IF($K581="","",INDEX(Raw_data!$AL$2:$AL$636,MATCH($K581,Model!$R$2:$R$636,0)))</f>
        <v/>
      </c>
      <c r="E581">
        <f>IF($K581="","",INDEX(Raw_data!$AM$2:$AM$636,MATCH($K581,Model!$R$2:$R$636,0)))</f>
        <v/>
      </c>
      <c r="F581">
        <f>IF($K581="","",INDEX(Raw_data!$AQ$2:$AQ$636,MATCH($K581,Model!$R$2:$R$636,0)))</f>
        <v/>
      </c>
      <c r="G581">
        <f>IF($K581="","",INDEX(Raw_data!$H$2:$H$636,MATCH($K581,Model!$R$2:$R$636,0)))</f>
        <v/>
      </c>
      <c r="H581" s="8">
        <f>IF($K581="","",INDEX(Model!$B$2:$B$636,MATCH($K581,Model!$R$2:$R$636,0)))</f>
        <v/>
      </c>
      <c r="I581" s="8">
        <f>IF($K581="","",INDEX(Model!$C$2:$C$636,MATCH($K581,Model!$R$2:$R$636,0)))</f>
        <v/>
      </c>
      <c r="J581">
        <f>IF($K581="","",INDEX(Model!$D$2:$D$636,MATCH($K581,Model!$R$2:$R$636,0)))</f>
        <v/>
      </c>
      <c r="K581">
        <f>IF(545&lt;=$E$5,LARGE(Model!$R$2:$R$636,545),"")</f>
        <v/>
      </c>
    </row>
    <row r="582">
      <c r="A582">
        <f>IF($K582="","",INDEX(Raw_data!$D$2:$D$636,MATCH($K582,Model!$R$2:$R$636,0)))</f>
        <v/>
      </c>
      <c r="B582" s="11">
        <f>IF($K582="","",INDEX(Raw_data!$F$2:$F$636,MATCH($K582,Model!$R$2:$R$636,0)))</f>
        <v/>
      </c>
      <c r="C582">
        <f>IF($K582="","",HYPERLINK(INDEX(Raw_data!$C$2:$C$636,MATCH($K582,Model!$R$2:$R$636,0)),INDEX(Raw_data!$C$2:$C$636,MATCH($K582,Model!$R$2:$R$636,0))))</f>
        <v/>
      </c>
      <c r="D582">
        <f>IF($K582="","",INDEX(Raw_data!$AL$2:$AL$636,MATCH($K582,Model!$R$2:$R$636,0)))</f>
        <v/>
      </c>
      <c r="E582">
        <f>IF($K582="","",INDEX(Raw_data!$AM$2:$AM$636,MATCH($K582,Model!$R$2:$R$636,0)))</f>
        <v/>
      </c>
      <c r="F582">
        <f>IF($K582="","",INDEX(Raw_data!$AQ$2:$AQ$636,MATCH($K582,Model!$R$2:$R$636,0)))</f>
        <v/>
      </c>
      <c r="G582">
        <f>IF($K582="","",INDEX(Raw_data!$H$2:$H$636,MATCH($K582,Model!$R$2:$R$636,0)))</f>
        <v/>
      </c>
      <c r="H582" s="8">
        <f>IF($K582="","",INDEX(Model!$B$2:$B$636,MATCH($K582,Model!$R$2:$R$636,0)))</f>
        <v/>
      </c>
      <c r="I582" s="8">
        <f>IF($K582="","",INDEX(Model!$C$2:$C$636,MATCH($K582,Model!$R$2:$R$636,0)))</f>
        <v/>
      </c>
      <c r="J582">
        <f>IF($K582="","",INDEX(Model!$D$2:$D$636,MATCH($K582,Model!$R$2:$R$636,0)))</f>
        <v/>
      </c>
      <c r="K582">
        <f>IF(546&lt;=$E$5,LARGE(Model!$R$2:$R$636,546),"")</f>
        <v/>
      </c>
    </row>
    <row r="583">
      <c r="A583">
        <f>IF($K583="","",INDEX(Raw_data!$D$2:$D$636,MATCH($K583,Model!$R$2:$R$636,0)))</f>
        <v/>
      </c>
      <c r="B583" s="11">
        <f>IF($K583="","",INDEX(Raw_data!$F$2:$F$636,MATCH($K583,Model!$R$2:$R$636,0)))</f>
        <v/>
      </c>
      <c r="C583">
        <f>IF($K583="","",HYPERLINK(INDEX(Raw_data!$C$2:$C$636,MATCH($K583,Model!$R$2:$R$636,0)),INDEX(Raw_data!$C$2:$C$636,MATCH($K583,Model!$R$2:$R$636,0))))</f>
        <v/>
      </c>
      <c r="D583">
        <f>IF($K583="","",INDEX(Raw_data!$AL$2:$AL$636,MATCH($K583,Model!$R$2:$R$636,0)))</f>
        <v/>
      </c>
      <c r="E583">
        <f>IF($K583="","",INDEX(Raw_data!$AM$2:$AM$636,MATCH($K583,Model!$R$2:$R$636,0)))</f>
        <v/>
      </c>
      <c r="F583">
        <f>IF($K583="","",INDEX(Raw_data!$AQ$2:$AQ$636,MATCH($K583,Model!$R$2:$R$636,0)))</f>
        <v/>
      </c>
      <c r="G583">
        <f>IF($K583="","",INDEX(Raw_data!$H$2:$H$636,MATCH($K583,Model!$R$2:$R$636,0)))</f>
        <v/>
      </c>
      <c r="H583" s="8">
        <f>IF($K583="","",INDEX(Model!$B$2:$B$636,MATCH($K583,Model!$R$2:$R$636,0)))</f>
        <v/>
      </c>
      <c r="I583" s="8">
        <f>IF($K583="","",INDEX(Model!$C$2:$C$636,MATCH($K583,Model!$R$2:$R$636,0)))</f>
        <v/>
      </c>
      <c r="J583">
        <f>IF($K583="","",INDEX(Model!$D$2:$D$636,MATCH($K583,Model!$R$2:$R$636,0)))</f>
        <v/>
      </c>
      <c r="K583">
        <f>IF(547&lt;=$E$5,LARGE(Model!$R$2:$R$636,547),"")</f>
        <v/>
      </c>
    </row>
    <row r="584">
      <c r="A584">
        <f>IF($K584="","",INDEX(Raw_data!$D$2:$D$636,MATCH($K584,Model!$R$2:$R$636,0)))</f>
        <v/>
      </c>
      <c r="B584" s="11">
        <f>IF($K584="","",INDEX(Raw_data!$F$2:$F$636,MATCH($K584,Model!$R$2:$R$636,0)))</f>
        <v/>
      </c>
      <c r="C584">
        <f>IF($K584="","",HYPERLINK(INDEX(Raw_data!$C$2:$C$636,MATCH($K584,Model!$R$2:$R$636,0)),INDEX(Raw_data!$C$2:$C$636,MATCH($K584,Model!$R$2:$R$636,0))))</f>
        <v/>
      </c>
      <c r="D584">
        <f>IF($K584="","",INDEX(Raw_data!$AL$2:$AL$636,MATCH($K584,Model!$R$2:$R$636,0)))</f>
        <v/>
      </c>
      <c r="E584">
        <f>IF($K584="","",INDEX(Raw_data!$AM$2:$AM$636,MATCH($K584,Model!$R$2:$R$636,0)))</f>
        <v/>
      </c>
      <c r="F584">
        <f>IF($K584="","",INDEX(Raw_data!$AQ$2:$AQ$636,MATCH($K584,Model!$R$2:$R$636,0)))</f>
        <v/>
      </c>
      <c r="G584">
        <f>IF($K584="","",INDEX(Raw_data!$H$2:$H$636,MATCH($K584,Model!$R$2:$R$636,0)))</f>
        <v/>
      </c>
      <c r="H584" s="8">
        <f>IF($K584="","",INDEX(Model!$B$2:$B$636,MATCH($K584,Model!$R$2:$R$636,0)))</f>
        <v/>
      </c>
      <c r="I584" s="8">
        <f>IF($K584="","",INDEX(Model!$C$2:$C$636,MATCH($K584,Model!$R$2:$R$636,0)))</f>
        <v/>
      </c>
      <c r="J584">
        <f>IF($K584="","",INDEX(Model!$D$2:$D$636,MATCH($K584,Model!$R$2:$R$636,0)))</f>
        <v/>
      </c>
      <c r="K584">
        <f>IF(548&lt;=$E$5,LARGE(Model!$R$2:$R$636,548),"")</f>
        <v/>
      </c>
    </row>
    <row r="585">
      <c r="A585">
        <f>IF($K585="","",INDEX(Raw_data!$D$2:$D$636,MATCH($K585,Model!$R$2:$R$636,0)))</f>
        <v/>
      </c>
      <c r="B585" s="11">
        <f>IF($K585="","",INDEX(Raw_data!$F$2:$F$636,MATCH($K585,Model!$R$2:$R$636,0)))</f>
        <v/>
      </c>
      <c r="C585">
        <f>IF($K585="","",HYPERLINK(INDEX(Raw_data!$C$2:$C$636,MATCH($K585,Model!$R$2:$R$636,0)),INDEX(Raw_data!$C$2:$C$636,MATCH($K585,Model!$R$2:$R$636,0))))</f>
        <v/>
      </c>
      <c r="D585">
        <f>IF($K585="","",INDEX(Raw_data!$AL$2:$AL$636,MATCH($K585,Model!$R$2:$R$636,0)))</f>
        <v/>
      </c>
      <c r="E585">
        <f>IF($K585="","",INDEX(Raw_data!$AM$2:$AM$636,MATCH($K585,Model!$R$2:$R$636,0)))</f>
        <v/>
      </c>
      <c r="F585">
        <f>IF($K585="","",INDEX(Raw_data!$AQ$2:$AQ$636,MATCH($K585,Model!$R$2:$R$636,0)))</f>
        <v/>
      </c>
      <c r="G585">
        <f>IF($K585="","",INDEX(Raw_data!$H$2:$H$636,MATCH($K585,Model!$R$2:$R$636,0)))</f>
        <v/>
      </c>
      <c r="H585" s="8">
        <f>IF($K585="","",INDEX(Model!$B$2:$B$636,MATCH($K585,Model!$R$2:$R$636,0)))</f>
        <v/>
      </c>
      <c r="I585" s="8">
        <f>IF($K585="","",INDEX(Model!$C$2:$C$636,MATCH($K585,Model!$R$2:$R$636,0)))</f>
        <v/>
      </c>
      <c r="J585">
        <f>IF($K585="","",INDEX(Model!$D$2:$D$636,MATCH($K585,Model!$R$2:$R$636,0)))</f>
        <v/>
      </c>
      <c r="K585">
        <f>IF(549&lt;=$E$5,LARGE(Model!$R$2:$R$636,549),"")</f>
        <v/>
      </c>
    </row>
    <row r="586">
      <c r="A586">
        <f>IF($K586="","",INDEX(Raw_data!$D$2:$D$636,MATCH($K586,Model!$R$2:$R$636,0)))</f>
        <v/>
      </c>
      <c r="B586" s="11">
        <f>IF($K586="","",INDEX(Raw_data!$F$2:$F$636,MATCH($K586,Model!$R$2:$R$636,0)))</f>
        <v/>
      </c>
      <c r="C586">
        <f>IF($K586="","",HYPERLINK(INDEX(Raw_data!$C$2:$C$636,MATCH($K586,Model!$R$2:$R$636,0)),INDEX(Raw_data!$C$2:$C$636,MATCH($K586,Model!$R$2:$R$636,0))))</f>
        <v/>
      </c>
      <c r="D586">
        <f>IF($K586="","",INDEX(Raw_data!$AL$2:$AL$636,MATCH($K586,Model!$R$2:$R$636,0)))</f>
        <v/>
      </c>
      <c r="E586">
        <f>IF($K586="","",INDEX(Raw_data!$AM$2:$AM$636,MATCH($K586,Model!$R$2:$R$636,0)))</f>
        <v/>
      </c>
      <c r="F586">
        <f>IF($K586="","",INDEX(Raw_data!$AQ$2:$AQ$636,MATCH($K586,Model!$R$2:$R$636,0)))</f>
        <v/>
      </c>
      <c r="G586">
        <f>IF($K586="","",INDEX(Raw_data!$H$2:$H$636,MATCH($K586,Model!$R$2:$R$636,0)))</f>
        <v/>
      </c>
      <c r="H586" s="8">
        <f>IF($K586="","",INDEX(Model!$B$2:$B$636,MATCH($K586,Model!$R$2:$R$636,0)))</f>
        <v/>
      </c>
      <c r="I586" s="8">
        <f>IF($K586="","",INDEX(Model!$C$2:$C$636,MATCH($K586,Model!$R$2:$R$636,0)))</f>
        <v/>
      </c>
      <c r="J586">
        <f>IF($K586="","",INDEX(Model!$D$2:$D$636,MATCH($K586,Model!$R$2:$R$636,0)))</f>
        <v/>
      </c>
      <c r="K586">
        <f>IF(550&lt;=$E$5,LARGE(Model!$R$2:$R$636,550),"")</f>
        <v/>
      </c>
    </row>
    <row r="587">
      <c r="A587">
        <f>IF($K587="","",INDEX(Raw_data!$D$2:$D$636,MATCH($K587,Model!$R$2:$R$636,0)))</f>
        <v/>
      </c>
      <c r="B587" s="11">
        <f>IF($K587="","",INDEX(Raw_data!$F$2:$F$636,MATCH($K587,Model!$R$2:$R$636,0)))</f>
        <v/>
      </c>
      <c r="C587">
        <f>IF($K587="","",HYPERLINK(INDEX(Raw_data!$C$2:$C$636,MATCH($K587,Model!$R$2:$R$636,0)),INDEX(Raw_data!$C$2:$C$636,MATCH($K587,Model!$R$2:$R$636,0))))</f>
        <v/>
      </c>
      <c r="D587">
        <f>IF($K587="","",INDEX(Raw_data!$AL$2:$AL$636,MATCH($K587,Model!$R$2:$R$636,0)))</f>
        <v/>
      </c>
      <c r="E587">
        <f>IF($K587="","",INDEX(Raw_data!$AM$2:$AM$636,MATCH($K587,Model!$R$2:$R$636,0)))</f>
        <v/>
      </c>
      <c r="F587">
        <f>IF($K587="","",INDEX(Raw_data!$AQ$2:$AQ$636,MATCH($K587,Model!$R$2:$R$636,0)))</f>
        <v/>
      </c>
      <c r="G587">
        <f>IF($K587="","",INDEX(Raw_data!$H$2:$H$636,MATCH($K587,Model!$R$2:$R$636,0)))</f>
        <v/>
      </c>
      <c r="H587" s="8">
        <f>IF($K587="","",INDEX(Model!$B$2:$B$636,MATCH($K587,Model!$R$2:$R$636,0)))</f>
        <v/>
      </c>
      <c r="I587" s="8">
        <f>IF($K587="","",INDEX(Model!$C$2:$C$636,MATCH($K587,Model!$R$2:$R$636,0)))</f>
        <v/>
      </c>
      <c r="J587">
        <f>IF($K587="","",INDEX(Model!$D$2:$D$636,MATCH($K587,Model!$R$2:$R$636,0)))</f>
        <v/>
      </c>
      <c r="K587">
        <f>IF(551&lt;=$E$5,LARGE(Model!$R$2:$R$636,551),"")</f>
        <v/>
      </c>
    </row>
    <row r="588">
      <c r="A588">
        <f>IF($K588="","",INDEX(Raw_data!$D$2:$D$636,MATCH($K588,Model!$R$2:$R$636,0)))</f>
        <v/>
      </c>
      <c r="B588" s="11">
        <f>IF($K588="","",INDEX(Raw_data!$F$2:$F$636,MATCH($K588,Model!$R$2:$R$636,0)))</f>
        <v/>
      </c>
      <c r="C588">
        <f>IF($K588="","",HYPERLINK(INDEX(Raw_data!$C$2:$C$636,MATCH($K588,Model!$R$2:$R$636,0)),INDEX(Raw_data!$C$2:$C$636,MATCH($K588,Model!$R$2:$R$636,0))))</f>
        <v/>
      </c>
      <c r="D588">
        <f>IF($K588="","",INDEX(Raw_data!$AL$2:$AL$636,MATCH($K588,Model!$R$2:$R$636,0)))</f>
        <v/>
      </c>
      <c r="E588">
        <f>IF($K588="","",INDEX(Raw_data!$AM$2:$AM$636,MATCH($K588,Model!$R$2:$R$636,0)))</f>
        <v/>
      </c>
      <c r="F588">
        <f>IF($K588="","",INDEX(Raw_data!$AQ$2:$AQ$636,MATCH($K588,Model!$R$2:$R$636,0)))</f>
        <v/>
      </c>
      <c r="G588">
        <f>IF($K588="","",INDEX(Raw_data!$H$2:$H$636,MATCH($K588,Model!$R$2:$R$636,0)))</f>
        <v/>
      </c>
      <c r="H588" s="8">
        <f>IF($K588="","",INDEX(Model!$B$2:$B$636,MATCH($K588,Model!$R$2:$R$636,0)))</f>
        <v/>
      </c>
      <c r="I588" s="8">
        <f>IF($K588="","",INDEX(Model!$C$2:$C$636,MATCH($K588,Model!$R$2:$R$636,0)))</f>
        <v/>
      </c>
      <c r="J588">
        <f>IF($K588="","",INDEX(Model!$D$2:$D$636,MATCH($K588,Model!$R$2:$R$636,0)))</f>
        <v/>
      </c>
      <c r="K588">
        <f>IF(552&lt;=$E$5,LARGE(Model!$R$2:$R$636,552),"")</f>
        <v/>
      </c>
    </row>
    <row r="589">
      <c r="A589">
        <f>IF($K589="","",INDEX(Raw_data!$D$2:$D$636,MATCH($K589,Model!$R$2:$R$636,0)))</f>
        <v/>
      </c>
      <c r="B589" s="11">
        <f>IF($K589="","",INDEX(Raw_data!$F$2:$F$636,MATCH($K589,Model!$R$2:$R$636,0)))</f>
        <v/>
      </c>
      <c r="C589">
        <f>IF($K589="","",HYPERLINK(INDEX(Raw_data!$C$2:$C$636,MATCH($K589,Model!$R$2:$R$636,0)),INDEX(Raw_data!$C$2:$C$636,MATCH($K589,Model!$R$2:$R$636,0))))</f>
        <v/>
      </c>
      <c r="D589">
        <f>IF($K589="","",INDEX(Raw_data!$AL$2:$AL$636,MATCH($K589,Model!$R$2:$R$636,0)))</f>
        <v/>
      </c>
      <c r="E589">
        <f>IF($K589="","",INDEX(Raw_data!$AM$2:$AM$636,MATCH($K589,Model!$R$2:$R$636,0)))</f>
        <v/>
      </c>
      <c r="F589">
        <f>IF($K589="","",INDEX(Raw_data!$AQ$2:$AQ$636,MATCH($K589,Model!$R$2:$R$636,0)))</f>
        <v/>
      </c>
      <c r="G589">
        <f>IF($K589="","",INDEX(Raw_data!$H$2:$H$636,MATCH($K589,Model!$R$2:$R$636,0)))</f>
        <v/>
      </c>
      <c r="H589" s="8">
        <f>IF($K589="","",INDEX(Model!$B$2:$B$636,MATCH($K589,Model!$R$2:$R$636,0)))</f>
        <v/>
      </c>
      <c r="I589" s="8">
        <f>IF($K589="","",INDEX(Model!$C$2:$C$636,MATCH($K589,Model!$R$2:$R$636,0)))</f>
        <v/>
      </c>
      <c r="J589">
        <f>IF($K589="","",INDEX(Model!$D$2:$D$636,MATCH($K589,Model!$R$2:$R$636,0)))</f>
        <v/>
      </c>
      <c r="K589">
        <f>IF(553&lt;=$E$5,LARGE(Model!$R$2:$R$636,553),"")</f>
        <v/>
      </c>
    </row>
    <row r="590">
      <c r="A590">
        <f>IF($K590="","",INDEX(Raw_data!$D$2:$D$636,MATCH($K590,Model!$R$2:$R$636,0)))</f>
        <v/>
      </c>
      <c r="B590" s="11">
        <f>IF($K590="","",INDEX(Raw_data!$F$2:$F$636,MATCH($K590,Model!$R$2:$R$636,0)))</f>
        <v/>
      </c>
      <c r="C590">
        <f>IF($K590="","",HYPERLINK(INDEX(Raw_data!$C$2:$C$636,MATCH($K590,Model!$R$2:$R$636,0)),INDEX(Raw_data!$C$2:$C$636,MATCH($K590,Model!$R$2:$R$636,0))))</f>
        <v/>
      </c>
      <c r="D590">
        <f>IF($K590="","",INDEX(Raw_data!$AL$2:$AL$636,MATCH($K590,Model!$R$2:$R$636,0)))</f>
        <v/>
      </c>
      <c r="E590">
        <f>IF($K590="","",INDEX(Raw_data!$AM$2:$AM$636,MATCH($K590,Model!$R$2:$R$636,0)))</f>
        <v/>
      </c>
      <c r="F590">
        <f>IF($K590="","",INDEX(Raw_data!$AQ$2:$AQ$636,MATCH($K590,Model!$R$2:$R$636,0)))</f>
        <v/>
      </c>
      <c r="G590">
        <f>IF($K590="","",INDEX(Raw_data!$H$2:$H$636,MATCH($K590,Model!$R$2:$R$636,0)))</f>
        <v/>
      </c>
      <c r="H590" s="8">
        <f>IF($K590="","",INDEX(Model!$B$2:$B$636,MATCH($K590,Model!$R$2:$R$636,0)))</f>
        <v/>
      </c>
      <c r="I590" s="8">
        <f>IF($K590="","",INDEX(Model!$C$2:$C$636,MATCH($K590,Model!$R$2:$R$636,0)))</f>
        <v/>
      </c>
      <c r="J590">
        <f>IF($K590="","",INDEX(Model!$D$2:$D$636,MATCH($K590,Model!$R$2:$R$636,0)))</f>
        <v/>
      </c>
      <c r="K590">
        <f>IF(554&lt;=$E$5,LARGE(Model!$R$2:$R$636,554),"")</f>
        <v/>
      </c>
    </row>
    <row r="591">
      <c r="A591">
        <f>IF($K591="","",INDEX(Raw_data!$D$2:$D$636,MATCH($K591,Model!$R$2:$R$636,0)))</f>
        <v/>
      </c>
      <c r="B591" s="11">
        <f>IF($K591="","",INDEX(Raw_data!$F$2:$F$636,MATCH($K591,Model!$R$2:$R$636,0)))</f>
        <v/>
      </c>
      <c r="C591">
        <f>IF($K591="","",HYPERLINK(INDEX(Raw_data!$C$2:$C$636,MATCH($K591,Model!$R$2:$R$636,0)),INDEX(Raw_data!$C$2:$C$636,MATCH($K591,Model!$R$2:$R$636,0))))</f>
        <v/>
      </c>
      <c r="D591">
        <f>IF($K591="","",INDEX(Raw_data!$AL$2:$AL$636,MATCH($K591,Model!$R$2:$R$636,0)))</f>
        <v/>
      </c>
      <c r="E591">
        <f>IF($K591="","",INDEX(Raw_data!$AM$2:$AM$636,MATCH($K591,Model!$R$2:$R$636,0)))</f>
        <v/>
      </c>
      <c r="F591">
        <f>IF($K591="","",INDEX(Raw_data!$AQ$2:$AQ$636,MATCH($K591,Model!$R$2:$R$636,0)))</f>
        <v/>
      </c>
      <c r="G591">
        <f>IF($K591="","",INDEX(Raw_data!$H$2:$H$636,MATCH($K591,Model!$R$2:$R$636,0)))</f>
        <v/>
      </c>
      <c r="H591" s="8">
        <f>IF($K591="","",INDEX(Model!$B$2:$B$636,MATCH($K591,Model!$R$2:$R$636,0)))</f>
        <v/>
      </c>
      <c r="I591" s="8">
        <f>IF($K591="","",INDEX(Model!$C$2:$C$636,MATCH($K591,Model!$R$2:$R$636,0)))</f>
        <v/>
      </c>
      <c r="J591">
        <f>IF($K591="","",INDEX(Model!$D$2:$D$636,MATCH($K591,Model!$R$2:$R$636,0)))</f>
        <v/>
      </c>
      <c r="K591">
        <f>IF(555&lt;=$E$5,LARGE(Model!$R$2:$R$636,555),"")</f>
        <v/>
      </c>
    </row>
    <row r="592">
      <c r="A592">
        <f>IF($K592="","",INDEX(Raw_data!$D$2:$D$636,MATCH($K592,Model!$R$2:$R$636,0)))</f>
        <v/>
      </c>
      <c r="B592" s="11">
        <f>IF($K592="","",INDEX(Raw_data!$F$2:$F$636,MATCH($K592,Model!$R$2:$R$636,0)))</f>
        <v/>
      </c>
      <c r="C592">
        <f>IF($K592="","",HYPERLINK(INDEX(Raw_data!$C$2:$C$636,MATCH($K592,Model!$R$2:$R$636,0)),INDEX(Raw_data!$C$2:$C$636,MATCH($K592,Model!$R$2:$R$636,0))))</f>
        <v/>
      </c>
      <c r="D592">
        <f>IF($K592="","",INDEX(Raw_data!$AL$2:$AL$636,MATCH($K592,Model!$R$2:$R$636,0)))</f>
        <v/>
      </c>
      <c r="E592">
        <f>IF($K592="","",INDEX(Raw_data!$AM$2:$AM$636,MATCH($K592,Model!$R$2:$R$636,0)))</f>
        <v/>
      </c>
      <c r="F592">
        <f>IF($K592="","",INDEX(Raw_data!$AQ$2:$AQ$636,MATCH($K592,Model!$R$2:$R$636,0)))</f>
        <v/>
      </c>
      <c r="G592">
        <f>IF($K592="","",INDEX(Raw_data!$H$2:$H$636,MATCH($K592,Model!$R$2:$R$636,0)))</f>
        <v/>
      </c>
      <c r="H592" s="8">
        <f>IF($K592="","",INDEX(Model!$B$2:$B$636,MATCH($K592,Model!$R$2:$R$636,0)))</f>
        <v/>
      </c>
      <c r="I592" s="8">
        <f>IF($K592="","",INDEX(Model!$C$2:$C$636,MATCH($K592,Model!$R$2:$R$636,0)))</f>
        <v/>
      </c>
      <c r="J592">
        <f>IF($K592="","",INDEX(Model!$D$2:$D$636,MATCH($K592,Model!$R$2:$R$636,0)))</f>
        <v/>
      </c>
      <c r="K592">
        <f>IF(556&lt;=$E$5,LARGE(Model!$R$2:$R$636,556),"")</f>
        <v/>
      </c>
    </row>
    <row r="593">
      <c r="A593">
        <f>IF($K593="","",INDEX(Raw_data!$D$2:$D$636,MATCH($K593,Model!$R$2:$R$636,0)))</f>
        <v/>
      </c>
      <c r="B593" s="11">
        <f>IF($K593="","",INDEX(Raw_data!$F$2:$F$636,MATCH($K593,Model!$R$2:$R$636,0)))</f>
        <v/>
      </c>
      <c r="C593">
        <f>IF($K593="","",HYPERLINK(INDEX(Raw_data!$C$2:$C$636,MATCH($K593,Model!$R$2:$R$636,0)),INDEX(Raw_data!$C$2:$C$636,MATCH($K593,Model!$R$2:$R$636,0))))</f>
        <v/>
      </c>
      <c r="D593">
        <f>IF($K593="","",INDEX(Raw_data!$AL$2:$AL$636,MATCH($K593,Model!$R$2:$R$636,0)))</f>
        <v/>
      </c>
      <c r="E593">
        <f>IF($K593="","",INDEX(Raw_data!$AM$2:$AM$636,MATCH($K593,Model!$R$2:$R$636,0)))</f>
        <v/>
      </c>
      <c r="F593">
        <f>IF($K593="","",INDEX(Raw_data!$AQ$2:$AQ$636,MATCH($K593,Model!$R$2:$R$636,0)))</f>
        <v/>
      </c>
      <c r="G593">
        <f>IF($K593="","",INDEX(Raw_data!$H$2:$H$636,MATCH($K593,Model!$R$2:$R$636,0)))</f>
        <v/>
      </c>
      <c r="H593" s="8">
        <f>IF($K593="","",INDEX(Model!$B$2:$B$636,MATCH($K593,Model!$R$2:$R$636,0)))</f>
        <v/>
      </c>
      <c r="I593" s="8">
        <f>IF($K593="","",INDEX(Model!$C$2:$C$636,MATCH($K593,Model!$R$2:$R$636,0)))</f>
        <v/>
      </c>
      <c r="J593">
        <f>IF($K593="","",INDEX(Model!$D$2:$D$636,MATCH($K593,Model!$R$2:$R$636,0)))</f>
        <v/>
      </c>
      <c r="K593">
        <f>IF(557&lt;=$E$5,LARGE(Model!$R$2:$R$636,557),"")</f>
        <v/>
      </c>
    </row>
    <row r="594">
      <c r="A594">
        <f>IF($K594="","",INDEX(Raw_data!$D$2:$D$636,MATCH($K594,Model!$R$2:$R$636,0)))</f>
        <v/>
      </c>
      <c r="B594" s="11">
        <f>IF($K594="","",INDEX(Raw_data!$F$2:$F$636,MATCH($K594,Model!$R$2:$R$636,0)))</f>
        <v/>
      </c>
      <c r="C594">
        <f>IF($K594="","",HYPERLINK(INDEX(Raw_data!$C$2:$C$636,MATCH($K594,Model!$R$2:$R$636,0)),INDEX(Raw_data!$C$2:$C$636,MATCH($K594,Model!$R$2:$R$636,0))))</f>
        <v/>
      </c>
      <c r="D594">
        <f>IF($K594="","",INDEX(Raw_data!$AL$2:$AL$636,MATCH($K594,Model!$R$2:$R$636,0)))</f>
        <v/>
      </c>
      <c r="E594">
        <f>IF($K594="","",INDEX(Raw_data!$AM$2:$AM$636,MATCH($K594,Model!$R$2:$R$636,0)))</f>
        <v/>
      </c>
      <c r="F594">
        <f>IF($K594="","",INDEX(Raw_data!$AQ$2:$AQ$636,MATCH($K594,Model!$R$2:$R$636,0)))</f>
        <v/>
      </c>
      <c r="G594">
        <f>IF($K594="","",INDEX(Raw_data!$H$2:$H$636,MATCH($K594,Model!$R$2:$R$636,0)))</f>
        <v/>
      </c>
      <c r="H594" s="8">
        <f>IF($K594="","",INDEX(Model!$B$2:$B$636,MATCH($K594,Model!$R$2:$R$636,0)))</f>
        <v/>
      </c>
      <c r="I594" s="8">
        <f>IF($K594="","",INDEX(Model!$C$2:$C$636,MATCH($K594,Model!$R$2:$R$636,0)))</f>
        <v/>
      </c>
      <c r="J594">
        <f>IF($K594="","",INDEX(Model!$D$2:$D$636,MATCH($K594,Model!$R$2:$R$636,0)))</f>
        <v/>
      </c>
      <c r="K594">
        <f>IF(558&lt;=$E$5,LARGE(Model!$R$2:$R$636,558),"")</f>
        <v/>
      </c>
    </row>
    <row r="595">
      <c r="A595">
        <f>IF($K595="","",INDEX(Raw_data!$D$2:$D$636,MATCH($K595,Model!$R$2:$R$636,0)))</f>
        <v/>
      </c>
      <c r="B595" s="11">
        <f>IF($K595="","",INDEX(Raw_data!$F$2:$F$636,MATCH($K595,Model!$R$2:$R$636,0)))</f>
        <v/>
      </c>
      <c r="C595">
        <f>IF($K595="","",HYPERLINK(INDEX(Raw_data!$C$2:$C$636,MATCH($K595,Model!$R$2:$R$636,0)),INDEX(Raw_data!$C$2:$C$636,MATCH($K595,Model!$R$2:$R$636,0))))</f>
        <v/>
      </c>
      <c r="D595">
        <f>IF($K595="","",INDEX(Raw_data!$AL$2:$AL$636,MATCH($K595,Model!$R$2:$R$636,0)))</f>
        <v/>
      </c>
      <c r="E595">
        <f>IF($K595="","",INDEX(Raw_data!$AM$2:$AM$636,MATCH($K595,Model!$R$2:$R$636,0)))</f>
        <v/>
      </c>
      <c r="F595">
        <f>IF($K595="","",INDEX(Raw_data!$AQ$2:$AQ$636,MATCH($K595,Model!$R$2:$R$636,0)))</f>
        <v/>
      </c>
      <c r="G595">
        <f>IF($K595="","",INDEX(Raw_data!$H$2:$H$636,MATCH($K595,Model!$R$2:$R$636,0)))</f>
        <v/>
      </c>
      <c r="H595" s="8">
        <f>IF($K595="","",INDEX(Model!$B$2:$B$636,MATCH($K595,Model!$R$2:$R$636,0)))</f>
        <v/>
      </c>
      <c r="I595" s="8">
        <f>IF($K595="","",INDEX(Model!$C$2:$C$636,MATCH($K595,Model!$R$2:$R$636,0)))</f>
        <v/>
      </c>
      <c r="J595">
        <f>IF($K595="","",INDEX(Model!$D$2:$D$636,MATCH($K595,Model!$R$2:$R$636,0)))</f>
        <v/>
      </c>
      <c r="K595">
        <f>IF(559&lt;=$E$5,LARGE(Model!$R$2:$R$636,559),"")</f>
        <v/>
      </c>
    </row>
    <row r="596">
      <c r="A596">
        <f>IF($K596="","",INDEX(Raw_data!$D$2:$D$636,MATCH($K596,Model!$R$2:$R$636,0)))</f>
        <v/>
      </c>
      <c r="B596" s="11">
        <f>IF($K596="","",INDEX(Raw_data!$F$2:$F$636,MATCH($K596,Model!$R$2:$R$636,0)))</f>
        <v/>
      </c>
      <c r="C596">
        <f>IF($K596="","",HYPERLINK(INDEX(Raw_data!$C$2:$C$636,MATCH($K596,Model!$R$2:$R$636,0)),INDEX(Raw_data!$C$2:$C$636,MATCH($K596,Model!$R$2:$R$636,0))))</f>
        <v/>
      </c>
      <c r="D596">
        <f>IF($K596="","",INDEX(Raw_data!$AL$2:$AL$636,MATCH($K596,Model!$R$2:$R$636,0)))</f>
        <v/>
      </c>
      <c r="E596">
        <f>IF($K596="","",INDEX(Raw_data!$AM$2:$AM$636,MATCH($K596,Model!$R$2:$R$636,0)))</f>
        <v/>
      </c>
      <c r="F596">
        <f>IF($K596="","",INDEX(Raw_data!$AQ$2:$AQ$636,MATCH($K596,Model!$R$2:$R$636,0)))</f>
        <v/>
      </c>
      <c r="G596">
        <f>IF($K596="","",INDEX(Raw_data!$H$2:$H$636,MATCH($K596,Model!$R$2:$R$636,0)))</f>
        <v/>
      </c>
      <c r="H596" s="8">
        <f>IF($K596="","",INDEX(Model!$B$2:$B$636,MATCH($K596,Model!$R$2:$R$636,0)))</f>
        <v/>
      </c>
      <c r="I596" s="8">
        <f>IF($K596="","",INDEX(Model!$C$2:$C$636,MATCH($K596,Model!$R$2:$R$636,0)))</f>
        <v/>
      </c>
      <c r="J596">
        <f>IF($K596="","",INDEX(Model!$D$2:$D$636,MATCH($K596,Model!$R$2:$R$636,0)))</f>
        <v/>
      </c>
      <c r="K596">
        <f>IF(560&lt;=$E$5,LARGE(Model!$R$2:$R$636,560),"")</f>
        <v/>
      </c>
    </row>
    <row r="597">
      <c r="A597">
        <f>IF($K597="","",INDEX(Raw_data!$D$2:$D$636,MATCH($K597,Model!$R$2:$R$636,0)))</f>
        <v/>
      </c>
      <c r="B597" s="11">
        <f>IF($K597="","",INDEX(Raw_data!$F$2:$F$636,MATCH($K597,Model!$R$2:$R$636,0)))</f>
        <v/>
      </c>
      <c r="C597">
        <f>IF($K597="","",HYPERLINK(INDEX(Raw_data!$C$2:$C$636,MATCH($K597,Model!$R$2:$R$636,0)),INDEX(Raw_data!$C$2:$C$636,MATCH($K597,Model!$R$2:$R$636,0))))</f>
        <v/>
      </c>
      <c r="D597">
        <f>IF($K597="","",INDEX(Raw_data!$AL$2:$AL$636,MATCH($K597,Model!$R$2:$R$636,0)))</f>
        <v/>
      </c>
      <c r="E597">
        <f>IF($K597="","",INDEX(Raw_data!$AM$2:$AM$636,MATCH($K597,Model!$R$2:$R$636,0)))</f>
        <v/>
      </c>
      <c r="F597">
        <f>IF($K597="","",INDEX(Raw_data!$AQ$2:$AQ$636,MATCH($K597,Model!$R$2:$R$636,0)))</f>
        <v/>
      </c>
      <c r="G597">
        <f>IF($K597="","",INDEX(Raw_data!$H$2:$H$636,MATCH($K597,Model!$R$2:$R$636,0)))</f>
        <v/>
      </c>
      <c r="H597" s="8">
        <f>IF($K597="","",INDEX(Model!$B$2:$B$636,MATCH($K597,Model!$R$2:$R$636,0)))</f>
        <v/>
      </c>
      <c r="I597" s="8">
        <f>IF($K597="","",INDEX(Model!$C$2:$C$636,MATCH($K597,Model!$R$2:$R$636,0)))</f>
        <v/>
      </c>
      <c r="J597">
        <f>IF($K597="","",INDEX(Model!$D$2:$D$636,MATCH($K597,Model!$R$2:$R$636,0)))</f>
        <v/>
      </c>
      <c r="K597">
        <f>IF(561&lt;=$E$5,LARGE(Model!$R$2:$R$636,561),"")</f>
        <v/>
      </c>
    </row>
    <row r="598">
      <c r="A598">
        <f>IF($K598="","",INDEX(Raw_data!$D$2:$D$636,MATCH($K598,Model!$R$2:$R$636,0)))</f>
        <v/>
      </c>
      <c r="B598" s="11">
        <f>IF($K598="","",INDEX(Raw_data!$F$2:$F$636,MATCH($K598,Model!$R$2:$R$636,0)))</f>
        <v/>
      </c>
      <c r="C598">
        <f>IF($K598="","",HYPERLINK(INDEX(Raw_data!$C$2:$C$636,MATCH($K598,Model!$R$2:$R$636,0)),INDEX(Raw_data!$C$2:$C$636,MATCH($K598,Model!$R$2:$R$636,0))))</f>
        <v/>
      </c>
      <c r="D598">
        <f>IF($K598="","",INDEX(Raw_data!$AL$2:$AL$636,MATCH($K598,Model!$R$2:$R$636,0)))</f>
        <v/>
      </c>
      <c r="E598">
        <f>IF($K598="","",INDEX(Raw_data!$AM$2:$AM$636,MATCH($K598,Model!$R$2:$R$636,0)))</f>
        <v/>
      </c>
      <c r="F598">
        <f>IF($K598="","",INDEX(Raw_data!$AQ$2:$AQ$636,MATCH($K598,Model!$R$2:$R$636,0)))</f>
        <v/>
      </c>
      <c r="G598">
        <f>IF($K598="","",INDEX(Raw_data!$H$2:$H$636,MATCH($K598,Model!$R$2:$R$636,0)))</f>
        <v/>
      </c>
      <c r="H598" s="8">
        <f>IF($K598="","",INDEX(Model!$B$2:$B$636,MATCH($K598,Model!$R$2:$R$636,0)))</f>
        <v/>
      </c>
      <c r="I598" s="8">
        <f>IF($K598="","",INDEX(Model!$C$2:$C$636,MATCH($K598,Model!$R$2:$R$636,0)))</f>
        <v/>
      </c>
      <c r="J598">
        <f>IF($K598="","",INDEX(Model!$D$2:$D$636,MATCH($K598,Model!$R$2:$R$636,0)))</f>
        <v/>
      </c>
      <c r="K598">
        <f>IF(562&lt;=$E$5,LARGE(Model!$R$2:$R$636,562),"")</f>
        <v/>
      </c>
    </row>
    <row r="599">
      <c r="A599">
        <f>IF($K599="","",INDEX(Raw_data!$D$2:$D$636,MATCH($K599,Model!$R$2:$R$636,0)))</f>
        <v/>
      </c>
      <c r="B599" s="11">
        <f>IF($K599="","",INDEX(Raw_data!$F$2:$F$636,MATCH($K599,Model!$R$2:$R$636,0)))</f>
        <v/>
      </c>
      <c r="C599">
        <f>IF($K599="","",HYPERLINK(INDEX(Raw_data!$C$2:$C$636,MATCH($K599,Model!$R$2:$R$636,0)),INDEX(Raw_data!$C$2:$C$636,MATCH($K599,Model!$R$2:$R$636,0))))</f>
        <v/>
      </c>
      <c r="D599">
        <f>IF($K599="","",INDEX(Raw_data!$AL$2:$AL$636,MATCH($K599,Model!$R$2:$R$636,0)))</f>
        <v/>
      </c>
      <c r="E599">
        <f>IF($K599="","",INDEX(Raw_data!$AM$2:$AM$636,MATCH($K599,Model!$R$2:$R$636,0)))</f>
        <v/>
      </c>
      <c r="F599">
        <f>IF($K599="","",INDEX(Raw_data!$AQ$2:$AQ$636,MATCH($K599,Model!$R$2:$R$636,0)))</f>
        <v/>
      </c>
      <c r="G599">
        <f>IF($K599="","",INDEX(Raw_data!$H$2:$H$636,MATCH($K599,Model!$R$2:$R$636,0)))</f>
        <v/>
      </c>
      <c r="H599" s="8">
        <f>IF($K599="","",INDEX(Model!$B$2:$B$636,MATCH($K599,Model!$R$2:$R$636,0)))</f>
        <v/>
      </c>
      <c r="I599" s="8">
        <f>IF($K599="","",INDEX(Model!$C$2:$C$636,MATCH($K599,Model!$R$2:$R$636,0)))</f>
        <v/>
      </c>
      <c r="J599">
        <f>IF($K599="","",INDEX(Model!$D$2:$D$636,MATCH($K599,Model!$R$2:$R$636,0)))</f>
        <v/>
      </c>
      <c r="K599">
        <f>IF(563&lt;=$E$5,LARGE(Model!$R$2:$R$636,563),"")</f>
        <v/>
      </c>
    </row>
    <row r="600">
      <c r="A600">
        <f>IF($K600="","",INDEX(Raw_data!$D$2:$D$636,MATCH($K600,Model!$R$2:$R$636,0)))</f>
        <v/>
      </c>
      <c r="B600" s="11">
        <f>IF($K600="","",INDEX(Raw_data!$F$2:$F$636,MATCH($K600,Model!$R$2:$R$636,0)))</f>
        <v/>
      </c>
      <c r="C600">
        <f>IF($K600="","",HYPERLINK(INDEX(Raw_data!$C$2:$C$636,MATCH($K600,Model!$R$2:$R$636,0)),INDEX(Raw_data!$C$2:$C$636,MATCH($K600,Model!$R$2:$R$636,0))))</f>
        <v/>
      </c>
      <c r="D600">
        <f>IF($K600="","",INDEX(Raw_data!$AL$2:$AL$636,MATCH($K600,Model!$R$2:$R$636,0)))</f>
        <v/>
      </c>
      <c r="E600">
        <f>IF($K600="","",INDEX(Raw_data!$AM$2:$AM$636,MATCH($K600,Model!$R$2:$R$636,0)))</f>
        <v/>
      </c>
      <c r="F600">
        <f>IF($K600="","",INDEX(Raw_data!$AQ$2:$AQ$636,MATCH($K600,Model!$R$2:$R$636,0)))</f>
        <v/>
      </c>
      <c r="G600">
        <f>IF($K600="","",INDEX(Raw_data!$H$2:$H$636,MATCH($K600,Model!$R$2:$R$636,0)))</f>
        <v/>
      </c>
      <c r="H600" s="8">
        <f>IF($K600="","",INDEX(Model!$B$2:$B$636,MATCH($K600,Model!$R$2:$R$636,0)))</f>
        <v/>
      </c>
      <c r="I600" s="8">
        <f>IF($K600="","",INDEX(Model!$C$2:$C$636,MATCH($K600,Model!$R$2:$R$636,0)))</f>
        <v/>
      </c>
      <c r="J600">
        <f>IF($K600="","",INDEX(Model!$D$2:$D$636,MATCH($K600,Model!$R$2:$R$636,0)))</f>
        <v/>
      </c>
      <c r="K600">
        <f>IF(564&lt;=$E$5,LARGE(Model!$R$2:$R$636,564),"")</f>
        <v/>
      </c>
    </row>
    <row r="601">
      <c r="A601">
        <f>IF($K601="","",INDEX(Raw_data!$D$2:$D$636,MATCH($K601,Model!$R$2:$R$636,0)))</f>
        <v/>
      </c>
      <c r="B601" s="11">
        <f>IF($K601="","",INDEX(Raw_data!$F$2:$F$636,MATCH($K601,Model!$R$2:$R$636,0)))</f>
        <v/>
      </c>
      <c r="C601">
        <f>IF($K601="","",HYPERLINK(INDEX(Raw_data!$C$2:$C$636,MATCH($K601,Model!$R$2:$R$636,0)),INDEX(Raw_data!$C$2:$C$636,MATCH($K601,Model!$R$2:$R$636,0))))</f>
        <v/>
      </c>
      <c r="D601">
        <f>IF($K601="","",INDEX(Raw_data!$AL$2:$AL$636,MATCH($K601,Model!$R$2:$R$636,0)))</f>
        <v/>
      </c>
      <c r="E601">
        <f>IF($K601="","",INDEX(Raw_data!$AM$2:$AM$636,MATCH($K601,Model!$R$2:$R$636,0)))</f>
        <v/>
      </c>
      <c r="F601">
        <f>IF($K601="","",INDEX(Raw_data!$AQ$2:$AQ$636,MATCH($K601,Model!$R$2:$R$636,0)))</f>
        <v/>
      </c>
      <c r="G601">
        <f>IF($K601="","",INDEX(Raw_data!$H$2:$H$636,MATCH($K601,Model!$R$2:$R$636,0)))</f>
        <v/>
      </c>
      <c r="H601" s="8">
        <f>IF($K601="","",INDEX(Model!$B$2:$B$636,MATCH($K601,Model!$R$2:$R$636,0)))</f>
        <v/>
      </c>
      <c r="I601" s="8">
        <f>IF($K601="","",INDEX(Model!$C$2:$C$636,MATCH($K601,Model!$R$2:$R$636,0)))</f>
        <v/>
      </c>
      <c r="J601">
        <f>IF($K601="","",INDEX(Model!$D$2:$D$636,MATCH($K601,Model!$R$2:$R$636,0)))</f>
        <v/>
      </c>
      <c r="K601">
        <f>IF(565&lt;=$E$5,LARGE(Model!$R$2:$R$636,565),"")</f>
        <v/>
      </c>
    </row>
    <row r="602">
      <c r="A602">
        <f>IF($K602="","",INDEX(Raw_data!$D$2:$D$636,MATCH($K602,Model!$R$2:$R$636,0)))</f>
        <v/>
      </c>
      <c r="B602" s="11">
        <f>IF($K602="","",INDEX(Raw_data!$F$2:$F$636,MATCH($K602,Model!$R$2:$R$636,0)))</f>
        <v/>
      </c>
      <c r="C602">
        <f>IF($K602="","",HYPERLINK(INDEX(Raw_data!$C$2:$C$636,MATCH($K602,Model!$R$2:$R$636,0)),INDEX(Raw_data!$C$2:$C$636,MATCH($K602,Model!$R$2:$R$636,0))))</f>
        <v/>
      </c>
      <c r="D602">
        <f>IF($K602="","",INDEX(Raw_data!$AL$2:$AL$636,MATCH($K602,Model!$R$2:$R$636,0)))</f>
        <v/>
      </c>
      <c r="E602">
        <f>IF($K602="","",INDEX(Raw_data!$AM$2:$AM$636,MATCH($K602,Model!$R$2:$R$636,0)))</f>
        <v/>
      </c>
      <c r="F602">
        <f>IF($K602="","",INDEX(Raw_data!$AQ$2:$AQ$636,MATCH($K602,Model!$R$2:$R$636,0)))</f>
        <v/>
      </c>
      <c r="G602">
        <f>IF($K602="","",INDEX(Raw_data!$H$2:$H$636,MATCH($K602,Model!$R$2:$R$636,0)))</f>
        <v/>
      </c>
      <c r="H602" s="8">
        <f>IF($K602="","",INDEX(Model!$B$2:$B$636,MATCH($K602,Model!$R$2:$R$636,0)))</f>
        <v/>
      </c>
      <c r="I602" s="8">
        <f>IF($K602="","",INDEX(Model!$C$2:$C$636,MATCH($K602,Model!$R$2:$R$636,0)))</f>
        <v/>
      </c>
      <c r="J602">
        <f>IF($K602="","",INDEX(Model!$D$2:$D$636,MATCH($K602,Model!$R$2:$R$636,0)))</f>
        <v/>
      </c>
      <c r="K602">
        <f>IF(566&lt;=$E$5,LARGE(Model!$R$2:$R$636,566),"")</f>
        <v/>
      </c>
    </row>
    <row r="603">
      <c r="A603">
        <f>IF($K603="","",INDEX(Raw_data!$D$2:$D$636,MATCH($K603,Model!$R$2:$R$636,0)))</f>
        <v/>
      </c>
      <c r="B603" s="11">
        <f>IF($K603="","",INDEX(Raw_data!$F$2:$F$636,MATCH($K603,Model!$R$2:$R$636,0)))</f>
        <v/>
      </c>
      <c r="C603">
        <f>IF($K603="","",HYPERLINK(INDEX(Raw_data!$C$2:$C$636,MATCH($K603,Model!$R$2:$R$636,0)),INDEX(Raw_data!$C$2:$C$636,MATCH($K603,Model!$R$2:$R$636,0))))</f>
        <v/>
      </c>
      <c r="D603">
        <f>IF($K603="","",INDEX(Raw_data!$AL$2:$AL$636,MATCH($K603,Model!$R$2:$R$636,0)))</f>
        <v/>
      </c>
      <c r="E603">
        <f>IF($K603="","",INDEX(Raw_data!$AM$2:$AM$636,MATCH($K603,Model!$R$2:$R$636,0)))</f>
        <v/>
      </c>
      <c r="F603">
        <f>IF($K603="","",INDEX(Raw_data!$AQ$2:$AQ$636,MATCH($K603,Model!$R$2:$R$636,0)))</f>
        <v/>
      </c>
      <c r="G603">
        <f>IF($K603="","",INDEX(Raw_data!$H$2:$H$636,MATCH($K603,Model!$R$2:$R$636,0)))</f>
        <v/>
      </c>
      <c r="H603" s="8">
        <f>IF($K603="","",INDEX(Model!$B$2:$B$636,MATCH($K603,Model!$R$2:$R$636,0)))</f>
        <v/>
      </c>
      <c r="I603" s="8">
        <f>IF($K603="","",INDEX(Model!$C$2:$C$636,MATCH($K603,Model!$R$2:$R$636,0)))</f>
        <v/>
      </c>
      <c r="J603">
        <f>IF($K603="","",INDEX(Model!$D$2:$D$636,MATCH($K603,Model!$R$2:$R$636,0)))</f>
        <v/>
      </c>
      <c r="K603">
        <f>IF(567&lt;=$E$5,LARGE(Model!$R$2:$R$636,567),"")</f>
        <v/>
      </c>
    </row>
    <row r="604">
      <c r="A604">
        <f>IF($K604="","",INDEX(Raw_data!$D$2:$D$636,MATCH($K604,Model!$R$2:$R$636,0)))</f>
        <v/>
      </c>
      <c r="B604" s="11">
        <f>IF($K604="","",INDEX(Raw_data!$F$2:$F$636,MATCH($K604,Model!$R$2:$R$636,0)))</f>
        <v/>
      </c>
      <c r="C604">
        <f>IF($K604="","",HYPERLINK(INDEX(Raw_data!$C$2:$C$636,MATCH($K604,Model!$R$2:$R$636,0)),INDEX(Raw_data!$C$2:$C$636,MATCH($K604,Model!$R$2:$R$636,0))))</f>
        <v/>
      </c>
      <c r="D604">
        <f>IF($K604="","",INDEX(Raw_data!$AL$2:$AL$636,MATCH($K604,Model!$R$2:$R$636,0)))</f>
        <v/>
      </c>
      <c r="E604">
        <f>IF($K604="","",INDEX(Raw_data!$AM$2:$AM$636,MATCH($K604,Model!$R$2:$R$636,0)))</f>
        <v/>
      </c>
      <c r="F604">
        <f>IF($K604="","",INDEX(Raw_data!$AQ$2:$AQ$636,MATCH($K604,Model!$R$2:$R$636,0)))</f>
        <v/>
      </c>
      <c r="G604">
        <f>IF($K604="","",INDEX(Raw_data!$H$2:$H$636,MATCH($K604,Model!$R$2:$R$636,0)))</f>
        <v/>
      </c>
      <c r="H604" s="8">
        <f>IF($K604="","",INDEX(Model!$B$2:$B$636,MATCH($K604,Model!$R$2:$R$636,0)))</f>
        <v/>
      </c>
      <c r="I604" s="8">
        <f>IF($K604="","",INDEX(Model!$C$2:$C$636,MATCH($K604,Model!$R$2:$R$636,0)))</f>
        <v/>
      </c>
      <c r="J604">
        <f>IF($K604="","",INDEX(Model!$D$2:$D$636,MATCH($K604,Model!$R$2:$R$636,0)))</f>
        <v/>
      </c>
      <c r="K604">
        <f>IF(568&lt;=$E$5,LARGE(Model!$R$2:$R$636,568),"")</f>
        <v/>
      </c>
    </row>
    <row r="605">
      <c r="A605">
        <f>IF($K605="","",INDEX(Raw_data!$D$2:$D$636,MATCH($K605,Model!$R$2:$R$636,0)))</f>
        <v/>
      </c>
      <c r="B605" s="11">
        <f>IF($K605="","",INDEX(Raw_data!$F$2:$F$636,MATCH($K605,Model!$R$2:$R$636,0)))</f>
        <v/>
      </c>
      <c r="C605">
        <f>IF($K605="","",HYPERLINK(INDEX(Raw_data!$C$2:$C$636,MATCH($K605,Model!$R$2:$R$636,0)),INDEX(Raw_data!$C$2:$C$636,MATCH($K605,Model!$R$2:$R$636,0))))</f>
        <v/>
      </c>
      <c r="D605">
        <f>IF($K605="","",INDEX(Raw_data!$AL$2:$AL$636,MATCH($K605,Model!$R$2:$R$636,0)))</f>
        <v/>
      </c>
      <c r="E605">
        <f>IF($K605="","",INDEX(Raw_data!$AM$2:$AM$636,MATCH($K605,Model!$R$2:$R$636,0)))</f>
        <v/>
      </c>
      <c r="F605">
        <f>IF($K605="","",INDEX(Raw_data!$AQ$2:$AQ$636,MATCH($K605,Model!$R$2:$R$636,0)))</f>
        <v/>
      </c>
      <c r="G605">
        <f>IF($K605="","",INDEX(Raw_data!$H$2:$H$636,MATCH($K605,Model!$R$2:$R$636,0)))</f>
        <v/>
      </c>
      <c r="H605" s="8">
        <f>IF($K605="","",INDEX(Model!$B$2:$B$636,MATCH($K605,Model!$R$2:$R$636,0)))</f>
        <v/>
      </c>
      <c r="I605" s="8">
        <f>IF($K605="","",INDEX(Model!$C$2:$C$636,MATCH($K605,Model!$R$2:$R$636,0)))</f>
        <v/>
      </c>
      <c r="J605">
        <f>IF($K605="","",INDEX(Model!$D$2:$D$636,MATCH($K605,Model!$R$2:$R$636,0)))</f>
        <v/>
      </c>
      <c r="K605">
        <f>IF(569&lt;=$E$5,LARGE(Model!$R$2:$R$636,569),"")</f>
        <v/>
      </c>
    </row>
    <row r="606">
      <c r="A606">
        <f>IF($K606="","",INDEX(Raw_data!$D$2:$D$636,MATCH($K606,Model!$R$2:$R$636,0)))</f>
        <v/>
      </c>
      <c r="B606" s="11">
        <f>IF($K606="","",INDEX(Raw_data!$F$2:$F$636,MATCH($K606,Model!$R$2:$R$636,0)))</f>
        <v/>
      </c>
      <c r="C606">
        <f>IF($K606="","",HYPERLINK(INDEX(Raw_data!$C$2:$C$636,MATCH($K606,Model!$R$2:$R$636,0)),INDEX(Raw_data!$C$2:$C$636,MATCH($K606,Model!$R$2:$R$636,0))))</f>
        <v/>
      </c>
      <c r="D606">
        <f>IF($K606="","",INDEX(Raw_data!$AL$2:$AL$636,MATCH($K606,Model!$R$2:$R$636,0)))</f>
        <v/>
      </c>
      <c r="E606">
        <f>IF($K606="","",INDEX(Raw_data!$AM$2:$AM$636,MATCH($K606,Model!$R$2:$R$636,0)))</f>
        <v/>
      </c>
      <c r="F606">
        <f>IF($K606="","",INDEX(Raw_data!$AQ$2:$AQ$636,MATCH($K606,Model!$R$2:$R$636,0)))</f>
        <v/>
      </c>
      <c r="G606">
        <f>IF($K606="","",INDEX(Raw_data!$H$2:$H$636,MATCH($K606,Model!$R$2:$R$636,0)))</f>
        <v/>
      </c>
      <c r="H606" s="8">
        <f>IF($K606="","",INDEX(Model!$B$2:$B$636,MATCH($K606,Model!$R$2:$R$636,0)))</f>
        <v/>
      </c>
      <c r="I606" s="8">
        <f>IF($K606="","",INDEX(Model!$C$2:$C$636,MATCH($K606,Model!$R$2:$R$636,0)))</f>
        <v/>
      </c>
      <c r="J606">
        <f>IF($K606="","",INDEX(Model!$D$2:$D$636,MATCH($K606,Model!$R$2:$R$636,0)))</f>
        <v/>
      </c>
      <c r="K606">
        <f>IF(570&lt;=$E$5,LARGE(Model!$R$2:$R$636,570),"")</f>
        <v/>
      </c>
    </row>
    <row r="607">
      <c r="A607">
        <f>IF($K607="","",INDEX(Raw_data!$D$2:$D$636,MATCH($K607,Model!$R$2:$R$636,0)))</f>
        <v/>
      </c>
      <c r="B607" s="11">
        <f>IF($K607="","",INDEX(Raw_data!$F$2:$F$636,MATCH($K607,Model!$R$2:$R$636,0)))</f>
        <v/>
      </c>
      <c r="C607">
        <f>IF($K607="","",HYPERLINK(INDEX(Raw_data!$C$2:$C$636,MATCH($K607,Model!$R$2:$R$636,0)),INDEX(Raw_data!$C$2:$C$636,MATCH($K607,Model!$R$2:$R$636,0))))</f>
        <v/>
      </c>
      <c r="D607">
        <f>IF($K607="","",INDEX(Raw_data!$AL$2:$AL$636,MATCH($K607,Model!$R$2:$R$636,0)))</f>
        <v/>
      </c>
      <c r="E607">
        <f>IF($K607="","",INDEX(Raw_data!$AM$2:$AM$636,MATCH($K607,Model!$R$2:$R$636,0)))</f>
        <v/>
      </c>
      <c r="F607">
        <f>IF($K607="","",INDEX(Raw_data!$AQ$2:$AQ$636,MATCH($K607,Model!$R$2:$R$636,0)))</f>
        <v/>
      </c>
      <c r="G607">
        <f>IF($K607="","",INDEX(Raw_data!$H$2:$H$636,MATCH($K607,Model!$R$2:$R$636,0)))</f>
        <v/>
      </c>
      <c r="H607" s="8">
        <f>IF($K607="","",INDEX(Model!$B$2:$B$636,MATCH($K607,Model!$R$2:$R$636,0)))</f>
        <v/>
      </c>
      <c r="I607" s="8">
        <f>IF($K607="","",INDEX(Model!$C$2:$C$636,MATCH($K607,Model!$R$2:$R$636,0)))</f>
        <v/>
      </c>
      <c r="J607">
        <f>IF($K607="","",INDEX(Model!$D$2:$D$636,MATCH($K607,Model!$R$2:$R$636,0)))</f>
        <v/>
      </c>
      <c r="K607">
        <f>IF(571&lt;=$E$5,LARGE(Model!$R$2:$R$636,571),"")</f>
        <v/>
      </c>
    </row>
    <row r="608">
      <c r="A608">
        <f>IF($K608="","",INDEX(Raw_data!$D$2:$D$636,MATCH($K608,Model!$R$2:$R$636,0)))</f>
        <v/>
      </c>
      <c r="B608" s="11">
        <f>IF($K608="","",INDEX(Raw_data!$F$2:$F$636,MATCH($K608,Model!$R$2:$R$636,0)))</f>
        <v/>
      </c>
      <c r="C608">
        <f>IF($K608="","",HYPERLINK(INDEX(Raw_data!$C$2:$C$636,MATCH($K608,Model!$R$2:$R$636,0)),INDEX(Raw_data!$C$2:$C$636,MATCH($K608,Model!$R$2:$R$636,0))))</f>
        <v/>
      </c>
      <c r="D608">
        <f>IF($K608="","",INDEX(Raw_data!$AL$2:$AL$636,MATCH($K608,Model!$R$2:$R$636,0)))</f>
        <v/>
      </c>
      <c r="E608">
        <f>IF($K608="","",INDEX(Raw_data!$AM$2:$AM$636,MATCH($K608,Model!$R$2:$R$636,0)))</f>
        <v/>
      </c>
      <c r="F608">
        <f>IF($K608="","",INDEX(Raw_data!$AQ$2:$AQ$636,MATCH($K608,Model!$R$2:$R$636,0)))</f>
        <v/>
      </c>
      <c r="G608">
        <f>IF($K608="","",INDEX(Raw_data!$H$2:$H$636,MATCH($K608,Model!$R$2:$R$636,0)))</f>
        <v/>
      </c>
      <c r="H608" s="8">
        <f>IF($K608="","",INDEX(Model!$B$2:$B$636,MATCH($K608,Model!$R$2:$R$636,0)))</f>
        <v/>
      </c>
      <c r="I608" s="8">
        <f>IF($K608="","",INDEX(Model!$C$2:$C$636,MATCH($K608,Model!$R$2:$R$636,0)))</f>
        <v/>
      </c>
      <c r="J608">
        <f>IF($K608="","",INDEX(Model!$D$2:$D$636,MATCH($K608,Model!$R$2:$R$636,0)))</f>
        <v/>
      </c>
      <c r="K608">
        <f>IF(572&lt;=$E$5,LARGE(Model!$R$2:$R$636,572),"")</f>
        <v/>
      </c>
    </row>
    <row r="609">
      <c r="A609">
        <f>IF($K609="","",INDEX(Raw_data!$D$2:$D$636,MATCH($K609,Model!$R$2:$R$636,0)))</f>
        <v/>
      </c>
      <c r="B609" s="11">
        <f>IF($K609="","",INDEX(Raw_data!$F$2:$F$636,MATCH($K609,Model!$R$2:$R$636,0)))</f>
        <v/>
      </c>
      <c r="C609">
        <f>IF($K609="","",HYPERLINK(INDEX(Raw_data!$C$2:$C$636,MATCH($K609,Model!$R$2:$R$636,0)),INDEX(Raw_data!$C$2:$C$636,MATCH($K609,Model!$R$2:$R$636,0))))</f>
        <v/>
      </c>
      <c r="D609">
        <f>IF($K609="","",INDEX(Raw_data!$AL$2:$AL$636,MATCH($K609,Model!$R$2:$R$636,0)))</f>
        <v/>
      </c>
      <c r="E609">
        <f>IF($K609="","",INDEX(Raw_data!$AM$2:$AM$636,MATCH($K609,Model!$R$2:$R$636,0)))</f>
        <v/>
      </c>
      <c r="F609">
        <f>IF($K609="","",INDEX(Raw_data!$AQ$2:$AQ$636,MATCH($K609,Model!$R$2:$R$636,0)))</f>
        <v/>
      </c>
      <c r="G609">
        <f>IF($K609="","",INDEX(Raw_data!$H$2:$H$636,MATCH($K609,Model!$R$2:$R$636,0)))</f>
        <v/>
      </c>
      <c r="H609" s="8">
        <f>IF($K609="","",INDEX(Model!$B$2:$B$636,MATCH($K609,Model!$R$2:$R$636,0)))</f>
        <v/>
      </c>
      <c r="I609" s="8">
        <f>IF($K609="","",INDEX(Model!$C$2:$C$636,MATCH($K609,Model!$R$2:$R$636,0)))</f>
        <v/>
      </c>
      <c r="J609">
        <f>IF($K609="","",INDEX(Model!$D$2:$D$636,MATCH($K609,Model!$R$2:$R$636,0)))</f>
        <v/>
      </c>
      <c r="K609">
        <f>IF(573&lt;=$E$5,LARGE(Model!$R$2:$R$636,573),"")</f>
        <v/>
      </c>
    </row>
    <row r="610">
      <c r="A610">
        <f>IF($K610="","",INDEX(Raw_data!$D$2:$D$636,MATCH($K610,Model!$R$2:$R$636,0)))</f>
        <v/>
      </c>
      <c r="B610" s="11">
        <f>IF($K610="","",INDEX(Raw_data!$F$2:$F$636,MATCH($K610,Model!$R$2:$R$636,0)))</f>
        <v/>
      </c>
      <c r="C610">
        <f>IF($K610="","",HYPERLINK(INDEX(Raw_data!$C$2:$C$636,MATCH($K610,Model!$R$2:$R$636,0)),INDEX(Raw_data!$C$2:$C$636,MATCH($K610,Model!$R$2:$R$636,0))))</f>
        <v/>
      </c>
      <c r="D610">
        <f>IF($K610="","",INDEX(Raw_data!$AL$2:$AL$636,MATCH($K610,Model!$R$2:$R$636,0)))</f>
        <v/>
      </c>
      <c r="E610">
        <f>IF($K610="","",INDEX(Raw_data!$AM$2:$AM$636,MATCH($K610,Model!$R$2:$R$636,0)))</f>
        <v/>
      </c>
      <c r="F610">
        <f>IF($K610="","",INDEX(Raw_data!$AQ$2:$AQ$636,MATCH($K610,Model!$R$2:$R$636,0)))</f>
        <v/>
      </c>
      <c r="G610">
        <f>IF($K610="","",INDEX(Raw_data!$H$2:$H$636,MATCH($K610,Model!$R$2:$R$636,0)))</f>
        <v/>
      </c>
      <c r="H610" s="8">
        <f>IF($K610="","",INDEX(Model!$B$2:$B$636,MATCH($K610,Model!$R$2:$R$636,0)))</f>
        <v/>
      </c>
      <c r="I610" s="8">
        <f>IF($K610="","",INDEX(Model!$C$2:$C$636,MATCH($K610,Model!$R$2:$R$636,0)))</f>
        <v/>
      </c>
      <c r="J610">
        <f>IF($K610="","",INDEX(Model!$D$2:$D$636,MATCH($K610,Model!$R$2:$R$636,0)))</f>
        <v/>
      </c>
      <c r="K610">
        <f>IF(574&lt;=$E$5,LARGE(Model!$R$2:$R$636,574),"")</f>
        <v/>
      </c>
    </row>
    <row r="611">
      <c r="A611">
        <f>IF($K611="","",INDEX(Raw_data!$D$2:$D$636,MATCH($K611,Model!$R$2:$R$636,0)))</f>
        <v/>
      </c>
      <c r="B611" s="11">
        <f>IF($K611="","",INDEX(Raw_data!$F$2:$F$636,MATCH($K611,Model!$R$2:$R$636,0)))</f>
        <v/>
      </c>
      <c r="C611">
        <f>IF($K611="","",HYPERLINK(INDEX(Raw_data!$C$2:$C$636,MATCH($K611,Model!$R$2:$R$636,0)),INDEX(Raw_data!$C$2:$C$636,MATCH($K611,Model!$R$2:$R$636,0))))</f>
        <v/>
      </c>
      <c r="D611">
        <f>IF($K611="","",INDEX(Raw_data!$AL$2:$AL$636,MATCH($K611,Model!$R$2:$R$636,0)))</f>
        <v/>
      </c>
      <c r="E611">
        <f>IF($K611="","",INDEX(Raw_data!$AM$2:$AM$636,MATCH($K611,Model!$R$2:$R$636,0)))</f>
        <v/>
      </c>
      <c r="F611">
        <f>IF($K611="","",INDEX(Raw_data!$AQ$2:$AQ$636,MATCH($K611,Model!$R$2:$R$636,0)))</f>
        <v/>
      </c>
      <c r="G611">
        <f>IF($K611="","",INDEX(Raw_data!$H$2:$H$636,MATCH($K611,Model!$R$2:$R$636,0)))</f>
        <v/>
      </c>
      <c r="H611" s="8">
        <f>IF($K611="","",INDEX(Model!$B$2:$B$636,MATCH($K611,Model!$R$2:$R$636,0)))</f>
        <v/>
      </c>
      <c r="I611" s="8">
        <f>IF($K611="","",INDEX(Model!$C$2:$C$636,MATCH($K611,Model!$R$2:$R$636,0)))</f>
        <v/>
      </c>
      <c r="J611">
        <f>IF($K611="","",INDEX(Model!$D$2:$D$636,MATCH($K611,Model!$R$2:$R$636,0)))</f>
        <v/>
      </c>
      <c r="K611">
        <f>IF(575&lt;=$E$5,LARGE(Model!$R$2:$R$636,575),"")</f>
        <v/>
      </c>
    </row>
    <row r="612">
      <c r="A612">
        <f>IF($K612="","",INDEX(Raw_data!$D$2:$D$636,MATCH($K612,Model!$R$2:$R$636,0)))</f>
        <v/>
      </c>
      <c r="B612" s="11">
        <f>IF($K612="","",INDEX(Raw_data!$F$2:$F$636,MATCH($K612,Model!$R$2:$R$636,0)))</f>
        <v/>
      </c>
      <c r="C612">
        <f>IF($K612="","",HYPERLINK(INDEX(Raw_data!$C$2:$C$636,MATCH($K612,Model!$R$2:$R$636,0)),INDEX(Raw_data!$C$2:$C$636,MATCH($K612,Model!$R$2:$R$636,0))))</f>
        <v/>
      </c>
      <c r="D612">
        <f>IF($K612="","",INDEX(Raw_data!$AL$2:$AL$636,MATCH($K612,Model!$R$2:$R$636,0)))</f>
        <v/>
      </c>
      <c r="E612">
        <f>IF($K612="","",INDEX(Raw_data!$AM$2:$AM$636,MATCH($K612,Model!$R$2:$R$636,0)))</f>
        <v/>
      </c>
      <c r="F612">
        <f>IF($K612="","",INDEX(Raw_data!$AQ$2:$AQ$636,MATCH($K612,Model!$R$2:$R$636,0)))</f>
        <v/>
      </c>
      <c r="G612">
        <f>IF($K612="","",INDEX(Raw_data!$H$2:$H$636,MATCH($K612,Model!$R$2:$R$636,0)))</f>
        <v/>
      </c>
      <c r="H612" s="8">
        <f>IF($K612="","",INDEX(Model!$B$2:$B$636,MATCH($K612,Model!$R$2:$R$636,0)))</f>
        <v/>
      </c>
      <c r="I612" s="8">
        <f>IF($K612="","",INDEX(Model!$C$2:$C$636,MATCH($K612,Model!$R$2:$R$636,0)))</f>
        <v/>
      </c>
      <c r="J612">
        <f>IF($K612="","",INDEX(Model!$D$2:$D$636,MATCH($K612,Model!$R$2:$R$636,0)))</f>
        <v/>
      </c>
      <c r="K612">
        <f>IF(576&lt;=$E$5,LARGE(Model!$R$2:$R$636,576),"")</f>
        <v/>
      </c>
    </row>
    <row r="613">
      <c r="A613">
        <f>IF($K613="","",INDEX(Raw_data!$D$2:$D$636,MATCH($K613,Model!$R$2:$R$636,0)))</f>
        <v/>
      </c>
      <c r="B613" s="11">
        <f>IF($K613="","",INDEX(Raw_data!$F$2:$F$636,MATCH($K613,Model!$R$2:$R$636,0)))</f>
        <v/>
      </c>
      <c r="C613">
        <f>IF($K613="","",HYPERLINK(INDEX(Raw_data!$C$2:$C$636,MATCH($K613,Model!$R$2:$R$636,0)),INDEX(Raw_data!$C$2:$C$636,MATCH($K613,Model!$R$2:$R$636,0))))</f>
        <v/>
      </c>
      <c r="D613">
        <f>IF($K613="","",INDEX(Raw_data!$AL$2:$AL$636,MATCH($K613,Model!$R$2:$R$636,0)))</f>
        <v/>
      </c>
      <c r="E613">
        <f>IF($K613="","",INDEX(Raw_data!$AM$2:$AM$636,MATCH($K613,Model!$R$2:$R$636,0)))</f>
        <v/>
      </c>
      <c r="F613">
        <f>IF($K613="","",INDEX(Raw_data!$AQ$2:$AQ$636,MATCH($K613,Model!$R$2:$R$636,0)))</f>
        <v/>
      </c>
      <c r="G613">
        <f>IF($K613="","",INDEX(Raw_data!$H$2:$H$636,MATCH($K613,Model!$R$2:$R$636,0)))</f>
        <v/>
      </c>
      <c r="H613" s="8">
        <f>IF($K613="","",INDEX(Model!$B$2:$B$636,MATCH($K613,Model!$R$2:$R$636,0)))</f>
        <v/>
      </c>
      <c r="I613" s="8">
        <f>IF($K613="","",INDEX(Model!$C$2:$C$636,MATCH($K613,Model!$R$2:$R$636,0)))</f>
        <v/>
      </c>
      <c r="J613">
        <f>IF($K613="","",INDEX(Model!$D$2:$D$636,MATCH($K613,Model!$R$2:$R$636,0)))</f>
        <v/>
      </c>
      <c r="K613">
        <f>IF(577&lt;=$E$5,LARGE(Model!$R$2:$R$636,577),"")</f>
        <v/>
      </c>
    </row>
    <row r="614">
      <c r="A614">
        <f>IF($K614="","",INDEX(Raw_data!$D$2:$D$636,MATCH($K614,Model!$R$2:$R$636,0)))</f>
        <v/>
      </c>
      <c r="B614" s="11">
        <f>IF($K614="","",INDEX(Raw_data!$F$2:$F$636,MATCH($K614,Model!$R$2:$R$636,0)))</f>
        <v/>
      </c>
      <c r="C614">
        <f>IF($K614="","",HYPERLINK(INDEX(Raw_data!$C$2:$C$636,MATCH($K614,Model!$R$2:$R$636,0)),INDEX(Raw_data!$C$2:$C$636,MATCH($K614,Model!$R$2:$R$636,0))))</f>
        <v/>
      </c>
      <c r="D614">
        <f>IF($K614="","",INDEX(Raw_data!$AL$2:$AL$636,MATCH($K614,Model!$R$2:$R$636,0)))</f>
        <v/>
      </c>
      <c r="E614">
        <f>IF($K614="","",INDEX(Raw_data!$AM$2:$AM$636,MATCH($K614,Model!$R$2:$R$636,0)))</f>
        <v/>
      </c>
      <c r="F614">
        <f>IF($K614="","",INDEX(Raw_data!$AQ$2:$AQ$636,MATCH($K614,Model!$R$2:$R$636,0)))</f>
        <v/>
      </c>
      <c r="G614">
        <f>IF($K614="","",INDEX(Raw_data!$H$2:$H$636,MATCH($K614,Model!$R$2:$R$636,0)))</f>
        <v/>
      </c>
      <c r="H614" s="8">
        <f>IF($K614="","",INDEX(Model!$B$2:$B$636,MATCH($K614,Model!$R$2:$R$636,0)))</f>
        <v/>
      </c>
      <c r="I614" s="8">
        <f>IF($K614="","",INDEX(Model!$C$2:$C$636,MATCH($K614,Model!$R$2:$R$636,0)))</f>
        <v/>
      </c>
      <c r="J614">
        <f>IF($K614="","",INDEX(Model!$D$2:$D$636,MATCH($K614,Model!$R$2:$R$636,0)))</f>
        <v/>
      </c>
      <c r="K614">
        <f>IF(578&lt;=$E$5,LARGE(Model!$R$2:$R$636,578),"")</f>
        <v/>
      </c>
    </row>
    <row r="615">
      <c r="A615">
        <f>IF($K615="","",INDEX(Raw_data!$D$2:$D$636,MATCH($K615,Model!$R$2:$R$636,0)))</f>
        <v/>
      </c>
      <c r="B615" s="11">
        <f>IF($K615="","",INDEX(Raw_data!$F$2:$F$636,MATCH($K615,Model!$R$2:$R$636,0)))</f>
        <v/>
      </c>
      <c r="C615">
        <f>IF($K615="","",HYPERLINK(INDEX(Raw_data!$C$2:$C$636,MATCH($K615,Model!$R$2:$R$636,0)),INDEX(Raw_data!$C$2:$C$636,MATCH($K615,Model!$R$2:$R$636,0))))</f>
        <v/>
      </c>
      <c r="D615">
        <f>IF($K615="","",INDEX(Raw_data!$AL$2:$AL$636,MATCH($K615,Model!$R$2:$R$636,0)))</f>
        <v/>
      </c>
      <c r="E615">
        <f>IF($K615="","",INDEX(Raw_data!$AM$2:$AM$636,MATCH($K615,Model!$R$2:$R$636,0)))</f>
        <v/>
      </c>
      <c r="F615">
        <f>IF($K615="","",INDEX(Raw_data!$AQ$2:$AQ$636,MATCH($K615,Model!$R$2:$R$636,0)))</f>
        <v/>
      </c>
      <c r="G615">
        <f>IF($K615="","",INDEX(Raw_data!$H$2:$H$636,MATCH($K615,Model!$R$2:$R$636,0)))</f>
        <v/>
      </c>
      <c r="H615" s="8">
        <f>IF($K615="","",INDEX(Model!$B$2:$B$636,MATCH($K615,Model!$R$2:$R$636,0)))</f>
        <v/>
      </c>
      <c r="I615" s="8">
        <f>IF($K615="","",INDEX(Model!$C$2:$C$636,MATCH($K615,Model!$R$2:$R$636,0)))</f>
        <v/>
      </c>
      <c r="J615">
        <f>IF($K615="","",INDEX(Model!$D$2:$D$636,MATCH($K615,Model!$R$2:$R$636,0)))</f>
        <v/>
      </c>
      <c r="K615">
        <f>IF(579&lt;=$E$5,LARGE(Model!$R$2:$R$636,579),"")</f>
        <v/>
      </c>
    </row>
    <row r="616">
      <c r="A616">
        <f>IF($K616="","",INDEX(Raw_data!$D$2:$D$636,MATCH($K616,Model!$R$2:$R$636,0)))</f>
        <v/>
      </c>
      <c r="B616" s="11">
        <f>IF($K616="","",INDEX(Raw_data!$F$2:$F$636,MATCH($K616,Model!$R$2:$R$636,0)))</f>
        <v/>
      </c>
      <c r="C616">
        <f>IF($K616="","",HYPERLINK(INDEX(Raw_data!$C$2:$C$636,MATCH($K616,Model!$R$2:$R$636,0)),INDEX(Raw_data!$C$2:$C$636,MATCH($K616,Model!$R$2:$R$636,0))))</f>
        <v/>
      </c>
      <c r="D616">
        <f>IF($K616="","",INDEX(Raw_data!$AL$2:$AL$636,MATCH($K616,Model!$R$2:$R$636,0)))</f>
        <v/>
      </c>
      <c r="E616">
        <f>IF($K616="","",INDEX(Raw_data!$AM$2:$AM$636,MATCH($K616,Model!$R$2:$R$636,0)))</f>
        <v/>
      </c>
      <c r="F616">
        <f>IF($K616="","",INDEX(Raw_data!$AQ$2:$AQ$636,MATCH($K616,Model!$R$2:$R$636,0)))</f>
        <v/>
      </c>
      <c r="G616">
        <f>IF($K616="","",INDEX(Raw_data!$H$2:$H$636,MATCH($K616,Model!$R$2:$R$636,0)))</f>
        <v/>
      </c>
      <c r="H616" s="8">
        <f>IF($K616="","",INDEX(Model!$B$2:$B$636,MATCH($K616,Model!$R$2:$R$636,0)))</f>
        <v/>
      </c>
      <c r="I616" s="8">
        <f>IF($K616="","",INDEX(Model!$C$2:$C$636,MATCH($K616,Model!$R$2:$R$636,0)))</f>
        <v/>
      </c>
      <c r="J616">
        <f>IF($K616="","",INDEX(Model!$D$2:$D$636,MATCH($K616,Model!$R$2:$R$636,0)))</f>
        <v/>
      </c>
      <c r="K616">
        <f>IF(580&lt;=$E$5,LARGE(Model!$R$2:$R$636,580),"")</f>
        <v/>
      </c>
    </row>
    <row r="617">
      <c r="A617">
        <f>IF($K617="","",INDEX(Raw_data!$D$2:$D$636,MATCH($K617,Model!$R$2:$R$636,0)))</f>
        <v/>
      </c>
      <c r="B617" s="11">
        <f>IF($K617="","",INDEX(Raw_data!$F$2:$F$636,MATCH($K617,Model!$R$2:$R$636,0)))</f>
        <v/>
      </c>
      <c r="C617">
        <f>IF($K617="","",HYPERLINK(INDEX(Raw_data!$C$2:$C$636,MATCH($K617,Model!$R$2:$R$636,0)),INDEX(Raw_data!$C$2:$C$636,MATCH($K617,Model!$R$2:$R$636,0))))</f>
        <v/>
      </c>
      <c r="D617">
        <f>IF($K617="","",INDEX(Raw_data!$AL$2:$AL$636,MATCH($K617,Model!$R$2:$R$636,0)))</f>
        <v/>
      </c>
      <c r="E617">
        <f>IF($K617="","",INDEX(Raw_data!$AM$2:$AM$636,MATCH($K617,Model!$R$2:$R$636,0)))</f>
        <v/>
      </c>
      <c r="F617">
        <f>IF($K617="","",INDEX(Raw_data!$AQ$2:$AQ$636,MATCH($K617,Model!$R$2:$R$636,0)))</f>
        <v/>
      </c>
      <c r="G617">
        <f>IF($K617="","",INDEX(Raw_data!$H$2:$H$636,MATCH($K617,Model!$R$2:$R$636,0)))</f>
        <v/>
      </c>
      <c r="H617" s="8">
        <f>IF($K617="","",INDEX(Model!$B$2:$B$636,MATCH($K617,Model!$R$2:$R$636,0)))</f>
        <v/>
      </c>
      <c r="I617" s="8">
        <f>IF($K617="","",INDEX(Model!$C$2:$C$636,MATCH($K617,Model!$R$2:$R$636,0)))</f>
        <v/>
      </c>
      <c r="J617">
        <f>IF($K617="","",INDEX(Model!$D$2:$D$636,MATCH($K617,Model!$R$2:$R$636,0)))</f>
        <v/>
      </c>
      <c r="K617">
        <f>IF(581&lt;=$E$5,LARGE(Model!$R$2:$R$636,581),"")</f>
        <v/>
      </c>
    </row>
    <row r="618">
      <c r="A618">
        <f>IF($K618="","",INDEX(Raw_data!$D$2:$D$636,MATCH($K618,Model!$R$2:$R$636,0)))</f>
        <v/>
      </c>
      <c r="B618" s="11">
        <f>IF($K618="","",INDEX(Raw_data!$F$2:$F$636,MATCH($K618,Model!$R$2:$R$636,0)))</f>
        <v/>
      </c>
      <c r="C618">
        <f>IF($K618="","",HYPERLINK(INDEX(Raw_data!$C$2:$C$636,MATCH($K618,Model!$R$2:$R$636,0)),INDEX(Raw_data!$C$2:$C$636,MATCH($K618,Model!$R$2:$R$636,0))))</f>
        <v/>
      </c>
      <c r="D618">
        <f>IF($K618="","",INDEX(Raw_data!$AL$2:$AL$636,MATCH($K618,Model!$R$2:$R$636,0)))</f>
        <v/>
      </c>
      <c r="E618">
        <f>IF($K618="","",INDEX(Raw_data!$AM$2:$AM$636,MATCH($K618,Model!$R$2:$R$636,0)))</f>
        <v/>
      </c>
      <c r="F618">
        <f>IF($K618="","",INDEX(Raw_data!$AQ$2:$AQ$636,MATCH($K618,Model!$R$2:$R$636,0)))</f>
        <v/>
      </c>
      <c r="G618">
        <f>IF($K618="","",INDEX(Raw_data!$H$2:$H$636,MATCH($K618,Model!$R$2:$R$636,0)))</f>
        <v/>
      </c>
      <c r="H618" s="8">
        <f>IF($K618="","",INDEX(Model!$B$2:$B$636,MATCH($K618,Model!$R$2:$R$636,0)))</f>
        <v/>
      </c>
      <c r="I618" s="8">
        <f>IF($K618="","",INDEX(Model!$C$2:$C$636,MATCH($K618,Model!$R$2:$R$636,0)))</f>
        <v/>
      </c>
      <c r="J618">
        <f>IF($K618="","",INDEX(Model!$D$2:$D$636,MATCH($K618,Model!$R$2:$R$636,0)))</f>
        <v/>
      </c>
      <c r="K618">
        <f>IF(582&lt;=$E$5,LARGE(Model!$R$2:$R$636,582),"")</f>
        <v/>
      </c>
    </row>
    <row r="619">
      <c r="A619">
        <f>IF($K619="","",INDEX(Raw_data!$D$2:$D$636,MATCH($K619,Model!$R$2:$R$636,0)))</f>
        <v/>
      </c>
      <c r="B619" s="11">
        <f>IF($K619="","",INDEX(Raw_data!$F$2:$F$636,MATCH($K619,Model!$R$2:$R$636,0)))</f>
        <v/>
      </c>
      <c r="C619">
        <f>IF($K619="","",HYPERLINK(INDEX(Raw_data!$C$2:$C$636,MATCH($K619,Model!$R$2:$R$636,0)),INDEX(Raw_data!$C$2:$C$636,MATCH($K619,Model!$R$2:$R$636,0))))</f>
        <v/>
      </c>
      <c r="D619">
        <f>IF($K619="","",INDEX(Raw_data!$AL$2:$AL$636,MATCH($K619,Model!$R$2:$R$636,0)))</f>
        <v/>
      </c>
      <c r="E619">
        <f>IF($K619="","",INDEX(Raw_data!$AM$2:$AM$636,MATCH($K619,Model!$R$2:$R$636,0)))</f>
        <v/>
      </c>
      <c r="F619">
        <f>IF($K619="","",INDEX(Raw_data!$AQ$2:$AQ$636,MATCH($K619,Model!$R$2:$R$636,0)))</f>
        <v/>
      </c>
      <c r="G619">
        <f>IF($K619="","",INDEX(Raw_data!$H$2:$H$636,MATCH($K619,Model!$R$2:$R$636,0)))</f>
        <v/>
      </c>
      <c r="H619" s="8">
        <f>IF($K619="","",INDEX(Model!$B$2:$B$636,MATCH($K619,Model!$R$2:$R$636,0)))</f>
        <v/>
      </c>
      <c r="I619" s="8">
        <f>IF($K619="","",INDEX(Model!$C$2:$C$636,MATCH($K619,Model!$R$2:$R$636,0)))</f>
        <v/>
      </c>
      <c r="J619">
        <f>IF($K619="","",INDEX(Model!$D$2:$D$636,MATCH($K619,Model!$R$2:$R$636,0)))</f>
        <v/>
      </c>
      <c r="K619">
        <f>IF(583&lt;=$E$5,LARGE(Model!$R$2:$R$636,583),"")</f>
        <v/>
      </c>
    </row>
    <row r="620">
      <c r="A620">
        <f>IF($K620="","",INDEX(Raw_data!$D$2:$D$636,MATCH($K620,Model!$R$2:$R$636,0)))</f>
        <v/>
      </c>
      <c r="B620" s="11">
        <f>IF($K620="","",INDEX(Raw_data!$F$2:$F$636,MATCH($K620,Model!$R$2:$R$636,0)))</f>
        <v/>
      </c>
      <c r="C620">
        <f>IF($K620="","",HYPERLINK(INDEX(Raw_data!$C$2:$C$636,MATCH($K620,Model!$R$2:$R$636,0)),INDEX(Raw_data!$C$2:$C$636,MATCH($K620,Model!$R$2:$R$636,0))))</f>
        <v/>
      </c>
      <c r="D620">
        <f>IF($K620="","",INDEX(Raw_data!$AL$2:$AL$636,MATCH($K620,Model!$R$2:$R$636,0)))</f>
        <v/>
      </c>
      <c r="E620">
        <f>IF($K620="","",INDEX(Raw_data!$AM$2:$AM$636,MATCH($K620,Model!$R$2:$R$636,0)))</f>
        <v/>
      </c>
      <c r="F620">
        <f>IF($K620="","",INDEX(Raw_data!$AQ$2:$AQ$636,MATCH($K620,Model!$R$2:$R$636,0)))</f>
        <v/>
      </c>
      <c r="G620">
        <f>IF($K620="","",INDEX(Raw_data!$H$2:$H$636,MATCH($K620,Model!$R$2:$R$636,0)))</f>
        <v/>
      </c>
      <c r="H620" s="8">
        <f>IF($K620="","",INDEX(Model!$B$2:$B$636,MATCH($K620,Model!$R$2:$R$636,0)))</f>
        <v/>
      </c>
      <c r="I620" s="8">
        <f>IF($K620="","",INDEX(Model!$C$2:$C$636,MATCH($K620,Model!$R$2:$R$636,0)))</f>
        <v/>
      </c>
      <c r="J620">
        <f>IF($K620="","",INDEX(Model!$D$2:$D$636,MATCH($K620,Model!$R$2:$R$636,0)))</f>
        <v/>
      </c>
      <c r="K620">
        <f>IF(584&lt;=$E$5,LARGE(Model!$R$2:$R$636,584),"")</f>
        <v/>
      </c>
    </row>
    <row r="621">
      <c r="A621">
        <f>IF($K621="","",INDEX(Raw_data!$D$2:$D$636,MATCH($K621,Model!$R$2:$R$636,0)))</f>
        <v/>
      </c>
      <c r="B621" s="11">
        <f>IF($K621="","",INDEX(Raw_data!$F$2:$F$636,MATCH($K621,Model!$R$2:$R$636,0)))</f>
        <v/>
      </c>
      <c r="C621">
        <f>IF($K621="","",HYPERLINK(INDEX(Raw_data!$C$2:$C$636,MATCH($K621,Model!$R$2:$R$636,0)),INDEX(Raw_data!$C$2:$C$636,MATCH($K621,Model!$R$2:$R$636,0))))</f>
        <v/>
      </c>
      <c r="D621">
        <f>IF($K621="","",INDEX(Raw_data!$AL$2:$AL$636,MATCH($K621,Model!$R$2:$R$636,0)))</f>
        <v/>
      </c>
      <c r="E621">
        <f>IF($K621="","",INDEX(Raw_data!$AM$2:$AM$636,MATCH($K621,Model!$R$2:$R$636,0)))</f>
        <v/>
      </c>
      <c r="F621">
        <f>IF($K621="","",INDEX(Raw_data!$AQ$2:$AQ$636,MATCH($K621,Model!$R$2:$R$636,0)))</f>
        <v/>
      </c>
      <c r="G621">
        <f>IF($K621="","",INDEX(Raw_data!$H$2:$H$636,MATCH($K621,Model!$R$2:$R$636,0)))</f>
        <v/>
      </c>
      <c r="H621" s="8">
        <f>IF($K621="","",INDEX(Model!$B$2:$B$636,MATCH($K621,Model!$R$2:$R$636,0)))</f>
        <v/>
      </c>
      <c r="I621" s="8">
        <f>IF($K621="","",INDEX(Model!$C$2:$C$636,MATCH($K621,Model!$R$2:$R$636,0)))</f>
        <v/>
      </c>
      <c r="J621">
        <f>IF($K621="","",INDEX(Model!$D$2:$D$636,MATCH($K621,Model!$R$2:$R$636,0)))</f>
        <v/>
      </c>
      <c r="K621">
        <f>IF(585&lt;=$E$5,LARGE(Model!$R$2:$R$636,585),"")</f>
        <v/>
      </c>
    </row>
    <row r="622">
      <c r="A622">
        <f>IF($K622="","",INDEX(Raw_data!$D$2:$D$636,MATCH($K622,Model!$R$2:$R$636,0)))</f>
        <v/>
      </c>
      <c r="B622" s="11">
        <f>IF($K622="","",INDEX(Raw_data!$F$2:$F$636,MATCH($K622,Model!$R$2:$R$636,0)))</f>
        <v/>
      </c>
      <c r="C622">
        <f>IF($K622="","",HYPERLINK(INDEX(Raw_data!$C$2:$C$636,MATCH($K622,Model!$R$2:$R$636,0)),INDEX(Raw_data!$C$2:$C$636,MATCH($K622,Model!$R$2:$R$636,0))))</f>
        <v/>
      </c>
      <c r="D622">
        <f>IF($K622="","",INDEX(Raw_data!$AL$2:$AL$636,MATCH($K622,Model!$R$2:$R$636,0)))</f>
        <v/>
      </c>
      <c r="E622">
        <f>IF($K622="","",INDEX(Raw_data!$AM$2:$AM$636,MATCH($K622,Model!$R$2:$R$636,0)))</f>
        <v/>
      </c>
      <c r="F622">
        <f>IF($K622="","",INDEX(Raw_data!$AQ$2:$AQ$636,MATCH($K622,Model!$R$2:$R$636,0)))</f>
        <v/>
      </c>
      <c r="G622">
        <f>IF($K622="","",INDEX(Raw_data!$H$2:$H$636,MATCH($K622,Model!$R$2:$R$636,0)))</f>
        <v/>
      </c>
      <c r="H622" s="8">
        <f>IF($K622="","",INDEX(Model!$B$2:$B$636,MATCH($K622,Model!$R$2:$R$636,0)))</f>
        <v/>
      </c>
      <c r="I622" s="8">
        <f>IF($K622="","",INDEX(Model!$C$2:$C$636,MATCH($K622,Model!$R$2:$R$636,0)))</f>
        <v/>
      </c>
      <c r="J622">
        <f>IF($K622="","",INDEX(Model!$D$2:$D$636,MATCH($K622,Model!$R$2:$R$636,0)))</f>
        <v/>
      </c>
      <c r="K622">
        <f>IF(586&lt;=$E$5,LARGE(Model!$R$2:$R$636,586),"")</f>
        <v/>
      </c>
    </row>
    <row r="623">
      <c r="A623">
        <f>IF($K623="","",INDEX(Raw_data!$D$2:$D$636,MATCH($K623,Model!$R$2:$R$636,0)))</f>
        <v/>
      </c>
      <c r="B623" s="11">
        <f>IF($K623="","",INDEX(Raw_data!$F$2:$F$636,MATCH($K623,Model!$R$2:$R$636,0)))</f>
        <v/>
      </c>
      <c r="C623">
        <f>IF($K623="","",HYPERLINK(INDEX(Raw_data!$C$2:$C$636,MATCH($K623,Model!$R$2:$R$636,0)),INDEX(Raw_data!$C$2:$C$636,MATCH($K623,Model!$R$2:$R$636,0))))</f>
        <v/>
      </c>
      <c r="D623">
        <f>IF($K623="","",INDEX(Raw_data!$AL$2:$AL$636,MATCH($K623,Model!$R$2:$R$636,0)))</f>
        <v/>
      </c>
      <c r="E623">
        <f>IF($K623="","",INDEX(Raw_data!$AM$2:$AM$636,MATCH($K623,Model!$R$2:$R$636,0)))</f>
        <v/>
      </c>
      <c r="F623">
        <f>IF($K623="","",INDEX(Raw_data!$AQ$2:$AQ$636,MATCH($K623,Model!$R$2:$R$636,0)))</f>
        <v/>
      </c>
      <c r="G623">
        <f>IF($K623="","",INDEX(Raw_data!$H$2:$H$636,MATCH($K623,Model!$R$2:$R$636,0)))</f>
        <v/>
      </c>
      <c r="H623" s="8">
        <f>IF($K623="","",INDEX(Model!$B$2:$B$636,MATCH($K623,Model!$R$2:$R$636,0)))</f>
        <v/>
      </c>
      <c r="I623" s="8">
        <f>IF($K623="","",INDEX(Model!$C$2:$C$636,MATCH($K623,Model!$R$2:$R$636,0)))</f>
        <v/>
      </c>
      <c r="J623">
        <f>IF($K623="","",INDEX(Model!$D$2:$D$636,MATCH($K623,Model!$R$2:$R$636,0)))</f>
        <v/>
      </c>
      <c r="K623">
        <f>IF(587&lt;=$E$5,LARGE(Model!$R$2:$R$636,587),"")</f>
        <v/>
      </c>
    </row>
    <row r="624">
      <c r="A624">
        <f>IF($K624="","",INDEX(Raw_data!$D$2:$D$636,MATCH($K624,Model!$R$2:$R$636,0)))</f>
        <v/>
      </c>
      <c r="B624" s="11">
        <f>IF($K624="","",INDEX(Raw_data!$F$2:$F$636,MATCH($K624,Model!$R$2:$R$636,0)))</f>
        <v/>
      </c>
      <c r="C624">
        <f>IF($K624="","",HYPERLINK(INDEX(Raw_data!$C$2:$C$636,MATCH($K624,Model!$R$2:$R$636,0)),INDEX(Raw_data!$C$2:$C$636,MATCH($K624,Model!$R$2:$R$636,0))))</f>
        <v/>
      </c>
      <c r="D624">
        <f>IF($K624="","",INDEX(Raw_data!$AL$2:$AL$636,MATCH($K624,Model!$R$2:$R$636,0)))</f>
        <v/>
      </c>
      <c r="E624">
        <f>IF($K624="","",INDEX(Raw_data!$AM$2:$AM$636,MATCH($K624,Model!$R$2:$R$636,0)))</f>
        <v/>
      </c>
      <c r="F624">
        <f>IF($K624="","",INDEX(Raw_data!$AQ$2:$AQ$636,MATCH($K624,Model!$R$2:$R$636,0)))</f>
        <v/>
      </c>
      <c r="G624">
        <f>IF($K624="","",INDEX(Raw_data!$H$2:$H$636,MATCH($K624,Model!$R$2:$R$636,0)))</f>
        <v/>
      </c>
      <c r="H624" s="8">
        <f>IF($K624="","",INDEX(Model!$B$2:$B$636,MATCH($K624,Model!$R$2:$R$636,0)))</f>
        <v/>
      </c>
      <c r="I624" s="8">
        <f>IF($K624="","",INDEX(Model!$C$2:$C$636,MATCH($K624,Model!$R$2:$R$636,0)))</f>
        <v/>
      </c>
      <c r="J624">
        <f>IF($K624="","",INDEX(Model!$D$2:$D$636,MATCH($K624,Model!$R$2:$R$636,0)))</f>
        <v/>
      </c>
      <c r="K624">
        <f>IF(588&lt;=$E$5,LARGE(Model!$R$2:$R$636,588),"")</f>
        <v/>
      </c>
    </row>
    <row r="625">
      <c r="A625">
        <f>IF($K625="","",INDEX(Raw_data!$D$2:$D$636,MATCH($K625,Model!$R$2:$R$636,0)))</f>
        <v/>
      </c>
      <c r="B625" s="11">
        <f>IF($K625="","",INDEX(Raw_data!$F$2:$F$636,MATCH($K625,Model!$R$2:$R$636,0)))</f>
        <v/>
      </c>
      <c r="C625">
        <f>IF($K625="","",HYPERLINK(INDEX(Raw_data!$C$2:$C$636,MATCH($K625,Model!$R$2:$R$636,0)),INDEX(Raw_data!$C$2:$C$636,MATCH($K625,Model!$R$2:$R$636,0))))</f>
        <v/>
      </c>
      <c r="D625">
        <f>IF($K625="","",INDEX(Raw_data!$AL$2:$AL$636,MATCH($K625,Model!$R$2:$R$636,0)))</f>
        <v/>
      </c>
      <c r="E625">
        <f>IF($K625="","",INDEX(Raw_data!$AM$2:$AM$636,MATCH($K625,Model!$R$2:$R$636,0)))</f>
        <v/>
      </c>
      <c r="F625">
        <f>IF($K625="","",INDEX(Raw_data!$AQ$2:$AQ$636,MATCH($K625,Model!$R$2:$R$636,0)))</f>
        <v/>
      </c>
      <c r="G625">
        <f>IF($K625="","",INDEX(Raw_data!$H$2:$H$636,MATCH($K625,Model!$R$2:$R$636,0)))</f>
        <v/>
      </c>
      <c r="H625" s="8">
        <f>IF($K625="","",INDEX(Model!$B$2:$B$636,MATCH($K625,Model!$R$2:$R$636,0)))</f>
        <v/>
      </c>
      <c r="I625" s="8">
        <f>IF($K625="","",INDEX(Model!$C$2:$C$636,MATCH($K625,Model!$R$2:$R$636,0)))</f>
        <v/>
      </c>
      <c r="J625">
        <f>IF($K625="","",INDEX(Model!$D$2:$D$636,MATCH($K625,Model!$R$2:$R$636,0)))</f>
        <v/>
      </c>
      <c r="K625">
        <f>IF(589&lt;=$E$5,LARGE(Model!$R$2:$R$636,589),"")</f>
        <v/>
      </c>
    </row>
    <row r="626">
      <c r="A626">
        <f>IF($K626="","",INDEX(Raw_data!$D$2:$D$636,MATCH($K626,Model!$R$2:$R$636,0)))</f>
        <v/>
      </c>
      <c r="B626" s="11">
        <f>IF($K626="","",INDEX(Raw_data!$F$2:$F$636,MATCH($K626,Model!$R$2:$R$636,0)))</f>
        <v/>
      </c>
      <c r="C626">
        <f>IF($K626="","",HYPERLINK(INDEX(Raw_data!$C$2:$C$636,MATCH($K626,Model!$R$2:$R$636,0)),INDEX(Raw_data!$C$2:$C$636,MATCH($K626,Model!$R$2:$R$636,0))))</f>
        <v/>
      </c>
      <c r="D626">
        <f>IF($K626="","",INDEX(Raw_data!$AL$2:$AL$636,MATCH($K626,Model!$R$2:$R$636,0)))</f>
        <v/>
      </c>
      <c r="E626">
        <f>IF($K626="","",INDEX(Raw_data!$AM$2:$AM$636,MATCH($K626,Model!$R$2:$R$636,0)))</f>
        <v/>
      </c>
      <c r="F626">
        <f>IF($K626="","",INDEX(Raw_data!$AQ$2:$AQ$636,MATCH($K626,Model!$R$2:$R$636,0)))</f>
        <v/>
      </c>
      <c r="G626">
        <f>IF($K626="","",INDEX(Raw_data!$H$2:$H$636,MATCH($K626,Model!$R$2:$R$636,0)))</f>
        <v/>
      </c>
      <c r="H626" s="8">
        <f>IF($K626="","",INDEX(Model!$B$2:$B$636,MATCH($K626,Model!$R$2:$R$636,0)))</f>
        <v/>
      </c>
      <c r="I626" s="8">
        <f>IF($K626="","",INDEX(Model!$C$2:$C$636,MATCH($K626,Model!$R$2:$R$636,0)))</f>
        <v/>
      </c>
      <c r="J626">
        <f>IF($K626="","",INDEX(Model!$D$2:$D$636,MATCH($K626,Model!$R$2:$R$636,0)))</f>
        <v/>
      </c>
      <c r="K626">
        <f>IF(590&lt;=$E$5,LARGE(Model!$R$2:$R$636,590),"")</f>
        <v/>
      </c>
    </row>
    <row r="627">
      <c r="A627">
        <f>IF($K627="","",INDEX(Raw_data!$D$2:$D$636,MATCH($K627,Model!$R$2:$R$636,0)))</f>
        <v/>
      </c>
      <c r="B627" s="11">
        <f>IF($K627="","",INDEX(Raw_data!$F$2:$F$636,MATCH($K627,Model!$R$2:$R$636,0)))</f>
        <v/>
      </c>
      <c r="C627">
        <f>IF($K627="","",HYPERLINK(INDEX(Raw_data!$C$2:$C$636,MATCH($K627,Model!$R$2:$R$636,0)),INDEX(Raw_data!$C$2:$C$636,MATCH($K627,Model!$R$2:$R$636,0))))</f>
        <v/>
      </c>
      <c r="D627">
        <f>IF($K627="","",INDEX(Raw_data!$AL$2:$AL$636,MATCH($K627,Model!$R$2:$R$636,0)))</f>
        <v/>
      </c>
      <c r="E627">
        <f>IF($K627="","",INDEX(Raw_data!$AM$2:$AM$636,MATCH($K627,Model!$R$2:$R$636,0)))</f>
        <v/>
      </c>
      <c r="F627">
        <f>IF($K627="","",INDEX(Raw_data!$AQ$2:$AQ$636,MATCH($K627,Model!$R$2:$R$636,0)))</f>
        <v/>
      </c>
      <c r="G627">
        <f>IF($K627="","",INDEX(Raw_data!$H$2:$H$636,MATCH($K627,Model!$R$2:$R$636,0)))</f>
        <v/>
      </c>
      <c r="H627" s="8">
        <f>IF($K627="","",INDEX(Model!$B$2:$B$636,MATCH($K627,Model!$R$2:$R$636,0)))</f>
        <v/>
      </c>
      <c r="I627" s="8">
        <f>IF($K627="","",INDEX(Model!$C$2:$C$636,MATCH($K627,Model!$R$2:$R$636,0)))</f>
        <v/>
      </c>
      <c r="J627">
        <f>IF($K627="","",INDEX(Model!$D$2:$D$636,MATCH($K627,Model!$R$2:$R$636,0)))</f>
        <v/>
      </c>
      <c r="K627">
        <f>IF(591&lt;=$E$5,LARGE(Model!$R$2:$R$636,591),"")</f>
        <v/>
      </c>
    </row>
    <row r="628">
      <c r="A628">
        <f>IF($K628="","",INDEX(Raw_data!$D$2:$D$636,MATCH($K628,Model!$R$2:$R$636,0)))</f>
        <v/>
      </c>
      <c r="B628" s="11">
        <f>IF($K628="","",INDEX(Raw_data!$F$2:$F$636,MATCH($K628,Model!$R$2:$R$636,0)))</f>
        <v/>
      </c>
      <c r="C628">
        <f>IF($K628="","",HYPERLINK(INDEX(Raw_data!$C$2:$C$636,MATCH($K628,Model!$R$2:$R$636,0)),INDEX(Raw_data!$C$2:$C$636,MATCH($K628,Model!$R$2:$R$636,0))))</f>
        <v/>
      </c>
      <c r="D628">
        <f>IF($K628="","",INDEX(Raw_data!$AL$2:$AL$636,MATCH($K628,Model!$R$2:$R$636,0)))</f>
        <v/>
      </c>
      <c r="E628">
        <f>IF($K628="","",INDEX(Raw_data!$AM$2:$AM$636,MATCH($K628,Model!$R$2:$R$636,0)))</f>
        <v/>
      </c>
      <c r="F628">
        <f>IF($K628="","",INDEX(Raw_data!$AQ$2:$AQ$636,MATCH($K628,Model!$R$2:$R$636,0)))</f>
        <v/>
      </c>
      <c r="G628">
        <f>IF($K628="","",INDEX(Raw_data!$H$2:$H$636,MATCH($K628,Model!$R$2:$R$636,0)))</f>
        <v/>
      </c>
      <c r="H628" s="8">
        <f>IF($K628="","",INDEX(Model!$B$2:$B$636,MATCH($K628,Model!$R$2:$R$636,0)))</f>
        <v/>
      </c>
      <c r="I628" s="8">
        <f>IF($K628="","",INDEX(Model!$C$2:$C$636,MATCH($K628,Model!$R$2:$R$636,0)))</f>
        <v/>
      </c>
      <c r="J628">
        <f>IF($K628="","",INDEX(Model!$D$2:$D$636,MATCH($K628,Model!$R$2:$R$636,0)))</f>
        <v/>
      </c>
      <c r="K628">
        <f>IF(592&lt;=$E$5,LARGE(Model!$R$2:$R$636,592),"")</f>
        <v/>
      </c>
    </row>
    <row r="629">
      <c r="A629">
        <f>IF($K629="","",INDEX(Raw_data!$D$2:$D$636,MATCH($K629,Model!$R$2:$R$636,0)))</f>
        <v/>
      </c>
      <c r="B629" s="11">
        <f>IF($K629="","",INDEX(Raw_data!$F$2:$F$636,MATCH($K629,Model!$R$2:$R$636,0)))</f>
        <v/>
      </c>
      <c r="C629">
        <f>IF($K629="","",HYPERLINK(INDEX(Raw_data!$C$2:$C$636,MATCH($K629,Model!$R$2:$R$636,0)),INDEX(Raw_data!$C$2:$C$636,MATCH($K629,Model!$R$2:$R$636,0))))</f>
        <v/>
      </c>
      <c r="D629">
        <f>IF($K629="","",INDEX(Raw_data!$AL$2:$AL$636,MATCH($K629,Model!$R$2:$R$636,0)))</f>
        <v/>
      </c>
      <c r="E629">
        <f>IF($K629="","",INDEX(Raw_data!$AM$2:$AM$636,MATCH($K629,Model!$R$2:$R$636,0)))</f>
        <v/>
      </c>
      <c r="F629">
        <f>IF($K629="","",INDEX(Raw_data!$AQ$2:$AQ$636,MATCH($K629,Model!$R$2:$R$636,0)))</f>
        <v/>
      </c>
      <c r="G629">
        <f>IF($K629="","",INDEX(Raw_data!$H$2:$H$636,MATCH($K629,Model!$R$2:$R$636,0)))</f>
        <v/>
      </c>
      <c r="H629" s="8">
        <f>IF($K629="","",INDEX(Model!$B$2:$B$636,MATCH($K629,Model!$R$2:$R$636,0)))</f>
        <v/>
      </c>
      <c r="I629" s="8">
        <f>IF($K629="","",INDEX(Model!$C$2:$C$636,MATCH($K629,Model!$R$2:$R$636,0)))</f>
        <v/>
      </c>
      <c r="J629">
        <f>IF($K629="","",INDEX(Model!$D$2:$D$636,MATCH($K629,Model!$R$2:$R$636,0)))</f>
        <v/>
      </c>
      <c r="K629">
        <f>IF(593&lt;=$E$5,LARGE(Model!$R$2:$R$636,593),"")</f>
        <v/>
      </c>
    </row>
    <row r="630">
      <c r="A630">
        <f>IF($K630="","",INDEX(Raw_data!$D$2:$D$636,MATCH($K630,Model!$R$2:$R$636,0)))</f>
        <v/>
      </c>
      <c r="B630" s="11">
        <f>IF($K630="","",INDEX(Raw_data!$F$2:$F$636,MATCH($K630,Model!$R$2:$R$636,0)))</f>
        <v/>
      </c>
      <c r="C630">
        <f>IF($K630="","",HYPERLINK(INDEX(Raw_data!$C$2:$C$636,MATCH($K630,Model!$R$2:$R$636,0)),INDEX(Raw_data!$C$2:$C$636,MATCH($K630,Model!$R$2:$R$636,0))))</f>
        <v/>
      </c>
      <c r="D630">
        <f>IF($K630="","",INDEX(Raw_data!$AL$2:$AL$636,MATCH($K630,Model!$R$2:$R$636,0)))</f>
        <v/>
      </c>
      <c r="E630">
        <f>IF($K630="","",INDEX(Raw_data!$AM$2:$AM$636,MATCH($K630,Model!$R$2:$R$636,0)))</f>
        <v/>
      </c>
      <c r="F630">
        <f>IF($K630="","",INDEX(Raw_data!$AQ$2:$AQ$636,MATCH($K630,Model!$R$2:$R$636,0)))</f>
        <v/>
      </c>
      <c r="G630">
        <f>IF($K630="","",INDEX(Raw_data!$H$2:$H$636,MATCH($K630,Model!$R$2:$R$636,0)))</f>
        <v/>
      </c>
      <c r="H630" s="8">
        <f>IF($K630="","",INDEX(Model!$B$2:$B$636,MATCH($K630,Model!$R$2:$R$636,0)))</f>
        <v/>
      </c>
      <c r="I630" s="8">
        <f>IF($K630="","",INDEX(Model!$C$2:$C$636,MATCH($K630,Model!$R$2:$R$636,0)))</f>
        <v/>
      </c>
      <c r="J630">
        <f>IF($K630="","",INDEX(Model!$D$2:$D$636,MATCH($K630,Model!$R$2:$R$636,0)))</f>
        <v/>
      </c>
      <c r="K630">
        <f>IF(594&lt;=$E$5,LARGE(Model!$R$2:$R$636,594),"")</f>
        <v/>
      </c>
    </row>
    <row r="631">
      <c r="A631">
        <f>IF($K631="","",INDEX(Raw_data!$D$2:$D$636,MATCH($K631,Model!$R$2:$R$636,0)))</f>
        <v/>
      </c>
      <c r="B631" s="11">
        <f>IF($K631="","",INDEX(Raw_data!$F$2:$F$636,MATCH($K631,Model!$R$2:$R$636,0)))</f>
        <v/>
      </c>
      <c r="C631">
        <f>IF($K631="","",HYPERLINK(INDEX(Raw_data!$C$2:$C$636,MATCH($K631,Model!$R$2:$R$636,0)),INDEX(Raw_data!$C$2:$C$636,MATCH($K631,Model!$R$2:$R$636,0))))</f>
        <v/>
      </c>
      <c r="D631">
        <f>IF($K631="","",INDEX(Raw_data!$AL$2:$AL$636,MATCH($K631,Model!$R$2:$R$636,0)))</f>
        <v/>
      </c>
      <c r="E631">
        <f>IF($K631="","",INDEX(Raw_data!$AM$2:$AM$636,MATCH($K631,Model!$R$2:$R$636,0)))</f>
        <v/>
      </c>
      <c r="F631">
        <f>IF($K631="","",INDEX(Raw_data!$AQ$2:$AQ$636,MATCH($K631,Model!$R$2:$R$636,0)))</f>
        <v/>
      </c>
      <c r="G631">
        <f>IF($K631="","",INDEX(Raw_data!$H$2:$H$636,MATCH($K631,Model!$R$2:$R$636,0)))</f>
        <v/>
      </c>
      <c r="H631" s="8">
        <f>IF($K631="","",INDEX(Model!$B$2:$B$636,MATCH($K631,Model!$R$2:$R$636,0)))</f>
        <v/>
      </c>
      <c r="I631" s="8">
        <f>IF($K631="","",INDEX(Model!$C$2:$C$636,MATCH($K631,Model!$R$2:$R$636,0)))</f>
        <v/>
      </c>
      <c r="J631">
        <f>IF($K631="","",INDEX(Model!$D$2:$D$636,MATCH($K631,Model!$R$2:$R$636,0)))</f>
        <v/>
      </c>
      <c r="K631">
        <f>IF(595&lt;=$E$5,LARGE(Model!$R$2:$R$636,595),"")</f>
        <v/>
      </c>
    </row>
    <row r="632">
      <c r="A632">
        <f>IF($K632="","",INDEX(Raw_data!$D$2:$D$636,MATCH($K632,Model!$R$2:$R$636,0)))</f>
        <v/>
      </c>
      <c r="B632" s="11">
        <f>IF($K632="","",INDEX(Raw_data!$F$2:$F$636,MATCH($K632,Model!$R$2:$R$636,0)))</f>
        <v/>
      </c>
      <c r="C632">
        <f>IF($K632="","",HYPERLINK(INDEX(Raw_data!$C$2:$C$636,MATCH($K632,Model!$R$2:$R$636,0)),INDEX(Raw_data!$C$2:$C$636,MATCH($K632,Model!$R$2:$R$636,0))))</f>
        <v/>
      </c>
      <c r="D632">
        <f>IF($K632="","",INDEX(Raw_data!$AL$2:$AL$636,MATCH($K632,Model!$R$2:$R$636,0)))</f>
        <v/>
      </c>
      <c r="E632">
        <f>IF($K632="","",INDEX(Raw_data!$AM$2:$AM$636,MATCH($K632,Model!$R$2:$R$636,0)))</f>
        <v/>
      </c>
      <c r="F632">
        <f>IF($K632="","",INDEX(Raw_data!$AQ$2:$AQ$636,MATCH($K632,Model!$R$2:$R$636,0)))</f>
        <v/>
      </c>
      <c r="G632">
        <f>IF($K632="","",INDEX(Raw_data!$H$2:$H$636,MATCH($K632,Model!$R$2:$R$636,0)))</f>
        <v/>
      </c>
      <c r="H632" s="8">
        <f>IF($K632="","",INDEX(Model!$B$2:$B$636,MATCH($K632,Model!$R$2:$R$636,0)))</f>
        <v/>
      </c>
      <c r="I632" s="8">
        <f>IF($K632="","",INDEX(Model!$C$2:$C$636,MATCH($K632,Model!$R$2:$R$636,0)))</f>
        <v/>
      </c>
      <c r="J632">
        <f>IF($K632="","",INDEX(Model!$D$2:$D$636,MATCH($K632,Model!$R$2:$R$636,0)))</f>
        <v/>
      </c>
      <c r="K632">
        <f>IF(596&lt;=$E$5,LARGE(Model!$R$2:$R$636,596),"")</f>
        <v/>
      </c>
    </row>
    <row r="633">
      <c r="A633">
        <f>IF($K633="","",INDEX(Raw_data!$D$2:$D$636,MATCH($K633,Model!$R$2:$R$636,0)))</f>
        <v/>
      </c>
      <c r="B633" s="11">
        <f>IF($K633="","",INDEX(Raw_data!$F$2:$F$636,MATCH($K633,Model!$R$2:$R$636,0)))</f>
        <v/>
      </c>
      <c r="C633">
        <f>IF($K633="","",HYPERLINK(INDEX(Raw_data!$C$2:$C$636,MATCH($K633,Model!$R$2:$R$636,0)),INDEX(Raw_data!$C$2:$C$636,MATCH($K633,Model!$R$2:$R$636,0))))</f>
        <v/>
      </c>
      <c r="D633">
        <f>IF($K633="","",INDEX(Raw_data!$AL$2:$AL$636,MATCH($K633,Model!$R$2:$R$636,0)))</f>
        <v/>
      </c>
      <c r="E633">
        <f>IF($K633="","",INDEX(Raw_data!$AM$2:$AM$636,MATCH($K633,Model!$R$2:$R$636,0)))</f>
        <v/>
      </c>
      <c r="F633">
        <f>IF($K633="","",INDEX(Raw_data!$AQ$2:$AQ$636,MATCH($K633,Model!$R$2:$R$636,0)))</f>
        <v/>
      </c>
      <c r="G633">
        <f>IF($K633="","",INDEX(Raw_data!$H$2:$H$636,MATCH($K633,Model!$R$2:$R$636,0)))</f>
        <v/>
      </c>
      <c r="H633" s="8">
        <f>IF($K633="","",INDEX(Model!$B$2:$B$636,MATCH($K633,Model!$R$2:$R$636,0)))</f>
        <v/>
      </c>
      <c r="I633" s="8">
        <f>IF($K633="","",INDEX(Model!$C$2:$C$636,MATCH($K633,Model!$R$2:$R$636,0)))</f>
        <v/>
      </c>
      <c r="J633">
        <f>IF($K633="","",INDEX(Model!$D$2:$D$636,MATCH($K633,Model!$R$2:$R$636,0)))</f>
        <v/>
      </c>
      <c r="K633">
        <f>IF(597&lt;=$E$5,LARGE(Model!$R$2:$R$636,597),"")</f>
        <v/>
      </c>
    </row>
    <row r="634">
      <c r="A634">
        <f>IF($K634="","",INDEX(Raw_data!$D$2:$D$636,MATCH($K634,Model!$R$2:$R$636,0)))</f>
        <v/>
      </c>
      <c r="B634" s="11">
        <f>IF($K634="","",INDEX(Raw_data!$F$2:$F$636,MATCH($K634,Model!$R$2:$R$636,0)))</f>
        <v/>
      </c>
      <c r="C634">
        <f>IF($K634="","",HYPERLINK(INDEX(Raw_data!$C$2:$C$636,MATCH($K634,Model!$R$2:$R$636,0)),INDEX(Raw_data!$C$2:$C$636,MATCH($K634,Model!$R$2:$R$636,0))))</f>
        <v/>
      </c>
      <c r="D634">
        <f>IF($K634="","",INDEX(Raw_data!$AL$2:$AL$636,MATCH($K634,Model!$R$2:$R$636,0)))</f>
        <v/>
      </c>
      <c r="E634">
        <f>IF($K634="","",INDEX(Raw_data!$AM$2:$AM$636,MATCH($K634,Model!$R$2:$R$636,0)))</f>
        <v/>
      </c>
      <c r="F634">
        <f>IF($K634="","",INDEX(Raw_data!$AQ$2:$AQ$636,MATCH($K634,Model!$R$2:$R$636,0)))</f>
        <v/>
      </c>
      <c r="G634">
        <f>IF($K634="","",INDEX(Raw_data!$H$2:$H$636,MATCH($K634,Model!$R$2:$R$636,0)))</f>
        <v/>
      </c>
      <c r="H634" s="8">
        <f>IF($K634="","",INDEX(Model!$B$2:$B$636,MATCH($K634,Model!$R$2:$R$636,0)))</f>
        <v/>
      </c>
      <c r="I634" s="8">
        <f>IF($K634="","",INDEX(Model!$C$2:$C$636,MATCH($K634,Model!$R$2:$R$636,0)))</f>
        <v/>
      </c>
      <c r="J634">
        <f>IF($K634="","",INDEX(Model!$D$2:$D$636,MATCH($K634,Model!$R$2:$R$636,0)))</f>
        <v/>
      </c>
      <c r="K634">
        <f>IF(598&lt;=$E$5,LARGE(Model!$R$2:$R$636,598),"")</f>
        <v/>
      </c>
    </row>
    <row r="635">
      <c r="A635">
        <f>IF($K635="","",INDEX(Raw_data!$D$2:$D$636,MATCH($K635,Model!$R$2:$R$636,0)))</f>
        <v/>
      </c>
      <c r="B635" s="11">
        <f>IF($K635="","",INDEX(Raw_data!$F$2:$F$636,MATCH($K635,Model!$R$2:$R$636,0)))</f>
        <v/>
      </c>
      <c r="C635">
        <f>IF($K635="","",HYPERLINK(INDEX(Raw_data!$C$2:$C$636,MATCH($K635,Model!$R$2:$R$636,0)),INDEX(Raw_data!$C$2:$C$636,MATCH($K635,Model!$R$2:$R$636,0))))</f>
        <v/>
      </c>
      <c r="D635">
        <f>IF($K635="","",INDEX(Raw_data!$AL$2:$AL$636,MATCH($K635,Model!$R$2:$R$636,0)))</f>
        <v/>
      </c>
      <c r="E635">
        <f>IF($K635="","",INDEX(Raw_data!$AM$2:$AM$636,MATCH($K635,Model!$R$2:$R$636,0)))</f>
        <v/>
      </c>
      <c r="F635">
        <f>IF($K635="","",INDEX(Raw_data!$AQ$2:$AQ$636,MATCH($K635,Model!$R$2:$R$636,0)))</f>
        <v/>
      </c>
      <c r="G635">
        <f>IF($K635="","",INDEX(Raw_data!$H$2:$H$636,MATCH($K635,Model!$R$2:$R$636,0)))</f>
        <v/>
      </c>
      <c r="H635" s="8">
        <f>IF($K635="","",INDEX(Model!$B$2:$B$636,MATCH($K635,Model!$R$2:$R$636,0)))</f>
        <v/>
      </c>
      <c r="I635" s="8">
        <f>IF($K635="","",INDEX(Model!$C$2:$C$636,MATCH($K635,Model!$R$2:$R$636,0)))</f>
        <v/>
      </c>
      <c r="J635">
        <f>IF($K635="","",INDEX(Model!$D$2:$D$636,MATCH($K635,Model!$R$2:$R$636,0)))</f>
        <v/>
      </c>
      <c r="K635">
        <f>IF(599&lt;=$E$5,LARGE(Model!$R$2:$R$636,599),"")</f>
        <v/>
      </c>
    </row>
    <row r="636">
      <c r="A636">
        <f>IF($K636="","",INDEX(Raw_data!$D$2:$D$636,MATCH($K636,Model!$R$2:$R$636,0)))</f>
        <v/>
      </c>
      <c r="B636" s="11">
        <f>IF($K636="","",INDEX(Raw_data!$F$2:$F$636,MATCH($K636,Model!$R$2:$R$636,0)))</f>
        <v/>
      </c>
      <c r="C636">
        <f>IF($K636="","",HYPERLINK(INDEX(Raw_data!$C$2:$C$636,MATCH($K636,Model!$R$2:$R$636,0)),INDEX(Raw_data!$C$2:$C$636,MATCH($K636,Model!$R$2:$R$636,0))))</f>
        <v/>
      </c>
      <c r="D636">
        <f>IF($K636="","",INDEX(Raw_data!$AL$2:$AL$636,MATCH($K636,Model!$R$2:$R$636,0)))</f>
        <v/>
      </c>
      <c r="E636">
        <f>IF($K636="","",INDEX(Raw_data!$AM$2:$AM$636,MATCH($K636,Model!$R$2:$R$636,0)))</f>
        <v/>
      </c>
      <c r="F636">
        <f>IF($K636="","",INDEX(Raw_data!$AQ$2:$AQ$636,MATCH($K636,Model!$R$2:$R$636,0)))</f>
        <v/>
      </c>
      <c r="G636">
        <f>IF($K636="","",INDEX(Raw_data!$H$2:$H$636,MATCH($K636,Model!$R$2:$R$636,0)))</f>
        <v/>
      </c>
      <c r="H636" s="8">
        <f>IF($K636="","",INDEX(Model!$B$2:$B$636,MATCH($K636,Model!$R$2:$R$636,0)))</f>
        <v/>
      </c>
      <c r="I636" s="8">
        <f>IF($K636="","",INDEX(Model!$C$2:$C$636,MATCH($K636,Model!$R$2:$R$636,0)))</f>
        <v/>
      </c>
      <c r="J636">
        <f>IF($K636="","",INDEX(Model!$D$2:$D$636,MATCH($K636,Model!$R$2:$R$636,0)))</f>
        <v/>
      </c>
      <c r="K636">
        <f>IF(600&lt;=$E$5,LARGE(Model!$R$2:$R$636,600),"")</f>
        <v/>
      </c>
    </row>
    <row r="637">
      <c r="A637">
        <f>IF($K637="","",INDEX(Raw_data!$D$2:$D$636,MATCH($K637,Model!$R$2:$R$636,0)))</f>
        <v/>
      </c>
      <c r="B637" s="11">
        <f>IF($K637="","",INDEX(Raw_data!$F$2:$F$636,MATCH($K637,Model!$R$2:$R$636,0)))</f>
        <v/>
      </c>
      <c r="C637">
        <f>IF($K637="","",HYPERLINK(INDEX(Raw_data!$C$2:$C$636,MATCH($K637,Model!$R$2:$R$636,0)),INDEX(Raw_data!$C$2:$C$636,MATCH($K637,Model!$R$2:$R$636,0))))</f>
        <v/>
      </c>
      <c r="D637">
        <f>IF($K637="","",INDEX(Raw_data!$AL$2:$AL$636,MATCH($K637,Model!$R$2:$R$636,0)))</f>
        <v/>
      </c>
      <c r="E637">
        <f>IF($K637="","",INDEX(Raw_data!$AM$2:$AM$636,MATCH($K637,Model!$R$2:$R$636,0)))</f>
        <v/>
      </c>
      <c r="F637">
        <f>IF($K637="","",INDEX(Raw_data!$AQ$2:$AQ$636,MATCH($K637,Model!$R$2:$R$636,0)))</f>
        <v/>
      </c>
      <c r="G637">
        <f>IF($K637="","",INDEX(Raw_data!$H$2:$H$636,MATCH($K637,Model!$R$2:$R$636,0)))</f>
        <v/>
      </c>
      <c r="H637" s="8">
        <f>IF($K637="","",INDEX(Model!$B$2:$B$636,MATCH($K637,Model!$R$2:$R$636,0)))</f>
        <v/>
      </c>
      <c r="I637" s="8">
        <f>IF($K637="","",INDEX(Model!$C$2:$C$636,MATCH($K637,Model!$R$2:$R$636,0)))</f>
        <v/>
      </c>
      <c r="J637">
        <f>IF($K637="","",INDEX(Model!$D$2:$D$636,MATCH($K637,Model!$R$2:$R$636,0)))</f>
        <v/>
      </c>
      <c r="K637">
        <f>IF(601&lt;=$E$5,LARGE(Model!$R$2:$R$636,601),"")</f>
        <v/>
      </c>
    </row>
    <row r="638">
      <c r="A638">
        <f>IF($K638="","",INDEX(Raw_data!$D$2:$D$636,MATCH($K638,Model!$R$2:$R$636,0)))</f>
        <v/>
      </c>
      <c r="B638" s="11">
        <f>IF($K638="","",INDEX(Raw_data!$F$2:$F$636,MATCH($K638,Model!$R$2:$R$636,0)))</f>
        <v/>
      </c>
      <c r="C638">
        <f>IF($K638="","",HYPERLINK(INDEX(Raw_data!$C$2:$C$636,MATCH($K638,Model!$R$2:$R$636,0)),INDEX(Raw_data!$C$2:$C$636,MATCH($K638,Model!$R$2:$R$636,0))))</f>
        <v/>
      </c>
      <c r="D638">
        <f>IF($K638="","",INDEX(Raw_data!$AL$2:$AL$636,MATCH($K638,Model!$R$2:$R$636,0)))</f>
        <v/>
      </c>
      <c r="E638">
        <f>IF($K638="","",INDEX(Raw_data!$AM$2:$AM$636,MATCH($K638,Model!$R$2:$R$636,0)))</f>
        <v/>
      </c>
      <c r="F638">
        <f>IF($K638="","",INDEX(Raw_data!$AQ$2:$AQ$636,MATCH($K638,Model!$R$2:$R$636,0)))</f>
        <v/>
      </c>
      <c r="G638">
        <f>IF($K638="","",INDEX(Raw_data!$H$2:$H$636,MATCH($K638,Model!$R$2:$R$636,0)))</f>
        <v/>
      </c>
      <c r="H638" s="8">
        <f>IF($K638="","",INDEX(Model!$B$2:$B$636,MATCH($K638,Model!$R$2:$R$636,0)))</f>
        <v/>
      </c>
      <c r="I638" s="8">
        <f>IF($K638="","",INDEX(Model!$C$2:$C$636,MATCH($K638,Model!$R$2:$R$636,0)))</f>
        <v/>
      </c>
      <c r="J638">
        <f>IF($K638="","",INDEX(Model!$D$2:$D$636,MATCH($K638,Model!$R$2:$R$636,0)))</f>
        <v/>
      </c>
      <c r="K638">
        <f>IF(602&lt;=$E$5,LARGE(Model!$R$2:$R$636,602),"")</f>
        <v/>
      </c>
    </row>
    <row r="639">
      <c r="A639">
        <f>IF($K639="","",INDEX(Raw_data!$D$2:$D$636,MATCH($K639,Model!$R$2:$R$636,0)))</f>
        <v/>
      </c>
      <c r="B639" s="11">
        <f>IF($K639="","",INDEX(Raw_data!$F$2:$F$636,MATCH($K639,Model!$R$2:$R$636,0)))</f>
        <v/>
      </c>
      <c r="C639">
        <f>IF($K639="","",HYPERLINK(INDEX(Raw_data!$C$2:$C$636,MATCH($K639,Model!$R$2:$R$636,0)),INDEX(Raw_data!$C$2:$C$636,MATCH($K639,Model!$R$2:$R$636,0))))</f>
        <v/>
      </c>
      <c r="D639">
        <f>IF($K639="","",INDEX(Raw_data!$AL$2:$AL$636,MATCH($K639,Model!$R$2:$R$636,0)))</f>
        <v/>
      </c>
      <c r="E639">
        <f>IF($K639="","",INDEX(Raw_data!$AM$2:$AM$636,MATCH($K639,Model!$R$2:$R$636,0)))</f>
        <v/>
      </c>
      <c r="F639">
        <f>IF($K639="","",INDEX(Raw_data!$AQ$2:$AQ$636,MATCH($K639,Model!$R$2:$R$636,0)))</f>
        <v/>
      </c>
      <c r="G639">
        <f>IF($K639="","",INDEX(Raw_data!$H$2:$H$636,MATCH($K639,Model!$R$2:$R$636,0)))</f>
        <v/>
      </c>
      <c r="H639" s="8">
        <f>IF($K639="","",INDEX(Model!$B$2:$B$636,MATCH($K639,Model!$R$2:$R$636,0)))</f>
        <v/>
      </c>
      <c r="I639" s="8">
        <f>IF($K639="","",INDEX(Model!$C$2:$C$636,MATCH($K639,Model!$R$2:$R$636,0)))</f>
        <v/>
      </c>
      <c r="J639">
        <f>IF($K639="","",INDEX(Model!$D$2:$D$636,MATCH($K639,Model!$R$2:$R$636,0)))</f>
        <v/>
      </c>
      <c r="K639">
        <f>IF(603&lt;=$E$5,LARGE(Model!$R$2:$R$636,603),"")</f>
        <v/>
      </c>
    </row>
    <row r="640">
      <c r="A640">
        <f>IF($K640="","",INDEX(Raw_data!$D$2:$D$636,MATCH($K640,Model!$R$2:$R$636,0)))</f>
        <v/>
      </c>
      <c r="B640" s="11">
        <f>IF($K640="","",INDEX(Raw_data!$F$2:$F$636,MATCH($K640,Model!$R$2:$R$636,0)))</f>
        <v/>
      </c>
      <c r="C640">
        <f>IF($K640="","",HYPERLINK(INDEX(Raw_data!$C$2:$C$636,MATCH($K640,Model!$R$2:$R$636,0)),INDEX(Raw_data!$C$2:$C$636,MATCH($K640,Model!$R$2:$R$636,0))))</f>
        <v/>
      </c>
      <c r="D640">
        <f>IF($K640="","",INDEX(Raw_data!$AL$2:$AL$636,MATCH($K640,Model!$R$2:$R$636,0)))</f>
        <v/>
      </c>
      <c r="E640">
        <f>IF($K640="","",INDEX(Raw_data!$AM$2:$AM$636,MATCH($K640,Model!$R$2:$R$636,0)))</f>
        <v/>
      </c>
      <c r="F640">
        <f>IF($K640="","",INDEX(Raw_data!$AQ$2:$AQ$636,MATCH($K640,Model!$R$2:$R$636,0)))</f>
        <v/>
      </c>
      <c r="G640">
        <f>IF($K640="","",INDEX(Raw_data!$H$2:$H$636,MATCH($K640,Model!$R$2:$R$636,0)))</f>
        <v/>
      </c>
      <c r="H640" s="8">
        <f>IF($K640="","",INDEX(Model!$B$2:$B$636,MATCH($K640,Model!$R$2:$R$636,0)))</f>
        <v/>
      </c>
      <c r="I640" s="8">
        <f>IF($K640="","",INDEX(Model!$C$2:$C$636,MATCH($K640,Model!$R$2:$R$636,0)))</f>
        <v/>
      </c>
      <c r="J640">
        <f>IF($K640="","",INDEX(Model!$D$2:$D$636,MATCH($K640,Model!$R$2:$R$636,0)))</f>
        <v/>
      </c>
      <c r="K640">
        <f>IF(604&lt;=$E$5,LARGE(Model!$R$2:$R$636,604),"")</f>
        <v/>
      </c>
    </row>
    <row r="641">
      <c r="A641">
        <f>IF($K641="","",INDEX(Raw_data!$D$2:$D$636,MATCH($K641,Model!$R$2:$R$636,0)))</f>
        <v/>
      </c>
      <c r="B641" s="11">
        <f>IF($K641="","",INDEX(Raw_data!$F$2:$F$636,MATCH($K641,Model!$R$2:$R$636,0)))</f>
        <v/>
      </c>
      <c r="C641">
        <f>IF($K641="","",HYPERLINK(INDEX(Raw_data!$C$2:$C$636,MATCH($K641,Model!$R$2:$R$636,0)),INDEX(Raw_data!$C$2:$C$636,MATCH($K641,Model!$R$2:$R$636,0))))</f>
        <v/>
      </c>
      <c r="D641">
        <f>IF($K641="","",INDEX(Raw_data!$AL$2:$AL$636,MATCH($K641,Model!$R$2:$R$636,0)))</f>
        <v/>
      </c>
      <c r="E641">
        <f>IF($K641="","",INDEX(Raw_data!$AM$2:$AM$636,MATCH($K641,Model!$R$2:$R$636,0)))</f>
        <v/>
      </c>
      <c r="F641">
        <f>IF($K641="","",INDEX(Raw_data!$AQ$2:$AQ$636,MATCH($K641,Model!$R$2:$R$636,0)))</f>
        <v/>
      </c>
      <c r="G641">
        <f>IF($K641="","",INDEX(Raw_data!$H$2:$H$636,MATCH($K641,Model!$R$2:$R$636,0)))</f>
        <v/>
      </c>
      <c r="H641" s="8">
        <f>IF($K641="","",INDEX(Model!$B$2:$B$636,MATCH($K641,Model!$R$2:$R$636,0)))</f>
        <v/>
      </c>
      <c r="I641" s="8">
        <f>IF($K641="","",INDEX(Model!$C$2:$C$636,MATCH($K641,Model!$R$2:$R$636,0)))</f>
        <v/>
      </c>
      <c r="J641">
        <f>IF($K641="","",INDEX(Model!$D$2:$D$636,MATCH($K641,Model!$R$2:$R$636,0)))</f>
        <v/>
      </c>
      <c r="K641">
        <f>IF(605&lt;=$E$5,LARGE(Model!$R$2:$R$636,605),"")</f>
        <v/>
      </c>
    </row>
    <row r="642">
      <c r="A642">
        <f>IF($K642="","",INDEX(Raw_data!$D$2:$D$636,MATCH($K642,Model!$R$2:$R$636,0)))</f>
        <v/>
      </c>
      <c r="B642" s="11">
        <f>IF($K642="","",INDEX(Raw_data!$F$2:$F$636,MATCH($K642,Model!$R$2:$R$636,0)))</f>
        <v/>
      </c>
      <c r="C642">
        <f>IF($K642="","",HYPERLINK(INDEX(Raw_data!$C$2:$C$636,MATCH($K642,Model!$R$2:$R$636,0)),INDEX(Raw_data!$C$2:$C$636,MATCH($K642,Model!$R$2:$R$636,0))))</f>
        <v/>
      </c>
      <c r="D642">
        <f>IF($K642="","",INDEX(Raw_data!$AL$2:$AL$636,MATCH($K642,Model!$R$2:$R$636,0)))</f>
        <v/>
      </c>
      <c r="E642">
        <f>IF($K642="","",INDEX(Raw_data!$AM$2:$AM$636,MATCH($K642,Model!$R$2:$R$636,0)))</f>
        <v/>
      </c>
      <c r="F642">
        <f>IF($K642="","",INDEX(Raw_data!$AQ$2:$AQ$636,MATCH($K642,Model!$R$2:$R$636,0)))</f>
        <v/>
      </c>
      <c r="G642">
        <f>IF($K642="","",INDEX(Raw_data!$H$2:$H$636,MATCH($K642,Model!$R$2:$R$636,0)))</f>
        <v/>
      </c>
      <c r="H642" s="8">
        <f>IF($K642="","",INDEX(Model!$B$2:$B$636,MATCH($K642,Model!$R$2:$R$636,0)))</f>
        <v/>
      </c>
      <c r="I642" s="8">
        <f>IF($K642="","",INDEX(Model!$C$2:$C$636,MATCH($K642,Model!$R$2:$R$636,0)))</f>
        <v/>
      </c>
      <c r="J642">
        <f>IF($K642="","",INDEX(Model!$D$2:$D$636,MATCH($K642,Model!$R$2:$R$636,0)))</f>
        <v/>
      </c>
      <c r="K642">
        <f>IF(606&lt;=$E$5,LARGE(Model!$R$2:$R$636,606),"")</f>
        <v/>
      </c>
    </row>
    <row r="643">
      <c r="A643">
        <f>IF($K643="","",INDEX(Raw_data!$D$2:$D$636,MATCH($K643,Model!$R$2:$R$636,0)))</f>
        <v/>
      </c>
      <c r="B643" s="11">
        <f>IF($K643="","",INDEX(Raw_data!$F$2:$F$636,MATCH($K643,Model!$R$2:$R$636,0)))</f>
        <v/>
      </c>
      <c r="C643">
        <f>IF($K643="","",HYPERLINK(INDEX(Raw_data!$C$2:$C$636,MATCH($K643,Model!$R$2:$R$636,0)),INDEX(Raw_data!$C$2:$C$636,MATCH($K643,Model!$R$2:$R$636,0))))</f>
        <v/>
      </c>
      <c r="D643">
        <f>IF($K643="","",INDEX(Raw_data!$AL$2:$AL$636,MATCH($K643,Model!$R$2:$R$636,0)))</f>
        <v/>
      </c>
      <c r="E643">
        <f>IF($K643="","",INDEX(Raw_data!$AM$2:$AM$636,MATCH($K643,Model!$R$2:$R$636,0)))</f>
        <v/>
      </c>
      <c r="F643">
        <f>IF($K643="","",INDEX(Raw_data!$AQ$2:$AQ$636,MATCH($K643,Model!$R$2:$R$636,0)))</f>
        <v/>
      </c>
      <c r="G643">
        <f>IF($K643="","",INDEX(Raw_data!$H$2:$H$636,MATCH($K643,Model!$R$2:$R$636,0)))</f>
        <v/>
      </c>
      <c r="H643" s="8">
        <f>IF($K643="","",INDEX(Model!$B$2:$B$636,MATCH($K643,Model!$R$2:$R$636,0)))</f>
        <v/>
      </c>
      <c r="I643" s="8">
        <f>IF($K643="","",INDEX(Model!$C$2:$C$636,MATCH($K643,Model!$R$2:$R$636,0)))</f>
        <v/>
      </c>
      <c r="J643">
        <f>IF($K643="","",INDEX(Model!$D$2:$D$636,MATCH($K643,Model!$R$2:$R$636,0)))</f>
        <v/>
      </c>
      <c r="K643">
        <f>IF(607&lt;=$E$5,LARGE(Model!$R$2:$R$636,607),"")</f>
        <v/>
      </c>
    </row>
    <row r="644">
      <c r="A644">
        <f>IF($K644="","",INDEX(Raw_data!$D$2:$D$636,MATCH($K644,Model!$R$2:$R$636,0)))</f>
        <v/>
      </c>
      <c r="B644" s="11">
        <f>IF($K644="","",INDEX(Raw_data!$F$2:$F$636,MATCH($K644,Model!$R$2:$R$636,0)))</f>
        <v/>
      </c>
      <c r="C644">
        <f>IF($K644="","",HYPERLINK(INDEX(Raw_data!$C$2:$C$636,MATCH($K644,Model!$R$2:$R$636,0)),INDEX(Raw_data!$C$2:$C$636,MATCH($K644,Model!$R$2:$R$636,0))))</f>
        <v/>
      </c>
      <c r="D644">
        <f>IF($K644="","",INDEX(Raw_data!$AL$2:$AL$636,MATCH($K644,Model!$R$2:$R$636,0)))</f>
        <v/>
      </c>
      <c r="E644">
        <f>IF($K644="","",INDEX(Raw_data!$AM$2:$AM$636,MATCH($K644,Model!$R$2:$R$636,0)))</f>
        <v/>
      </c>
      <c r="F644">
        <f>IF($K644="","",INDEX(Raw_data!$AQ$2:$AQ$636,MATCH($K644,Model!$R$2:$R$636,0)))</f>
        <v/>
      </c>
      <c r="G644">
        <f>IF($K644="","",INDEX(Raw_data!$H$2:$H$636,MATCH($K644,Model!$R$2:$R$636,0)))</f>
        <v/>
      </c>
      <c r="H644" s="8">
        <f>IF($K644="","",INDEX(Model!$B$2:$B$636,MATCH($K644,Model!$R$2:$R$636,0)))</f>
        <v/>
      </c>
      <c r="I644" s="8">
        <f>IF($K644="","",INDEX(Model!$C$2:$C$636,MATCH($K644,Model!$R$2:$R$636,0)))</f>
        <v/>
      </c>
      <c r="J644">
        <f>IF($K644="","",INDEX(Model!$D$2:$D$636,MATCH($K644,Model!$R$2:$R$636,0)))</f>
        <v/>
      </c>
      <c r="K644">
        <f>IF(608&lt;=$E$5,LARGE(Model!$R$2:$R$636,608),"")</f>
        <v/>
      </c>
    </row>
    <row r="645">
      <c r="A645">
        <f>IF($K645="","",INDEX(Raw_data!$D$2:$D$636,MATCH($K645,Model!$R$2:$R$636,0)))</f>
        <v/>
      </c>
      <c r="B645" s="11">
        <f>IF($K645="","",INDEX(Raw_data!$F$2:$F$636,MATCH($K645,Model!$R$2:$R$636,0)))</f>
        <v/>
      </c>
      <c r="C645">
        <f>IF($K645="","",HYPERLINK(INDEX(Raw_data!$C$2:$C$636,MATCH($K645,Model!$R$2:$R$636,0)),INDEX(Raw_data!$C$2:$C$636,MATCH($K645,Model!$R$2:$R$636,0))))</f>
        <v/>
      </c>
      <c r="D645">
        <f>IF($K645="","",INDEX(Raw_data!$AL$2:$AL$636,MATCH($K645,Model!$R$2:$R$636,0)))</f>
        <v/>
      </c>
      <c r="E645">
        <f>IF($K645="","",INDEX(Raw_data!$AM$2:$AM$636,MATCH($K645,Model!$R$2:$R$636,0)))</f>
        <v/>
      </c>
      <c r="F645">
        <f>IF($K645="","",INDEX(Raw_data!$AQ$2:$AQ$636,MATCH($K645,Model!$R$2:$R$636,0)))</f>
        <v/>
      </c>
      <c r="G645">
        <f>IF($K645="","",INDEX(Raw_data!$H$2:$H$636,MATCH($K645,Model!$R$2:$R$636,0)))</f>
        <v/>
      </c>
      <c r="H645" s="8">
        <f>IF($K645="","",INDEX(Model!$B$2:$B$636,MATCH($K645,Model!$R$2:$R$636,0)))</f>
        <v/>
      </c>
      <c r="I645" s="8">
        <f>IF($K645="","",INDEX(Model!$C$2:$C$636,MATCH($K645,Model!$R$2:$R$636,0)))</f>
        <v/>
      </c>
      <c r="J645">
        <f>IF($K645="","",INDEX(Model!$D$2:$D$636,MATCH($K645,Model!$R$2:$R$636,0)))</f>
        <v/>
      </c>
      <c r="K645">
        <f>IF(609&lt;=$E$5,LARGE(Model!$R$2:$R$636,609),"")</f>
        <v/>
      </c>
    </row>
    <row r="646">
      <c r="A646">
        <f>IF($K646="","",INDEX(Raw_data!$D$2:$D$636,MATCH($K646,Model!$R$2:$R$636,0)))</f>
        <v/>
      </c>
      <c r="B646" s="11">
        <f>IF($K646="","",INDEX(Raw_data!$F$2:$F$636,MATCH($K646,Model!$R$2:$R$636,0)))</f>
        <v/>
      </c>
      <c r="C646">
        <f>IF($K646="","",HYPERLINK(INDEX(Raw_data!$C$2:$C$636,MATCH($K646,Model!$R$2:$R$636,0)),INDEX(Raw_data!$C$2:$C$636,MATCH($K646,Model!$R$2:$R$636,0))))</f>
        <v/>
      </c>
      <c r="D646">
        <f>IF($K646="","",INDEX(Raw_data!$AL$2:$AL$636,MATCH($K646,Model!$R$2:$R$636,0)))</f>
        <v/>
      </c>
      <c r="E646">
        <f>IF($K646="","",INDEX(Raw_data!$AM$2:$AM$636,MATCH($K646,Model!$R$2:$R$636,0)))</f>
        <v/>
      </c>
      <c r="F646">
        <f>IF($K646="","",INDEX(Raw_data!$AQ$2:$AQ$636,MATCH($K646,Model!$R$2:$R$636,0)))</f>
        <v/>
      </c>
      <c r="G646">
        <f>IF($K646="","",INDEX(Raw_data!$H$2:$H$636,MATCH($K646,Model!$R$2:$R$636,0)))</f>
        <v/>
      </c>
      <c r="H646" s="8">
        <f>IF($K646="","",INDEX(Model!$B$2:$B$636,MATCH($K646,Model!$R$2:$R$636,0)))</f>
        <v/>
      </c>
      <c r="I646" s="8">
        <f>IF($K646="","",INDEX(Model!$C$2:$C$636,MATCH($K646,Model!$R$2:$R$636,0)))</f>
        <v/>
      </c>
      <c r="J646">
        <f>IF($K646="","",INDEX(Model!$D$2:$D$636,MATCH($K646,Model!$R$2:$R$636,0)))</f>
        <v/>
      </c>
      <c r="K646">
        <f>IF(610&lt;=$E$5,LARGE(Model!$R$2:$R$636,610),"")</f>
        <v/>
      </c>
    </row>
    <row r="647">
      <c r="A647">
        <f>IF($K647="","",INDEX(Raw_data!$D$2:$D$636,MATCH($K647,Model!$R$2:$R$636,0)))</f>
        <v/>
      </c>
      <c r="B647" s="11">
        <f>IF($K647="","",INDEX(Raw_data!$F$2:$F$636,MATCH($K647,Model!$R$2:$R$636,0)))</f>
        <v/>
      </c>
      <c r="C647">
        <f>IF($K647="","",HYPERLINK(INDEX(Raw_data!$C$2:$C$636,MATCH($K647,Model!$R$2:$R$636,0)),INDEX(Raw_data!$C$2:$C$636,MATCH($K647,Model!$R$2:$R$636,0))))</f>
        <v/>
      </c>
      <c r="D647">
        <f>IF($K647="","",INDEX(Raw_data!$AL$2:$AL$636,MATCH($K647,Model!$R$2:$R$636,0)))</f>
        <v/>
      </c>
      <c r="E647">
        <f>IF($K647="","",INDEX(Raw_data!$AM$2:$AM$636,MATCH($K647,Model!$R$2:$R$636,0)))</f>
        <v/>
      </c>
      <c r="F647">
        <f>IF($K647="","",INDEX(Raw_data!$AQ$2:$AQ$636,MATCH($K647,Model!$R$2:$R$636,0)))</f>
        <v/>
      </c>
      <c r="G647">
        <f>IF($K647="","",INDEX(Raw_data!$H$2:$H$636,MATCH($K647,Model!$R$2:$R$636,0)))</f>
        <v/>
      </c>
      <c r="H647" s="8">
        <f>IF($K647="","",INDEX(Model!$B$2:$B$636,MATCH($K647,Model!$R$2:$R$636,0)))</f>
        <v/>
      </c>
      <c r="I647" s="8">
        <f>IF($K647="","",INDEX(Model!$C$2:$C$636,MATCH($K647,Model!$R$2:$R$636,0)))</f>
        <v/>
      </c>
      <c r="J647">
        <f>IF($K647="","",INDEX(Model!$D$2:$D$636,MATCH($K647,Model!$R$2:$R$636,0)))</f>
        <v/>
      </c>
      <c r="K647">
        <f>IF(611&lt;=$E$5,LARGE(Model!$R$2:$R$636,611),"")</f>
        <v/>
      </c>
    </row>
    <row r="648">
      <c r="A648">
        <f>IF($K648="","",INDEX(Raw_data!$D$2:$D$636,MATCH($K648,Model!$R$2:$R$636,0)))</f>
        <v/>
      </c>
      <c r="B648" s="11">
        <f>IF($K648="","",INDEX(Raw_data!$F$2:$F$636,MATCH($K648,Model!$R$2:$R$636,0)))</f>
        <v/>
      </c>
      <c r="C648">
        <f>IF($K648="","",HYPERLINK(INDEX(Raw_data!$C$2:$C$636,MATCH($K648,Model!$R$2:$R$636,0)),INDEX(Raw_data!$C$2:$C$636,MATCH($K648,Model!$R$2:$R$636,0))))</f>
        <v/>
      </c>
      <c r="D648">
        <f>IF($K648="","",INDEX(Raw_data!$AL$2:$AL$636,MATCH($K648,Model!$R$2:$R$636,0)))</f>
        <v/>
      </c>
      <c r="E648">
        <f>IF($K648="","",INDEX(Raw_data!$AM$2:$AM$636,MATCH($K648,Model!$R$2:$R$636,0)))</f>
        <v/>
      </c>
      <c r="F648">
        <f>IF($K648="","",INDEX(Raw_data!$AQ$2:$AQ$636,MATCH($K648,Model!$R$2:$R$636,0)))</f>
        <v/>
      </c>
      <c r="G648">
        <f>IF($K648="","",INDEX(Raw_data!$H$2:$H$636,MATCH($K648,Model!$R$2:$R$636,0)))</f>
        <v/>
      </c>
      <c r="H648" s="8">
        <f>IF($K648="","",INDEX(Model!$B$2:$B$636,MATCH($K648,Model!$R$2:$R$636,0)))</f>
        <v/>
      </c>
      <c r="I648" s="8">
        <f>IF($K648="","",INDEX(Model!$C$2:$C$636,MATCH($K648,Model!$R$2:$R$636,0)))</f>
        <v/>
      </c>
      <c r="J648">
        <f>IF($K648="","",INDEX(Model!$D$2:$D$636,MATCH($K648,Model!$R$2:$R$636,0)))</f>
        <v/>
      </c>
      <c r="K648">
        <f>IF(612&lt;=$E$5,LARGE(Model!$R$2:$R$636,612),"")</f>
        <v/>
      </c>
    </row>
    <row r="649">
      <c r="A649">
        <f>IF($K649="","",INDEX(Raw_data!$D$2:$D$636,MATCH($K649,Model!$R$2:$R$636,0)))</f>
        <v/>
      </c>
      <c r="B649" s="11">
        <f>IF($K649="","",INDEX(Raw_data!$F$2:$F$636,MATCH($K649,Model!$R$2:$R$636,0)))</f>
        <v/>
      </c>
      <c r="C649">
        <f>IF($K649="","",HYPERLINK(INDEX(Raw_data!$C$2:$C$636,MATCH($K649,Model!$R$2:$R$636,0)),INDEX(Raw_data!$C$2:$C$636,MATCH($K649,Model!$R$2:$R$636,0))))</f>
        <v/>
      </c>
      <c r="D649">
        <f>IF($K649="","",INDEX(Raw_data!$AL$2:$AL$636,MATCH($K649,Model!$R$2:$R$636,0)))</f>
        <v/>
      </c>
      <c r="E649">
        <f>IF($K649="","",INDEX(Raw_data!$AM$2:$AM$636,MATCH($K649,Model!$R$2:$R$636,0)))</f>
        <v/>
      </c>
      <c r="F649">
        <f>IF($K649="","",INDEX(Raw_data!$AQ$2:$AQ$636,MATCH($K649,Model!$R$2:$R$636,0)))</f>
        <v/>
      </c>
      <c r="G649">
        <f>IF($K649="","",INDEX(Raw_data!$H$2:$H$636,MATCH($K649,Model!$R$2:$R$636,0)))</f>
        <v/>
      </c>
      <c r="H649" s="8">
        <f>IF($K649="","",INDEX(Model!$B$2:$B$636,MATCH($K649,Model!$R$2:$R$636,0)))</f>
        <v/>
      </c>
      <c r="I649" s="8">
        <f>IF($K649="","",INDEX(Model!$C$2:$C$636,MATCH($K649,Model!$R$2:$R$636,0)))</f>
        <v/>
      </c>
      <c r="J649">
        <f>IF($K649="","",INDEX(Model!$D$2:$D$636,MATCH($K649,Model!$R$2:$R$636,0)))</f>
        <v/>
      </c>
      <c r="K649">
        <f>IF(613&lt;=$E$5,LARGE(Model!$R$2:$R$636,613),"")</f>
        <v/>
      </c>
    </row>
    <row r="650">
      <c r="A650">
        <f>IF($K650="","",INDEX(Raw_data!$D$2:$D$636,MATCH($K650,Model!$R$2:$R$636,0)))</f>
        <v/>
      </c>
      <c r="B650" s="11">
        <f>IF($K650="","",INDEX(Raw_data!$F$2:$F$636,MATCH($K650,Model!$R$2:$R$636,0)))</f>
        <v/>
      </c>
      <c r="C650">
        <f>IF($K650="","",HYPERLINK(INDEX(Raw_data!$C$2:$C$636,MATCH($K650,Model!$R$2:$R$636,0)),INDEX(Raw_data!$C$2:$C$636,MATCH($K650,Model!$R$2:$R$636,0))))</f>
        <v/>
      </c>
      <c r="D650">
        <f>IF($K650="","",INDEX(Raw_data!$AL$2:$AL$636,MATCH($K650,Model!$R$2:$R$636,0)))</f>
        <v/>
      </c>
      <c r="E650">
        <f>IF($K650="","",INDEX(Raw_data!$AM$2:$AM$636,MATCH($K650,Model!$R$2:$R$636,0)))</f>
        <v/>
      </c>
      <c r="F650">
        <f>IF($K650="","",INDEX(Raw_data!$AQ$2:$AQ$636,MATCH($K650,Model!$R$2:$R$636,0)))</f>
        <v/>
      </c>
      <c r="G650">
        <f>IF($K650="","",INDEX(Raw_data!$H$2:$H$636,MATCH($K650,Model!$R$2:$R$636,0)))</f>
        <v/>
      </c>
      <c r="H650" s="8">
        <f>IF($K650="","",INDEX(Model!$B$2:$B$636,MATCH($K650,Model!$R$2:$R$636,0)))</f>
        <v/>
      </c>
      <c r="I650" s="8">
        <f>IF($K650="","",INDEX(Model!$C$2:$C$636,MATCH($K650,Model!$R$2:$R$636,0)))</f>
        <v/>
      </c>
      <c r="J650">
        <f>IF($K650="","",INDEX(Model!$D$2:$D$636,MATCH($K650,Model!$R$2:$R$636,0)))</f>
        <v/>
      </c>
      <c r="K650">
        <f>IF(614&lt;=$E$5,LARGE(Model!$R$2:$R$636,614),"")</f>
        <v/>
      </c>
    </row>
    <row r="651">
      <c r="A651">
        <f>IF($K651="","",INDEX(Raw_data!$D$2:$D$636,MATCH($K651,Model!$R$2:$R$636,0)))</f>
        <v/>
      </c>
      <c r="B651" s="11">
        <f>IF($K651="","",INDEX(Raw_data!$F$2:$F$636,MATCH($K651,Model!$R$2:$R$636,0)))</f>
        <v/>
      </c>
      <c r="C651">
        <f>IF($K651="","",HYPERLINK(INDEX(Raw_data!$C$2:$C$636,MATCH($K651,Model!$R$2:$R$636,0)),INDEX(Raw_data!$C$2:$C$636,MATCH($K651,Model!$R$2:$R$636,0))))</f>
        <v/>
      </c>
      <c r="D651">
        <f>IF($K651="","",INDEX(Raw_data!$AL$2:$AL$636,MATCH($K651,Model!$R$2:$R$636,0)))</f>
        <v/>
      </c>
      <c r="E651">
        <f>IF($K651="","",INDEX(Raw_data!$AM$2:$AM$636,MATCH($K651,Model!$R$2:$R$636,0)))</f>
        <v/>
      </c>
      <c r="F651">
        <f>IF($K651="","",INDEX(Raw_data!$AQ$2:$AQ$636,MATCH($K651,Model!$R$2:$R$636,0)))</f>
        <v/>
      </c>
      <c r="G651">
        <f>IF($K651="","",INDEX(Raw_data!$H$2:$H$636,MATCH($K651,Model!$R$2:$R$636,0)))</f>
        <v/>
      </c>
      <c r="H651" s="8">
        <f>IF($K651="","",INDEX(Model!$B$2:$B$636,MATCH($K651,Model!$R$2:$R$636,0)))</f>
        <v/>
      </c>
      <c r="I651" s="8">
        <f>IF($K651="","",INDEX(Model!$C$2:$C$636,MATCH($K651,Model!$R$2:$R$636,0)))</f>
        <v/>
      </c>
      <c r="J651">
        <f>IF($K651="","",INDEX(Model!$D$2:$D$636,MATCH($K651,Model!$R$2:$R$636,0)))</f>
        <v/>
      </c>
      <c r="K651">
        <f>IF(615&lt;=$E$5,LARGE(Model!$R$2:$R$636,615),"")</f>
        <v/>
      </c>
    </row>
    <row r="652">
      <c r="A652">
        <f>IF($K652="","",INDEX(Raw_data!$D$2:$D$636,MATCH($K652,Model!$R$2:$R$636,0)))</f>
        <v/>
      </c>
      <c r="B652" s="11">
        <f>IF($K652="","",INDEX(Raw_data!$F$2:$F$636,MATCH($K652,Model!$R$2:$R$636,0)))</f>
        <v/>
      </c>
      <c r="C652">
        <f>IF($K652="","",HYPERLINK(INDEX(Raw_data!$C$2:$C$636,MATCH($K652,Model!$R$2:$R$636,0)),INDEX(Raw_data!$C$2:$C$636,MATCH($K652,Model!$R$2:$R$636,0))))</f>
        <v/>
      </c>
      <c r="D652">
        <f>IF($K652="","",INDEX(Raw_data!$AL$2:$AL$636,MATCH($K652,Model!$R$2:$R$636,0)))</f>
        <v/>
      </c>
      <c r="E652">
        <f>IF($K652="","",INDEX(Raw_data!$AM$2:$AM$636,MATCH($K652,Model!$R$2:$R$636,0)))</f>
        <v/>
      </c>
      <c r="F652">
        <f>IF($K652="","",INDEX(Raw_data!$AQ$2:$AQ$636,MATCH($K652,Model!$R$2:$R$636,0)))</f>
        <v/>
      </c>
      <c r="G652">
        <f>IF($K652="","",INDEX(Raw_data!$H$2:$H$636,MATCH($K652,Model!$R$2:$R$636,0)))</f>
        <v/>
      </c>
      <c r="H652" s="8">
        <f>IF($K652="","",INDEX(Model!$B$2:$B$636,MATCH($K652,Model!$R$2:$R$636,0)))</f>
        <v/>
      </c>
      <c r="I652" s="8">
        <f>IF($K652="","",INDEX(Model!$C$2:$C$636,MATCH($K652,Model!$R$2:$R$636,0)))</f>
        <v/>
      </c>
      <c r="J652">
        <f>IF($K652="","",INDEX(Model!$D$2:$D$636,MATCH($K652,Model!$R$2:$R$636,0)))</f>
        <v/>
      </c>
      <c r="K652">
        <f>IF(616&lt;=$E$5,LARGE(Model!$R$2:$R$636,616),"")</f>
        <v/>
      </c>
    </row>
    <row r="653">
      <c r="A653">
        <f>IF($K653="","",INDEX(Raw_data!$D$2:$D$636,MATCH($K653,Model!$R$2:$R$636,0)))</f>
        <v/>
      </c>
      <c r="B653" s="11">
        <f>IF($K653="","",INDEX(Raw_data!$F$2:$F$636,MATCH($K653,Model!$R$2:$R$636,0)))</f>
        <v/>
      </c>
      <c r="C653">
        <f>IF($K653="","",HYPERLINK(INDEX(Raw_data!$C$2:$C$636,MATCH($K653,Model!$R$2:$R$636,0)),INDEX(Raw_data!$C$2:$C$636,MATCH($K653,Model!$R$2:$R$636,0))))</f>
        <v/>
      </c>
      <c r="D653">
        <f>IF($K653="","",INDEX(Raw_data!$AL$2:$AL$636,MATCH($K653,Model!$R$2:$R$636,0)))</f>
        <v/>
      </c>
      <c r="E653">
        <f>IF($K653="","",INDEX(Raw_data!$AM$2:$AM$636,MATCH($K653,Model!$R$2:$R$636,0)))</f>
        <v/>
      </c>
      <c r="F653">
        <f>IF($K653="","",INDEX(Raw_data!$AQ$2:$AQ$636,MATCH($K653,Model!$R$2:$R$636,0)))</f>
        <v/>
      </c>
      <c r="G653">
        <f>IF($K653="","",INDEX(Raw_data!$H$2:$H$636,MATCH($K653,Model!$R$2:$R$636,0)))</f>
        <v/>
      </c>
      <c r="H653" s="8">
        <f>IF($K653="","",INDEX(Model!$B$2:$B$636,MATCH($K653,Model!$R$2:$R$636,0)))</f>
        <v/>
      </c>
      <c r="I653" s="8">
        <f>IF($K653="","",INDEX(Model!$C$2:$C$636,MATCH($K653,Model!$R$2:$R$636,0)))</f>
        <v/>
      </c>
      <c r="J653">
        <f>IF($K653="","",INDEX(Model!$D$2:$D$636,MATCH($K653,Model!$R$2:$R$636,0)))</f>
        <v/>
      </c>
      <c r="K653">
        <f>IF(617&lt;=$E$5,LARGE(Model!$R$2:$R$636,617),"")</f>
        <v/>
      </c>
    </row>
    <row r="654">
      <c r="A654">
        <f>IF($K654="","",INDEX(Raw_data!$D$2:$D$636,MATCH($K654,Model!$R$2:$R$636,0)))</f>
        <v/>
      </c>
      <c r="B654" s="11">
        <f>IF($K654="","",INDEX(Raw_data!$F$2:$F$636,MATCH($K654,Model!$R$2:$R$636,0)))</f>
        <v/>
      </c>
      <c r="C654">
        <f>IF($K654="","",HYPERLINK(INDEX(Raw_data!$C$2:$C$636,MATCH($K654,Model!$R$2:$R$636,0)),INDEX(Raw_data!$C$2:$C$636,MATCH($K654,Model!$R$2:$R$636,0))))</f>
        <v/>
      </c>
      <c r="D654">
        <f>IF($K654="","",INDEX(Raw_data!$AL$2:$AL$636,MATCH($K654,Model!$R$2:$R$636,0)))</f>
        <v/>
      </c>
      <c r="E654">
        <f>IF($K654="","",INDEX(Raw_data!$AM$2:$AM$636,MATCH($K654,Model!$R$2:$R$636,0)))</f>
        <v/>
      </c>
      <c r="F654">
        <f>IF($K654="","",INDEX(Raw_data!$AQ$2:$AQ$636,MATCH($K654,Model!$R$2:$R$636,0)))</f>
        <v/>
      </c>
      <c r="G654">
        <f>IF($K654="","",INDEX(Raw_data!$H$2:$H$636,MATCH($K654,Model!$R$2:$R$636,0)))</f>
        <v/>
      </c>
      <c r="H654" s="8">
        <f>IF($K654="","",INDEX(Model!$B$2:$B$636,MATCH($K654,Model!$R$2:$R$636,0)))</f>
        <v/>
      </c>
      <c r="I654" s="8">
        <f>IF($K654="","",INDEX(Model!$C$2:$C$636,MATCH($K654,Model!$R$2:$R$636,0)))</f>
        <v/>
      </c>
      <c r="J654">
        <f>IF($K654="","",INDEX(Model!$D$2:$D$636,MATCH($K654,Model!$R$2:$R$636,0)))</f>
        <v/>
      </c>
      <c r="K654">
        <f>IF(618&lt;=$E$5,LARGE(Model!$R$2:$R$636,618),"")</f>
        <v/>
      </c>
    </row>
    <row r="655">
      <c r="A655">
        <f>IF($K655="","",INDEX(Raw_data!$D$2:$D$636,MATCH($K655,Model!$R$2:$R$636,0)))</f>
        <v/>
      </c>
      <c r="B655" s="11">
        <f>IF($K655="","",INDEX(Raw_data!$F$2:$F$636,MATCH($K655,Model!$R$2:$R$636,0)))</f>
        <v/>
      </c>
      <c r="C655">
        <f>IF($K655="","",HYPERLINK(INDEX(Raw_data!$C$2:$C$636,MATCH($K655,Model!$R$2:$R$636,0)),INDEX(Raw_data!$C$2:$C$636,MATCH($K655,Model!$R$2:$R$636,0))))</f>
        <v/>
      </c>
      <c r="D655">
        <f>IF($K655="","",INDEX(Raw_data!$AL$2:$AL$636,MATCH($K655,Model!$R$2:$R$636,0)))</f>
        <v/>
      </c>
      <c r="E655">
        <f>IF($K655="","",INDEX(Raw_data!$AM$2:$AM$636,MATCH($K655,Model!$R$2:$R$636,0)))</f>
        <v/>
      </c>
      <c r="F655">
        <f>IF($K655="","",INDEX(Raw_data!$AQ$2:$AQ$636,MATCH($K655,Model!$R$2:$R$636,0)))</f>
        <v/>
      </c>
      <c r="G655">
        <f>IF($K655="","",INDEX(Raw_data!$H$2:$H$636,MATCH($K655,Model!$R$2:$R$636,0)))</f>
        <v/>
      </c>
      <c r="H655" s="8">
        <f>IF($K655="","",INDEX(Model!$B$2:$B$636,MATCH($K655,Model!$R$2:$R$636,0)))</f>
        <v/>
      </c>
      <c r="I655" s="8">
        <f>IF($K655="","",INDEX(Model!$C$2:$C$636,MATCH($K655,Model!$R$2:$R$636,0)))</f>
        <v/>
      </c>
      <c r="J655">
        <f>IF($K655="","",INDEX(Model!$D$2:$D$636,MATCH($K655,Model!$R$2:$R$636,0)))</f>
        <v/>
      </c>
      <c r="K655">
        <f>IF(619&lt;=$E$5,LARGE(Model!$R$2:$R$636,619),"")</f>
        <v/>
      </c>
    </row>
    <row r="656">
      <c r="A656">
        <f>IF($K656="","",INDEX(Raw_data!$D$2:$D$636,MATCH($K656,Model!$R$2:$R$636,0)))</f>
        <v/>
      </c>
      <c r="B656" s="11">
        <f>IF($K656="","",INDEX(Raw_data!$F$2:$F$636,MATCH($K656,Model!$R$2:$R$636,0)))</f>
        <v/>
      </c>
      <c r="C656">
        <f>IF($K656="","",HYPERLINK(INDEX(Raw_data!$C$2:$C$636,MATCH($K656,Model!$R$2:$R$636,0)),INDEX(Raw_data!$C$2:$C$636,MATCH($K656,Model!$R$2:$R$636,0))))</f>
        <v/>
      </c>
      <c r="D656">
        <f>IF($K656="","",INDEX(Raw_data!$AL$2:$AL$636,MATCH($K656,Model!$R$2:$R$636,0)))</f>
        <v/>
      </c>
      <c r="E656">
        <f>IF($K656="","",INDEX(Raw_data!$AM$2:$AM$636,MATCH($K656,Model!$R$2:$R$636,0)))</f>
        <v/>
      </c>
      <c r="F656">
        <f>IF($K656="","",INDEX(Raw_data!$AQ$2:$AQ$636,MATCH($K656,Model!$R$2:$R$636,0)))</f>
        <v/>
      </c>
      <c r="G656">
        <f>IF($K656="","",INDEX(Raw_data!$H$2:$H$636,MATCH($K656,Model!$R$2:$R$636,0)))</f>
        <v/>
      </c>
      <c r="H656" s="8">
        <f>IF($K656="","",INDEX(Model!$B$2:$B$636,MATCH($K656,Model!$R$2:$R$636,0)))</f>
        <v/>
      </c>
      <c r="I656" s="8">
        <f>IF($K656="","",INDEX(Model!$C$2:$C$636,MATCH($K656,Model!$R$2:$R$636,0)))</f>
        <v/>
      </c>
      <c r="J656">
        <f>IF($K656="","",INDEX(Model!$D$2:$D$636,MATCH($K656,Model!$R$2:$R$636,0)))</f>
        <v/>
      </c>
      <c r="K656">
        <f>IF(620&lt;=$E$5,LARGE(Model!$R$2:$R$636,620),"")</f>
        <v/>
      </c>
    </row>
    <row r="657">
      <c r="A657">
        <f>IF($K657="","",INDEX(Raw_data!$D$2:$D$636,MATCH($K657,Model!$R$2:$R$636,0)))</f>
        <v/>
      </c>
      <c r="B657" s="11">
        <f>IF($K657="","",INDEX(Raw_data!$F$2:$F$636,MATCH($K657,Model!$R$2:$R$636,0)))</f>
        <v/>
      </c>
      <c r="C657">
        <f>IF($K657="","",HYPERLINK(INDEX(Raw_data!$C$2:$C$636,MATCH($K657,Model!$R$2:$R$636,0)),INDEX(Raw_data!$C$2:$C$636,MATCH($K657,Model!$R$2:$R$636,0))))</f>
        <v/>
      </c>
      <c r="D657">
        <f>IF($K657="","",INDEX(Raw_data!$AL$2:$AL$636,MATCH($K657,Model!$R$2:$R$636,0)))</f>
        <v/>
      </c>
      <c r="E657">
        <f>IF($K657="","",INDEX(Raw_data!$AM$2:$AM$636,MATCH($K657,Model!$R$2:$R$636,0)))</f>
        <v/>
      </c>
      <c r="F657">
        <f>IF($K657="","",INDEX(Raw_data!$AQ$2:$AQ$636,MATCH($K657,Model!$R$2:$R$636,0)))</f>
        <v/>
      </c>
      <c r="G657">
        <f>IF($K657="","",INDEX(Raw_data!$H$2:$H$636,MATCH($K657,Model!$R$2:$R$636,0)))</f>
        <v/>
      </c>
      <c r="H657" s="8">
        <f>IF($K657="","",INDEX(Model!$B$2:$B$636,MATCH($K657,Model!$R$2:$R$636,0)))</f>
        <v/>
      </c>
      <c r="I657" s="8">
        <f>IF($K657="","",INDEX(Model!$C$2:$C$636,MATCH($K657,Model!$R$2:$R$636,0)))</f>
        <v/>
      </c>
      <c r="J657">
        <f>IF($K657="","",INDEX(Model!$D$2:$D$636,MATCH($K657,Model!$R$2:$R$636,0)))</f>
        <v/>
      </c>
      <c r="K657">
        <f>IF(621&lt;=$E$5,LARGE(Model!$R$2:$R$636,621),"")</f>
        <v/>
      </c>
    </row>
    <row r="658">
      <c r="A658">
        <f>IF($K658="","",INDEX(Raw_data!$D$2:$D$636,MATCH($K658,Model!$R$2:$R$636,0)))</f>
        <v/>
      </c>
      <c r="B658" s="11">
        <f>IF($K658="","",INDEX(Raw_data!$F$2:$F$636,MATCH($K658,Model!$R$2:$R$636,0)))</f>
        <v/>
      </c>
      <c r="C658">
        <f>IF($K658="","",HYPERLINK(INDEX(Raw_data!$C$2:$C$636,MATCH($K658,Model!$R$2:$R$636,0)),INDEX(Raw_data!$C$2:$C$636,MATCH($K658,Model!$R$2:$R$636,0))))</f>
        <v/>
      </c>
      <c r="D658">
        <f>IF($K658="","",INDEX(Raw_data!$AL$2:$AL$636,MATCH($K658,Model!$R$2:$R$636,0)))</f>
        <v/>
      </c>
      <c r="E658">
        <f>IF($K658="","",INDEX(Raw_data!$AM$2:$AM$636,MATCH($K658,Model!$R$2:$R$636,0)))</f>
        <v/>
      </c>
      <c r="F658">
        <f>IF($K658="","",INDEX(Raw_data!$AQ$2:$AQ$636,MATCH($K658,Model!$R$2:$R$636,0)))</f>
        <v/>
      </c>
      <c r="G658">
        <f>IF($K658="","",INDEX(Raw_data!$H$2:$H$636,MATCH($K658,Model!$R$2:$R$636,0)))</f>
        <v/>
      </c>
      <c r="H658" s="8">
        <f>IF($K658="","",INDEX(Model!$B$2:$B$636,MATCH($K658,Model!$R$2:$R$636,0)))</f>
        <v/>
      </c>
      <c r="I658" s="8">
        <f>IF($K658="","",INDEX(Model!$C$2:$C$636,MATCH($K658,Model!$R$2:$R$636,0)))</f>
        <v/>
      </c>
      <c r="J658">
        <f>IF($K658="","",INDEX(Model!$D$2:$D$636,MATCH($K658,Model!$R$2:$R$636,0)))</f>
        <v/>
      </c>
      <c r="K658">
        <f>IF(622&lt;=$E$5,LARGE(Model!$R$2:$R$636,622),"")</f>
        <v/>
      </c>
    </row>
    <row r="659">
      <c r="A659">
        <f>IF($K659="","",INDEX(Raw_data!$D$2:$D$636,MATCH($K659,Model!$R$2:$R$636,0)))</f>
        <v/>
      </c>
      <c r="B659" s="11">
        <f>IF($K659="","",INDEX(Raw_data!$F$2:$F$636,MATCH($K659,Model!$R$2:$R$636,0)))</f>
        <v/>
      </c>
      <c r="C659">
        <f>IF($K659="","",HYPERLINK(INDEX(Raw_data!$C$2:$C$636,MATCH($K659,Model!$R$2:$R$636,0)),INDEX(Raw_data!$C$2:$C$636,MATCH($K659,Model!$R$2:$R$636,0))))</f>
        <v/>
      </c>
      <c r="D659">
        <f>IF($K659="","",INDEX(Raw_data!$AL$2:$AL$636,MATCH($K659,Model!$R$2:$R$636,0)))</f>
        <v/>
      </c>
      <c r="E659">
        <f>IF($K659="","",INDEX(Raw_data!$AM$2:$AM$636,MATCH($K659,Model!$R$2:$R$636,0)))</f>
        <v/>
      </c>
      <c r="F659">
        <f>IF($K659="","",INDEX(Raw_data!$AQ$2:$AQ$636,MATCH($K659,Model!$R$2:$R$636,0)))</f>
        <v/>
      </c>
      <c r="G659">
        <f>IF($K659="","",INDEX(Raw_data!$H$2:$H$636,MATCH($K659,Model!$R$2:$R$636,0)))</f>
        <v/>
      </c>
      <c r="H659" s="8">
        <f>IF($K659="","",INDEX(Model!$B$2:$B$636,MATCH($K659,Model!$R$2:$R$636,0)))</f>
        <v/>
      </c>
      <c r="I659" s="8">
        <f>IF($K659="","",INDEX(Model!$C$2:$C$636,MATCH($K659,Model!$R$2:$R$636,0)))</f>
        <v/>
      </c>
      <c r="J659">
        <f>IF($K659="","",INDEX(Model!$D$2:$D$636,MATCH($K659,Model!$R$2:$R$636,0)))</f>
        <v/>
      </c>
      <c r="K659">
        <f>IF(623&lt;=$E$5,LARGE(Model!$R$2:$R$636,623),"")</f>
        <v/>
      </c>
    </row>
    <row r="660">
      <c r="A660">
        <f>IF($K660="","",INDEX(Raw_data!$D$2:$D$636,MATCH($K660,Model!$R$2:$R$636,0)))</f>
        <v/>
      </c>
      <c r="B660" s="11">
        <f>IF($K660="","",INDEX(Raw_data!$F$2:$F$636,MATCH($K660,Model!$R$2:$R$636,0)))</f>
        <v/>
      </c>
      <c r="C660">
        <f>IF($K660="","",HYPERLINK(INDEX(Raw_data!$C$2:$C$636,MATCH($K660,Model!$R$2:$R$636,0)),INDEX(Raw_data!$C$2:$C$636,MATCH($K660,Model!$R$2:$R$636,0))))</f>
        <v/>
      </c>
      <c r="D660">
        <f>IF($K660="","",INDEX(Raw_data!$AL$2:$AL$636,MATCH($K660,Model!$R$2:$R$636,0)))</f>
        <v/>
      </c>
      <c r="E660">
        <f>IF($K660="","",INDEX(Raw_data!$AM$2:$AM$636,MATCH($K660,Model!$R$2:$R$636,0)))</f>
        <v/>
      </c>
      <c r="F660">
        <f>IF($K660="","",INDEX(Raw_data!$AQ$2:$AQ$636,MATCH($K660,Model!$R$2:$R$636,0)))</f>
        <v/>
      </c>
      <c r="G660">
        <f>IF($K660="","",INDEX(Raw_data!$H$2:$H$636,MATCH($K660,Model!$R$2:$R$636,0)))</f>
        <v/>
      </c>
      <c r="H660" s="8">
        <f>IF($K660="","",INDEX(Model!$B$2:$B$636,MATCH($K660,Model!$R$2:$R$636,0)))</f>
        <v/>
      </c>
      <c r="I660" s="8">
        <f>IF($K660="","",INDEX(Model!$C$2:$C$636,MATCH($K660,Model!$R$2:$R$636,0)))</f>
        <v/>
      </c>
      <c r="J660">
        <f>IF($K660="","",INDEX(Model!$D$2:$D$636,MATCH($K660,Model!$R$2:$R$636,0)))</f>
        <v/>
      </c>
      <c r="K660">
        <f>IF(624&lt;=$E$5,LARGE(Model!$R$2:$R$636,624),"")</f>
        <v/>
      </c>
    </row>
    <row r="661">
      <c r="A661">
        <f>IF($K661="","",INDEX(Raw_data!$D$2:$D$636,MATCH($K661,Model!$R$2:$R$636,0)))</f>
        <v/>
      </c>
      <c r="B661" s="11">
        <f>IF($K661="","",INDEX(Raw_data!$F$2:$F$636,MATCH($K661,Model!$R$2:$R$636,0)))</f>
        <v/>
      </c>
      <c r="C661">
        <f>IF($K661="","",HYPERLINK(INDEX(Raw_data!$C$2:$C$636,MATCH($K661,Model!$R$2:$R$636,0)),INDEX(Raw_data!$C$2:$C$636,MATCH($K661,Model!$R$2:$R$636,0))))</f>
        <v/>
      </c>
      <c r="D661">
        <f>IF($K661="","",INDEX(Raw_data!$AL$2:$AL$636,MATCH($K661,Model!$R$2:$R$636,0)))</f>
        <v/>
      </c>
      <c r="E661">
        <f>IF($K661="","",INDEX(Raw_data!$AM$2:$AM$636,MATCH($K661,Model!$R$2:$R$636,0)))</f>
        <v/>
      </c>
      <c r="F661">
        <f>IF($K661="","",INDEX(Raw_data!$AQ$2:$AQ$636,MATCH($K661,Model!$R$2:$R$636,0)))</f>
        <v/>
      </c>
      <c r="G661">
        <f>IF($K661="","",INDEX(Raw_data!$H$2:$H$636,MATCH($K661,Model!$R$2:$R$636,0)))</f>
        <v/>
      </c>
      <c r="H661" s="8">
        <f>IF($K661="","",INDEX(Model!$B$2:$B$636,MATCH($K661,Model!$R$2:$R$636,0)))</f>
        <v/>
      </c>
      <c r="I661" s="8">
        <f>IF($K661="","",INDEX(Model!$C$2:$C$636,MATCH($K661,Model!$R$2:$R$636,0)))</f>
        <v/>
      </c>
      <c r="J661">
        <f>IF($K661="","",INDEX(Model!$D$2:$D$636,MATCH($K661,Model!$R$2:$R$636,0)))</f>
        <v/>
      </c>
      <c r="K661">
        <f>IF(625&lt;=$E$5,LARGE(Model!$R$2:$R$636,625),"")</f>
        <v/>
      </c>
    </row>
    <row r="662">
      <c r="A662">
        <f>IF($K662="","",INDEX(Raw_data!$D$2:$D$636,MATCH($K662,Model!$R$2:$R$636,0)))</f>
        <v/>
      </c>
      <c r="B662" s="11">
        <f>IF($K662="","",INDEX(Raw_data!$F$2:$F$636,MATCH($K662,Model!$R$2:$R$636,0)))</f>
        <v/>
      </c>
      <c r="C662">
        <f>IF($K662="","",HYPERLINK(INDEX(Raw_data!$C$2:$C$636,MATCH($K662,Model!$R$2:$R$636,0)),INDEX(Raw_data!$C$2:$C$636,MATCH($K662,Model!$R$2:$R$636,0))))</f>
        <v/>
      </c>
      <c r="D662">
        <f>IF($K662="","",INDEX(Raw_data!$AL$2:$AL$636,MATCH($K662,Model!$R$2:$R$636,0)))</f>
        <v/>
      </c>
      <c r="E662">
        <f>IF($K662="","",INDEX(Raw_data!$AM$2:$AM$636,MATCH($K662,Model!$R$2:$R$636,0)))</f>
        <v/>
      </c>
      <c r="F662">
        <f>IF($K662="","",INDEX(Raw_data!$AQ$2:$AQ$636,MATCH($K662,Model!$R$2:$R$636,0)))</f>
        <v/>
      </c>
      <c r="G662">
        <f>IF($K662="","",INDEX(Raw_data!$H$2:$H$636,MATCH($K662,Model!$R$2:$R$636,0)))</f>
        <v/>
      </c>
      <c r="H662" s="8">
        <f>IF($K662="","",INDEX(Model!$B$2:$B$636,MATCH($K662,Model!$R$2:$R$636,0)))</f>
        <v/>
      </c>
      <c r="I662" s="8">
        <f>IF($K662="","",INDEX(Model!$C$2:$C$636,MATCH($K662,Model!$R$2:$R$636,0)))</f>
        <v/>
      </c>
      <c r="J662">
        <f>IF($K662="","",INDEX(Model!$D$2:$D$636,MATCH($K662,Model!$R$2:$R$636,0)))</f>
        <v/>
      </c>
      <c r="K662">
        <f>IF(626&lt;=$E$5,LARGE(Model!$R$2:$R$636,626),"")</f>
        <v/>
      </c>
    </row>
    <row r="663">
      <c r="A663">
        <f>IF($K663="","",INDEX(Raw_data!$D$2:$D$636,MATCH($K663,Model!$R$2:$R$636,0)))</f>
        <v/>
      </c>
      <c r="B663" s="11">
        <f>IF($K663="","",INDEX(Raw_data!$F$2:$F$636,MATCH($K663,Model!$R$2:$R$636,0)))</f>
        <v/>
      </c>
      <c r="C663">
        <f>IF($K663="","",HYPERLINK(INDEX(Raw_data!$C$2:$C$636,MATCH($K663,Model!$R$2:$R$636,0)),INDEX(Raw_data!$C$2:$C$636,MATCH($K663,Model!$R$2:$R$636,0))))</f>
        <v/>
      </c>
      <c r="D663">
        <f>IF($K663="","",INDEX(Raw_data!$AL$2:$AL$636,MATCH($K663,Model!$R$2:$R$636,0)))</f>
        <v/>
      </c>
      <c r="E663">
        <f>IF($K663="","",INDEX(Raw_data!$AM$2:$AM$636,MATCH($K663,Model!$R$2:$R$636,0)))</f>
        <v/>
      </c>
      <c r="F663">
        <f>IF($K663="","",INDEX(Raw_data!$AQ$2:$AQ$636,MATCH($K663,Model!$R$2:$R$636,0)))</f>
        <v/>
      </c>
      <c r="G663">
        <f>IF($K663="","",INDEX(Raw_data!$H$2:$H$636,MATCH($K663,Model!$R$2:$R$636,0)))</f>
        <v/>
      </c>
      <c r="H663" s="8">
        <f>IF($K663="","",INDEX(Model!$B$2:$B$636,MATCH($K663,Model!$R$2:$R$636,0)))</f>
        <v/>
      </c>
      <c r="I663" s="8">
        <f>IF($K663="","",INDEX(Model!$C$2:$C$636,MATCH($K663,Model!$R$2:$R$636,0)))</f>
        <v/>
      </c>
      <c r="J663">
        <f>IF($K663="","",INDEX(Model!$D$2:$D$636,MATCH($K663,Model!$R$2:$R$636,0)))</f>
        <v/>
      </c>
      <c r="K663">
        <f>IF(627&lt;=$E$5,LARGE(Model!$R$2:$R$636,627),"")</f>
        <v/>
      </c>
    </row>
    <row r="664">
      <c r="A664">
        <f>IF($K664="","",INDEX(Raw_data!$D$2:$D$636,MATCH($K664,Model!$R$2:$R$636,0)))</f>
        <v/>
      </c>
      <c r="B664" s="11">
        <f>IF($K664="","",INDEX(Raw_data!$F$2:$F$636,MATCH($K664,Model!$R$2:$R$636,0)))</f>
        <v/>
      </c>
      <c r="C664">
        <f>IF($K664="","",HYPERLINK(INDEX(Raw_data!$C$2:$C$636,MATCH($K664,Model!$R$2:$R$636,0)),INDEX(Raw_data!$C$2:$C$636,MATCH($K664,Model!$R$2:$R$636,0))))</f>
        <v/>
      </c>
      <c r="D664">
        <f>IF($K664="","",INDEX(Raw_data!$AL$2:$AL$636,MATCH($K664,Model!$R$2:$R$636,0)))</f>
        <v/>
      </c>
      <c r="E664">
        <f>IF($K664="","",INDEX(Raw_data!$AM$2:$AM$636,MATCH($K664,Model!$R$2:$R$636,0)))</f>
        <v/>
      </c>
      <c r="F664">
        <f>IF($K664="","",INDEX(Raw_data!$AQ$2:$AQ$636,MATCH($K664,Model!$R$2:$R$636,0)))</f>
        <v/>
      </c>
      <c r="G664">
        <f>IF($K664="","",INDEX(Raw_data!$H$2:$H$636,MATCH($K664,Model!$R$2:$R$636,0)))</f>
        <v/>
      </c>
      <c r="H664" s="8">
        <f>IF($K664="","",INDEX(Model!$B$2:$B$636,MATCH($K664,Model!$R$2:$R$636,0)))</f>
        <v/>
      </c>
      <c r="I664" s="8">
        <f>IF($K664="","",INDEX(Model!$C$2:$C$636,MATCH($K664,Model!$R$2:$R$636,0)))</f>
        <v/>
      </c>
      <c r="J664">
        <f>IF($K664="","",INDEX(Model!$D$2:$D$636,MATCH($K664,Model!$R$2:$R$636,0)))</f>
        <v/>
      </c>
      <c r="K664">
        <f>IF(628&lt;=$E$5,LARGE(Model!$R$2:$R$636,628),"")</f>
        <v/>
      </c>
    </row>
    <row r="665">
      <c r="A665">
        <f>IF($K665="","",INDEX(Raw_data!$D$2:$D$636,MATCH($K665,Model!$R$2:$R$636,0)))</f>
        <v/>
      </c>
      <c r="B665" s="11">
        <f>IF($K665="","",INDEX(Raw_data!$F$2:$F$636,MATCH($K665,Model!$R$2:$R$636,0)))</f>
        <v/>
      </c>
      <c r="C665">
        <f>IF($K665="","",HYPERLINK(INDEX(Raw_data!$C$2:$C$636,MATCH($K665,Model!$R$2:$R$636,0)),INDEX(Raw_data!$C$2:$C$636,MATCH($K665,Model!$R$2:$R$636,0))))</f>
        <v/>
      </c>
      <c r="D665">
        <f>IF($K665="","",INDEX(Raw_data!$AL$2:$AL$636,MATCH($K665,Model!$R$2:$R$636,0)))</f>
        <v/>
      </c>
      <c r="E665">
        <f>IF($K665="","",INDEX(Raw_data!$AM$2:$AM$636,MATCH($K665,Model!$R$2:$R$636,0)))</f>
        <v/>
      </c>
      <c r="F665">
        <f>IF($K665="","",INDEX(Raw_data!$AQ$2:$AQ$636,MATCH($K665,Model!$R$2:$R$636,0)))</f>
        <v/>
      </c>
      <c r="G665">
        <f>IF($K665="","",INDEX(Raw_data!$H$2:$H$636,MATCH($K665,Model!$R$2:$R$636,0)))</f>
        <v/>
      </c>
      <c r="H665" s="8">
        <f>IF($K665="","",INDEX(Model!$B$2:$B$636,MATCH($K665,Model!$R$2:$R$636,0)))</f>
        <v/>
      </c>
      <c r="I665" s="8">
        <f>IF($K665="","",INDEX(Model!$C$2:$C$636,MATCH($K665,Model!$R$2:$R$636,0)))</f>
        <v/>
      </c>
      <c r="J665">
        <f>IF($K665="","",INDEX(Model!$D$2:$D$636,MATCH($K665,Model!$R$2:$R$636,0)))</f>
        <v/>
      </c>
      <c r="K665">
        <f>IF(629&lt;=$E$5,LARGE(Model!$R$2:$R$636,629),"")</f>
        <v/>
      </c>
    </row>
    <row r="666">
      <c r="A666">
        <f>IF($K666="","",INDEX(Raw_data!$D$2:$D$636,MATCH($K666,Model!$R$2:$R$636,0)))</f>
        <v/>
      </c>
      <c r="B666" s="11">
        <f>IF($K666="","",INDEX(Raw_data!$F$2:$F$636,MATCH($K666,Model!$R$2:$R$636,0)))</f>
        <v/>
      </c>
      <c r="C666">
        <f>IF($K666="","",HYPERLINK(INDEX(Raw_data!$C$2:$C$636,MATCH($K666,Model!$R$2:$R$636,0)),INDEX(Raw_data!$C$2:$C$636,MATCH($K666,Model!$R$2:$R$636,0))))</f>
        <v/>
      </c>
      <c r="D666">
        <f>IF($K666="","",INDEX(Raw_data!$AL$2:$AL$636,MATCH($K666,Model!$R$2:$R$636,0)))</f>
        <v/>
      </c>
      <c r="E666">
        <f>IF($K666="","",INDEX(Raw_data!$AM$2:$AM$636,MATCH($K666,Model!$R$2:$R$636,0)))</f>
        <v/>
      </c>
      <c r="F666">
        <f>IF($K666="","",INDEX(Raw_data!$AQ$2:$AQ$636,MATCH($K666,Model!$R$2:$R$636,0)))</f>
        <v/>
      </c>
      <c r="G666">
        <f>IF($K666="","",INDEX(Raw_data!$H$2:$H$636,MATCH($K666,Model!$R$2:$R$636,0)))</f>
        <v/>
      </c>
      <c r="H666" s="8">
        <f>IF($K666="","",INDEX(Model!$B$2:$B$636,MATCH($K666,Model!$R$2:$R$636,0)))</f>
        <v/>
      </c>
      <c r="I666" s="8">
        <f>IF($K666="","",INDEX(Model!$C$2:$C$636,MATCH($K666,Model!$R$2:$R$636,0)))</f>
        <v/>
      </c>
      <c r="J666">
        <f>IF($K666="","",INDEX(Model!$D$2:$D$636,MATCH($K666,Model!$R$2:$R$636,0)))</f>
        <v/>
      </c>
      <c r="K666">
        <f>IF(630&lt;=$E$5,LARGE(Model!$R$2:$R$636,630),"")</f>
        <v/>
      </c>
    </row>
    <row r="667">
      <c r="A667">
        <f>IF($K667="","",INDEX(Raw_data!$D$2:$D$636,MATCH($K667,Model!$R$2:$R$636,0)))</f>
        <v/>
      </c>
      <c r="B667" s="11">
        <f>IF($K667="","",INDEX(Raw_data!$F$2:$F$636,MATCH($K667,Model!$R$2:$R$636,0)))</f>
        <v/>
      </c>
      <c r="C667">
        <f>IF($K667="","",HYPERLINK(INDEX(Raw_data!$C$2:$C$636,MATCH($K667,Model!$R$2:$R$636,0)),INDEX(Raw_data!$C$2:$C$636,MATCH($K667,Model!$R$2:$R$636,0))))</f>
        <v/>
      </c>
      <c r="D667">
        <f>IF($K667="","",INDEX(Raw_data!$AL$2:$AL$636,MATCH($K667,Model!$R$2:$R$636,0)))</f>
        <v/>
      </c>
      <c r="E667">
        <f>IF($K667="","",INDEX(Raw_data!$AM$2:$AM$636,MATCH($K667,Model!$R$2:$R$636,0)))</f>
        <v/>
      </c>
      <c r="F667">
        <f>IF($K667="","",INDEX(Raw_data!$AQ$2:$AQ$636,MATCH($K667,Model!$R$2:$R$636,0)))</f>
        <v/>
      </c>
      <c r="G667">
        <f>IF($K667="","",INDEX(Raw_data!$H$2:$H$636,MATCH($K667,Model!$R$2:$R$636,0)))</f>
        <v/>
      </c>
      <c r="H667" s="8">
        <f>IF($K667="","",INDEX(Model!$B$2:$B$636,MATCH($K667,Model!$R$2:$R$636,0)))</f>
        <v/>
      </c>
      <c r="I667" s="8">
        <f>IF($K667="","",INDEX(Model!$C$2:$C$636,MATCH($K667,Model!$R$2:$R$636,0)))</f>
        <v/>
      </c>
      <c r="J667">
        <f>IF($K667="","",INDEX(Model!$D$2:$D$636,MATCH($K667,Model!$R$2:$R$636,0)))</f>
        <v/>
      </c>
      <c r="K667">
        <f>IF(631&lt;=$E$5,LARGE(Model!$R$2:$R$636,631),"")</f>
        <v/>
      </c>
    </row>
    <row r="668">
      <c r="A668">
        <f>IF($K668="","",INDEX(Raw_data!$D$2:$D$636,MATCH($K668,Model!$R$2:$R$636,0)))</f>
        <v/>
      </c>
      <c r="B668" s="11">
        <f>IF($K668="","",INDEX(Raw_data!$F$2:$F$636,MATCH($K668,Model!$R$2:$R$636,0)))</f>
        <v/>
      </c>
      <c r="C668">
        <f>IF($K668="","",HYPERLINK(INDEX(Raw_data!$C$2:$C$636,MATCH($K668,Model!$R$2:$R$636,0)),INDEX(Raw_data!$C$2:$C$636,MATCH($K668,Model!$R$2:$R$636,0))))</f>
        <v/>
      </c>
      <c r="D668">
        <f>IF($K668="","",INDEX(Raw_data!$AL$2:$AL$636,MATCH($K668,Model!$R$2:$R$636,0)))</f>
        <v/>
      </c>
      <c r="E668">
        <f>IF($K668="","",INDEX(Raw_data!$AM$2:$AM$636,MATCH($K668,Model!$R$2:$R$636,0)))</f>
        <v/>
      </c>
      <c r="F668">
        <f>IF($K668="","",INDEX(Raw_data!$AQ$2:$AQ$636,MATCH($K668,Model!$R$2:$R$636,0)))</f>
        <v/>
      </c>
      <c r="G668">
        <f>IF($K668="","",INDEX(Raw_data!$H$2:$H$636,MATCH($K668,Model!$R$2:$R$636,0)))</f>
        <v/>
      </c>
      <c r="H668" s="8">
        <f>IF($K668="","",INDEX(Model!$B$2:$B$636,MATCH($K668,Model!$R$2:$R$636,0)))</f>
        <v/>
      </c>
      <c r="I668" s="8">
        <f>IF($K668="","",INDEX(Model!$C$2:$C$636,MATCH($K668,Model!$R$2:$R$636,0)))</f>
        <v/>
      </c>
      <c r="J668">
        <f>IF($K668="","",INDEX(Model!$D$2:$D$636,MATCH($K668,Model!$R$2:$R$636,0)))</f>
        <v/>
      </c>
      <c r="K668">
        <f>IF(632&lt;=$E$5,LARGE(Model!$R$2:$R$636,632),"")</f>
        <v/>
      </c>
    </row>
    <row r="669">
      <c r="A669">
        <f>IF($K669="","",INDEX(Raw_data!$D$2:$D$636,MATCH($K669,Model!$R$2:$R$636,0)))</f>
        <v/>
      </c>
      <c r="B669" s="11">
        <f>IF($K669="","",INDEX(Raw_data!$F$2:$F$636,MATCH($K669,Model!$R$2:$R$636,0)))</f>
        <v/>
      </c>
      <c r="C669">
        <f>IF($K669="","",HYPERLINK(INDEX(Raw_data!$C$2:$C$636,MATCH($K669,Model!$R$2:$R$636,0)),INDEX(Raw_data!$C$2:$C$636,MATCH($K669,Model!$R$2:$R$636,0))))</f>
        <v/>
      </c>
      <c r="D669">
        <f>IF($K669="","",INDEX(Raw_data!$AL$2:$AL$636,MATCH($K669,Model!$R$2:$R$636,0)))</f>
        <v/>
      </c>
      <c r="E669">
        <f>IF($K669="","",INDEX(Raw_data!$AM$2:$AM$636,MATCH($K669,Model!$R$2:$R$636,0)))</f>
        <v/>
      </c>
      <c r="F669">
        <f>IF($K669="","",INDEX(Raw_data!$AQ$2:$AQ$636,MATCH($K669,Model!$R$2:$R$636,0)))</f>
        <v/>
      </c>
      <c r="G669">
        <f>IF($K669="","",INDEX(Raw_data!$H$2:$H$636,MATCH($K669,Model!$R$2:$R$636,0)))</f>
        <v/>
      </c>
      <c r="H669" s="8">
        <f>IF($K669="","",INDEX(Model!$B$2:$B$636,MATCH($K669,Model!$R$2:$R$636,0)))</f>
        <v/>
      </c>
      <c r="I669" s="8">
        <f>IF($K669="","",INDEX(Model!$C$2:$C$636,MATCH($K669,Model!$R$2:$R$636,0)))</f>
        <v/>
      </c>
      <c r="J669">
        <f>IF($K669="","",INDEX(Model!$D$2:$D$636,MATCH($K669,Model!$R$2:$R$636,0)))</f>
        <v/>
      </c>
      <c r="K669">
        <f>IF(633&lt;=$E$5,LARGE(Model!$R$2:$R$636,633),"")</f>
        <v/>
      </c>
    </row>
    <row r="670">
      <c r="A670">
        <f>IF($K670="","",INDEX(Raw_data!$D$2:$D$636,MATCH($K670,Model!$R$2:$R$636,0)))</f>
        <v/>
      </c>
      <c r="B670" s="11">
        <f>IF($K670="","",INDEX(Raw_data!$F$2:$F$636,MATCH($K670,Model!$R$2:$R$636,0)))</f>
        <v/>
      </c>
      <c r="C670">
        <f>IF($K670="","",HYPERLINK(INDEX(Raw_data!$C$2:$C$636,MATCH($K670,Model!$R$2:$R$636,0)),INDEX(Raw_data!$C$2:$C$636,MATCH($K670,Model!$R$2:$R$636,0))))</f>
        <v/>
      </c>
      <c r="D670">
        <f>IF($K670="","",INDEX(Raw_data!$AL$2:$AL$636,MATCH($K670,Model!$R$2:$R$636,0)))</f>
        <v/>
      </c>
      <c r="E670">
        <f>IF($K670="","",INDEX(Raw_data!$AM$2:$AM$636,MATCH($K670,Model!$R$2:$R$636,0)))</f>
        <v/>
      </c>
      <c r="F670">
        <f>IF($K670="","",INDEX(Raw_data!$AQ$2:$AQ$636,MATCH($K670,Model!$R$2:$R$636,0)))</f>
        <v/>
      </c>
      <c r="G670">
        <f>IF($K670="","",INDEX(Raw_data!$H$2:$H$636,MATCH($K670,Model!$R$2:$R$636,0)))</f>
        <v/>
      </c>
      <c r="H670" s="8">
        <f>IF($K670="","",INDEX(Model!$B$2:$B$636,MATCH($K670,Model!$R$2:$R$636,0)))</f>
        <v/>
      </c>
      <c r="I670" s="8">
        <f>IF($K670="","",INDEX(Model!$C$2:$C$636,MATCH($K670,Model!$R$2:$R$636,0)))</f>
        <v/>
      </c>
      <c r="J670">
        <f>IF($K670="","",INDEX(Model!$D$2:$D$636,MATCH($K670,Model!$R$2:$R$636,0)))</f>
        <v/>
      </c>
      <c r="K670">
        <f>IF(634&lt;=$E$5,LARGE(Model!$R$2:$R$636,634),"")</f>
        <v/>
      </c>
    </row>
    <row r="671">
      <c r="A671">
        <f>IF($K671="","",INDEX(Raw_data!$D$2:$D$636,MATCH($K671,Model!$R$2:$R$636,0)))</f>
        <v/>
      </c>
      <c r="B671" s="11">
        <f>IF($K671="","",INDEX(Raw_data!$F$2:$F$636,MATCH($K671,Model!$R$2:$R$636,0)))</f>
        <v/>
      </c>
      <c r="C671">
        <f>IF($K671="","",HYPERLINK(INDEX(Raw_data!$C$2:$C$636,MATCH($K671,Model!$R$2:$R$636,0)),INDEX(Raw_data!$C$2:$C$636,MATCH($K671,Model!$R$2:$R$636,0))))</f>
        <v/>
      </c>
      <c r="D671">
        <f>IF($K671="","",INDEX(Raw_data!$AL$2:$AL$636,MATCH($K671,Model!$R$2:$R$636,0)))</f>
        <v/>
      </c>
      <c r="E671">
        <f>IF($K671="","",INDEX(Raw_data!$AM$2:$AM$636,MATCH($K671,Model!$R$2:$R$636,0)))</f>
        <v/>
      </c>
      <c r="F671">
        <f>IF($K671="","",INDEX(Raw_data!$AQ$2:$AQ$636,MATCH($K671,Model!$R$2:$R$636,0)))</f>
        <v/>
      </c>
      <c r="G671">
        <f>IF($K671="","",INDEX(Raw_data!$H$2:$H$636,MATCH($K671,Model!$R$2:$R$636,0)))</f>
        <v/>
      </c>
      <c r="H671" s="8">
        <f>IF($K671="","",INDEX(Model!$B$2:$B$636,MATCH($K671,Model!$R$2:$R$636,0)))</f>
        <v/>
      </c>
      <c r="I671" s="8">
        <f>IF($K671="","",INDEX(Model!$C$2:$C$636,MATCH($K671,Model!$R$2:$R$636,0)))</f>
        <v/>
      </c>
      <c r="J671">
        <f>IF($K671="","",INDEX(Model!$D$2:$D$636,MATCH($K671,Model!$R$2:$R$636,0)))</f>
        <v/>
      </c>
      <c r="K671">
        <f>IF(635&lt;=$E$5,LARGE(Model!$R$2:$R$636,635),"")</f>
        <v/>
      </c>
    </row>
  </sheetData>
  <conditionalFormatting sqref="B14:B17">
    <cfRule type="cellIs" priority="1" operator="greaterThan" dxfId="0" stopIfTrue="0">
      <formula>0</formula>
    </cfRule>
  </conditionalFormatting>
  <conditionalFormatting sqref="E14:E17">
    <cfRule type="cellIs" priority="2" operator="greaterThan" dxfId="1" stopIfTrue="0">
      <formula>0</formula>
    </cfRule>
  </conditionalFormatting>
  <dataValidations count="9">
    <dataValidation sqref="B3" showDropDown="0" showInputMessage="0" showErrorMessage="0" allowBlank="0" errorTitle="Invalid selection" error="Select a value from the dropdown" promptTitle="Filter" prompt="Choose a filter value" type="list">
      <formula1>=Lists!$A$2:$A$3</formula1>
    </dataValidation>
    <dataValidation sqref="B4" showDropDown="0" showInputMessage="0" showErrorMessage="0" allowBlank="0" errorTitle="Invalid selection" error="Select a value from the dropdown" promptTitle="Filter" prompt="Choose a filter value" type="list">
      <formula1>=Lists!$B$2:$B$20</formula1>
    </dataValidation>
    <dataValidation sqref="B5" showDropDown="0" showInputMessage="0" showErrorMessage="0" allowBlank="0" errorTitle="Invalid selection" error="Select a value from the dropdown" promptTitle="Filter" prompt="Choose a filter value" type="list">
      <formula1>=Lists!$C$2:$C$146</formula1>
    </dataValidation>
    <dataValidation sqref="B6" showDropDown="0" showInputMessage="0" showErrorMessage="0" allowBlank="0" errorTitle="Invalid selection" error="Select a value from the dropdown" promptTitle="Filter" prompt="Choose a filter value" type="list">
      <formula1>=Lists!$D$2:$D$67</formula1>
    </dataValidation>
    <dataValidation sqref="B7" showDropDown="0" showInputMessage="0" showErrorMessage="0" allowBlank="0" errorTitle="Invalid selection" error="Select a value from the dropdown" promptTitle="Filter" prompt="Choose a filter value" type="list">
      <formula1>=Lists!$E$2:$E$5</formula1>
    </dataValidation>
    <dataValidation sqref="B8" showDropDown="0" showInputMessage="0" showErrorMessage="0" allowBlank="0" errorTitle="Invalid selection" error="Select a value from the dropdown" promptTitle="Filter" prompt="Choose a filter value" type="list">
      <formula1>=Lists!$F$2:$F$12</formula1>
    </dataValidation>
    <dataValidation sqref="B9" showDropDown="0" showInputMessage="0" showErrorMessage="0" allowBlank="0" errorTitle="Invalid selection" error="Select a value from the dropdown" promptTitle="Filter" prompt="Choose a filter value" type="list">
      <formula1>=Lists!$G$2:$G$126</formula1>
    </dataValidation>
    <dataValidation sqref="B10" showDropDown="0" showInputMessage="0" showErrorMessage="0" allowBlank="0" errorTitle="Invalid selection" error="Select a value from the dropdown" promptTitle="Filter" prompt="Choose a filter value" type="list">
      <formula1>=Lists!$H$2:$H$5</formula1>
    </dataValidation>
    <dataValidation sqref="B11" showDropDown="0" showInputMessage="0" showErrorMessage="0" allowBlank="0" errorTitle="Invalid selection" error="Select a value from the dropdown" promptTitle="Filter" prompt="Choose a filter value" type="list">
      <formula1>=Lists!$I$2:$I$7</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2026-02-24T15:43:13Z</dcterms:created>
  <dcterms:modified xsi:type="dcterms:W3CDTF">2026-02-24T15:43:13Z</dcterms:modified>
</cp:coreProperties>
</file>